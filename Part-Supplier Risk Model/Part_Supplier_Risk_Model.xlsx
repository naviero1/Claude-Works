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DASHBOARD" sheetId="2" state="visible" r:id="rId4"/>
    <sheet name="PART_RISK" sheetId="3" state="visible" r:id="rId5"/>
    <sheet name="SUPPLIERS" sheetId="4" state="visible" r:id="rId6"/>
    <sheet name="MODELS" sheetId="5" state="visible" r:id="rId7"/>
    <sheet name="SCORING_GUIDE" sheetId="6" state="visible" r:id="rId8"/>
    <sheet name="LISTS" sheetId="7" state="visible" r:id="rId9"/>
  </sheets>
  <definedNames>
    <definedName function="false" hidden="false" name="DriverNames" vbProcedure="false">LISTS!$H$2:$H$6</definedName>
    <definedName function="false" hidden="false" name="ModelList" vbProcedure="false">MODELS!$A$4:$A$28</definedName>
    <definedName function="false" hidden="false" name="PartTypes" vbProcedure="false">LISTS!$A$2:$A$5</definedName>
    <definedName function="false" hidden="false" name="RedFlags" vbProcedure="false">LISTS!$C$2:$C$8</definedName>
    <definedName function="false" hidden="false" name="Score15" vbProcedure="false">LISTS!$B$2:$B$6</definedName>
    <definedName function="false" hidden="false" name="SEL_MODEL" vbProcedure="false">DASHBOARD!$B$26</definedName>
    <definedName function="false" hidden="false" name="StatusList" vbProcedure="false">LISTS!$D$2:$D$7</definedName>
    <definedName function="false" hidden="false" name="SupplierList" vbProcedure="false">SUPPLIERS!$A$4:$A$63</definedName>
    <definedName function="false" hidden="false" name="T_CRIT" vbProcedure="false">SCORING_GUIDE!$B$18</definedName>
    <definedName function="false" hidden="false" name="T_MON" vbProcedure="false">SCORING_GUIDE!$B$19</definedName>
    <definedName function="false" hidden="false" name="W_CAP" vbProcedure="false">SCORING_GUIDE!$B$11</definedName>
    <definedName function="false" hidden="false" name="W_EXT" vbProcedure="false">SCORING_GUIDE!$B$13</definedName>
    <definedName function="false" hidden="false" name="W_QC" vbProcedure="false">SCORING_GUIDE!$B$10</definedName>
    <definedName function="false" hidden="false" name="W_SRC" vbProcedure="false">SCORING_GUIDE!$B$9</definedName>
    <definedName function="false" hidden="false" name="W_SUP" vbProcedure="false">SCORING_GUIDE!$B$12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<sst xmlns="http://schemas.openxmlformats.org/spreadsheetml/2006/main" count="311" uniqueCount="239">
  <si>
    <t xml:space="preserve">PART-SUPPLIER RISK MODEL</t>
  </si>
  <si>
    <t xml:space="preserve">One simple tool: decompose each model into its parts (tissue and non-tissue), link every part to its supplier, and score the risk of each part-supplier combination.</t>
  </si>
  <si>
    <t xml:space="preserve">HOW TO USE (4 steps)</t>
  </si>
  <si>
    <t xml:space="preserve">1.  MODELS - add the model / project (one row). A model may have tissue parts, non-tissue parts, or both.</t>
  </si>
  <si>
    <t xml:space="preserve">2.  SUPPLIERS - add the supplier and give it its two 1-5 scores (Supplier Stability, External &amp; Location). You do this once per supplier.</t>
  </si>
  <si>
    <t xml:space="preserve">3.  PART_RISK - one row per part-supplier combo: pick the model, type the part, pick the type and supplier, score the three part criteria (1-5), score Impact (1-5), and set a Red Flag only if one applies. Likelihood, Risk and Band calculate automatically.</t>
  </si>
  <si>
    <t xml:space="preserve">4.  DASHBOARD - select a model to see its decomposition ranked by risk; review the Top 10 across all models; write mitigations back into the Notes column of PART_RISK.</t>
  </si>
  <si>
    <t xml:space="preserve">HOW THE SCORE WORKS</t>
  </si>
  <si>
    <t xml:space="preserve">Likelihood (1-5) = weighted average of: Sourcing &amp; Backup 25%, Quality &amp; Compliance 25%, Capacity &amp; Delivery 20%, Supplier Stability 20%, External &amp; Location 10%.</t>
  </si>
  <si>
    <t xml:space="preserve">Risk (1-25) = Likelihood x Impact.    Bands: &gt;= 15 CRITICAL (act now)   |   7 - 14.9 MONITOR (watch + contingency)   |   &lt; 7 LOW (routine).</t>
  </si>
  <si>
    <t xml:space="preserve">A Red Flag forces CRITICAL regardless of the numbers (e.g. APHIS/permit lapse on a tissue part, EOL on a COTS part). Full anchors and definitions: SCORING_GUIDE sheet.</t>
  </si>
  <si>
    <t xml:space="preserve">LEGEND</t>
  </si>
  <si>
    <t xml:space="preserve">Cream cells = you enter or pick from a dropdown.    Gray cells = automatic, do not type in them.</t>
  </si>
  <si>
    <t xml:space="preserve">Scores always read the same way: 1 = low risk ... 5 = high risk. If you can't answer, leave blank - the row shows NOT SCORED.</t>
  </si>
  <si>
    <t xml:space="preserve">Example data is included (2 models, 6 suppliers, 6 part rows, marked EXAMPLE) to show the format - replace it with your own.</t>
  </si>
  <si>
    <t xml:space="preserve">SUGGESTED CADENCE</t>
  </si>
  <si>
    <t xml:space="preserve">Score new part-supplier combos at sourcing time; re-score CRITICAL quarterly, MONITOR twice a year, LOW yearly, and any time a red-flag event happens. Update Last_Reviewed every time - a dated, ongoing monitoring record is what ISO 13485 / FDA QMSR supplier controls expect.</t>
  </si>
  <si>
    <t xml:space="preserve">PART-SUPPLIER RISK DASHBOARD</t>
  </si>
  <si>
    <t xml:space="preserve">Everything updates automatically from PART_RISK, SUPPLIERS and MODELS. The only input here is the yellow model selector below.</t>
  </si>
  <si>
    <t xml:space="preserve">Part-supplier combos</t>
  </si>
  <si>
    <t xml:space="preserve">Critical</t>
  </si>
  <si>
    <t xml:space="preserve">Monitor</t>
  </si>
  <si>
    <t xml:space="preserve">Low</t>
  </si>
  <si>
    <t xml:space="preserve">Not scored</t>
  </si>
  <si>
    <t xml:space="preserve">Models</t>
  </si>
  <si>
    <t xml:space="preserve">Suppliers</t>
  </si>
  <si>
    <t xml:space="preserve">RISK BY MODEL</t>
  </si>
  <si>
    <t xml:space="preserve">Model</t>
  </si>
  <si>
    <t xml:space="preserve">Parts</t>
  </si>
  <si>
    <t xml:space="preserve">Tissue?</t>
  </si>
  <si>
    <t xml:space="preserve">Max risk</t>
  </si>
  <si>
    <t xml:space="preserve">Band</t>
  </si>
  <si>
    <t xml:space="preserve">MODEL DETAIL</t>
  </si>
  <si>
    <t xml:space="preserve">Select model:</t>
  </si>
  <si>
    <t xml:space="preserve">Model A - Tissue Trainer (EXAMPLE)</t>
  </si>
  <si>
    <t xml:space="preserve">Parts of the selected model, highest risk first (red flags always on top).</t>
  </si>
  <si>
    <t xml:space="preserve">#</t>
  </si>
  <si>
    <t xml:space="preserve">Part number</t>
  </si>
  <si>
    <t xml:space="preserve">Description</t>
  </si>
  <si>
    <t xml:space="preserve">Type</t>
  </si>
  <si>
    <t xml:space="preserve">Supplier</t>
  </si>
  <si>
    <t xml:space="preserve">Impact</t>
  </si>
  <si>
    <t xml:space="preserve">Likelihood</t>
  </si>
  <si>
    <t xml:space="preserve">Risk</t>
  </si>
  <si>
    <t xml:space="preserve">Top driver</t>
  </si>
  <si>
    <t xml:space="preserve">Red flag</t>
  </si>
  <si>
    <t xml:space="preserve">TOP 10 RISKS - ALL MODELS</t>
  </si>
  <si>
    <t xml:space="preserve">PART-SUPPLIER RISK REGISTER</t>
  </si>
  <si>
    <t xml:space="preserve">One row per part-supplier combination. Cream = you enter/select. Gray = automatic. Score 1 (low risk) to 5 (high risk) using the SCORING_GUIDE anchors. A red flag forces the band to CRITICAL.</t>
  </si>
  <si>
    <t xml:space="preserve">1. IDENTIFY THE PART</t>
  </si>
  <si>
    <t xml:space="preserve">2. SCORE THE PART (1-5)</t>
  </si>
  <si>
    <t xml:space="preserve">3. SUPPLIER SCORES (auto)</t>
  </si>
  <si>
    <t xml:space="preserve">4. IMPACT</t>
  </si>
  <si>
    <t xml:space="preserve">5. RED FLAG</t>
  </si>
  <si>
    <t xml:space="preserve">RESULT (auto)</t>
  </si>
  <si>
    <t xml:space="preserve">6. ACTIONS &amp; REVIEW</t>
  </si>
  <si>
    <t xml:space="preserve">Part_Number</t>
  </si>
  <si>
    <t xml:space="preserve">Part_Description</t>
  </si>
  <si>
    <t xml:space="preserve">Part_Type</t>
  </si>
  <si>
    <t xml:space="preserve">Sourcing_Backup</t>
  </si>
  <si>
    <t xml:space="preserve">Quality_Compliance</t>
  </si>
  <si>
    <t xml:space="preserve">Capacity_Delivery</t>
  </si>
  <si>
    <t xml:space="preserve">Supplier_Stability</t>
  </si>
  <si>
    <t xml:space="preserve">External_Location</t>
  </si>
  <si>
    <t xml:space="preserve">Impact (1-5)</t>
  </si>
  <si>
    <t xml:space="preserve">Red_Flag</t>
  </si>
  <si>
    <t xml:space="preserve">Risk_Score</t>
  </si>
  <si>
    <t xml:space="preserve">Risk_Band</t>
  </si>
  <si>
    <t xml:space="preserve">Top_Driver</t>
  </si>
  <si>
    <t xml:space="preserve">Mitigation / Notes</t>
  </si>
  <si>
    <t xml:space="preserve">Last_Reviewed</t>
  </si>
  <si>
    <t xml:space="preserve">srt</t>
  </si>
  <si>
    <t xml:space="preserve">sel</t>
  </si>
  <si>
    <t xml:space="preserve">666512</t>
  </si>
  <si>
    <t xml:space="preserve">Leaf Fat, porcine</t>
  </si>
  <si>
    <t xml:space="preserve">Tissue (APHIS)</t>
  </si>
  <si>
    <t xml:space="preserve">Parks Family Meats</t>
  </si>
  <si>
    <t xml:space="preserve">EXAMPLE - replace with real data. Multi-sourced; permits current; watch defect rate (improving).</t>
  </si>
  <si>
    <t xml:space="preserve">666534</t>
  </si>
  <si>
    <t xml:space="preserve">Large Pork Belly</t>
  </si>
  <si>
    <t xml:space="preserve">Martin's Pork Products</t>
  </si>
  <si>
    <t xml:space="preserve">EXAMPLE - replace with real data. Sole source, declining quality trend: qualify backup harvest supplier, raise safety stock.</t>
  </si>
  <si>
    <t xml:space="preserve">666800-01</t>
  </si>
  <si>
    <t xml:space="preserve">Plate, thermoformed, Kydex</t>
  </si>
  <si>
    <t xml:space="preserve">Non-Tissue: Custom</t>
  </si>
  <si>
    <t xml:space="preserve">Advanced Plastiform</t>
  </si>
  <si>
    <t xml:space="preserve">EXAMPLE - replace with real data. Alternates identified (Fictiv, Xometry); 8-week lead time.</t>
  </si>
  <si>
    <t xml:space="preserve">QOS-1113</t>
  </si>
  <si>
    <t xml:space="preserve">Fluid connector, luer</t>
  </si>
  <si>
    <t xml:space="preserve">Non-Tissue: COTS</t>
  </si>
  <si>
    <t xml:space="preserve">Qosina Corp.</t>
  </si>
  <si>
    <t xml:space="preserve">EOL / obsolescence announced (COTS)</t>
  </si>
  <si>
    <t xml:space="preserve">EXAMPLE - replace with real data. Connector discontinued by OEM: last-time buy placed, replacement in qualification.</t>
  </si>
  <si>
    <t xml:space="preserve">Model B - Non-Tissue Kit (EXAMPLE)</t>
  </si>
  <si>
    <t xml:space="preserve">666438</t>
  </si>
  <si>
    <t xml:space="preserve">Liquid, SB aqueous mixture</t>
  </si>
  <si>
    <t xml:space="preserve">SNP, Inc.</t>
  </si>
  <si>
    <t xml:space="preserve">EXAMPLE - replace with real data. Single source; second supplier (Brenntag) in qualification.</t>
  </si>
  <si>
    <t xml:space="preserve">Midland Plastics</t>
  </si>
  <si>
    <t xml:space="preserve">EXAMPLE - replace with real data. New supplier - initial audit pending.</t>
  </si>
  <si>
    <t xml:space="preserve">SUPPLIERS</t>
  </si>
  <si>
    <t xml:space="preserve">Score each supplier ONCE (two 1-5 scores). Every part linked to this supplier inherits these scores automatically on PART_RISK.</t>
  </si>
  <si>
    <t xml:space="preserve">Supplier_Name</t>
  </si>
  <si>
    <t xml:space="preserve">Location (City/State, Country)</t>
  </si>
  <si>
    <t xml:space="preserve">Status</t>
  </si>
  <si>
    <t xml:space="preserve">Supplier_Stability (1-5)</t>
  </si>
  <si>
    <t xml:space="preserve">External_Location (1-5)</t>
  </si>
  <si>
    <t xml:space="preserve">Certs / Permits (info)</t>
  </si>
  <si>
    <t xml:space="preserve">Notes</t>
  </si>
  <si>
    <t xml:space="preserve">Parts_Linked</t>
  </si>
  <si>
    <t xml:space="preserve">Worst_Band</t>
  </si>
  <si>
    <t xml:space="preserve">Warsaw, NC, USA</t>
  </si>
  <si>
    <t xml:space="preserve">Approved</t>
  </si>
  <si>
    <t xml:space="preserve">APHIS specimen permit (exp 12/2026); FDA FSIS</t>
  </si>
  <si>
    <t xml:space="preserve">EXAMPLE - small local slaughterhouse; strong relationship.</t>
  </si>
  <si>
    <t xml:space="preserve">Falcon, NC, USA</t>
  </si>
  <si>
    <t xml:space="preserve">APHIS specimen permit (exp 5/2026); FDA FSIS</t>
  </si>
  <si>
    <t xml:space="preserve">EXAMPLE - small family business; past power/sanitation issues; flood-prone area.</t>
  </si>
  <si>
    <t xml:space="preserve">NC, USA</t>
  </si>
  <si>
    <t xml:space="preserve">ISO 9001</t>
  </si>
  <si>
    <t xml:space="preserve">EXAMPLE - established plastics former.</t>
  </si>
  <si>
    <t xml:space="preserve">WI, USA</t>
  </si>
  <si>
    <t xml:space="preserve">New</t>
  </si>
  <si>
    <t xml:space="preserve">ISO 9001 (to verify)</t>
  </si>
  <si>
    <t xml:space="preserve">EXAMPLE - new supplier, audit pending.</t>
  </si>
  <si>
    <t xml:space="preserve">Ronkonkoma, NY, USA</t>
  </si>
  <si>
    <t xml:space="preserve">Intuitive Corporate</t>
  </si>
  <si>
    <t xml:space="preserve">ISO 9001, ISO 13485</t>
  </si>
  <si>
    <t xml:space="preserve">EXAMPLE - large catalog distributor.</t>
  </si>
  <si>
    <t xml:space="preserve">USA</t>
  </si>
  <si>
    <t xml:space="preserve">EXAMPLE - chemical blender; single site.</t>
  </si>
  <si>
    <t xml:space="preserve">MODELS</t>
  </si>
  <si>
    <t xml:space="preserve">Add one row per model / project. Everything except the first two columns fills in automatically from PART_RISK.</t>
  </si>
  <si>
    <t xml:space="preserve">Model_Name</t>
  </si>
  <si>
    <t xml:space="preserve">Has_Tissue_Parts</t>
  </si>
  <si>
    <t xml:space="preserve">Not_Scored</t>
  </si>
  <si>
    <t xml:space="preserve">Max_Risk</t>
  </si>
  <si>
    <t xml:space="preserve">Model_Band</t>
  </si>
  <si>
    <t xml:space="preserve">Example model containing tissue and non-tissue parts.</t>
  </si>
  <si>
    <t xml:space="preserve">Example model containing non-tissue parts only.</t>
  </si>
  <si>
    <t xml:space="preserve">SCORING GUIDE</t>
  </si>
  <si>
    <t xml:space="preserve">RISK = LIKELIHOOD x IMPACT.  Likelihood = weighted average of the five 1-5 criteria below. Impact = how bad it is for the model if this part-supplier fails (1-5). Risk runs 1-25.</t>
  </si>
  <si>
    <t xml:space="preserve">Every criterion uses the same simple rule:  1 = low risk, 3 = medium, 5 = high. Score 2 or 4 when reality sits between the anchors. If you can't answer, leave it blank - the row shows NOT SCORED instead of a wrong number.</t>
  </si>
  <si>
    <t xml:space="preserve">WEIGHTS (editable - cream cells; must total 100%)</t>
  </si>
  <si>
    <t xml:space="preserve">Criterion</t>
  </si>
  <si>
    <t xml:space="preserve">Weight</t>
  </si>
  <si>
    <t xml:space="preserve">The question it answers</t>
  </si>
  <si>
    <t xml:space="preserve">Sourcing &amp; Backup</t>
  </si>
  <si>
    <t xml:space="preserve">Could we get this part somewhere else, and how fast?</t>
  </si>
  <si>
    <t xml:space="preserve">Quality &amp; Compliance</t>
  </si>
  <si>
    <t xml:space="preserve">Will the part be good and legal (permits, certs, defect history)?</t>
  </si>
  <si>
    <t xml:space="preserve">Capacity &amp; Delivery</t>
  </si>
  <si>
    <t xml:space="preserve">Can they make enough, on time, and absorb a surge?</t>
  </si>
  <si>
    <t xml:space="preserve">Supplier Stability</t>
  </si>
  <si>
    <t xml:space="preserve">Will this supplier still be here, and do we matter to them? (scored on SUPPLIERS)</t>
  </si>
  <si>
    <t xml:space="preserve">External &amp; Location</t>
  </si>
  <si>
    <t xml:space="preserve">What can hit them from outside - weather, logistics, borders? (scored on SUPPLIERS)</t>
  </si>
  <si>
    <t xml:space="preserve">Total (must be 100%)</t>
  </si>
  <si>
    <t xml:space="preserve">Defaults mirror the weight logic of the previous tool (Quality 25%, Relationship 20%, Ops 15-20%...), collapsed to five criteria.</t>
  </si>
  <si>
    <t xml:space="preserve">RISK BANDS (editable thresholds)</t>
  </si>
  <si>
    <t xml:space="preserve">Threshold</t>
  </si>
  <si>
    <t xml:space="preserve">Action</t>
  </si>
  <si>
    <t xml:space="preserve">CRITICAL</t>
  </si>
  <si>
    <t xml:space="preserve">Risk &gt;= 15 (or any red flag): act now - qualify backup, build stock, escalate.</t>
  </si>
  <si>
    <t xml:space="preserve">MONITOR</t>
  </si>
  <si>
    <t xml:space="preserve">Risk 7-14.9: watch actively, have a contingency plan, review quarterly.</t>
  </si>
  <si>
    <t xml:space="preserve">LOW</t>
  </si>
  <si>
    <t xml:space="preserve">&lt; 7</t>
  </si>
  <si>
    <t xml:space="preserve">Standard supplier management, review yearly.</t>
  </si>
  <si>
    <t xml:space="preserve">Cutoffs follow the standard 5x5 risk-matrix convention (ISO 31000 / IEC 31010): 15-25 red, 7-14 yellow, 1-6 green.</t>
  </si>
  <si>
    <t xml:space="preserve">SOURCING &amp; BACKUP  (part-level)</t>
  </si>
  <si>
    <t xml:space="preserve">Score</t>
  </si>
  <si>
    <t xml:space="preserve">What it looks like</t>
  </si>
  <si>
    <t xml:space="preserve">Multiple approved suppliers; switching is easy and fast.</t>
  </si>
  <si>
    <t xml:space="preserve">Single source today, but a backup is identified and could be qualified in under ~3 months.</t>
  </si>
  <si>
    <t xml:space="preserve">Sole source, no backup identified; switching means 6+ months of requalification.</t>
  </si>
  <si>
    <t xml:space="preserve">QUALITY &amp; COMPLIANCE  (part-level)</t>
  </si>
  <si>
    <t xml:space="preserve">All certs/permits current, no significant issues in 12 months, stable or improving trend.</t>
  </si>
  <si>
    <t xml:space="preserve">Certs/permits current but with gaps (e.g. state-only inspection, no SQA signed, occasional defects, audit due).</t>
  </si>
  <si>
    <t xml:space="preserve">Expired/missing permit or certification, repeated defects, declining trend, or open major CAPA.</t>
  </si>
  <si>
    <t xml:space="preserve">Tissue parts: think specimen/APHIS permits, FSIS inspection level, audit status, recent lot rejections.</t>
  </si>
  <si>
    <t xml:space="preserve">Non-tissue parts: think ISO 9001/13485, audit results, defect (PPM) history, open CAPAs, process capability for custom parts.</t>
  </si>
  <si>
    <t xml:space="preserve">CAPACITY &amp; DELIVERY  (part-level)</t>
  </si>
  <si>
    <t xml:space="preserve">Plenty of headroom (supplier under ~70% loaded), lead time comfortably meets need, deliveries on time.</t>
  </si>
  <si>
    <t xml:space="preserve">Busy (~70-85% loaded) but can cover a 125% surge with notice; lead time acceptable.</t>
  </si>
  <si>
    <t xml:space="preserve">Near or over capacity (&gt;85%), cannot cover a surge, long or erratic lead times, late deliveries.</t>
  </si>
  <si>
    <t xml:space="preserve">SUPPLIER STABILITY  (supplier-level, scored once on SUPPLIERS)</t>
  </si>
  <si>
    <t xml:space="preserve">Established, healthy business; strong relationship; we are a meaningful customer to them.</t>
  </si>
  <si>
    <t xml:space="preserve">Small or newer business; generally reliable; we are one customer among many.</t>
  </si>
  <si>
    <t xml:space="preserve">Signs of instability (staffing, cash, ownership, key-person risk), strained relationship, phase-out risk, or our volume is insignificant to them.</t>
  </si>
  <si>
    <t xml:space="preserve">Most of our suppliers are small local businesses - judge stability from what you see and hear (staffing, maintenance, responsiveness), not financial statements.</t>
  </si>
  <si>
    <t xml:space="preserve">EXTERNAL &amp; LOCATION  (supplier-level, scored once on SUPPLIERS)</t>
  </si>
  <si>
    <t xml:space="preserve">Low-risk location, robust logistics, no special transport needs.</t>
  </si>
  <si>
    <t xml:space="preserve">Some exposure: weather-prone region, single logistics route, or cold-chain need with a capable partner.</t>
  </si>
  <si>
    <t xml:space="preserve">High exposure: flood/hurricane zone, remote or single-road access, cross-border / tariff / sanction exposure, or unreliable cold chain.</t>
  </si>
  <si>
    <t xml:space="preserve">IMPACT  (part-level: if this part stops, how bad for the model?)</t>
  </si>
  <si>
    <t xml:space="preserve">Cosmetic or minor part; substitute on the shelf; negligible spend.</t>
  </si>
  <si>
    <t xml:space="preserve">Production slows; workaround or inventory buffer exists; moderate spend.</t>
  </si>
  <si>
    <t xml:space="preserve">Model cannot ship; no substitute; high spend or long requalification of an alternative.</t>
  </si>
  <si>
    <t xml:space="preserve">RED FLAGS (any flag forces the band to CRITICAL, whatever the score)</t>
  </si>
  <si>
    <t xml:space="preserve">Flag</t>
  </si>
  <si>
    <t xml:space="preserve">Why it overrides the score</t>
  </si>
  <si>
    <t xml:space="preserve">Permit / APHIS non-compliance (tissue)</t>
  </si>
  <si>
    <t xml:space="preserve">A tissue part without a valid permit cannot legally be used - no score can compensate.</t>
  </si>
  <si>
    <t xml:space="preserve">Stop-ship quality failure</t>
  </si>
  <si>
    <t xml:space="preserve">An active stop-ship means supply is already interrupted.</t>
  </si>
  <si>
    <t xml:space="preserve">Supplier exiting or disapproved</t>
  </si>
  <si>
    <t xml:space="preserve">Supply will end regardless of how well it performs today.</t>
  </si>
  <si>
    <t xml:space="preserve">The catalog part is going away - a replacement must be qualified.</t>
  </si>
  <si>
    <t xml:space="preserve">Stock-out before recovery (TTS &lt; TTR)</t>
  </si>
  <si>
    <t xml:space="preserve">If inventory runs out before the supplier could recover from a disruption, any disruption stops the line.</t>
  </si>
  <si>
    <t xml:space="preserve">Capacity exceeded (no headroom)</t>
  </si>
  <si>
    <t xml:space="preserve">Demand already exceeds what the supplier can make.</t>
  </si>
  <si>
    <t xml:space="preserve">Other (see notes)</t>
  </si>
  <si>
    <t xml:space="preserve">Judgment call - explain in the Notes column.</t>
  </si>
  <si>
    <t xml:space="preserve">METHOD &amp; SOURCES (why the model is built this way)</t>
  </si>
  <si>
    <t xml:space="preserve">- Two-axis logic (supply risk x business impact per purchased item): Kraljic, 'Purchasing Must Become Supply Management', Harvard Business Review, 1983 - the standard purchasing-portfolio segmentation.</t>
  </si>
  <si>
    <t xml:space="preserve">- Likelihood x Impact on a 5x5 matrix with 15/7 band cutoffs: ISO 31000 / IEC 31010 risk-assessment convention; same probability-x-severity logic as ISO 14971 used in medical device risk files.</t>
  </si>
  <si>
    <t xml:space="preserve">- 'Stock-out before recovery' red flag: Simchi-Levi's Time-to-Recover / Time-to-Survive framework (HBR 2014; used by Ford, Cisco, UN) - a node where TTS &lt; TTR exposes the firm in ANY disruption.</t>
  </si>
  <si>
    <t xml:space="preserve">- Part-level (not just supplier-level) assessment and the Last_Reviewed column: ISO 13485 clause 7.4 / FDA QMSR require supplier controls proportionate to the EFFECT OF THE PURCHASED PRODUCT on device quality, plus a dated ongoing monitoring record.</t>
  </si>
  <si>
    <t xml:space="preserve">- Red flags = knock-out criteria, standard practice in supplier qualification: some conditions (invalid permit, EOL, stop-ship) invalidate a good average score.</t>
  </si>
  <si>
    <t xml:space="preserve">WHAT CHANGED vs THE PREVIOUS TOOLS (design notes)</t>
  </si>
  <si>
    <t xml:space="preserve">- The 7 weighted pillars + 10 override rules + dependency multipliers of supplier_risk_tool_v12 are collapsed into 5 plain criteria, 1 impact score and 7 red flags.</t>
  </si>
  <si>
    <t xml:space="preserve">- Source dependency (sole/single/dual) no longer multiplies the score - it IS the Sourcing &amp; Backup criterion, weighted 25%.</t>
  </si>
  <si>
    <t xml:space="preserve">- Altman Z-Score, PPM formulas and Cpk thresholds are gone as inputs: our suppliers are mostly small private businesses where those numbers don't exist or aren't reliable. They remain as things to consider inside the 1-5 anchors.</t>
  </si>
  <si>
    <t xml:space="preserve">- Financial + Relationship pillars merged into one supplier-level 'Supplier Stability' score; Geopolitical + Environmental merged into 'External &amp; Location'. Cybersecurity dropped as a scored pillar (was 5%) - note IP exposure in supplier Notes if relevant.</t>
  </si>
  <si>
    <t xml:space="preserve">- Risk = Likelihood x Impact (5x5 matrix, same logic as ISO 14971 risk thinking) so a critical part at a good supplier and a minor part at a bad supplier are separated - the part-level view the old supplier-level tool couldn't give.</t>
  </si>
  <si>
    <t xml:space="preserve">- Supplier-level scores live on SUPPLIERS and are entered once; part rows inherit them, so adding the 10th part from a supplier costs seconds, not another 100-column row.</t>
  </si>
  <si>
    <t xml:space="preserve">- Band thresholds (&gt;=15 CRITICAL, &gt;=7 MONITOR) follow the standard 5x5 matrix convention; the previous tool's 0-100 bands (&gt;=80/&gt;=50) served the same purpose.</t>
  </si>
  <si>
    <t xml:space="preserve">Part_Types</t>
  </si>
  <si>
    <t xml:space="preserve">Score_1_5</t>
  </si>
  <si>
    <t xml:space="preserve">Red_Flags</t>
  </si>
  <si>
    <t xml:space="preserve">Supplier_Status</t>
  </si>
  <si>
    <t xml:space="preserve">Driver_Names</t>
  </si>
  <si>
    <t xml:space="preserve">Tissue (Non-APHIS)</t>
  </si>
  <si>
    <t xml:space="preserve">Conditional</t>
  </si>
  <si>
    <t xml:space="preserve">Phase-Out</t>
  </si>
  <si>
    <t xml:space="preserve">Disapproved</t>
  </si>
  <si>
    <t xml:space="preserve">This sheet feeds the dropdowns. Add options here if you need more.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</si>
</sst>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mm/dd/yyyy"/>
    <numFmt numFmtId="168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3"/>
      <color rgb="FF9C0006"/>
      <name val="Arial"/>
      <family val="0"/>
      <charset val="1"/>
    </font>
    <font>
      <b val="true"/>
      <sz val="13"/>
      <color rgb="FF9C6500"/>
      <name val="Arial"/>
      <family val="0"/>
      <charset val="1"/>
    </font>
    <font>
      <b val="true"/>
      <sz val="13"/>
      <color rgb="FF006100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6DC"/>
      </patternFill>
    </fill>
    <fill>
      <patternFill patternType="solid">
        <fgColor rgb="FFFFF6DC"/>
        <bgColor rgb="FFF2F2F2"/>
      </patternFill>
    </fill>
    <fill>
      <patternFill patternType="solid">
        <fgColor rgb="FFD9E2F3"/>
        <bgColor rgb="FFF2F2F2"/>
      </patternFill>
    </fill>
    <fill>
      <patternFill patternType="solid">
        <fgColor rgb="FFFFC7CE"/>
        <bgColor rgb="FFD9E2F3"/>
      </patternFill>
    </fill>
    <fill>
      <patternFill patternType="solid">
        <fgColor rgb="FFFFEB9C"/>
        <bgColor rgb="FFFFF6DC"/>
      </patternFill>
    </fill>
    <fill>
      <patternFill patternType="solid">
        <fgColor rgb="FFC6EFCE"/>
        <bgColor rgb="FFD9E2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6D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54823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5" customFormat="false" ht="18" hidden="false" customHeight="true" outlineLevel="0" collapsed="false">
      <c r="B5" s="3" t="s">
        <v>2</v>
      </c>
    </row>
    <row r="6" customFormat="false" ht="18" hidden="false" customHeight="true" outlineLevel="0" collapsed="false">
      <c r="B6" s="4" t="s">
        <v>3</v>
      </c>
    </row>
    <row r="7" customFormat="false" ht="30" hidden="false" customHeight="true" outlineLevel="0" collapsed="false">
      <c r="B7" s="4" t="s">
        <v>4</v>
      </c>
    </row>
    <row r="8" customFormat="false" ht="30" hidden="false" customHeight="true" outlineLevel="0" collapsed="false">
      <c r="B8" s="4" t="s">
        <v>5</v>
      </c>
    </row>
    <row r="9" customFormat="false" ht="30" hidden="false" customHeight="true" outlineLevel="0" collapsed="false">
      <c r="B9" s="4" t="s">
        <v>6</v>
      </c>
    </row>
    <row r="11" customFormat="false" ht="18" hidden="false" customHeight="true" outlineLevel="0" collapsed="false">
      <c r="B11" s="3" t="s">
        <v>7</v>
      </c>
    </row>
    <row r="12" customFormat="false" ht="30" hidden="false" customHeight="true" outlineLevel="0" collapsed="false">
      <c r="B12" s="4" t="s">
        <v>8</v>
      </c>
    </row>
    <row r="13" customFormat="false" ht="30" hidden="false" customHeight="true" outlineLevel="0" collapsed="false">
      <c r="B13" s="4" t="s">
        <v>9</v>
      </c>
    </row>
    <row r="14" customFormat="false" ht="30" hidden="false" customHeight="true" outlineLevel="0" collapsed="false">
      <c r="B14" s="4" t="s">
        <v>10</v>
      </c>
    </row>
    <row r="16" customFormat="false" ht="18" hidden="false" customHeight="true" outlineLevel="0" collapsed="false">
      <c r="B16" s="3" t="s">
        <v>11</v>
      </c>
    </row>
    <row r="17" customFormat="false" ht="18" hidden="false" customHeight="true" outlineLevel="0" collapsed="false">
      <c r="B17" s="4" t="s">
        <v>12</v>
      </c>
    </row>
    <row r="18" customFormat="false" ht="30" hidden="false" customHeight="true" outlineLevel="0" collapsed="false">
      <c r="B18" s="4" t="s">
        <v>13</v>
      </c>
    </row>
    <row r="19" customFormat="false" ht="30" hidden="false" customHeight="true" outlineLevel="0" collapsed="false">
      <c r="B19" s="4" t="s">
        <v>14</v>
      </c>
    </row>
    <row r="21" customFormat="false" ht="18" hidden="false" customHeight="true" outlineLevel="0" collapsed="false">
      <c r="B21" s="3" t="s">
        <v>15</v>
      </c>
    </row>
    <row r="22" customFormat="false" ht="30" hidden="false" customHeight="true" outlineLevel="0" collapsed="false">
      <c r="B22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7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0" min="10" style="0" width="19"/>
    <col collapsed="false" customWidth="true" hidden="false" outlineLevel="0" max="11" min="11" style="0" width="26"/>
    <col collapsed="false" customWidth="true" hidden="true" outlineLevel="0" max="13" min="13" style="0" width="5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4" customFormat="false" ht="15" hidden="false" customHeight="false" outlineLevel="0" collapsed="false"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</row>
    <row r="5" customFormat="false" ht="16.15" hidden="false" customHeight="false" outlineLevel="0" collapsed="false">
      <c r="B5" s="6" t="n">
        <f aca="false">COUNTIF(PART_RISK!$E$5:$E$304,"?*")</f>
        <v>6</v>
      </c>
      <c r="C5" s="7" t="n">
        <f aca="false">COUNTIF(PART_RISK!$O$5:$O$304,"CRITICAL*")</f>
        <v>2</v>
      </c>
      <c r="D5" s="8" t="n">
        <f aca="false">COUNTIF(PART_RISK!$O$5:$O$304,"MONITOR")</f>
        <v>3</v>
      </c>
      <c r="E5" s="9" t="n">
        <f aca="false">COUNTIF(PART_RISK!$O$5:$O$304,"LOW")</f>
        <v>1</v>
      </c>
      <c r="F5" s="6" t="n">
        <f aca="false">COUNTIF(PART_RISK!$O$5:$O$304,"NOT SCORED")</f>
        <v>0</v>
      </c>
      <c r="G5" s="6" t="n">
        <f aca="false">COUNTIF(MODELS!$A$4:$A$28,"?*")</f>
        <v>2</v>
      </c>
      <c r="H5" s="6" t="n">
        <f aca="false">COUNTIF(SUPPLIERS!$A$4:$A$63,"?*")</f>
        <v>6</v>
      </c>
    </row>
    <row r="7" customFormat="false" ht="15" hidden="false" customHeight="false" outlineLevel="0" collapsed="false">
      <c r="A7" s="10" t="s">
        <v>26</v>
      </c>
    </row>
    <row r="8" customFormat="false" ht="15" hidden="false" customHeight="false" outlineLevel="0" collapsed="false">
      <c r="B8" s="5" t="s">
        <v>27</v>
      </c>
      <c r="C8" s="5" t="s">
        <v>28</v>
      </c>
      <c r="D8" s="5" t="s">
        <v>29</v>
      </c>
      <c r="E8" s="5" t="s">
        <v>20</v>
      </c>
      <c r="F8" s="5" t="s">
        <v>21</v>
      </c>
      <c r="G8" s="5" t="s">
        <v>22</v>
      </c>
      <c r="H8" s="5" t="s">
        <v>23</v>
      </c>
      <c r="I8" s="5" t="s">
        <v>30</v>
      </c>
      <c r="J8" s="5" t="s">
        <v>31</v>
      </c>
    </row>
    <row r="9" customFormat="false" ht="15" hidden="false" customHeight="false" outlineLevel="0" collapsed="false">
      <c r="B9" s="11" t="str">
        <f aca="false">IF(MODELS!$A4="","",MODELS!$A4)</f>
        <v>Model A - Tissue Trainer (EXAMPLE)</v>
      </c>
      <c r="C9" s="12" t="n">
        <f aca="false">IF($B9="","",MODELS!$D4)</f>
        <v>4</v>
      </c>
      <c r="D9" s="12" t="str">
        <f aca="false">IF($B9="","",MODELS!$C4)</f>
        <v>Yes</v>
      </c>
      <c r="E9" s="12" t="n">
        <f aca="false">IF($B9="","",MODELS!$E4)</f>
        <v>2</v>
      </c>
      <c r="F9" s="12" t="n">
        <f aca="false">IF($B9="","",MODELS!$F4)</f>
        <v>1</v>
      </c>
      <c r="G9" s="12" t="n">
        <f aca="false">IF($B9="","",MODELS!$G4)</f>
        <v>1</v>
      </c>
      <c r="H9" s="12" t="n">
        <f aca="false">IF($B9="","",MODELS!$H4)</f>
        <v>0</v>
      </c>
      <c r="I9" s="13" t="n">
        <f aca="false">IF($B9="","",MODELS!$I4)</f>
        <v>20.5</v>
      </c>
      <c r="J9" s="14" t="str">
        <f aca="false">IF($B9="","",MODELS!$J4)</f>
        <v>CRITICAL</v>
      </c>
    </row>
    <row r="10" customFormat="false" ht="15" hidden="false" customHeight="false" outlineLevel="0" collapsed="false">
      <c r="B10" s="11" t="str">
        <f aca="false">IF(MODELS!$A5="","",MODELS!$A5)</f>
        <v>Model B - Non-Tissue Kit (EXAMPLE)</v>
      </c>
      <c r="C10" s="12" t="n">
        <f aca="false">IF($B10="","",MODELS!$D5)</f>
        <v>2</v>
      </c>
      <c r="D10" s="12" t="str">
        <f aca="false">IF($B10="","",MODELS!$C5)</f>
        <v>No</v>
      </c>
      <c r="E10" s="12" t="n">
        <f aca="false">IF($B10="","",MODELS!$E5)</f>
        <v>0</v>
      </c>
      <c r="F10" s="12" t="n">
        <f aca="false">IF($B10="","",MODELS!$F5)</f>
        <v>2</v>
      </c>
      <c r="G10" s="12" t="n">
        <f aca="false">IF($B10="","",MODELS!$G5)</f>
        <v>0</v>
      </c>
      <c r="H10" s="12" t="n">
        <f aca="false">IF($B10="","",MODELS!$H5)</f>
        <v>0</v>
      </c>
      <c r="I10" s="13" t="n">
        <f aca="false">IF($B10="","",MODELS!$I5)</f>
        <v>11.6</v>
      </c>
      <c r="J10" s="14" t="str">
        <f aca="false">IF($B10="","",MODELS!$J5)</f>
        <v>MONITOR</v>
      </c>
    </row>
    <row r="11" customFormat="false" ht="15" hidden="false" customHeight="false" outlineLevel="0" collapsed="false">
      <c r="B11" s="11" t="str">
        <f aca="false">IF(MODELS!$A6="","",MODELS!$A6)</f>
        <v/>
      </c>
      <c r="C11" s="12" t="str">
        <f aca="false">IF($B11="","",MODELS!$D6)</f>
        <v/>
      </c>
      <c r="D11" s="12" t="str">
        <f aca="false">IF($B11="","",MODELS!$C6)</f>
        <v/>
      </c>
      <c r="E11" s="12" t="str">
        <f aca="false">IF($B11="","",MODELS!$E6)</f>
        <v/>
      </c>
      <c r="F11" s="12" t="str">
        <f aca="false">IF($B11="","",MODELS!$F6)</f>
        <v/>
      </c>
      <c r="G11" s="12" t="str">
        <f aca="false">IF($B11="","",MODELS!$G6)</f>
        <v/>
      </c>
      <c r="H11" s="12" t="str">
        <f aca="false">IF($B11="","",MODELS!$H6)</f>
        <v/>
      </c>
      <c r="I11" s="13" t="str">
        <f aca="false">IF($B11="","",MODELS!$I6)</f>
        <v/>
      </c>
      <c r="J11" s="14" t="str">
        <f aca="false">IF($B11="","",MODELS!$J6)</f>
        <v/>
      </c>
    </row>
    <row r="12" customFormat="false" ht="15" hidden="false" customHeight="false" outlineLevel="0" collapsed="false">
      <c r="B12" s="11" t="str">
        <f aca="false">IF(MODELS!$A7="","",MODELS!$A7)</f>
        <v/>
      </c>
      <c r="C12" s="12" t="str">
        <f aca="false">IF($B12="","",MODELS!$D7)</f>
        <v/>
      </c>
      <c r="D12" s="12" t="str">
        <f aca="false">IF($B12="","",MODELS!$C7)</f>
        <v/>
      </c>
      <c r="E12" s="12" t="str">
        <f aca="false">IF($B12="","",MODELS!$E7)</f>
        <v/>
      </c>
      <c r="F12" s="12" t="str">
        <f aca="false">IF($B12="","",MODELS!$F7)</f>
        <v/>
      </c>
      <c r="G12" s="12" t="str">
        <f aca="false">IF($B12="","",MODELS!$G7)</f>
        <v/>
      </c>
      <c r="H12" s="12" t="str">
        <f aca="false">IF($B12="","",MODELS!$H7)</f>
        <v/>
      </c>
      <c r="I12" s="13" t="str">
        <f aca="false">IF($B12="","",MODELS!$I7)</f>
        <v/>
      </c>
      <c r="J12" s="14" t="str">
        <f aca="false">IF($B12="","",MODELS!$J7)</f>
        <v/>
      </c>
    </row>
    <row r="13" customFormat="false" ht="15" hidden="false" customHeight="false" outlineLevel="0" collapsed="false">
      <c r="B13" s="11" t="str">
        <f aca="false">IF(MODELS!$A8="","",MODELS!$A8)</f>
        <v/>
      </c>
      <c r="C13" s="12" t="str">
        <f aca="false">IF($B13="","",MODELS!$D8)</f>
        <v/>
      </c>
      <c r="D13" s="12" t="str">
        <f aca="false">IF($B13="","",MODELS!$C8)</f>
        <v/>
      </c>
      <c r="E13" s="12" t="str">
        <f aca="false">IF($B13="","",MODELS!$E8)</f>
        <v/>
      </c>
      <c r="F13" s="12" t="str">
        <f aca="false">IF($B13="","",MODELS!$F8)</f>
        <v/>
      </c>
      <c r="G13" s="12" t="str">
        <f aca="false">IF($B13="","",MODELS!$G8)</f>
        <v/>
      </c>
      <c r="H13" s="12" t="str">
        <f aca="false">IF($B13="","",MODELS!$H8)</f>
        <v/>
      </c>
      <c r="I13" s="13" t="str">
        <f aca="false">IF($B13="","",MODELS!$I8)</f>
        <v/>
      </c>
      <c r="J13" s="14" t="str">
        <f aca="false">IF($B13="","",MODELS!$J8)</f>
        <v/>
      </c>
    </row>
    <row r="14" customFormat="false" ht="15" hidden="false" customHeight="false" outlineLevel="0" collapsed="false">
      <c r="B14" s="11" t="str">
        <f aca="false">IF(MODELS!$A9="","",MODELS!$A9)</f>
        <v/>
      </c>
      <c r="C14" s="12" t="str">
        <f aca="false">IF($B14="","",MODELS!$D9)</f>
        <v/>
      </c>
      <c r="D14" s="12" t="str">
        <f aca="false">IF($B14="","",MODELS!$C9)</f>
        <v/>
      </c>
      <c r="E14" s="12" t="str">
        <f aca="false">IF($B14="","",MODELS!$E9)</f>
        <v/>
      </c>
      <c r="F14" s="12" t="str">
        <f aca="false">IF($B14="","",MODELS!$F9)</f>
        <v/>
      </c>
      <c r="G14" s="12" t="str">
        <f aca="false">IF($B14="","",MODELS!$G9)</f>
        <v/>
      </c>
      <c r="H14" s="12" t="str">
        <f aca="false">IF($B14="","",MODELS!$H9)</f>
        <v/>
      </c>
      <c r="I14" s="13" t="str">
        <f aca="false">IF($B14="","",MODELS!$I9)</f>
        <v/>
      </c>
      <c r="J14" s="14" t="str">
        <f aca="false">IF($B14="","",MODELS!$J9)</f>
        <v/>
      </c>
    </row>
    <row r="15" customFormat="false" ht="15" hidden="false" customHeight="false" outlineLevel="0" collapsed="false">
      <c r="B15" s="11" t="str">
        <f aca="false">IF(MODELS!$A10="","",MODELS!$A10)</f>
        <v/>
      </c>
      <c r="C15" s="12" t="str">
        <f aca="false">IF($B15="","",MODELS!$D10)</f>
        <v/>
      </c>
      <c r="D15" s="12" t="str">
        <f aca="false">IF($B15="","",MODELS!$C10)</f>
        <v/>
      </c>
      <c r="E15" s="12" t="str">
        <f aca="false">IF($B15="","",MODELS!$E10)</f>
        <v/>
      </c>
      <c r="F15" s="12" t="str">
        <f aca="false">IF($B15="","",MODELS!$F10)</f>
        <v/>
      </c>
      <c r="G15" s="12" t="str">
        <f aca="false">IF($B15="","",MODELS!$G10)</f>
        <v/>
      </c>
      <c r="H15" s="12" t="str">
        <f aca="false">IF($B15="","",MODELS!$H10)</f>
        <v/>
      </c>
      <c r="I15" s="13" t="str">
        <f aca="false">IF($B15="","",MODELS!$I10)</f>
        <v/>
      </c>
      <c r="J15" s="14" t="str">
        <f aca="false">IF($B15="","",MODELS!$J10)</f>
        <v/>
      </c>
    </row>
    <row r="16" customFormat="false" ht="15" hidden="false" customHeight="false" outlineLevel="0" collapsed="false">
      <c r="B16" s="11" t="str">
        <f aca="false">IF(MODELS!$A11="","",MODELS!$A11)</f>
        <v/>
      </c>
      <c r="C16" s="12" t="str">
        <f aca="false">IF($B16="","",MODELS!$D11)</f>
        <v/>
      </c>
      <c r="D16" s="12" t="str">
        <f aca="false">IF($B16="","",MODELS!$C11)</f>
        <v/>
      </c>
      <c r="E16" s="12" t="str">
        <f aca="false">IF($B16="","",MODELS!$E11)</f>
        <v/>
      </c>
      <c r="F16" s="12" t="str">
        <f aca="false">IF($B16="","",MODELS!$F11)</f>
        <v/>
      </c>
      <c r="G16" s="12" t="str">
        <f aca="false">IF($B16="","",MODELS!$G11)</f>
        <v/>
      </c>
      <c r="H16" s="12" t="str">
        <f aca="false">IF($B16="","",MODELS!$H11)</f>
        <v/>
      </c>
      <c r="I16" s="13" t="str">
        <f aca="false">IF($B16="","",MODELS!$I11)</f>
        <v/>
      </c>
      <c r="J16" s="14" t="str">
        <f aca="false">IF($B16="","",MODELS!$J11)</f>
        <v/>
      </c>
    </row>
    <row r="17" customFormat="false" ht="15" hidden="false" customHeight="false" outlineLevel="0" collapsed="false">
      <c r="B17" s="11" t="str">
        <f aca="false">IF(MODELS!$A12="","",MODELS!$A12)</f>
        <v/>
      </c>
      <c r="C17" s="12" t="str">
        <f aca="false">IF($B17="","",MODELS!$D12)</f>
        <v/>
      </c>
      <c r="D17" s="12" t="str">
        <f aca="false">IF($B17="","",MODELS!$C12)</f>
        <v/>
      </c>
      <c r="E17" s="12" t="str">
        <f aca="false">IF($B17="","",MODELS!$E12)</f>
        <v/>
      </c>
      <c r="F17" s="12" t="str">
        <f aca="false">IF($B17="","",MODELS!$F12)</f>
        <v/>
      </c>
      <c r="G17" s="12" t="str">
        <f aca="false">IF($B17="","",MODELS!$G12)</f>
        <v/>
      </c>
      <c r="H17" s="12" t="str">
        <f aca="false">IF($B17="","",MODELS!$H12)</f>
        <v/>
      </c>
      <c r="I17" s="13" t="str">
        <f aca="false">IF($B17="","",MODELS!$I12)</f>
        <v/>
      </c>
      <c r="J17" s="14" t="str">
        <f aca="false">IF($B17="","",MODELS!$J12)</f>
        <v/>
      </c>
    </row>
    <row r="18" customFormat="false" ht="15" hidden="false" customHeight="false" outlineLevel="0" collapsed="false">
      <c r="B18" s="11" t="str">
        <f aca="false">IF(MODELS!$A13="","",MODELS!$A13)</f>
        <v/>
      </c>
      <c r="C18" s="12" t="str">
        <f aca="false">IF($B18="","",MODELS!$D13)</f>
        <v/>
      </c>
      <c r="D18" s="12" t="str">
        <f aca="false">IF($B18="","",MODELS!$C13)</f>
        <v/>
      </c>
      <c r="E18" s="12" t="str">
        <f aca="false">IF($B18="","",MODELS!$E13)</f>
        <v/>
      </c>
      <c r="F18" s="12" t="str">
        <f aca="false">IF($B18="","",MODELS!$F13)</f>
        <v/>
      </c>
      <c r="G18" s="12" t="str">
        <f aca="false">IF($B18="","",MODELS!$G13)</f>
        <v/>
      </c>
      <c r="H18" s="12" t="str">
        <f aca="false">IF($B18="","",MODELS!$H13)</f>
        <v/>
      </c>
      <c r="I18" s="13" t="str">
        <f aca="false">IF($B18="","",MODELS!$I13)</f>
        <v/>
      </c>
      <c r="J18" s="14" t="str">
        <f aca="false">IF($B18="","",MODELS!$J13)</f>
        <v/>
      </c>
    </row>
    <row r="19" customFormat="false" ht="15" hidden="false" customHeight="false" outlineLevel="0" collapsed="false">
      <c r="B19" s="11" t="str">
        <f aca="false">IF(MODELS!$A14="","",MODELS!$A14)</f>
        <v/>
      </c>
      <c r="C19" s="12" t="str">
        <f aca="false">IF($B19="","",MODELS!$D14)</f>
        <v/>
      </c>
      <c r="D19" s="12" t="str">
        <f aca="false">IF($B19="","",MODELS!$C14)</f>
        <v/>
      </c>
      <c r="E19" s="12" t="str">
        <f aca="false">IF($B19="","",MODELS!$E14)</f>
        <v/>
      </c>
      <c r="F19" s="12" t="str">
        <f aca="false">IF($B19="","",MODELS!$F14)</f>
        <v/>
      </c>
      <c r="G19" s="12" t="str">
        <f aca="false">IF($B19="","",MODELS!$G14)</f>
        <v/>
      </c>
      <c r="H19" s="12" t="str">
        <f aca="false">IF($B19="","",MODELS!$H14)</f>
        <v/>
      </c>
      <c r="I19" s="13" t="str">
        <f aca="false">IF($B19="","",MODELS!$I14)</f>
        <v/>
      </c>
      <c r="J19" s="14" t="str">
        <f aca="false">IF($B19="","",MODELS!$J14)</f>
        <v/>
      </c>
    </row>
    <row r="20" customFormat="false" ht="15" hidden="false" customHeight="false" outlineLevel="0" collapsed="false">
      <c r="B20" s="11" t="str">
        <f aca="false">IF(MODELS!$A15="","",MODELS!$A15)</f>
        <v/>
      </c>
      <c r="C20" s="12" t="str">
        <f aca="false">IF($B20="","",MODELS!$D15)</f>
        <v/>
      </c>
      <c r="D20" s="12" t="str">
        <f aca="false">IF($B20="","",MODELS!$C15)</f>
        <v/>
      </c>
      <c r="E20" s="12" t="str">
        <f aca="false">IF($B20="","",MODELS!$E15)</f>
        <v/>
      </c>
      <c r="F20" s="12" t="str">
        <f aca="false">IF($B20="","",MODELS!$F15)</f>
        <v/>
      </c>
      <c r="G20" s="12" t="str">
        <f aca="false">IF($B20="","",MODELS!$G15)</f>
        <v/>
      </c>
      <c r="H20" s="12" t="str">
        <f aca="false">IF($B20="","",MODELS!$H15)</f>
        <v/>
      </c>
      <c r="I20" s="13" t="str">
        <f aca="false">IF($B20="","",MODELS!$I15)</f>
        <v/>
      </c>
      <c r="J20" s="14" t="str">
        <f aca="false">IF($B20="","",MODELS!$J15)</f>
        <v/>
      </c>
    </row>
    <row r="21" customFormat="false" ht="15" hidden="false" customHeight="false" outlineLevel="0" collapsed="false">
      <c r="B21" s="11" t="str">
        <f aca="false">IF(MODELS!$A16="","",MODELS!$A16)</f>
        <v/>
      </c>
      <c r="C21" s="12" t="str">
        <f aca="false">IF($B21="","",MODELS!$D16)</f>
        <v/>
      </c>
      <c r="D21" s="12" t="str">
        <f aca="false">IF($B21="","",MODELS!$C16)</f>
        <v/>
      </c>
      <c r="E21" s="12" t="str">
        <f aca="false">IF($B21="","",MODELS!$E16)</f>
        <v/>
      </c>
      <c r="F21" s="12" t="str">
        <f aca="false">IF($B21="","",MODELS!$F16)</f>
        <v/>
      </c>
      <c r="G21" s="12" t="str">
        <f aca="false">IF($B21="","",MODELS!$G16)</f>
        <v/>
      </c>
      <c r="H21" s="12" t="str">
        <f aca="false">IF($B21="","",MODELS!$H16)</f>
        <v/>
      </c>
      <c r="I21" s="13" t="str">
        <f aca="false">IF($B21="","",MODELS!$I16)</f>
        <v/>
      </c>
      <c r="J21" s="14" t="str">
        <f aca="false">IF($B21="","",MODELS!$J16)</f>
        <v/>
      </c>
    </row>
    <row r="22" customFormat="false" ht="15" hidden="false" customHeight="false" outlineLevel="0" collapsed="false">
      <c r="B22" s="11" t="str">
        <f aca="false">IF(MODELS!$A17="","",MODELS!$A17)</f>
        <v/>
      </c>
      <c r="C22" s="12" t="str">
        <f aca="false">IF($B22="","",MODELS!$D17)</f>
        <v/>
      </c>
      <c r="D22" s="12" t="str">
        <f aca="false">IF($B22="","",MODELS!$C17)</f>
        <v/>
      </c>
      <c r="E22" s="12" t="str">
        <f aca="false">IF($B22="","",MODELS!$E17)</f>
        <v/>
      </c>
      <c r="F22" s="12" t="str">
        <f aca="false">IF($B22="","",MODELS!$F17)</f>
        <v/>
      </c>
      <c r="G22" s="12" t="str">
        <f aca="false">IF($B22="","",MODELS!$G17)</f>
        <v/>
      </c>
      <c r="H22" s="12" t="str">
        <f aca="false">IF($B22="","",MODELS!$H17)</f>
        <v/>
      </c>
      <c r="I22" s="13" t="str">
        <f aca="false">IF($B22="","",MODELS!$I17)</f>
        <v/>
      </c>
      <c r="J22" s="14" t="str">
        <f aca="false">IF($B22="","",MODELS!$J17)</f>
        <v/>
      </c>
    </row>
    <row r="23" customFormat="false" ht="15" hidden="false" customHeight="false" outlineLevel="0" collapsed="false">
      <c r="B23" s="11" t="str">
        <f aca="false">IF(MODELS!$A18="","",MODELS!$A18)</f>
        <v/>
      </c>
      <c r="C23" s="12" t="str">
        <f aca="false">IF($B23="","",MODELS!$D18)</f>
        <v/>
      </c>
      <c r="D23" s="12" t="str">
        <f aca="false">IF($B23="","",MODELS!$C18)</f>
        <v/>
      </c>
      <c r="E23" s="12" t="str">
        <f aca="false">IF($B23="","",MODELS!$E18)</f>
        <v/>
      </c>
      <c r="F23" s="12" t="str">
        <f aca="false">IF($B23="","",MODELS!$F18)</f>
        <v/>
      </c>
      <c r="G23" s="12" t="str">
        <f aca="false">IF($B23="","",MODELS!$G18)</f>
        <v/>
      </c>
      <c r="H23" s="12" t="str">
        <f aca="false">IF($B23="","",MODELS!$H18)</f>
        <v/>
      </c>
      <c r="I23" s="13" t="str">
        <f aca="false">IF($B23="","",MODELS!$I18)</f>
        <v/>
      </c>
      <c r="J23" s="14" t="str">
        <f aca="false">IF($B23="","",MODELS!$J18)</f>
        <v/>
      </c>
    </row>
    <row r="25" customFormat="false" ht="15" hidden="false" customHeight="false" outlineLevel="0" collapsed="false">
      <c r="A25" s="10" t="s">
        <v>32</v>
      </c>
    </row>
    <row r="26" customFormat="false" ht="15" hidden="false" customHeight="true" outlineLevel="0" collapsed="false">
      <c r="A26" s="15" t="s">
        <v>33</v>
      </c>
      <c r="B26" s="16" t="s">
        <v>34</v>
      </c>
      <c r="C26" s="16"/>
      <c r="D26" s="16"/>
      <c r="E26" s="2" t="s">
        <v>35</v>
      </c>
    </row>
    <row r="28" customFormat="false" ht="15" hidden="false" customHeight="false" outlineLevel="0" collapsed="false">
      <c r="A28" s="5" t="s">
        <v>36</v>
      </c>
      <c r="B28" s="5" t="s">
        <v>37</v>
      </c>
      <c r="C28" s="5" t="s">
        <v>38</v>
      </c>
      <c r="D28" s="5" t="s">
        <v>39</v>
      </c>
      <c r="E28" s="5" t="s">
        <v>40</v>
      </c>
      <c r="F28" s="5" t="s">
        <v>41</v>
      </c>
      <c r="G28" s="5" t="s">
        <v>42</v>
      </c>
      <c r="H28" s="5" t="s">
        <v>43</v>
      </c>
      <c r="I28" s="5" t="s">
        <v>31</v>
      </c>
      <c r="J28" s="5" t="s">
        <v>44</v>
      </c>
      <c r="K28" s="5" t="s">
        <v>45</v>
      </c>
    </row>
    <row r="29" customFormat="false" ht="15" hidden="false" customHeight="false" outlineLevel="0" collapsed="false">
      <c r="A29" s="12" t="n">
        <v>1</v>
      </c>
      <c r="B29" s="12" t="str">
        <f aca="false">IF($M29="","",IF(INDEX(PART_RISK!$B$5:$B$304,$M29)="","",INDEX(PART_RISK!$B$5:$B$304,$M29)))</f>
        <v>QOS-1113</v>
      </c>
      <c r="C29" s="11" t="str">
        <f aca="false">IF($M29="","",IF(INDEX(PART_RISK!$C$5:$C$304,$M29)="","",INDEX(PART_RISK!$C$5:$C$304,$M29)))</f>
        <v>Fluid connector, luer</v>
      </c>
      <c r="D29" s="12" t="str">
        <f aca="false">IF($M29="","",IF(INDEX(PART_RISK!$D$5:$D$304,$M29)="","",INDEX(PART_RISK!$D$5:$D$304,$M29)))</f>
        <v>Non-Tissue: COTS</v>
      </c>
      <c r="E29" s="11" t="str">
        <f aca="false">IF($M29="","",IF(INDEX(PART_RISK!$E$5:$E$304,$M29)="","",INDEX(PART_RISK!$E$5:$E$304,$M29)))</f>
        <v>Qosina Corp.</v>
      </c>
      <c r="F29" s="12" t="n">
        <f aca="false">IF($M29="","",IF(INDEX(PART_RISK!$K$5:$K$304,$M29)="","",INDEX(PART_RISK!$K$5:$K$304,$M29)))</f>
        <v>2</v>
      </c>
      <c r="G29" s="13" t="n">
        <f aca="false">IF($M29="","",IF(INDEX(PART_RISK!$M$5:$M$304,$M29)="","",INDEX(PART_RISK!$M$5:$M$304,$M29)))</f>
        <v>1.1</v>
      </c>
      <c r="H29" s="13" t="n">
        <f aca="false">IF($M29="","",IF(INDEX(PART_RISK!$N$5:$N$304,$M29)="","",INDEX(PART_RISK!$N$5:$N$304,$M29)))</f>
        <v>2.2</v>
      </c>
      <c r="I29" s="14" t="str">
        <f aca="false">IF($M29="","",IF(INDEX(PART_RISK!$O$5:$O$304,$M29)="","",INDEX(PART_RISK!$O$5:$O$304,$M29)))</f>
        <v>CRITICAL (FLAG)</v>
      </c>
      <c r="J29" s="12" t="str">
        <f aca="false">IF($M29="","",IF(INDEX(PART_RISK!$P$5:$P$304,$M29)="","",INDEX(PART_RISK!$P$5:$P$304,$M29)))</f>
        <v>External &amp; Location</v>
      </c>
      <c r="K29" s="11" t="str">
        <f aca="false">IF($M29="","",IF(INDEX(PART_RISK!$L$5:$L$304,$M29)="","",INDEX(PART_RISK!$L$5:$L$304,$M29)))</f>
        <v>EOL / obsolescence announced (COTS)</v>
      </c>
      <c r="M29" s="2" t="n">
        <f aca="false">IFERROR(MATCH(LARGE(PART_RISK!$T$5:$T$304,$A29),PART_RISK!$T$5:$T$304,0),"")</f>
        <v>4</v>
      </c>
    </row>
    <row r="30" customFormat="false" ht="15" hidden="false" customHeight="false" outlineLevel="0" collapsed="false">
      <c r="A30" s="12" t="n">
        <v>2</v>
      </c>
      <c r="B30" s="12" t="str">
        <f aca="false">IF($M30="","",IF(INDEX(PART_RISK!$B$5:$B$304,$M30)="","",INDEX(PART_RISK!$B$5:$B$304,$M30)))</f>
        <v>666534</v>
      </c>
      <c r="C30" s="11" t="str">
        <f aca="false">IF($M30="","",IF(INDEX(PART_RISK!$C$5:$C$304,$M30)="","",INDEX(PART_RISK!$C$5:$C$304,$M30)))</f>
        <v>Large Pork Belly</v>
      </c>
      <c r="D30" s="12" t="str">
        <f aca="false">IF($M30="","",IF(INDEX(PART_RISK!$D$5:$D$304,$M30)="","",INDEX(PART_RISK!$D$5:$D$304,$M30)))</f>
        <v>Tissue (APHIS)</v>
      </c>
      <c r="E30" s="11" t="str">
        <f aca="false">IF($M30="","",IF(INDEX(PART_RISK!$E$5:$E$304,$M30)="","",INDEX(PART_RISK!$E$5:$E$304,$M30)))</f>
        <v>Martin's Pork Products</v>
      </c>
      <c r="F30" s="12" t="n">
        <f aca="false">IF($M30="","",IF(INDEX(PART_RISK!$K$5:$K$304,$M30)="","",INDEX(PART_RISK!$K$5:$K$304,$M30)))</f>
        <v>5</v>
      </c>
      <c r="G30" s="13" t="n">
        <f aca="false">IF($M30="","",IF(INDEX(PART_RISK!$M$5:$M$304,$M30)="","",INDEX(PART_RISK!$M$5:$M$304,$M30)))</f>
        <v>4.1</v>
      </c>
      <c r="H30" s="13" t="n">
        <f aca="false">IF($M30="","",IF(INDEX(PART_RISK!$N$5:$N$304,$M30)="","",INDEX(PART_RISK!$N$5:$N$304,$M30)))</f>
        <v>20.5</v>
      </c>
      <c r="I30" s="14" t="str">
        <f aca="false">IF($M30="","",IF(INDEX(PART_RISK!$O$5:$O$304,$M30)="","",INDEX(PART_RISK!$O$5:$O$304,$M30)))</f>
        <v>CRITICAL</v>
      </c>
      <c r="J30" s="12" t="str">
        <f aca="false">IF($M30="","",IF(INDEX(PART_RISK!$P$5:$P$304,$M30)="","",INDEX(PART_RISK!$P$5:$P$304,$M30)))</f>
        <v>Sourcing &amp; Backup</v>
      </c>
      <c r="K30" s="11" t="str">
        <f aca="false">IF($M30="","",IF(INDEX(PART_RISK!$L$5:$L$304,$M30)="","",INDEX(PART_RISK!$L$5:$L$304,$M30)))</f>
        <v/>
      </c>
      <c r="M30" s="2" t="n">
        <f aca="false">IFERROR(MATCH(LARGE(PART_RISK!$T$5:$T$304,$A30),PART_RISK!$T$5:$T$304,0),"")</f>
        <v>2</v>
      </c>
    </row>
    <row r="31" customFormat="false" ht="15" hidden="false" customHeight="false" outlineLevel="0" collapsed="false">
      <c r="A31" s="12" t="n">
        <v>3</v>
      </c>
      <c r="B31" s="12" t="str">
        <f aca="false">IF($M31="","",IF(INDEX(PART_RISK!$B$5:$B$304,$M31)="","",INDEX(PART_RISK!$B$5:$B$304,$M31)))</f>
        <v>666512</v>
      </c>
      <c r="C31" s="11" t="str">
        <f aca="false">IF($M31="","",IF(INDEX(PART_RISK!$C$5:$C$304,$M31)="","",INDEX(PART_RISK!$C$5:$C$304,$M31)))</f>
        <v>Leaf Fat, porcine</v>
      </c>
      <c r="D31" s="12" t="str">
        <f aca="false">IF($M31="","",IF(INDEX(PART_RISK!$D$5:$D$304,$M31)="","",INDEX(PART_RISK!$D$5:$D$304,$M31)))</f>
        <v>Tissue (APHIS)</v>
      </c>
      <c r="E31" s="11" t="str">
        <f aca="false">IF($M31="","",IF(INDEX(PART_RISK!$E$5:$E$304,$M31)="","",INDEX(PART_RISK!$E$5:$E$304,$M31)))</f>
        <v>Parks Family Meats</v>
      </c>
      <c r="F31" s="12" t="n">
        <f aca="false">IF($M31="","",IF(INDEX(PART_RISK!$K$5:$K$304,$M31)="","",INDEX(PART_RISK!$K$5:$K$304,$M31)))</f>
        <v>3</v>
      </c>
      <c r="G31" s="13" t="n">
        <f aca="false">IF($M31="","",IF(INDEX(PART_RISK!$M$5:$M$304,$M31)="","",INDEX(PART_RISK!$M$5:$M$304,$M31)))</f>
        <v>2.7</v>
      </c>
      <c r="H31" s="13" t="n">
        <f aca="false">IF($M31="","",IF(INDEX(PART_RISK!$N$5:$N$304,$M31)="","",INDEX(PART_RISK!$N$5:$N$304,$M31)))</f>
        <v>8.1</v>
      </c>
      <c r="I31" s="14" t="str">
        <f aca="false">IF($M31="","",IF(INDEX(PART_RISK!$O$5:$O$304,$M31)="","",INDEX(PART_RISK!$O$5:$O$304,$M31)))</f>
        <v>MONITOR</v>
      </c>
      <c r="J31" s="12" t="str">
        <f aca="false">IF($M31="","",IF(INDEX(PART_RISK!$P$5:$P$304,$M31)="","",INDEX(PART_RISK!$P$5:$P$304,$M31)))</f>
        <v>External &amp; Location</v>
      </c>
      <c r="K31" s="11" t="str">
        <f aca="false">IF($M31="","",IF(INDEX(PART_RISK!$L$5:$L$304,$M31)="","",INDEX(PART_RISK!$L$5:$L$304,$M31)))</f>
        <v/>
      </c>
      <c r="M31" s="2" t="n">
        <f aca="false">IFERROR(MATCH(LARGE(PART_RISK!$T$5:$T$304,$A31),PART_RISK!$T$5:$T$304,0),"")</f>
        <v>1</v>
      </c>
    </row>
    <row r="32" customFormat="false" ht="15" hidden="false" customHeight="false" outlineLevel="0" collapsed="false">
      <c r="A32" s="12" t="n">
        <v>4</v>
      </c>
      <c r="B32" s="12" t="str">
        <f aca="false">IF($M32="","",IF(INDEX(PART_RISK!$B$5:$B$304,$M32)="","",INDEX(PART_RISK!$B$5:$B$304,$M32)))</f>
        <v>666800-01</v>
      </c>
      <c r="C32" s="11" t="str">
        <f aca="false">IF($M32="","",IF(INDEX(PART_RISK!$C$5:$C$304,$M32)="","",INDEX(PART_RISK!$C$5:$C$304,$M32)))</f>
        <v>Plate, thermoformed, Kydex</v>
      </c>
      <c r="D32" s="12" t="str">
        <f aca="false">IF($M32="","",IF(INDEX(PART_RISK!$D$5:$D$304,$M32)="","",INDEX(PART_RISK!$D$5:$D$304,$M32)))</f>
        <v>Non-Tissue: Custom</v>
      </c>
      <c r="E32" s="11" t="str">
        <f aca="false">IF($M32="","",IF(INDEX(PART_RISK!$E$5:$E$304,$M32)="","",INDEX(PART_RISK!$E$5:$E$304,$M32)))</f>
        <v>Advanced Plastiform</v>
      </c>
      <c r="F32" s="12" t="n">
        <f aca="false">IF($M32="","",IF(INDEX(PART_RISK!$K$5:$K$304,$M32)="","",INDEX(PART_RISK!$K$5:$K$304,$M32)))</f>
        <v>3</v>
      </c>
      <c r="G32" s="13" t="n">
        <f aca="false">IF($M32="","",IF(INDEX(PART_RISK!$M$5:$M$304,$M32)="","",INDEX(PART_RISK!$M$5:$M$304,$M32)))</f>
        <v>2.2</v>
      </c>
      <c r="H32" s="13" t="n">
        <f aca="false">IF($M32="","",IF(INDEX(PART_RISK!$N$5:$N$304,$M32)="","",INDEX(PART_RISK!$N$5:$N$304,$M32)))</f>
        <v>6.6</v>
      </c>
      <c r="I32" s="14" t="str">
        <f aca="false">IF($M32="","",IF(INDEX(PART_RISK!$O$5:$O$304,$M32)="","",INDEX(PART_RISK!$O$5:$O$304,$M32)))</f>
        <v>LOW</v>
      </c>
      <c r="J32" s="12" t="str">
        <f aca="false">IF($M32="","",IF(INDEX(PART_RISK!$P$5:$P$304,$M32)="","",INDEX(PART_RISK!$P$5:$P$304,$M32)))</f>
        <v>Capacity &amp; Delivery</v>
      </c>
      <c r="K32" s="11" t="str">
        <f aca="false">IF($M32="","",IF(INDEX(PART_RISK!$L$5:$L$304,$M32)="","",INDEX(PART_RISK!$L$5:$L$304,$M32)))</f>
        <v/>
      </c>
      <c r="M32" s="2" t="n">
        <f aca="false">IFERROR(MATCH(LARGE(PART_RISK!$T$5:$T$304,$A32),PART_RISK!$T$5:$T$304,0),"")</f>
        <v>3</v>
      </c>
    </row>
    <row r="33" customFormat="false" ht="15" hidden="false" customHeight="false" outlineLevel="0" collapsed="false">
      <c r="A33" s="12" t="n">
        <v>5</v>
      </c>
      <c r="B33" s="12" t="str">
        <f aca="false">IF($M33="","",IF(INDEX(PART_RISK!$B$5:$B$304,$M33)="","",INDEX(PART_RISK!$B$5:$B$304,$M33)))</f>
        <v/>
      </c>
      <c r="C33" s="11" t="str">
        <f aca="false">IF($M33="","",IF(INDEX(PART_RISK!$C$5:$C$304,$M33)="","",INDEX(PART_RISK!$C$5:$C$304,$M33)))</f>
        <v/>
      </c>
      <c r="D33" s="12" t="str">
        <f aca="false">IF($M33="","",IF(INDEX(PART_RISK!$D$5:$D$304,$M33)="","",INDEX(PART_RISK!$D$5:$D$304,$M33)))</f>
        <v/>
      </c>
      <c r="E33" s="11" t="str">
        <f aca="false">IF($M33="","",IF(INDEX(PART_RISK!$E$5:$E$304,$M33)="","",INDEX(PART_RISK!$E$5:$E$304,$M33)))</f>
        <v/>
      </c>
      <c r="F33" s="12" t="str">
        <f aca="false">IF($M33="","",IF(INDEX(PART_RISK!$K$5:$K$304,$M33)="","",INDEX(PART_RISK!$K$5:$K$304,$M33)))</f>
        <v/>
      </c>
      <c r="G33" s="13" t="str">
        <f aca="false">IF($M33="","",IF(INDEX(PART_RISK!$M$5:$M$304,$M33)="","",INDEX(PART_RISK!$M$5:$M$304,$M33)))</f>
        <v/>
      </c>
      <c r="H33" s="13" t="str">
        <f aca="false">IF($M33="","",IF(INDEX(PART_RISK!$N$5:$N$304,$M33)="","",INDEX(PART_RISK!$N$5:$N$304,$M33)))</f>
        <v/>
      </c>
      <c r="I33" s="14" t="str">
        <f aca="false">IF($M33="","",IF(INDEX(PART_RISK!$O$5:$O$304,$M33)="","",INDEX(PART_RISK!$O$5:$O$304,$M33)))</f>
        <v/>
      </c>
      <c r="J33" s="12" t="str">
        <f aca="false">IF($M33="","",IF(INDEX(PART_RISK!$P$5:$P$304,$M33)="","",INDEX(PART_RISK!$P$5:$P$304,$M33)))</f>
        <v/>
      </c>
      <c r="K33" s="11" t="str">
        <f aca="false">IF($M33="","",IF(INDEX(PART_RISK!$L$5:$L$304,$M33)="","",INDEX(PART_RISK!$L$5:$L$304,$M33)))</f>
        <v/>
      </c>
      <c r="M33" s="2" t="str">
        <f aca="false">IFERROR(MATCH(LARGE(PART_RISK!$T$5:$T$304,$A33),PART_RISK!$T$5:$T$304,0),"")</f>
        <v/>
      </c>
    </row>
    <row r="34" customFormat="false" ht="15" hidden="false" customHeight="false" outlineLevel="0" collapsed="false">
      <c r="A34" s="12" t="n">
        <v>6</v>
      </c>
      <c r="B34" s="12" t="str">
        <f aca="false">IF($M34="","",IF(INDEX(PART_RISK!$B$5:$B$304,$M34)="","",INDEX(PART_RISK!$B$5:$B$304,$M34)))</f>
        <v/>
      </c>
      <c r="C34" s="11" t="str">
        <f aca="false">IF($M34="","",IF(INDEX(PART_RISK!$C$5:$C$304,$M34)="","",INDEX(PART_RISK!$C$5:$C$304,$M34)))</f>
        <v/>
      </c>
      <c r="D34" s="12" t="str">
        <f aca="false">IF($M34="","",IF(INDEX(PART_RISK!$D$5:$D$304,$M34)="","",INDEX(PART_RISK!$D$5:$D$304,$M34)))</f>
        <v/>
      </c>
      <c r="E34" s="11" t="str">
        <f aca="false">IF($M34="","",IF(INDEX(PART_RISK!$E$5:$E$304,$M34)="","",INDEX(PART_RISK!$E$5:$E$304,$M34)))</f>
        <v/>
      </c>
      <c r="F34" s="12" t="str">
        <f aca="false">IF($M34="","",IF(INDEX(PART_RISK!$K$5:$K$304,$M34)="","",INDEX(PART_RISK!$K$5:$K$304,$M34)))</f>
        <v/>
      </c>
      <c r="G34" s="13" t="str">
        <f aca="false">IF($M34="","",IF(INDEX(PART_RISK!$M$5:$M$304,$M34)="","",INDEX(PART_RISK!$M$5:$M$304,$M34)))</f>
        <v/>
      </c>
      <c r="H34" s="13" t="str">
        <f aca="false">IF($M34="","",IF(INDEX(PART_RISK!$N$5:$N$304,$M34)="","",INDEX(PART_RISK!$N$5:$N$304,$M34)))</f>
        <v/>
      </c>
      <c r="I34" s="14" t="str">
        <f aca="false">IF($M34="","",IF(INDEX(PART_RISK!$O$5:$O$304,$M34)="","",INDEX(PART_RISK!$O$5:$O$304,$M34)))</f>
        <v/>
      </c>
      <c r="J34" s="12" t="str">
        <f aca="false">IF($M34="","",IF(INDEX(PART_RISK!$P$5:$P$304,$M34)="","",INDEX(PART_RISK!$P$5:$P$304,$M34)))</f>
        <v/>
      </c>
      <c r="K34" s="11" t="str">
        <f aca="false">IF($M34="","",IF(INDEX(PART_RISK!$L$5:$L$304,$M34)="","",INDEX(PART_RISK!$L$5:$L$304,$M34)))</f>
        <v/>
      </c>
      <c r="M34" s="2" t="str">
        <f aca="false">IFERROR(MATCH(LARGE(PART_RISK!$T$5:$T$304,$A34),PART_RISK!$T$5:$T$304,0),"")</f>
        <v/>
      </c>
    </row>
    <row r="35" customFormat="false" ht="15" hidden="false" customHeight="false" outlineLevel="0" collapsed="false">
      <c r="A35" s="12" t="n">
        <v>7</v>
      </c>
      <c r="B35" s="12" t="str">
        <f aca="false">IF($M35="","",IF(INDEX(PART_RISK!$B$5:$B$304,$M35)="","",INDEX(PART_RISK!$B$5:$B$304,$M35)))</f>
        <v/>
      </c>
      <c r="C35" s="11" t="str">
        <f aca="false">IF($M35="","",IF(INDEX(PART_RISK!$C$5:$C$304,$M35)="","",INDEX(PART_RISK!$C$5:$C$304,$M35)))</f>
        <v/>
      </c>
      <c r="D35" s="12" t="str">
        <f aca="false">IF($M35="","",IF(INDEX(PART_RISK!$D$5:$D$304,$M35)="","",INDEX(PART_RISK!$D$5:$D$304,$M35)))</f>
        <v/>
      </c>
      <c r="E35" s="11" t="str">
        <f aca="false">IF($M35="","",IF(INDEX(PART_RISK!$E$5:$E$304,$M35)="","",INDEX(PART_RISK!$E$5:$E$304,$M35)))</f>
        <v/>
      </c>
      <c r="F35" s="12" t="str">
        <f aca="false">IF($M35="","",IF(INDEX(PART_RISK!$K$5:$K$304,$M35)="","",INDEX(PART_RISK!$K$5:$K$304,$M35)))</f>
        <v/>
      </c>
      <c r="G35" s="13" t="str">
        <f aca="false">IF($M35="","",IF(INDEX(PART_RISK!$M$5:$M$304,$M35)="","",INDEX(PART_RISK!$M$5:$M$304,$M35)))</f>
        <v/>
      </c>
      <c r="H35" s="13" t="str">
        <f aca="false">IF($M35="","",IF(INDEX(PART_RISK!$N$5:$N$304,$M35)="","",INDEX(PART_RISK!$N$5:$N$304,$M35)))</f>
        <v/>
      </c>
      <c r="I35" s="14" t="str">
        <f aca="false">IF($M35="","",IF(INDEX(PART_RISK!$O$5:$O$304,$M35)="","",INDEX(PART_RISK!$O$5:$O$304,$M35)))</f>
        <v/>
      </c>
      <c r="J35" s="12" t="str">
        <f aca="false">IF($M35="","",IF(INDEX(PART_RISK!$P$5:$P$304,$M35)="","",INDEX(PART_RISK!$P$5:$P$304,$M35)))</f>
        <v/>
      </c>
      <c r="K35" s="11" t="str">
        <f aca="false">IF($M35="","",IF(INDEX(PART_RISK!$L$5:$L$304,$M35)="","",INDEX(PART_RISK!$L$5:$L$304,$M35)))</f>
        <v/>
      </c>
      <c r="M35" s="2" t="str">
        <f aca="false">IFERROR(MATCH(LARGE(PART_RISK!$T$5:$T$304,$A35),PART_RISK!$T$5:$T$304,0),"")</f>
        <v/>
      </c>
    </row>
    <row r="36" customFormat="false" ht="15" hidden="false" customHeight="false" outlineLevel="0" collapsed="false">
      <c r="A36" s="12" t="n">
        <v>8</v>
      </c>
      <c r="B36" s="12" t="str">
        <f aca="false">IF($M36="","",IF(INDEX(PART_RISK!$B$5:$B$304,$M36)="","",INDEX(PART_RISK!$B$5:$B$304,$M36)))</f>
        <v/>
      </c>
      <c r="C36" s="11" t="str">
        <f aca="false">IF($M36="","",IF(INDEX(PART_RISK!$C$5:$C$304,$M36)="","",INDEX(PART_RISK!$C$5:$C$304,$M36)))</f>
        <v/>
      </c>
      <c r="D36" s="12" t="str">
        <f aca="false">IF($M36="","",IF(INDEX(PART_RISK!$D$5:$D$304,$M36)="","",INDEX(PART_RISK!$D$5:$D$304,$M36)))</f>
        <v/>
      </c>
      <c r="E36" s="11" t="str">
        <f aca="false">IF($M36="","",IF(INDEX(PART_RISK!$E$5:$E$304,$M36)="","",INDEX(PART_RISK!$E$5:$E$304,$M36)))</f>
        <v/>
      </c>
      <c r="F36" s="12" t="str">
        <f aca="false">IF($M36="","",IF(INDEX(PART_RISK!$K$5:$K$304,$M36)="","",INDEX(PART_RISK!$K$5:$K$304,$M36)))</f>
        <v/>
      </c>
      <c r="G36" s="13" t="str">
        <f aca="false">IF($M36="","",IF(INDEX(PART_RISK!$M$5:$M$304,$M36)="","",INDEX(PART_RISK!$M$5:$M$304,$M36)))</f>
        <v/>
      </c>
      <c r="H36" s="13" t="str">
        <f aca="false">IF($M36="","",IF(INDEX(PART_RISK!$N$5:$N$304,$M36)="","",INDEX(PART_RISK!$N$5:$N$304,$M36)))</f>
        <v/>
      </c>
      <c r="I36" s="14" t="str">
        <f aca="false">IF($M36="","",IF(INDEX(PART_RISK!$O$5:$O$304,$M36)="","",INDEX(PART_RISK!$O$5:$O$304,$M36)))</f>
        <v/>
      </c>
      <c r="J36" s="12" t="str">
        <f aca="false">IF($M36="","",IF(INDEX(PART_RISK!$P$5:$P$304,$M36)="","",INDEX(PART_RISK!$P$5:$P$304,$M36)))</f>
        <v/>
      </c>
      <c r="K36" s="11" t="str">
        <f aca="false">IF($M36="","",IF(INDEX(PART_RISK!$L$5:$L$304,$M36)="","",INDEX(PART_RISK!$L$5:$L$304,$M36)))</f>
        <v/>
      </c>
      <c r="M36" s="2" t="str">
        <f aca="false">IFERROR(MATCH(LARGE(PART_RISK!$T$5:$T$304,$A36),PART_RISK!$T$5:$T$304,0),"")</f>
        <v/>
      </c>
    </row>
    <row r="37" customFormat="false" ht="15" hidden="false" customHeight="false" outlineLevel="0" collapsed="false">
      <c r="A37" s="12" t="n">
        <v>9</v>
      </c>
      <c r="B37" s="12" t="str">
        <f aca="false">IF($M37="","",IF(INDEX(PART_RISK!$B$5:$B$304,$M37)="","",INDEX(PART_RISK!$B$5:$B$304,$M37)))</f>
        <v/>
      </c>
      <c r="C37" s="11" t="str">
        <f aca="false">IF($M37="","",IF(INDEX(PART_RISK!$C$5:$C$304,$M37)="","",INDEX(PART_RISK!$C$5:$C$304,$M37)))</f>
        <v/>
      </c>
      <c r="D37" s="12" t="str">
        <f aca="false">IF($M37="","",IF(INDEX(PART_RISK!$D$5:$D$304,$M37)="","",INDEX(PART_RISK!$D$5:$D$304,$M37)))</f>
        <v/>
      </c>
      <c r="E37" s="11" t="str">
        <f aca="false">IF($M37="","",IF(INDEX(PART_RISK!$E$5:$E$304,$M37)="","",INDEX(PART_RISK!$E$5:$E$304,$M37)))</f>
        <v/>
      </c>
      <c r="F37" s="12" t="str">
        <f aca="false">IF($M37="","",IF(INDEX(PART_RISK!$K$5:$K$304,$M37)="","",INDEX(PART_RISK!$K$5:$K$304,$M37)))</f>
        <v/>
      </c>
      <c r="G37" s="13" t="str">
        <f aca="false">IF($M37="","",IF(INDEX(PART_RISK!$M$5:$M$304,$M37)="","",INDEX(PART_RISK!$M$5:$M$304,$M37)))</f>
        <v/>
      </c>
      <c r="H37" s="13" t="str">
        <f aca="false">IF($M37="","",IF(INDEX(PART_RISK!$N$5:$N$304,$M37)="","",INDEX(PART_RISK!$N$5:$N$304,$M37)))</f>
        <v/>
      </c>
      <c r="I37" s="14" t="str">
        <f aca="false">IF($M37="","",IF(INDEX(PART_RISK!$O$5:$O$304,$M37)="","",INDEX(PART_RISK!$O$5:$O$304,$M37)))</f>
        <v/>
      </c>
      <c r="J37" s="12" t="str">
        <f aca="false">IF($M37="","",IF(INDEX(PART_RISK!$P$5:$P$304,$M37)="","",INDEX(PART_RISK!$P$5:$P$304,$M37)))</f>
        <v/>
      </c>
      <c r="K37" s="11" t="str">
        <f aca="false">IF($M37="","",IF(INDEX(PART_RISK!$L$5:$L$304,$M37)="","",INDEX(PART_RISK!$L$5:$L$304,$M37)))</f>
        <v/>
      </c>
      <c r="M37" s="2" t="str">
        <f aca="false">IFERROR(MATCH(LARGE(PART_RISK!$T$5:$T$304,$A37),PART_RISK!$T$5:$T$304,0),"")</f>
        <v/>
      </c>
    </row>
    <row r="38" customFormat="false" ht="15" hidden="false" customHeight="false" outlineLevel="0" collapsed="false">
      <c r="A38" s="12" t="n">
        <v>10</v>
      </c>
      <c r="B38" s="12" t="str">
        <f aca="false">IF($M38="","",IF(INDEX(PART_RISK!$B$5:$B$304,$M38)="","",INDEX(PART_RISK!$B$5:$B$304,$M38)))</f>
        <v/>
      </c>
      <c r="C38" s="11" t="str">
        <f aca="false">IF($M38="","",IF(INDEX(PART_RISK!$C$5:$C$304,$M38)="","",INDEX(PART_RISK!$C$5:$C$304,$M38)))</f>
        <v/>
      </c>
      <c r="D38" s="12" t="str">
        <f aca="false">IF($M38="","",IF(INDEX(PART_RISK!$D$5:$D$304,$M38)="","",INDEX(PART_RISK!$D$5:$D$304,$M38)))</f>
        <v/>
      </c>
      <c r="E38" s="11" t="str">
        <f aca="false">IF($M38="","",IF(INDEX(PART_RISK!$E$5:$E$304,$M38)="","",INDEX(PART_RISK!$E$5:$E$304,$M38)))</f>
        <v/>
      </c>
      <c r="F38" s="12" t="str">
        <f aca="false">IF($M38="","",IF(INDEX(PART_RISK!$K$5:$K$304,$M38)="","",INDEX(PART_RISK!$K$5:$K$304,$M38)))</f>
        <v/>
      </c>
      <c r="G38" s="13" t="str">
        <f aca="false">IF($M38="","",IF(INDEX(PART_RISK!$M$5:$M$304,$M38)="","",INDEX(PART_RISK!$M$5:$M$304,$M38)))</f>
        <v/>
      </c>
      <c r="H38" s="13" t="str">
        <f aca="false">IF($M38="","",IF(INDEX(PART_RISK!$N$5:$N$304,$M38)="","",INDEX(PART_RISK!$N$5:$N$304,$M38)))</f>
        <v/>
      </c>
      <c r="I38" s="14" t="str">
        <f aca="false">IF($M38="","",IF(INDEX(PART_RISK!$O$5:$O$304,$M38)="","",INDEX(PART_RISK!$O$5:$O$304,$M38)))</f>
        <v/>
      </c>
      <c r="J38" s="12" t="str">
        <f aca="false">IF($M38="","",IF(INDEX(PART_RISK!$P$5:$P$304,$M38)="","",INDEX(PART_RISK!$P$5:$P$304,$M38)))</f>
        <v/>
      </c>
      <c r="K38" s="11" t="str">
        <f aca="false">IF($M38="","",IF(INDEX(PART_RISK!$L$5:$L$304,$M38)="","",INDEX(PART_RISK!$L$5:$L$304,$M38)))</f>
        <v/>
      </c>
      <c r="M38" s="2" t="str">
        <f aca="false">IFERROR(MATCH(LARGE(PART_RISK!$T$5:$T$304,$A38),PART_RISK!$T$5:$T$304,0),"")</f>
        <v/>
      </c>
    </row>
    <row r="39" customFormat="false" ht="15" hidden="false" customHeight="false" outlineLevel="0" collapsed="false">
      <c r="A39" s="12" t="n">
        <v>11</v>
      </c>
      <c r="B39" s="12" t="str">
        <f aca="false">IF($M39="","",IF(INDEX(PART_RISK!$B$5:$B$304,$M39)="","",INDEX(PART_RISK!$B$5:$B$304,$M39)))</f>
        <v/>
      </c>
      <c r="C39" s="11" t="str">
        <f aca="false">IF($M39="","",IF(INDEX(PART_RISK!$C$5:$C$304,$M39)="","",INDEX(PART_RISK!$C$5:$C$304,$M39)))</f>
        <v/>
      </c>
      <c r="D39" s="12" t="str">
        <f aca="false">IF($M39="","",IF(INDEX(PART_RISK!$D$5:$D$304,$M39)="","",INDEX(PART_RISK!$D$5:$D$304,$M39)))</f>
        <v/>
      </c>
      <c r="E39" s="11" t="str">
        <f aca="false">IF($M39="","",IF(INDEX(PART_RISK!$E$5:$E$304,$M39)="","",INDEX(PART_RISK!$E$5:$E$304,$M39)))</f>
        <v/>
      </c>
      <c r="F39" s="12" t="str">
        <f aca="false">IF($M39="","",IF(INDEX(PART_RISK!$K$5:$K$304,$M39)="","",INDEX(PART_RISK!$K$5:$K$304,$M39)))</f>
        <v/>
      </c>
      <c r="G39" s="13" t="str">
        <f aca="false">IF($M39="","",IF(INDEX(PART_RISK!$M$5:$M$304,$M39)="","",INDEX(PART_RISK!$M$5:$M$304,$M39)))</f>
        <v/>
      </c>
      <c r="H39" s="13" t="str">
        <f aca="false">IF($M39="","",IF(INDEX(PART_RISK!$N$5:$N$304,$M39)="","",INDEX(PART_RISK!$N$5:$N$304,$M39)))</f>
        <v/>
      </c>
      <c r="I39" s="14" t="str">
        <f aca="false">IF($M39="","",IF(INDEX(PART_RISK!$O$5:$O$304,$M39)="","",INDEX(PART_RISK!$O$5:$O$304,$M39)))</f>
        <v/>
      </c>
      <c r="J39" s="12" t="str">
        <f aca="false">IF($M39="","",IF(INDEX(PART_RISK!$P$5:$P$304,$M39)="","",INDEX(PART_RISK!$P$5:$P$304,$M39)))</f>
        <v/>
      </c>
      <c r="K39" s="11" t="str">
        <f aca="false">IF($M39="","",IF(INDEX(PART_RISK!$L$5:$L$304,$M39)="","",INDEX(PART_RISK!$L$5:$L$304,$M39)))</f>
        <v/>
      </c>
      <c r="M39" s="2" t="str">
        <f aca="false">IFERROR(MATCH(LARGE(PART_RISK!$T$5:$T$304,$A39),PART_RISK!$T$5:$T$304,0),"")</f>
        <v/>
      </c>
    </row>
    <row r="40" customFormat="false" ht="15" hidden="false" customHeight="false" outlineLevel="0" collapsed="false">
      <c r="A40" s="12" t="n">
        <v>12</v>
      </c>
      <c r="B40" s="12" t="str">
        <f aca="false">IF($M40="","",IF(INDEX(PART_RISK!$B$5:$B$304,$M40)="","",INDEX(PART_RISK!$B$5:$B$304,$M40)))</f>
        <v/>
      </c>
      <c r="C40" s="11" t="str">
        <f aca="false">IF($M40="","",IF(INDEX(PART_RISK!$C$5:$C$304,$M40)="","",INDEX(PART_RISK!$C$5:$C$304,$M40)))</f>
        <v/>
      </c>
      <c r="D40" s="12" t="str">
        <f aca="false">IF($M40="","",IF(INDEX(PART_RISK!$D$5:$D$304,$M40)="","",INDEX(PART_RISK!$D$5:$D$304,$M40)))</f>
        <v/>
      </c>
      <c r="E40" s="11" t="str">
        <f aca="false">IF($M40="","",IF(INDEX(PART_RISK!$E$5:$E$304,$M40)="","",INDEX(PART_RISK!$E$5:$E$304,$M40)))</f>
        <v/>
      </c>
      <c r="F40" s="12" t="str">
        <f aca="false">IF($M40="","",IF(INDEX(PART_RISK!$K$5:$K$304,$M40)="","",INDEX(PART_RISK!$K$5:$K$304,$M40)))</f>
        <v/>
      </c>
      <c r="G40" s="13" t="str">
        <f aca="false">IF($M40="","",IF(INDEX(PART_RISK!$M$5:$M$304,$M40)="","",INDEX(PART_RISK!$M$5:$M$304,$M40)))</f>
        <v/>
      </c>
      <c r="H40" s="13" t="str">
        <f aca="false">IF($M40="","",IF(INDEX(PART_RISK!$N$5:$N$304,$M40)="","",INDEX(PART_RISK!$N$5:$N$304,$M40)))</f>
        <v/>
      </c>
      <c r="I40" s="14" t="str">
        <f aca="false">IF($M40="","",IF(INDEX(PART_RISK!$O$5:$O$304,$M40)="","",INDEX(PART_RISK!$O$5:$O$304,$M40)))</f>
        <v/>
      </c>
      <c r="J40" s="12" t="str">
        <f aca="false">IF($M40="","",IF(INDEX(PART_RISK!$P$5:$P$304,$M40)="","",INDEX(PART_RISK!$P$5:$P$304,$M40)))</f>
        <v/>
      </c>
      <c r="K40" s="11" t="str">
        <f aca="false">IF($M40="","",IF(INDEX(PART_RISK!$L$5:$L$304,$M40)="","",INDEX(PART_RISK!$L$5:$L$304,$M40)))</f>
        <v/>
      </c>
      <c r="M40" s="2" t="str">
        <f aca="false">IFERROR(MATCH(LARGE(PART_RISK!$T$5:$T$304,$A40),PART_RISK!$T$5:$T$304,0),"")</f>
        <v/>
      </c>
    </row>
    <row r="41" customFormat="false" ht="15" hidden="false" customHeight="false" outlineLevel="0" collapsed="false">
      <c r="A41" s="12" t="n">
        <v>13</v>
      </c>
      <c r="B41" s="12" t="str">
        <f aca="false">IF($M41="","",IF(INDEX(PART_RISK!$B$5:$B$304,$M41)="","",INDEX(PART_RISK!$B$5:$B$304,$M41)))</f>
        <v/>
      </c>
      <c r="C41" s="11" t="str">
        <f aca="false">IF($M41="","",IF(INDEX(PART_RISK!$C$5:$C$304,$M41)="","",INDEX(PART_RISK!$C$5:$C$304,$M41)))</f>
        <v/>
      </c>
      <c r="D41" s="12" t="str">
        <f aca="false">IF($M41="","",IF(INDEX(PART_RISK!$D$5:$D$304,$M41)="","",INDEX(PART_RISK!$D$5:$D$304,$M41)))</f>
        <v/>
      </c>
      <c r="E41" s="11" t="str">
        <f aca="false">IF($M41="","",IF(INDEX(PART_RISK!$E$5:$E$304,$M41)="","",INDEX(PART_RISK!$E$5:$E$304,$M41)))</f>
        <v/>
      </c>
      <c r="F41" s="12" t="str">
        <f aca="false">IF($M41="","",IF(INDEX(PART_RISK!$K$5:$K$304,$M41)="","",INDEX(PART_RISK!$K$5:$K$304,$M41)))</f>
        <v/>
      </c>
      <c r="G41" s="13" t="str">
        <f aca="false">IF($M41="","",IF(INDEX(PART_RISK!$M$5:$M$304,$M41)="","",INDEX(PART_RISK!$M$5:$M$304,$M41)))</f>
        <v/>
      </c>
      <c r="H41" s="13" t="str">
        <f aca="false">IF($M41="","",IF(INDEX(PART_RISK!$N$5:$N$304,$M41)="","",INDEX(PART_RISK!$N$5:$N$304,$M41)))</f>
        <v/>
      </c>
      <c r="I41" s="14" t="str">
        <f aca="false">IF($M41="","",IF(INDEX(PART_RISK!$O$5:$O$304,$M41)="","",INDEX(PART_RISK!$O$5:$O$304,$M41)))</f>
        <v/>
      </c>
      <c r="J41" s="12" t="str">
        <f aca="false">IF($M41="","",IF(INDEX(PART_RISK!$P$5:$P$304,$M41)="","",INDEX(PART_RISK!$P$5:$P$304,$M41)))</f>
        <v/>
      </c>
      <c r="K41" s="11" t="str">
        <f aca="false">IF($M41="","",IF(INDEX(PART_RISK!$L$5:$L$304,$M41)="","",INDEX(PART_RISK!$L$5:$L$304,$M41)))</f>
        <v/>
      </c>
      <c r="M41" s="2" t="str">
        <f aca="false">IFERROR(MATCH(LARGE(PART_RISK!$T$5:$T$304,$A41),PART_RISK!$T$5:$T$304,0),"")</f>
        <v/>
      </c>
    </row>
    <row r="42" customFormat="false" ht="15" hidden="false" customHeight="false" outlineLevel="0" collapsed="false">
      <c r="A42" s="12" t="n">
        <v>14</v>
      </c>
      <c r="B42" s="12" t="str">
        <f aca="false">IF($M42="","",IF(INDEX(PART_RISK!$B$5:$B$304,$M42)="","",INDEX(PART_RISK!$B$5:$B$304,$M42)))</f>
        <v/>
      </c>
      <c r="C42" s="11" t="str">
        <f aca="false">IF($M42="","",IF(INDEX(PART_RISK!$C$5:$C$304,$M42)="","",INDEX(PART_RISK!$C$5:$C$304,$M42)))</f>
        <v/>
      </c>
      <c r="D42" s="12" t="str">
        <f aca="false">IF($M42="","",IF(INDEX(PART_RISK!$D$5:$D$304,$M42)="","",INDEX(PART_RISK!$D$5:$D$304,$M42)))</f>
        <v/>
      </c>
      <c r="E42" s="11" t="str">
        <f aca="false">IF($M42="","",IF(INDEX(PART_RISK!$E$5:$E$304,$M42)="","",INDEX(PART_RISK!$E$5:$E$304,$M42)))</f>
        <v/>
      </c>
      <c r="F42" s="12" t="str">
        <f aca="false">IF($M42="","",IF(INDEX(PART_RISK!$K$5:$K$304,$M42)="","",INDEX(PART_RISK!$K$5:$K$304,$M42)))</f>
        <v/>
      </c>
      <c r="G42" s="13" t="str">
        <f aca="false">IF($M42="","",IF(INDEX(PART_RISK!$M$5:$M$304,$M42)="","",INDEX(PART_RISK!$M$5:$M$304,$M42)))</f>
        <v/>
      </c>
      <c r="H42" s="13" t="str">
        <f aca="false">IF($M42="","",IF(INDEX(PART_RISK!$N$5:$N$304,$M42)="","",INDEX(PART_RISK!$N$5:$N$304,$M42)))</f>
        <v/>
      </c>
      <c r="I42" s="14" t="str">
        <f aca="false">IF($M42="","",IF(INDEX(PART_RISK!$O$5:$O$304,$M42)="","",INDEX(PART_RISK!$O$5:$O$304,$M42)))</f>
        <v/>
      </c>
      <c r="J42" s="12" t="str">
        <f aca="false">IF($M42="","",IF(INDEX(PART_RISK!$P$5:$P$304,$M42)="","",INDEX(PART_RISK!$P$5:$P$304,$M42)))</f>
        <v/>
      </c>
      <c r="K42" s="11" t="str">
        <f aca="false">IF($M42="","",IF(INDEX(PART_RISK!$L$5:$L$304,$M42)="","",INDEX(PART_RISK!$L$5:$L$304,$M42)))</f>
        <v/>
      </c>
      <c r="M42" s="2" t="str">
        <f aca="false">IFERROR(MATCH(LARGE(PART_RISK!$T$5:$T$304,$A42),PART_RISK!$T$5:$T$304,0),"")</f>
        <v/>
      </c>
    </row>
    <row r="43" customFormat="false" ht="15" hidden="false" customHeight="false" outlineLevel="0" collapsed="false">
      <c r="A43" s="12" t="n">
        <v>15</v>
      </c>
      <c r="B43" s="12" t="str">
        <f aca="false">IF($M43="","",IF(INDEX(PART_RISK!$B$5:$B$304,$M43)="","",INDEX(PART_RISK!$B$5:$B$304,$M43)))</f>
        <v/>
      </c>
      <c r="C43" s="11" t="str">
        <f aca="false">IF($M43="","",IF(INDEX(PART_RISK!$C$5:$C$304,$M43)="","",INDEX(PART_RISK!$C$5:$C$304,$M43)))</f>
        <v/>
      </c>
      <c r="D43" s="12" t="str">
        <f aca="false">IF($M43="","",IF(INDEX(PART_RISK!$D$5:$D$304,$M43)="","",INDEX(PART_RISK!$D$5:$D$304,$M43)))</f>
        <v/>
      </c>
      <c r="E43" s="11" t="str">
        <f aca="false">IF($M43="","",IF(INDEX(PART_RISK!$E$5:$E$304,$M43)="","",INDEX(PART_RISK!$E$5:$E$304,$M43)))</f>
        <v/>
      </c>
      <c r="F43" s="12" t="str">
        <f aca="false">IF($M43="","",IF(INDEX(PART_RISK!$K$5:$K$304,$M43)="","",INDEX(PART_RISK!$K$5:$K$304,$M43)))</f>
        <v/>
      </c>
      <c r="G43" s="13" t="str">
        <f aca="false">IF($M43="","",IF(INDEX(PART_RISK!$M$5:$M$304,$M43)="","",INDEX(PART_RISK!$M$5:$M$304,$M43)))</f>
        <v/>
      </c>
      <c r="H43" s="13" t="str">
        <f aca="false">IF($M43="","",IF(INDEX(PART_RISK!$N$5:$N$304,$M43)="","",INDEX(PART_RISK!$N$5:$N$304,$M43)))</f>
        <v/>
      </c>
      <c r="I43" s="14" t="str">
        <f aca="false">IF($M43="","",IF(INDEX(PART_RISK!$O$5:$O$304,$M43)="","",INDEX(PART_RISK!$O$5:$O$304,$M43)))</f>
        <v/>
      </c>
      <c r="J43" s="12" t="str">
        <f aca="false">IF($M43="","",IF(INDEX(PART_RISK!$P$5:$P$304,$M43)="","",INDEX(PART_RISK!$P$5:$P$304,$M43)))</f>
        <v/>
      </c>
      <c r="K43" s="11" t="str">
        <f aca="false">IF($M43="","",IF(INDEX(PART_RISK!$L$5:$L$304,$M43)="","",INDEX(PART_RISK!$L$5:$L$304,$M43)))</f>
        <v/>
      </c>
      <c r="M43" s="2" t="str">
        <f aca="false">IFERROR(MATCH(LARGE(PART_RISK!$T$5:$T$304,$A43),PART_RISK!$T$5:$T$304,0),"")</f>
        <v/>
      </c>
    </row>
    <row r="44" customFormat="false" ht="15" hidden="false" customHeight="false" outlineLevel="0" collapsed="false">
      <c r="A44" s="12" t="n">
        <v>16</v>
      </c>
      <c r="B44" s="12" t="str">
        <f aca="false">IF($M44="","",IF(INDEX(PART_RISK!$B$5:$B$304,$M44)="","",INDEX(PART_RISK!$B$5:$B$304,$M44)))</f>
        <v/>
      </c>
      <c r="C44" s="11" t="str">
        <f aca="false">IF($M44="","",IF(INDEX(PART_RISK!$C$5:$C$304,$M44)="","",INDEX(PART_RISK!$C$5:$C$304,$M44)))</f>
        <v/>
      </c>
      <c r="D44" s="12" t="str">
        <f aca="false">IF($M44="","",IF(INDEX(PART_RISK!$D$5:$D$304,$M44)="","",INDEX(PART_RISK!$D$5:$D$304,$M44)))</f>
        <v/>
      </c>
      <c r="E44" s="11" t="str">
        <f aca="false">IF($M44="","",IF(INDEX(PART_RISK!$E$5:$E$304,$M44)="","",INDEX(PART_RISK!$E$5:$E$304,$M44)))</f>
        <v/>
      </c>
      <c r="F44" s="12" t="str">
        <f aca="false">IF($M44="","",IF(INDEX(PART_RISK!$K$5:$K$304,$M44)="","",INDEX(PART_RISK!$K$5:$K$304,$M44)))</f>
        <v/>
      </c>
      <c r="G44" s="13" t="str">
        <f aca="false">IF($M44="","",IF(INDEX(PART_RISK!$M$5:$M$304,$M44)="","",INDEX(PART_RISK!$M$5:$M$304,$M44)))</f>
        <v/>
      </c>
      <c r="H44" s="13" t="str">
        <f aca="false">IF($M44="","",IF(INDEX(PART_RISK!$N$5:$N$304,$M44)="","",INDEX(PART_RISK!$N$5:$N$304,$M44)))</f>
        <v/>
      </c>
      <c r="I44" s="14" t="str">
        <f aca="false">IF($M44="","",IF(INDEX(PART_RISK!$O$5:$O$304,$M44)="","",INDEX(PART_RISK!$O$5:$O$304,$M44)))</f>
        <v/>
      </c>
      <c r="J44" s="12" t="str">
        <f aca="false">IF($M44="","",IF(INDEX(PART_RISK!$P$5:$P$304,$M44)="","",INDEX(PART_RISK!$P$5:$P$304,$M44)))</f>
        <v/>
      </c>
      <c r="K44" s="11" t="str">
        <f aca="false">IF($M44="","",IF(INDEX(PART_RISK!$L$5:$L$304,$M44)="","",INDEX(PART_RISK!$L$5:$L$304,$M44)))</f>
        <v/>
      </c>
      <c r="M44" s="2" t="str">
        <f aca="false">IFERROR(MATCH(LARGE(PART_RISK!$T$5:$T$304,$A44),PART_RISK!$T$5:$T$304,0),"")</f>
        <v/>
      </c>
    </row>
    <row r="45" customFormat="false" ht="15" hidden="false" customHeight="false" outlineLevel="0" collapsed="false">
      <c r="A45" s="12" t="n">
        <v>17</v>
      </c>
      <c r="B45" s="12" t="str">
        <f aca="false">IF($M45="","",IF(INDEX(PART_RISK!$B$5:$B$304,$M45)="","",INDEX(PART_RISK!$B$5:$B$304,$M45)))</f>
        <v/>
      </c>
      <c r="C45" s="11" t="str">
        <f aca="false">IF($M45="","",IF(INDEX(PART_RISK!$C$5:$C$304,$M45)="","",INDEX(PART_RISK!$C$5:$C$304,$M45)))</f>
        <v/>
      </c>
      <c r="D45" s="12" t="str">
        <f aca="false">IF($M45="","",IF(INDEX(PART_RISK!$D$5:$D$304,$M45)="","",INDEX(PART_RISK!$D$5:$D$304,$M45)))</f>
        <v/>
      </c>
      <c r="E45" s="11" t="str">
        <f aca="false">IF($M45="","",IF(INDEX(PART_RISK!$E$5:$E$304,$M45)="","",INDEX(PART_RISK!$E$5:$E$304,$M45)))</f>
        <v/>
      </c>
      <c r="F45" s="12" t="str">
        <f aca="false">IF($M45="","",IF(INDEX(PART_RISK!$K$5:$K$304,$M45)="","",INDEX(PART_RISK!$K$5:$K$304,$M45)))</f>
        <v/>
      </c>
      <c r="G45" s="13" t="str">
        <f aca="false">IF($M45="","",IF(INDEX(PART_RISK!$M$5:$M$304,$M45)="","",INDEX(PART_RISK!$M$5:$M$304,$M45)))</f>
        <v/>
      </c>
      <c r="H45" s="13" t="str">
        <f aca="false">IF($M45="","",IF(INDEX(PART_RISK!$N$5:$N$304,$M45)="","",INDEX(PART_RISK!$N$5:$N$304,$M45)))</f>
        <v/>
      </c>
      <c r="I45" s="14" t="str">
        <f aca="false">IF($M45="","",IF(INDEX(PART_RISK!$O$5:$O$304,$M45)="","",INDEX(PART_RISK!$O$5:$O$304,$M45)))</f>
        <v/>
      </c>
      <c r="J45" s="12" t="str">
        <f aca="false">IF($M45="","",IF(INDEX(PART_RISK!$P$5:$P$304,$M45)="","",INDEX(PART_RISK!$P$5:$P$304,$M45)))</f>
        <v/>
      </c>
      <c r="K45" s="11" t="str">
        <f aca="false">IF($M45="","",IF(INDEX(PART_RISK!$L$5:$L$304,$M45)="","",INDEX(PART_RISK!$L$5:$L$304,$M45)))</f>
        <v/>
      </c>
      <c r="M45" s="2" t="str">
        <f aca="false">IFERROR(MATCH(LARGE(PART_RISK!$T$5:$T$304,$A45),PART_RISK!$T$5:$T$304,0),"")</f>
        <v/>
      </c>
    </row>
    <row r="46" customFormat="false" ht="15" hidden="false" customHeight="false" outlineLevel="0" collapsed="false">
      <c r="A46" s="12" t="n">
        <v>18</v>
      </c>
      <c r="B46" s="12" t="str">
        <f aca="false">IF($M46="","",IF(INDEX(PART_RISK!$B$5:$B$304,$M46)="","",INDEX(PART_RISK!$B$5:$B$304,$M46)))</f>
        <v/>
      </c>
      <c r="C46" s="11" t="str">
        <f aca="false">IF($M46="","",IF(INDEX(PART_RISK!$C$5:$C$304,$M46)="","",INDEX(PART_RISK!$C$5:$C$304,$M46)))</f>
        <v/>
      </c>
      <c r="D46" s="12" t="str">
        <f aca="false">IF($M46="","",IF(INDEX(PART_RISK!$D$5:$D$304,$M46)="","",INDEX(PART_RISK!$D$5:$D$304,$M46)))</f>
        <v/>
      </c>
      <c r="E46" s="11" t="str">
        <f aca="false">IF($M46="","",IF(INDEX(PART_RISK!$E$5:$E$304,$M46)="","",INDEX(PART_RISK!$E$5:$E$304,$M46)))</f>
        <v/>
      </c>
      <c r="F46" s="12" t="str">
        <f aca="false">IF($M46="","",IF(INDEX(PART_RISK!$K$5:$K$304,$M46)="","",INDEX(PART_RISK!$K$5:$K$304,$M46)))</f>
        <v/>
      </c>
      <c r="G46" s="13" t="str">
        <f aca="false">IF($M46="","",IF(INDEX(PART_RISK!$M$5:$M$304,$M46)="","",INDEX(PART_RISK!$M$5:$M$304,$M46)))</f>
        <v/>
      </c>
      <c r="H46" s="13" t="str">
        <f aca="false">IF($M46="","",IF(INDEX(PART_RISK!$N$5:$N$304,$M46)="","",INDEX(PART_RISK!$N$5:$N$304,$M46)))</f>
        <v/>
      </c>
      <c r="I46" s="14" t="str">
        <f aca="false">IF($M46="","",IF(INDEX(PART_RISK!$O$5:$O$304,$M46)="","",INDEX(PART_RISK!$O$5:$O$304,$M46)))</f>
        <v/>
      </c>
      <c r="J46" s="12" t="str">
        <f aca="false">IF($M46="","",IF(INDEX(PART_RISK!$P$5:$P$304,$M46)="","",INDEX(PART_RISK!$P$5:$P$304,$M46)))</f>
        <v/>
      </c>
      <c r="K46" s="11" t="str">
        <f aca="false">IF($M46="","",IF(INDEX(PART_RISK!$L$5:$L$304,$M46)="","",INDEX(PART_RISK!$L$5:$L$304,$M46)))</f>
        <v/>
      </c>
      <c r="M46" s="2" t="str">
        <f aca="false">IFERROR(MATCH(LARGE(PART_RISK!$T$5:$T$304,$A46),PART_RISK!$T$5:$T$304,0),"")</f>
        <v/>
      </c>
    </row>
    <row r="47" customFormat="false" ht="15" hidden="false" customHeight="false" outlineLevel="0" collapsed="false">
      <c r="A47" s="12" t="n">
        <v>19</v>
      </c>
      <c r="B47" s="12" t="str">
        <f aca="false">IF($M47="","",IF(INDEX(PART_RISK!$B$5:$B$304,$M47)="","",INDEX(PART_RISK!$B$5:$B$304,$M47)))</f>
        <v/>
      </c>
      <c r="C47" s="11" t="str">
        <f aca="false">IF($M47="","",IF(INDEX(PART_RISK!$C$5:$C$304,$M47)="","",INDEX(PART_RISK!$C$5:$C$304,$M47)))</f>
        <v/>
      </c>
      <c r="D47" s="12" t="str">
        <f aca="false">IF($M47="","",IF(INDEX(PART_RISK!$D$5:$D$304,$M47)="","",INDEX(PART_RISK!$D$5:$D$304,$M47)))</f>
        <v/>
      </c>
      <c r="E47" s="11" t="str">
        <f aca="false">IF($M47="","",IF(INDEX(PART_RISK!$E$5:$E$304,$M47)="","",INDEX(PART_RISK!$E$5:$E$304,$M47)))</f>
        <v/>
      </c>
      <c r="F47" s="12" t="str">
        <f aca="false">IF($M47="","",IF(INDEX(PART_RISK!$K$5:$K$304,$M47)="","",INDEX(PART_RISK!$K$5:$K$304,$M47)))</f>
        <v/>
      </c>
      <c r="G47" s="13" t="str">
        <f aca="false">IF($M47="","",IF(INDEX(PART_RISK!$M$5:$M$304,$M47)="","",INDEX(PART_RISK!$M$5:$M$304,$M47)))</f>
        <v/>
      </c>
      <c r="H47" s="13" t="str">
        <f aca="false">IF($M47="","",IF(INDEX(PART_RISK!$N$5:$N$304,$M47)="","",INDEX(PART_RISK!$N$5:$N$304,$M47)))</f>
        <v/>
      </c>
      <c r="I47" s="14" t="str">
        <f aca="false">IF($M47="","",IF(INDEX(PART_RISK!$O$5:$O$304,$M47)="","",INDEX(PART_RISK!$O$5:$O$304,$M47)))</f>
        <v/>
      </c>
      <c r="J47" s="12" t="str">
        <f aca="false">IF($M47="","",IF(INDEX(PART_RISK!$P$5:$P$304,$M47)="","",INDEX(PART_RISK!$P$5:$P$304,$M47)))</f>
        <v/>
      </c>
      <c r="K47" s="11" t="str">
        <f aca="false">IF($M47="","",IF(INDEX(PART_RISK!$L$5:$L$304,$M47)="","",INDEX(PART_RISK!$L$5:$L$304,$M47)))</f>
        <v/>
      </c>
      <c r="M47" s="2" t="str">
        <f aca="false">IFERROR(MATCH(LARGE(PART_RISK!$T$5:$T$304,$A47),PART_RISK!$T$5:$T$304,0),"")</f>
        <v/>
      </c>
    </row>
    <row r="48" customFormat="false" ht="15" hidden="false" customHeight="false" outlineLevel="0" collapsed="false">
      <c r="A48" s="12" t="n">
        <v>20</v>
      </c>
      <c r="B48" s="12" t="str">
        <f aca="false">IF($M48="","",IF(INDEX(PART_RISK!$B$5:$B$304,$M48)="","",INDEX(PART_RISK!$B$5:$B$304,$M48)))</f>
        <v/>
      </c>
      <c r="C48" s="11" t="str">
        <f aca="false">IF($M48="","",IF(INDEX(PART_RISK!$C$5:$C$304,$M48)="","",INDEX(PART_RISK!$C$5:$C$304,$M48)))</f>
        <v/>
      </c>
      <c r="D48" s="12" t="str">
        <f aca="false">IF($M48="","",IF(INDEX(PART_RISK!$D$5:$D$304,$M48)="","",INDEX(PART_RISK!$D$5:$D$304,$M48)))</f>
        <v/>
      </c>
      <c r="E48" s="11" t="str">
        <f aca="false">IF($M48="","",IF(INDEX(PART_RISK!$E$5:$E$304,$M48)="","",INDEX(PART_RISK!$E$5:$E$304,$M48)))</f>
        <v/>
      </c>
      <c r="F48" s="12" t="str">
        <f aca="false">IF($M48="","",IF(INDEX(PART_RISK!$K$5:$K$304,$M48)="","",INDEX(PART_RISK!$K$5:$K$304,$M48)))</f>
        <v/>
      </c>
      <c r="G48" s="13" t="str">
        <f aca="false">IF($M48="","",IF(INDEX(PART_RISK!$M$5:$M$304,$M48)="","",INDEX(PART_RISK!$M$5:$M$304,$M48)))</f>
        <v/>
      </c>
      <c r="H48" s="13" t="str">
        <f aca="false">IF($M48="","",IF(INDEX(PART_RISK!$N$5:$N$304,$M48)="","",INDEX(PART_RISK!$N$5:$N$304,$M48)))</f>
        <v/>
      </c>
      <c r="I48" s="14" t="str">
        <f aca="false">IF($M48="","",IF(INDEX(PART_RISK!$O$5:$O$304,$M48)="","",INDEX(PART_RISK!$O$5:$O$304,$M48)))</f>
        <v/>
      </c>
      <c r="J48" s="12" t="str">
        <f aca="false">IF($M48="","",IF(INDEX(PART_RISK!$P$5:$P$304,$M48)="","",INDEX(PART_RISK!$P$5:$P$304,$M48)))</f>
        <v/>
      </c>
      <c r="K48" s="11" t="str">
        <f aca="false">IF($M48="","",IF(INDEX(PART_RISK!$L$5:$L$304,$M48)="","",INDEX(PART_RISK!$L$5:$L$304,$M48)))</f>
        <v/>
      </c>
      <c r="M48" s="2" t="str">
        <f aca="false">IFERROR(MATCH(LARGE(PART_RISK!$T$5:$T$304,$A48),PART_RISK!$T$5:$T$304,0),"")</f>
        <v/>
      </c>
    </row>
    <row r="50" customFormat="false" ht="15" hidden="false" customHeight="false" outlineLevel="0" collapsed="false">
      <c r="A50" s="10" t="s">
        <v>46</v>
      </c>
    </row>
    <row r="51" customFormat="false" ht="15" hidden="false" customHeight="false" outlineLevel="0" collapsed="false">
      <c r="A51" s="5" t="s">
        <v>36</v>
      </c>
      <c r="B51" s="5" t="s">
        <v>27</v>
      </c>
      <c r="C51" s="5" t="s">
        <v>37</v>
      </c>
      <c r="D51" s="5" t="s">
        <v>40</v>
      </c>
      <c r="E51" s="5" t="s">
        <v>43</v>
      </c>
      <c r="F51" s="5" t="s">
        <v>31</v>
      </c>
      <c r="G51" s="5" t="s">
        <v>44</v>
      </c>
    </row>
    <row r="52" customFormat="false" ht="22.35" hidden="false" customHeight="false" outlineLevel="0" collapsed="false">
      <c r="A52" s="12" t="n">
        <v>1</v>
      </c>
      <c r="B52" s="11" t="str">
        <f aca="false">IF($M52="","",IF(INDEX(PART_RISK!$A$5:$A$304,$M52)="","",INDEX(PART_RISK!$A$5:$A$304,$M52)))</f>
        <v>Model A - Tissue Trainer (EXAMPLE)</v>
      </c>
      <c r="C52" s="12" t="str">
        <f aca="false">IF($M52="","",IF(INDEX(PART_RISK!$B$5:$B$304,$M52)="","",INDEX(PART_RISK!$B$5:$B$304,$M52)))</f>
        <v>QOS-1113</v>
      </c>
      <c r="D52" s="11" t="str">
        <f aca="false">IF($M52="","",IF(INDEX(PART_RISK!$E$5:$E$304,$M52)="","",INDEX(PART_RISK!$E$5:$E$304,$M52)))</f>
        <v>Qosina Corp.</v>
      </c>
      <c r="E52" s="13" t="n">
        <f aca="false">IF($M52="","",IF(INDEX(PART_RISK!$N$5:$N$304,$M52)="","",INDEX(PART_RISK!$N$5:$N$304,$M52)))</f>
        <v>2.2</v>
      </c>
      <c r="F52" s="14" t="str">
        <f aca="false">IF($M52="","",IF(INDEX(PART_RISK!$O$5:$O$304,$M52)="","",INDEX(PART_RISK!$O$5:$O$304,$M52)))</f>
        <v>CRITICAL (FLAG)</v>
      </c>
      <c r="G52" s="12" t="str">
        <f aca="false">IF($M52="","",IF(INDEX(PART_RISK!$P$5:$P$304,$M52)="","",INDEX(PART_RISK!$P$5:$P$304,$M52)))</f>
        <v>External &amp; Location</v>
      </c>
      <c r="M52" s="2" t="n">
        <f aca="false">IFERROR(MATCH(LARGE(PART_RISK!$S$5:$S$304,$A52),PART_RISK!$S$5:$S$304,0),"")</f>
        <v>4</v>
      </c>
    </row>
    <row r="53" customFormat="false" ht="22.35" hidden="false" customHeight="false" outlineLevel="0" collapsed="false">
      <c r="A53" s="12" t="n">
        <v>2</v>
      </c>
      <c r="B53" s="11" t="str">
        <f aca="false">IF($M53="","",IF(INDEX(PART_RISK!$A$5:$A$304,$M53)="","",INDEX(PART_RISK!$A$5:$A$304,$M53)))</f>
        <v>Model A - Tissue Trainer (EXAMPLE)</v>
      </c>
      <c r="C53" s="12" t="str">
        <f aca="false">IF($M53="","",IF(INDEX(PART_RISK!$B$5:$B$304,$M53)="","",INDEX(PART_RISK!$B$5:$B$304,$M53)))</f>
        <v>666534</v>
      </c>
      <c r="D53" s="11" t="str">
        <f aca="false">IF($M53="","",IF(INDEX(PART_RISK!$E$5:$E$304,$M53)="","",INDEX(PART_RISK!$E$5:$E$304,$M53)))</f>
        <v>Martin's Pork Products</v>
      </c>
      <c r="E53" s="13" t="n">
        <f aca="false">IF($M53="","",IF(INDEX(PART_RISK!$N$5:$N$304,$M53)="","",INDEX(PART_RISK!$N$5:$N$304,$M53)))</f>
        <v>20.5</v>
      </c>
      <c r="F53" s="14" t="str">
        <f aca="false">IF($M53="","",IF(INDEX(PART_RISK!$O$5:$O$304,$M53)="","",INDEX(PART_RISK!$O$5:$O$304,$M53)))</f>
        <v>CRITICAL</v>
      </c>
      <c r="G53" s="12" t="str">
        <f aca="false">IF($M53="","",IF(INDEX(PART_RISK!$P$5:$P$304,$M53)="","",INDEX(PART_RISK!$P$5:$P$304,$M53)))</f>
        <v>Sourcing &amp; Backup</v>
      </c>
      <c r="M53" s="2" t="n">
        <f aca="false">IFERROR(MATCH(LARGE(PART_RISK!$S$5:$S$304,$A53),PART_RISK!$S$5:$S$304,0),"")</f>
        <v>2</v>
      </c>
    </row>
    <row r="54" customFormat="false" ht="22.35" hidden="false" customHeight="false" outlineLevel="0" collapsed="false">
      <c r="A54" s="12" t="n">
        <v>3</v>
      </c>
      <c r="B54" s="11" t="str">
        <f aca="false">IF($M54="","",IF(INDEX(PART_RISK!$A$5:$A$304,$M54)="","",INDEX(PART_RISK!$A$5:$A$304,$M54)))</f>
        <v>Model B - Non-Tissue Kit (EXAMPLE)</v>
      </c>
      <c r="C54" s="12" t="str">
        <f aca="false">IF($M54="","",IF(INDEX(PART_RISK!$B$5:$B$304,$M54)="","",INDEX(PART_RISK!$B$5:$B$304,$M54)))</f>
        <v>666438</v>
      </c>
      <c r="D54" s="11" t="str">
        <f aca="false">IF($M54="","",IF(INDEX(PART_RISK!$E$5:$E$304,$M54)="","",INDEX(PART_RISK!$E$5:$E$304,$M54)))</f>
        <v>SNP, Inc.</v>
      </c>
      <c r="E54" s="13" t="n">
        <f aca="false">IF($M54="","",IF(INDEX(PART_RISK!$N$5:$N$304,$M54)="","",INDEX(PART_RISK!$N$5:$N$304,$M54)))</f>
        <v>11.6</v>
      </c>
      <c r="F54" s="14" t="str">
        <f aca="false">IF($M54="","",IF(INDEX(PART_RISK!$O$5:$O$304,$M54)="","",INDEX(PART_RISK!$O$5:$O$304,$M54)))</f>
        <v>MONITOR</v>
      </c>
      <c r="G54" s="12" t="str">
        <f aca="false">IF($M54="","",IF(INDEX(PART_RISK!$P$5:$P$304,$M54)="","",INDEX(PART_RISK!$P$5:$P$304,$M54)))</f>
        <v>Sourcing &amp; Backup</v>
      </c>
      <c r="M54" s="2" t="n">
        <f aca="false">IFERROR(MATCH(LARGE(PART_RISK!$S$5:$S$304,$A54),PART_RISK!$S$5:$S$304,0),"")</f>
        <v>5</v>
      </c>
    </row>
    <row r="55" customFormat="false" ht="22.35" hidden="false" customHeight="false" outlineLevel="0" collapsed="false">
      <c r="A55" s="12" t="n">
        <v>4</v>
      </c>
      <c r="B55" s="11" t="str">
        <f aca="false">IF($M55="","",IF(INDEX(PART_RISK!$A$5:$A$304,$M55)="","",INDEX(PART_RISK!$A$5:$A$304,$M55)))</f>
        <v>Model B - Non-Tissue Kit (EXAMPLE)</v>
      </c>
      <c r="C55" s="12" t="str">
        <f aca="false">IF($M55="","",IF(INDEX(PART_RISK!$B$5:$B$304,$M55)="","",INDEX(PART_RISK!$B$5:$B$304,$M55)))</f>
        <v>666800-01</v>
      </c>
      <c r="D55" s="11" t="str">
        <f aca="false">IF($M55="","",IF(INDEX(PART_RISK!$E$5:$E$304,$M55)="","",INDEX(PART_RISK!$E$5:$E$304,$M55)))</f>
        <v>Midland Plastics</v>
      </c>
      <c r="E55" s="13" t="n">
        <f aca="false">IF($M55="","",IF(INDEX(PART_RISK!$N$5:$N$304,$M55)="","",INDEX(PART_RISK!$N$5:$N$304,$M55)))</f>
        <v>8.1</v>
      </c>
      <c r="F55" s="14" t="str">
        <f aca="false">IF($M55="","",IF(INDEX(PART_RISK!$O$5:$O$304,$M55)="","",INDEX(PART_RISK!$O$5:$O$304,$M55)))</f>
        <v>MONITOR</v>
      </c>
      <c r="G55" s="12" t="str">
        <f aca="false">IF($M55="","",IF(INDEX(PART_RISK!$P$5:$P$304,$M55)="","",INDEX(PART_RISK!$P$5:$P$304,$M55)))</f>
        <v>Sourcing &amp; Backup</v>
      </c>
      <c r="M55" s="2" t="n">
        <f aca="false">IFERROR(MATCH(LARGE(PART_RISK!$S$5:$S$304,$A55),PART_RISK!$S$5:$S$304,0),"")</f>
        <v>6</v>
      </c>
    </row>
    <row r="56" customFormat="false" ht="22.35" hidden="false" customHeight="false" outlineLevel="0" collapsed="false">
      <c r="A56" s="12" t="n">
        <v>5</v>
      </c>
      <c r="B56" s="11" t="str">
        <f aca="false">IF($M56="","",IF(INDEX(PART_RISK!$A$5:$A$304,$M56)="","",INDEX(PART_RISK!$A$5:$A$304,$M56)))</f>
        <v>Model A - Tissue Trainer (EXAMPLE)</v>
      </c>
      <c r="C56" s="12" t="str">
        <f aca="false">IF($M56="","",IF(INDEX(PART_RISK!$B$5:$B$304,$M56)="","",INDEX(PART_RISK!$B$5:$B$304,$M56)))</f>
        <v>666512</v>
      </c>
      <c r="D56" s="11" t="str">
        <f aca="false">IF($M56="","",IF(INDEX(PART_RISK!$E$5:$E$304,$M56)="","",INDEX(PART_RISK!$E$5:$E$304,$M56)))</f>
        <v>Parks Family Meats</v>
      </c>
      <c r="E56" s="13" t="n">
        <f aca="false">IF($M56="","",IF(INDEX(PART_RISK!$N$5:$N$304,$M56)="","",INDEX(PART_RISK!$N$5:$N$304,$M56)))</f>
        <v>8.1</v>
      </c>
      <c r="F56" s="14" t="str">
        <f aca="false">IF($M56="","",IF(INDEX(PART_RISK!$O$5:$O$304,$M56)="","",INDEX(PART_RISK!$O$5:$O$304,$M56)))</f>
        <v>MONITOR</v>
      </c>
      <c r="G56" s="12" t="str">
        <f aca="false">IF($M56="","",IF(INDEX(PART_RISK!$P$5:$P$304,$M56)="","",INDEX(PART_RISK!$P$5:$P$304,$M56)))</f>
        <v>External &amp; Location</v>
      </c>
      <c r="M56" s="2" t="n">
        <f aca="false">IFERROR(MATCH(LARGE(PART_RISK!$S$5:$S$304,$A56),PART_RISK!$S$5:$S$304,0),"")</f>
        <v>1</v>
      </c>
    </row>
    <row r="57" customFormat="false" ht="22.35" hidden="false" customHeight="false" outlineLevel="0" collapsed="false">
      <c r="A57" s="12" t="n">
        <v>6</v>
      </c>
      <c r="B57" s="11" t="str">
        <f aca="false">IF($M57="","",IF(INDEX(PART_RISK!$A$5:$A$304,$M57)="","",INDEX(PART_RISK!$A$5:$A$304,$M57)))</f>
        <v>Model A - Tissue Trainer (EXAMPLE)</v>
      </c>
      <c r="C57" s="12" t="str">
        <f aca="false">IF($M57="","",IF(INDEX(PART_RISK!$B$5:$B$304,$M57)="","",INDEX(PART_RISK!$B$5:$B$304,$M57)))</f>
        <v>666800-01</v>
      </c>
      <c r="D57" s="11" t="str">
        <f aca="false">IF($M57="","",IF(INDEX(PART_RISK!$E$5:$E$304,$M57)="","",INDEX(PART_RISK!$E$5:$E$304,$M57)))</f>
        <v>Advanced Plastiform</v>
      </c>
      <c r="E57" s="13" t="n">
        <f aca="false">IF($M57="","",IF(INDEX(PART_RISK!$N$5:$N$304,$M57)="","",INDEX(PART_RISK!$N$5:$N$304,$M57)))</f>
        <v>6.6</v>
      </c>
      <c r="F57" s="14" t="str">
        <f aca="false">IF($M57="","",IF(INDEX(PART_RISK!$O$5:$O$304,$M57)="","",INDEX(PART_RISK!$O$5:$O$304,$M57)))</f>
        <v>LOW</v>
      </c>
      <c r="G57" s="12" t="str">
        <f aca="false">IF($M57="","",IF(INDEX(PART_RISK!$P$5:$P$304,$M57)="","",INDEX(PART_RISK!$P$5:$P$304,$M57)))</f>
        <v>Capacity &amp; Delivery</v>
      </c>
      <c r="M57" s="2" t="n">
        <f aca="false">IFERROR(MATCH(LARGE(PART_RISK!$S$5:$S$304,$A57),PART_RISK!$S$5:$S$304,0),"")</f>
        <v>3</v>
      </c>
    </row>
    <row r="58" customFormat="false" ht="15" hidden="false" customHeight="false" outlineLevel="0" collapsed="false">
      <c r="A58" s="12" t="n">
        <v>7</v>
      </c>
      <c r="B58" s="11" t="str">
        <f aca="false">IF($M58="","",IF(INDEX(PART_RISK!$A$5:$A$304,$M58)="","",INDEX(PART_RISK!$A$5:$A$304,$M58)))</f>
        <v/>
      </c>
      <c r="C58" s="12" t="str">
        <f aca="false">IF($M58="","",IF(INDEX(PART_RISK!$B$5:$B$304,$M58)="","",INDEX(PART_RISK!$B$5:$B$304,$M58)))</f>
        <v/>
      </c>
      <c r="D58" s="11" t="str">
        <f aca="false">IF($M58="","",IF(INDEX(PART_RISK!$E$5:$E$304,$M58)="","",INDEX(PART_RISK!$E$5:$E$304,$M58)))</f>
        <v/>
      </c>
      <c r="E58" s="13" t="str">
        <f aca="false">IF($M58="","",IF(INDEX(PART_RISK!$N$5:$N$304,$M58)="","",INDEX(PART_RISK!$N$5:$N$304,$M58)))</f>
        <v/>
      </c>
      <c r="F58" s="14" t="str">
        <f aca="false">IF($M58="","",IF(INDEX(PART_RISK!$O$5:$O$304,$M58)="","",INDEX(PART_RISK!$O$5:$O$304,$M58)))</f>
        <v/>
      </c>
      <c r="G58" s="12" t="str">
        <f aca="false">IF($M58="","",IF(INDEX(PART_RISK!$P$5:$P$304,$M58)="","",INDEX(PART_RISK!$P$5:$P$304,$M58)))</f>
        <v/>
      </c>
      <c r="M58" s="2" t="str">
        <f aca="false">IFERROR(MATCH(LARGE(PART_RISK!$S$5:$S$304,$A58),PART_RISK!$S$5:$S$304,0),"")</f>
        <v/>
      </c>
    </row>
    <row r="59" customFormat="false" ht="15" hidden="false" customHeight="false" outlineLevel="0" collapsed="false">
      <c r="A59" s="12" t="n">
        <v>8</v>
      </c>
      <c r="B59" s="11" t="str">
        <f aca="false">IF($M59="","",IF(INDEX(PART_RISK!$A$5:$A$304,$M59)="","",INDEX(PART_RISK!$A$5:$A$304,$M59)))</f>
        <v/>
      </c>
      <c r="C59" s="12" t="str">
        <f aca="false">IF($M59="","",IF(INDEX(PART_RISK!$B$5:$B$304,$M59)="","",INDEX(PART_RISK!$B$5:$B$304,$M59)))</f>
        <v/>
      </c>
      <c r="D59" s="11" t="str">
        <f aca="false">IF($M59="","",IF(INDEX(PART_RISK!$E$5:$E$304,$M59)="","",INDEX(PART_RISK!$E$5:$E$304,$M59)))</f>
        <v/>
      </c>
      <c r="E59" s="13" t="str">
        <f aca="false">IF($M59="","",IF(INDEX(PART_RISK!$N$5:$N$304,$M59)="","",INDEX(PART_RISK!$N$5:$N$304,$M59)))</f>
        <v/>
      </c>
      <c r="F59" s="14" t="str">
        <f aca="false">IF($M59="","",IF(INDEX(PART_RISK!$O$5:$O$304,$M59)="","",INDEX(PART_RISK!$O$5:$O$304,$M59)))</f>
        <v/>
      </c>
      <c r="G59" s="12" t="str">
        <f aca="false">IF($M59="","",IF(INDEX(PART_RISK!$P$5:$P$304,$M59)="","",INDEX(PART_RISK!$P$5:$P$304,$M59)))</f>
        <v/>
      </c>
      <c r="M59" s="2" t="str">
        <f aca="false">IFERROR(MATCH(LARGE(PART_RISK!$S$5:$S$304,$A59),PART_RISK!$S$5:$S$304,0),"")</f>
        <v/>
      </c>
    </row>
    <row r="60" customFormat="false" ht="15" hidden="false" customHeight="false" outlineLevel="0" collapsed="false">
      <c r="A60" s="12" t="n">
        <v>9</v>
      </c>
      <c r="B60" s="11" t="str">
        <f aca="false">IF($M60="","",IF(INDEX(PART_RISK!$A$5:$A$304,$M60)="","",INDEX(PART_RISK!$A$5:$A$304,$M60)))</f>
        <v/>
      </c>
      <c r="C60" s="12" t="str">
        <f aca="false">IF($M60="","",IF(INDEX(PART_RISK!$B$5:$B$304,$M60)="","",INDEX(PART_RISK!$B$5:$B$304,$M60)))</f>
        <v/>
      </c>
      <c r="D60" s="11" t="str">
        <f aca="false">IF($M60="","",IF(INDEX(PART_RISK!$E$5:$E$304,$M60)="","",INDEX(PART_RISK!$E$5:$E$304,$M60)))</f>
        <v/>
      </c>
      <c r="E60" s="13" t="str">
        <f aca="false">IF($M60="","",IF(INDEX(PART_RISK!$N$5:$N$304,$M60)="","",INDEX(PART_RISK!$N$5:$N$304,$M60)))</f>
        <v/>
      </c>
      <c r="F60" s="14" t="str">
        <f aca="false">IF($M60="","",IF(INDEX(PART_RISK!$O$5:$O$304,$M60)="","",INDEX(PART_RISK!$O$5:$O$304,$M60)))</f>
        <v/>
      </c>
      <c r="G60" s="12" t="str">
        <f aca="false">IF($M60="","",IF(INDEX(PART_RISK!$P$5:$P$304,$M60)="","",INDEX(PART_RISK!$P$5:$P$304,$M60)))</f>
        <v/>
      </c>
      <c r="M60" s="2" t="str">
        <f aca="false">IFERROR(MATCH(LARGE(PART_RISK!$S$5:$S$304,$A60),PART_RISK!$S$5:$S$304,0),"")</f>
        <v/>
      </c>
    </row>
    <row r="61" customFormat="false" ht="15" hidden="false" customHeight="false" outlineLevel="0" collapsed="false">
      <c r="A61" s="12" t="n">
        <v>10</v>
      </c>
      <c r="B61" s="11" t="str">
        <f aca="false">IF($M61="","",IF(INDEX(PART_RISK!$A$5:$A$304,$M61)="","",INDEX(PART_RISK!$A$5:$A$304,$M61)))</f>
        <v/>
      </c>
      <c r="C61" s="12" t="str">
        <f aca="false">IF($M61="","",IF(INDEX(PART_RISK!$B$5:$B$304,$M61)="","",INDEX(PART_RISK!$B$5:$B$304,$M61)))</f>
        <v/>
      </c>
      <c r="D61" s="11" t="str">
        <f aca="false">IF($M61="","",IF(INDEX(PART_RISK!$E$5:$E$304,$M61)="","",INDEX(PART_RISK!$E$5:$E$304,$M61)))</f>
        <v/>
      </c>
      <c r="E61" s="13" t="str">
        <f aca="false">IF($M61="","",IF(INDEX(PART_RISK!$N$5:$N$304,$M61)="","",INDEX(PART_RISK!$N$5:$N$304,$M61)))</f>
        <v/>
      </c>
      <c r="F61" s="14" t="str">
        <f aca="false">IF($M61="","",IF(INDEX(PART_RISK!$O$5:$O$304,$M61)="","",INDEX(PART_RISK!$O$5:$O$304,$M61)))</f>
        <v/>
      </c>
      <c r="G61" s="12" t="str">
        <f aca="false">IF($M61="","",IF(INDEX(PART_RISK!$P$5:$P$304,$M61)="","",INDEX(PART_RISK!$P$5:$P$304,$M61)))</f>
        <v/>
      </c>
      <c r="M61" s="2" t="str">
        <f aca="false">IFERROR(MATCH(LARGE(PART_RISK!$S$5:$S$304,$A61),PART_RISK!$S$5:$S$304,0),"")</f>
        <v/>
      </c>
    </row>
  </sheetData>
  <mergeCells count="1">
    <mergeCell ref="B26:D26"/>
  </mergeCells>
  <conditionalFormatting sqref="J9:J23">
    <cfRule type="containsText" priority="2" operator="containsText" aboveAverage="0" equalAverage="0" bottom="0" percent="0" rank="0" text="CRITICAL" dxfId="0">
      <formula>NOT(ISERROR(SEARCH("CRITICAL",J9)))</formula>
    </cfRule>
    <cfRule type="containsText" priority="3" operator="containsText" aboveAverage="0" equalAverage="0" bottom="0" percent="0" rank="0" text="MONITOR" dxfId="1">
      <formula>NOT(ISERROR(SEARCH("MONITOR",J9)))</formula>
    </cfRule>
    <cfRule type="containsText" priority="4" operator="containsText" aboveAverage="0" equalAverage="0" bottom="0" percent="0" rank="0" text="LOW" dxfId="2">
      <formula>NOT(ISERROR(SEARCH("LOW",J9)))</formula>
    </cfRule>
  </conditionalFormatting>
  <conditionalFormatting sqref="I29:I48">
    <cfRule type="containsText" priority="5" operator="containsText" aboveAverage="0" equalAverage="0" bottom="0" percent="0" rank="0" text="CRITICAL" dxfId="0">
      <formula>NOT(ISERROR(SEARCH("CRITICAL",I29)))</formula>
    </cfRule>
    <cfRule type="containsText" priority="6" operator="containsText" aboveAverage="0" equalAverage="0" bottom="0" percent="0" rank="0" text="MONITOR" dxfId="1">
      <formula>NOT(ISERROR(SEARCH("MONITOR",I29)))</formula>
    </cfRule>
    <cfRule type="containsText" priority="7" operator="containsText" aboveAverage="0" equalAverage="0" bottom="0" percent="0" rank="0" text="LOW" dxfId="2">
      <formula>NOT(ISERROR(SEARCH("LOW",I29)))</formula>
    </cfRule>
  </conditionalFormatting>
  <conditionalFormatting sqref="F52:F61">
    <cfRule type="containsText" priority="8" operator="containsText" aboveAverage="0" equalAverage="0" bottom="0" percent="0" rank="0" text="CRITICAL" dxfId="0">
      <formula>NOT(ISERROR(SEARCH("CRITICAL",F52)))</formula>
    </cfRule>
    <cfRule type="containsText" priority="9" operator="containsText" aboveAverage="0" equalAverage="0" bottom="0" percent="0" rank="0" text="MONITOR" dxfId="1">
      <formula>NOT(ISERROR(SEARCH("MONITOR",F52)))</formula>
    </cfRule>
    <cfRule type="containsText" priority="10" operator="containsText" aboveAverage="0" equalAverage="0" bottom="0" percent="0" rank="0" text="LOW" dxfId="2">
      <formula>NOT(ISERROR(SEARCH("LOW",F52)))</formula>
    </cfRule>
  </conditionalFormatting>
  <conditionalFormatting sqref="H29:H48">
    <cfRule type="colorScale" priority="11">
      <colorScale>
        <cfvo type="num" val="1"/>
        <cfvo type="num" val="13"/>
        <cfvo type="num" val="25"/>
        <color rgb="FF63BE7B"/>
        <color rgb="FFFFEB84"/>
        <color rgb="FFF8696B"/>
      </colorScale>
    </cfRule>
  </conditionalFormatting>
  <conditionalFormatting sqref="E52:E61">
    <cfRule type="colorScale" priority="12">
      <colorScale>
        <cfvo type="num" val="1"/>
        <cfvo type="num" val="13"/>
        <cfvo type="num" val="25"/>
        <color rgb="FF63BE7B"/>
        <color rgb="FFFFEB84"/>
        <color rgb="FFF8696B"/>
      </colorScale>
    </cfRule>
  </conditionalFormatting>
  <dataValidations count="1">
    <dataValidation allowBlank="true" errorStyle="stop" operator="between" showDropDown="false" showErrorMessage="false" showInputMessage="false" sqref="B26" type="list">
      <formula1>ModelList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T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32"/>
    <col collapsed="false" customWidth="true" hidden="false" outlineLevel="0" max="4" min="4" style="0" width="19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10" min="8" style="0" width="10"/>
    <col collapsed="false" customWidth="true" hidden="false" outlineLevel="0" max="11" min="11" style="0" width="9"/>
    <col collapsed="false" customWidth="true" hidden="false" outlineLevel="0" max="12" min="12" style="0" width="28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6"/>
    <col collapsed="false" customWidth="true" hidden="false" outlineLevel="0" max="16" min="16" style="0" width="18"/>
    <col collapsed="false" customWidth="true" hidden="false" outlineLevel="0" max="17" min="17" style="0" width="42"/>
    <col collapsed="false" customWidth="true" hidden="false" outlineLevel="0" max="18" min="18" style="0" width="13"/>
    <col collapsed="false" customWidth="true" hidden="true" outlineLevel="0" max="20" min="19" style="0" width="5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3" customFormat="false" ht="21.75" hidden="false" customHeight="true" outlineLevel="0" collapsed="false">
      <c r="A3" s="17" t="s">
        <v>49</v>
      </c>
      <c r="B3" s="17"/>
      <c r="C3" s="17"/>
      <c r="D3" s="17"/>
      <c r="E3" s="17"/>
      <c r="F3" s="17" t="s">
        <v>50</v>
      </c>
      <c r="G3" s="17"/>
      <c r="H3" s="17"/>
      <c r="I3" s="17" t="s">
        <v>51</v>
      </c>
      <c r="J3" s="17"/>
      <c r="K3" s="18" t="s">
        <v>52</v>
      </c>
      <c r="L3" s="18" t="s">
        <v>53</v>
      </c>
      <c r="M3" s="17" t="s">
        <v>54</v>
      </c>
      <c r="N3" s="17"/>
      <c r="O3" s="17"/>
      <c r="P3" s="17"/>
      <c r="Q3" s="17" t="s">
        <v>55</v>
      </c>
      <c r="R3" s="17"/>
    </row>
    <row r="4" customFormat="false" ht="27.75" hidden="false" customHeight="true" outlineLevel="0" collapsed="false">
      <c r="A4" s="5" t="s">
        <v>27</v>
      </c>
      <c r="B4" s="5" t="s">
        <v>56</v>
      </c>
      <c r="C4" s="5" t="s">
        <v>57</v>
      </c>
      <c r="D4" s="5" t="s">
        <v>58</v>
      </c>
      <c r="E4" s="5" t="s">
        <v>40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63</v>
      </c>
      <c r="K4" s="5" t="s">
        <v>64</v>
      </c>
      <c r="L4" s="5" t="s">
        <v>65</v>
      </c>
      <c r="M4" s="5" t="s">
        <v>42</v>
      </c>
      <c r="N4" s="5" t="s">
        <v>66</v>
      </c>
      <c r="O4" s="5" t="s">
        <v>67</v>
      </c>
      <c r="P4" s="5" t="s">
        <v>68</v>
      </c>
      <c r="Q4" s="5" t="s">
        <v>69</v>
      </c>
      <c r="R4" s="5" t="s">
        <v>70</v>
      </c>
      <c r="S4" s="2" t="s">
        <v>71</v>
      </c>
      <c r="T4" s="2" t="s">
        <v>72</v>
      </c>
    </row>
    <row r="5" customFormat="false" ht="22.35" hidden="false" customHeight="false" outlineLevel="0" collapsed="false">
      <c r="A5" s="19" t="s">
        <v>34</v>
      </c>
      <c r="B5" s="20" t="s">
        <v>73</v>
      </c>
      <c r="C5" s="21" t="s">
        <v>74</v>
      </c>
      <c r="D5" s="20" t="s">
        <v>75</v>
      </c>
      <c r="E5" s="19" t="s">
        <v>76</v>
      </c>
      <c r="F5" s="20" t="n">
        <v>2</v>
      </c>
      <c r="G5" s="20" t="n">
        <v>3</v>
      </c>
      <c r="H5" s="20" t="n">
        <v>2</v>
      </c>
      <c r="I5" s="22" t="n">
        <f aca="false">IF($E5="","",IFERROR(IF(INDEX(SUPPLIERS!$D$4:$D$63,MATCH($E5,SUPPLIERS!$A$4:$A$63,0))="","",INDEX(SUPPLIERS!$D$4:$D$63,MATCH($E5,SUPPLIERS!$A$4:$A$63,0))),""))</f>
        <v>3</v>
      </c>
      <c r="J5" s="22" t="n">
        <f aca="false">IF($E5="","",IFERROR(IF(INDEX(SUPPLIERS!$E$4:$E$63,MATCH($E5,SUPPLIERS!$A$4:$A$63,0))="","",INDEX(SUPPLIERS!$E$4:$E$63,MATCH($E5,SUPPLIERS!$A$4:$A$63,0))),""))</f>
        <v>4</v>
      </c>
      <c r="K5" s="20" t="n">
        <v>3</v>
      </c>
      <c r="L5" s="19"/>
      <c r="M5" s="23" t="n">
        <f aca="false">IF(COUNT($F5:$J5)&lt;5,"",ROUND($F5*W_SRC+$G5*W_QC+$H5*W_CAP+$I5*W_SUP+$J5*W_EXT,1))</f>
        <v>2.7</v>
      </c>
      <c r="N5" s="24" t="n">
        <f aca="false">IF(OR($M5="",$K5=""),"",ROUND($M5*$K5,1))</f>
        <v>8.1</v>
      </c>
      <c r="O5" s="25" t="str">
        <f aca="false">IF($E5="","",IF($L5&lt;&gt;"","CRITICAL (FLAG)",IF(OR($M5="",$K5=""),"NOT SCORED",IF($N5&gt;=T_CRIT,"CRITICAL",IF($N5&gt;=T_MON,"MONITOR","LOW")))))</f>
        <v>MONITOR</v>
      </c>
      <c r="P5" s="12" t="str">
        <f aca="false">IF($M5="","",INDEX(DriverNames,MATCH(MAX($F5:$J5),$F5:$J5,0)))</f>
        <v>External &amp; Location</v>
      </c>
      <c r="Q5" s="21" t="s">
        <v>77</v>
      </c>
      <c r="R5" s="26" t="n">
        <v>46241</v>
      </c>
      <c r="S5" s="2" t="n">
        <f aca="false">IF($O5="","",IF($L5&lt;&gt;"",100,0)+IF($N5="",0,$N5)+ROW()/100000)</f>
        <v>8.10005</v>
      </c>
      <c r="T5" s="2" t="n">
        <f aca="false">IF($S5="","",IF($A5=SEL_MODEL,$S5,""))</f>
        <v>8.10005</v>
      </c>
    </row>
    <row r="6" customFormat="false" ht="22.35" hidden="false" customHeight="false" outlineLevel="0" collapsed="false">
      <c r="A6" s="19" t="s">
        <v>34</v>
      </c>
      <c r="B6" s="20" t="s">
        <v>78</v>
      </c>
      <c r="C6" s="21" t="s">
        <v>79</v>
      </c>
      <c r="D6" s="20" t="s">
        <v>75</v>
      </c>
      <c r="E6" s="19" t="s">
        <v>80</v>
      </c>
      <c r="F6" s="20" t="n">
        <v>5</v>
      </c>
      <c r="G6" s="20" t="n">
        <v>4</v>
      </c>
      <c r="H6" s="20" t="n">
        <v>3</v>
      </c>
      <c r="I6" s="22" t="n">
        <f aca="false">IF($E6="","",IFERROR(IF(INDEX(SUPPLIERS!$D$4:$D$63,MATCH($E6,SUPPLIERS!$A$4:$A$63,0))="","",INDEX(SUPPLIERS!$D$4:$D$63,MATCH($E6,SUPPLIERS!$A$4:$A$63,0))),""))</f>
        <v>4</v>
      </c>
      <c r="J6" s="22" t="n">
        <f aca="false">IF($E6="","",IFERROR(IF(INDEX(SUPPLIERS!$E$4:$E$63,MATCH($E6,SUPPLIERS!$A$4:$A$63,0))="","",INDEX(SUPPLIERS!$E$4:$E$63,MATCH($E6,SUPPLIERS!$A$4:$A$63,0))),""))</f>
        <v>4</v>
      </c>
      <c r="K6" s="20" t="n">
        <v>5</v>
      </c>
      <c r="L6" s="19"/>
      <c r="M6" s="23" t="n">
        <f aca="false">IF(COUNT($F6:$J6)&lt;5,"",ROUND($F6*W_SRC+$G6*W_QC+$H6*W_CAP+$I6*W_SUP+$J6*W_EXT,1))</f>
        <v>4.1</v>
      </c>
      <c r="N6" s="24" t="n">
        <f aca="false">IF(OR($M6="",$K6=""),"",ROUND($M6*$K6,1))</f>
        <v>20.5</v>
      </c>
      <c r="O6" s="25" t="str">
        <f aca="false">IF($E6="","",IF($L6&lt;&gt;"","CRITICAL (FLAG)",IF(OR($M6="",$K6=""),"NOT SCORED",IF($N6&gt;=T_CRIT,"CRITICAL",IF($N6&gt;=T_MON,"MONITOR","LOW")))))</f>
        <v>CRITICAL</v>
      </c>
      <c r="P6" s="12" t="str">
        <f aca="false">IF($M6="","",INDEX(DriverNames,MATCH(MAX($F6:$J6),$F6:$J6,0)))</f>
        <v>Sourcing &amp; Backup</v>
      </c>
      <c r="Q6" s="21" t="s">
        <v>81</v>
      </c>
      <c r="R6" s="26" t="n">
        <v>46241</v>
      </c>
      <c r="S6" s="2" t="n">
        <f aca="false">IF($O6="","",IF($L6&lt;&gt;"",100,0)+IF($N6="",0,$N6)+ROW()/100000)</f>
        <v>20.50006</v>
      </c>
      <c r="T6" s="2" t="n">
        <f aca="false">IF($S6="","",IF($A6=SEL_MODEL,$S6,""))</f>
        <v>20.50006</v>
      </c>
    </row>
    <row r="7" customFormat="false" ht="22.35" hidden="false" customHeight="false" outlineLevel="0" collapsed="false">
      <c r="A7" s="19" t="s">
        <v>34</v>
      </c>
      <c r="B7" s="20" t="s">
        <v>82</v>
      </c>
      <c r="C7" s="21" t="s">
        <v>83</v>
      </c>
      <c r="D7" s="20" t="s">
        <v>84</v>
      </c>
      <c r="E7" s="19" t="s">
        <v>85</v>
      </c>
      <c r="F7" s="20" t="n">
        <v>2</v>
      </c>
      <c r="G7" s="20" t="n">
        <v>2</v>
      </c>
      <c r="H7" s="20" t="n">
        <v>3</v>
      </c>
      <c r="I7" s="22" t="n">
        <f aca="false">IF($E7="","",IFERROR(IF(INDEX(SUPPLIERS!$D$4:$D$63,MATCH($E7,SUPPLIERS!$A$4:$A$63,0))="","",INDEX(SUPPLIERS!$D$4:$D$63,MATCH($E7,SUPPLIERS!$A$4:$A$63,0))),""))</f>
        <v>2</v>
      </c>
      <c r="J7" s="22" t="n">
        <f aca="false">IF($E7="","",IFERROR(IF(INDEX(SUPPLIERS!$E$4:$E$63,MATCH($E7,SUPPLIERS!$A$4:$A$63,0))="","",INDEX(SUPPLIERS!$E$4:$E$63,MATCH($E7,SUPPLIERS!$A$4:$A$63,0))),""))</f>
        <v>2</v>
      </c>
      <c r="K7" s="20" t="n">
        <v>3</v>
      </c>
      <c r="L7" s="19"/>
      <c r="M7" s="23" t="n">
        <f aca="false">IF(COUNT($F7:$J7)&lt;5,"",ROUND($F7*W_SRC+$G7*W_QC+$H7*W_CAP+$I7*W_SUP+$J7*W_EXT,1))</f>
        <v>2.2</v>
      </c>
      <c r="N7" s="24" t="n">
        <f aca="false">IF(OR($M7="",$K7=""),"",ROUND($M7*$K7,1))</f>
        <v>6.6</v>
      </c>
      <c r="O7" s="25" t="str">
        <f aca="false">IF($E7="","",IF($L7&lt;&gt;"","CRITICAL (FLAG)",IF(OR($M7="",$K7=""),"NOT SCORED",IF($N7&gt;=T_CRIT,"CRITICAL",IF($N7&gt;=T_MON,"MONITOR","LOW")))))</f>
        <v>LOW</v>
      </c>
      <c r="P7" s="12" t="str">
        <f aca="false">IF($M7="","",INDEX(DriverNames,MATCH(MAX($F7:$J7),$F7:$J7,0)))</f>
        <v>Capacity &amp; Delivery</v>
      </c>
      <c r="Q7" s="21" t="s">
        <v>86</v>
      </c>
      <c r="R7" s="26" t="n">
        <v>46241</v>
      </c>
      <c r="S7" s="2" t="n">
        <f aca="false">IF($O7="","",IF($L7&lt;&gt;"",100,0)+IF($N7="",0,$N7)+ROW()/100000)</f>
        <v>6.60007</v>
      </c>
      <c r="T7" s="2" t="n">
        <f aca="false">IF($S7="","",IF($A7=SEL_MODEL,$S7,""))</f>
        <v>6.60007</v>
      </c>
    </row>
    <row r="8" customFormat="false" ht="22.35" hidden="false" customHeight="false" outlineLevel="0" collapsed="false">
      <c r="A8" s="19" t="s">
        <v>34</v>
      </c>
      <c r="B8" s="20" t="s">
        <v>87</v>
      </c>
      <c r="C8" s="21" t="s">
        <v>88</v>
      </c>
      <c r="D8" s="20" t="s">
        <v>89</v>
      </c>
      <c r="E8" s="19" t="s">
        <v>90</v>
      </c>
      <c r="F8" s="20" t="n">
        <v>1</v>
      </c>
      <c r="G8" s="20" t="n">
        <v>1</v>
      </c>
      <c r="H8" s="20" t="n">
        <v>1</v>
      </c>
      <c r="I8" s="22" t="n">
        <f aca="false">IF($E8="","",IFERROR(IF(INDEX(SUPPLIERS!$D$4:$D$63,MATCH($E8,SUPPLIERS!$A$4:$A$63,0))="","",INDEX(SUPPLIERS!$D$4:$D$63,MATCH($E8,SUPPLIERS!$A$4:$A$63,0))),""))</f>
        <v>1</v>
      </c>
      <c r="J8" s="22" t="n">
        <f aca="false">IF($E8="","",IFERROR(IF(INDEX(SUPPLIERS!$E$4:$E$63,MATCH($E8,SUPPLIERS!$A$4:$A$63,0))="","",INDEX(SUPPLIERS!$E$4:$E$63,MATCH($E8,SUPPLIERS!$A$4:$A$63,0))),""))</f>
        <v>2</v>
      </c>
      <c r="K8" s="20" t="n">
        <v>2</v>
      </c>
      <c r="L8" s="19" t="s">
        <v>91</v>
      </c>
      <c r="M8" s="23" t="n">
        <f aca="false">IF(COUNT($F8:$J8)&lt;5,"",ROUND($F8*W_SRC+$G8*W_QC+$H8*W_CAP+$I8*W_SUP+$J8*W_EXT,1))</f>
        <v>1.1</v>
      </c>
      <c r="N8" s="24" t="n">
        <f aca="false">IF(OR($M8="",$K8=""),"",ROUND($M8*$K8,1))</f>
        <v>2.2</v>
      </c>
      <c r="O8" s="25" t="str">
        <f aca="false">IF($E8="","",IF($L8&lt;&gt;"","CRITICAL (FLAG)",IF(OR($M8="",$K8=""),"NOT SCORED",IF($N8&gt;=T_CRIT,"CRITICAL",IF($N8&gt;=T_MON,"MONITOR","LOW")))))</f>
        <v>CRITICAL (FLAG)</v>
      </c>
      <c r="P8" s="12" t="str">
        <f aca="false">IF($M8="","",INDEX(DriverNames,MATCH(MAX($F8:$J8),$F8:$J8,0)))</f>
        <v>External &amp; Location</v>
      </c>
      <c r="Q8" s="21" t="s">
        <v>92</v>
      </c>
      <c r="R8" s="26" t="n">
        <v>46241</v>
      </c>
      <c r="S8" s="2" t="n">
        <f aca="false">IF($O8="","",IF($L8&lt;&gt;"",100,0)+IF($N8="",0,$N8)+ROW()/100000)</f>
        <v>102.20008</v>
      </c>
      <c r="T8" s="2" t="n">
        <f aca="false">IF($S8="","",IF($A8=SEL_MODEL,$S8,""))</f>
        <v>102.20008</v>
      </c>
    </row>
    <row r="9" customFormat="false" ht="22.35" hidden="false" customHeight="false" outlineLevel="0" collapsed="false">
      <c r="A9" s="19" t="s">
        <v>93</v>
      </c>
      <c r="B9" s="20" t="s">
        <v>94</v>
      </c>
      <c r="C9" s="21" t="s">
        <v>95</v>
      </c>
      <c r="D9" s="20" t="s">
        <v>84</v>
      </c>
      <c r="E9" s="19" t="s">
        <v>96</v>
      </c>
      <c r="F9" s="20" t="n">
        <v>4</v>
      </c>
      <c r="G9" s="20" t="n">
        <v>2</v>
      </c>
      <c r="H9" s="20" t="n">
        <v>3</v>
      </c>
      <c r="I9" s="22" t="n">
        <f aca="false">IF($E9="","",IFERROR(IF(INDEX(SUPPLIERS!$D$4:$D$63,MATCH($E9,SUPPLIERS!$A$4:$A$63,0))="","",INDEX(SUPPLIERS!$D$4:$D$63,MATCH($E9,SUPPLIERS!$A$4:$A$63,0))),""))</f>
        <v>3</v>
      </c>
      <c r="J9" s="22" t="n">
        <f aca="false">IF($E9="","",IFERROR(IF(INDEX(SUPPLIERS!$E$4:$E$63,MATCH($E9,SUPPLIERS!$A$4:$A$63,0))="","",INDEX(SUPPLIERS!$E$4:$E$63,MATCH($E9,SUPPLIERS!$A$4:$A$63,0))),""))</f>
        <v>2</v>
      </c>
      <c r="K9" s="20" t="n">
        <v>4</v>
      </c>
      <c r="L9" s="19"/>
      <c r="M9" s="23" t="n">
        <f aca="false">IF(COUNT($F9:$J9)&lt;5,"",ROUND($F9*W_SRC+$G9*W_QC+$H9*W_CAP+$I9*W_SUP+$J9*W_EXT,1))</f>
        <v>2.9</v>
      </c>
      <c r="N9" s="24" t="n">
        <f aca="false">IF(OR($M9="",$K9=""),"",ROUND($M9*$K9,1))</f>
        <v>11.6</v>
      </c>
      <c r="O9" s="25" t="str">
        <f aca="false">IF($E9="","",IF($L9&lt;&gt;"","CRITICAL (FLAG)",IF(OR($M9="",$K9=""),"NOT SCORED",IF($N9&gt;=T_CRIT,"CRITICAL",IF($N9&gt;=T_MON,"MONITOR","LOW")))))</f>
        <v>MONITOR</v>
      </c>
      <c r="P9" s="12" t="str">
        <f aca="false">IF($M9="","",INDEX(DriverNames,MATCH(MAX($F9:$J9),$F9:$J9,0)))</f>
        <v>Sourcing &amp; Backup</v>
      </c>
      <c r="Q9" s="21" t="s">
        <v>97</v>
      </c>
      <c r="R9" s="26" t="n">
        <v>46241</v>
      </c>
      <c r="S9" s="2" t="n">
        <f aca="false">IF($O9="","",IF($L9&lt;&gt;"",100,0)+IF($N9="",0,$N9)+ROW()/100000)</f>
        <v>11.60009</v>
      </c>
      <c r="T9" s="2" t="str">
        <f aca="false">IF($S9="","",IF($A9=SEL_MODEL,$S9,""))</f>
        <v/>
      </c>
    </row>
    <row r="10" customFormat="false" ht="15" hidden="false" customHeight="false" outlineLevel="0" collapsed="false">
      <c r="A10" s="19" t="s">
        <v>93</v>
      </c>
      <c r="B10" s="20" t="s">
        <v>82</v>
      </c>
      <c r="C10" s="21" t="s">
        <v>83</v>
      </c>
      <c r="D10" s="20" t="s">
        <v>84</v>
      </c>
      <c r="E10" s="19" t="s">
        <v>98</v>
      </c>
      <c r="F10" s="20" t="n">
        <v>3</v>
      </c>
      <c r="G10" s="20" t="n">
        <v>3</v>
      </c>
      <c r="H10" s="20" t="n">
        <v>2</v>
      </c>
      <c r="I10" s="22" t="n">
        <f aca="false">IF($E10="","",IFERROR(IF(INDEX(SUPPLIERS!$D$4:$D$63,MATCH($E10,SUPPLIERS!$A$4:$A$63,0))="","",INDEX(SUPPLIERS!$D$4:$D$63,MATCH($E10,SUPPLIERS!$A$4:$A$63,0))),""))</f>
        <v>3</v>
      </c>
      <c r="J10" s="22" t="n">
        <f aca="false">IF($E10="","",IFERROR(IF(INDEX(SUPPLIERS!$E$4:$E$63,MATCH($E10,SUPPLIERS!$A$4:$A$63,0))="","",INDEX(SUPPLIERS!$E$4:$E$63,MATCH($E10,SUPPLIERS!$A$4:$A$63,0))),""))</f>
        <v>2</v>
      </c>
      <c r="K10" s="20" t="n">
        <v>3</v>
      </c>
      <c r="L10" s="19"/>
      <c r="M10" s="23" t="n">
        <f aca="false">IF(COUNT($F10:$J10)&lt;5,"",ROUND($F10*W_SRC+$G10*W_QC+$H10*W_CAP+$I10*W_SUP+$J10*W_EXT,1))</f>
        <v>2.7</v>
      </c>
      <c r="N10" s="24" t="n">
        <f aca="false">IF(OR($M10="",$K10=""),"",ROUND($M10*$K10,1))</f>
        <v>8.1</v>
      </c>
      <c r="O10" s="25" t="str">
        <f aca="false">IF($E10="","",IF($L10&lt;&gt;"","CRITICAL (FLAG)",IF(OR($M10="",$K10=""),"NOT SCORED",IF($N10&gt;=T_CRIT,"CRITICAL",IF($N10&gt;=T_MON,"MONITOR","LOW")))))</f>
        <v>MONITOR</v>
      </c>
      <c r="P10" s="12" t="str">
        <f aca="false">IF($M10="","",INDEX(DriverNames,MATCH(MAX($F10:$J10),$F10:$J10,0)))</f>
        <v>Sourcing &amp; Backup</v>
      </c>
      <c r="Q10" s="21" t="s">
        <v>99</v>
      </c>
      <c r="R10" s="26" t="n">
        <v>46241</v>
      </c>
      <c r="S10" s="2" t="n">
        <f aca="false">IF($O10="","",IF($L10&lt;&gt;"",100,0)+IF($N10="",0,$N10)+ROW()/100000)</f>
        <v>8.1001</v>
      </c>
      <c r="T10" s="2" t="str">
        <f aca="false">IF($S10="","",IF($A10=SEL_MODEL,$S10,""))</f>
        <v/>
      </c>
    </row>
    <row r="11" customFormat="false" ht="15" hidden="false" customHeight="false" outlineLevel="0" collapsed="false">
      <c r="A11" s="19"/>
      <c r="B11" s="20"/>
      <c r="C11" s="21"/>
      <c r="D11" s="20"/>
      <c r="E11" s="19"/>
      <c r="F11" s="20"/>
      <c r="G11" s="20"/>
      <c r="H11" s="20"/>
      <c r="I11" s="22" t="str">
        <f aca="false">IF($E11="","",IFERROR(IF(INDEX(SUPPLIERS!$D$4:$D$63,MATCH($E11,SUPPLIERS!$A$4:$A$63,0))="","",INDEX(SUPPLIERS!$D$4:$D$63,MATCH($E11,SUPPLIERS!$A$4:$A$63,0))),""))</f>
        <v/>
      </c>
      <c r="J11" s="22" t="str">
        <f aca="false">IF($E11="","",IFERROR(IF(INDEX(SUPPLIERS!$E$4:$E$63,MATCH($E11,SUPPLIERS!$A$4:$A$63,0))="","",INDEX(SUPPLIERS!$E$4:$E$63,MATCH($E11,SUPPLIERS!$A$4:$A$63,0))),""))</f>
        <v/>
      </c>
      <c r="K11" s="20"/>
      <c r="L11" s="19"/>
      <c r="M11" s="23" t="str">
        <f aca="false">IF(COUNT($F11:$J11)&lt;5,"",ROUND($F11*W_SRC+$G11*W_QC+$H11*W_CAP+$I11*W_SUP+$J11*W_EXT,1))</f>
        <v/>
      </c>
      <c r="N11" s="24" t="str">
        <f aca="false">IF(OR($M11="",$K11=""),"",ROUND($M11*$K11,1))</f>
        <v/>
      </c>
      <c r="O11" s="25" t="str">
        <f aca="false">IF($E11="","",IF($L11&lt;&gt;"","CRITICAL (FLAG)",IF(OR($M11="",$K11=""),"NOT SCORED",IF($N11&gt;=T_CRIT,"CRITICAL",IF($N11&gt;=T_MON,"MONITOR","LOW")))))</f>
        <v/>
      </c>
      <c r="P11" s="12" t="str">
        <f aca="false">IF($M11="","",INDEX(DriverNames,MATCH(MAX($F11:$J11),$F11:$J11,0)))</f>
        <v/>
      </c>
      <c r="Q11" s="21"/>
      <c r="R11" s="26"/>
      <c r="S11" s="2" t="str">
        <f aca="false">IF($O11="","",IF($L11&lt;&gt;"",100,0)+IF($N11="",0,$N11)+ROW()/100000)</f>
        <v/>
      </c>
      <c r="T11" s="2" t="str">
        <f aca="false">IF($S11="","",IF($A11=SEL_MODEL,$S11,""))</f>
        <v/>
      </c>
    </row>
    <row r="12" customFormat="false" ht="15" hidden="false" customHeight="false" outlineLevel="0" collapsed="false">
      <c r="A12" s="19"/>
      <c r="B12" s="20"/>
      <c r="C12" s="21"/>
      <c r="D12" s="20"/>
      <c r="E12" s="19"/>
      <c r="F12" s="20"/>
      <c r="G12" s="20"/>
      <c r="H12" s="20"/>
      <c r="I12" s="22" t="str">
        <f aca="false">IF($E12="","",IFERROR(IF(INDEX(SUPPLIERS!$D$4:$D$63,MATCH($E12,SUPPLIERS!$A$4:$A$63,0))="","",INDEX(SUPPLIERS!$D$4:$D$63,MATCH($E12,SUPPLIERS!$A$4:$A$63,0))),""))</f>
        <v/>
      </c>
      <c r="J12" s="22" t="str">
        <f aca="false">IF($E12="","",IFERROR(IF(INDEX(SUPPLIERS!$E$4:$E$63,MATCH($E12,SUPPLIERS!$A$4:$A$63,0))="","",INDEX(SUPPLIERS!$E$4:$E$63,MATCH($E12,SUPPLIERS!$A$4:$A$63,0))),""))</f>
        <v/>
      </c>
      <c r="K12" s="20"/>
      <c r="L12" s="19"/>
      <c r="M12" s="23" t="str">
        <f aca="false">IF(COUNT($F12:$J12)&lt;5,"",ROUND($F12*W_SRC+$G12*W_QC+$H12*W_CAP+$I12*W_SUP+$J12*W_EXT,1))</f>
        <v/>
      </c>
      <c r="N12" s="24" t="str">
        <f aca="false">IF(OR($M12="",$K12=""),"",ROUND($M12*$K12,1))</f>
        <v/>
      </c>
      <c r="O12" s="25" t="str">
        <f aca="false">IF($E12="","",IF($L12&lt;&gt;"","CRITICAL (FLAG)",IF(OR($M12="",$K12=""),"NOT SCORED",IF($N12&gt;=T_CRIT,"CRITICAL",IF($N12&gt;=T_MON,"MONITOR","LOW")))))</f>
        <v/>
      </c>
      <c r="P12" s="12" t="str">
        <f aca="false">IF($M12="","",INDEX(DriverNames,MATCH(MAX($F12:$J12),$F12:$J12,0)))</f>
        <v/>
      </c>
      <c r="Q12" s="21"/>
      <c r="R12" s="26"/>
      <c r="S12" s="2" t="str">
        <f aca="false">IF($O12="","",IF($L12&lt;&gt;"",100,0)+IF($N12="",0,$N12)+ROW()/100000)</f>
        <v/>
      </c>
      <c r="T12" s="2" t="str">
        <f aca="false">IF($S12="","",IF($A12=SEL_MODEL,$S12,""))</f>
        <v/>
      </c>
    </row>
    <row r="13" customFormat="false" ht="15" hidden="false" customHeight="false" outlineLevel="0" collapsed="false">
      <c r="A13" s="19"/>
      <c r="B13" s="20"/>
      <c r="C13" s="21"/>
      <c r="D13" s="20"/>
      <c r="E13" s="19"/>
      <c r="F13" s="20"/>
      <c r="G13" s="20"/>
      <c r="H13" s="20"/>
      <c r="I13" s="22" t="str">
        <f aca="false">IF($E13="","",IFERROR(IF(INDEX(SUPPLIERS!$D$4:$D$63,MATCH($E13,SUPPLIERS!$A$4:$A$63,0))="","",INDEX(SUPPLIERS!$D$4:$D$63,MATCH($E13,SUPPLIERS!$A$4:$A$63,0))),""))</f>
        <v/>
      </c>
      <c r="J13" s="22" t="str">
        <f aca="false">IF($E13="","",IFERROR(IF(INDEX(SUPPLIERS!$E$4:$E$63,MATCH($E13,SUPPLIERS!$A$4:$A$63,0))="","",INDEX(SUPPLIERS!$E$4:$E$63,MATCH($E13,SUPPLIERS!$A$4:$A$63,0))),""))</f>
        <v/>
      </c>
      <c r="K13" s="20"/>
      <c r="L13" s="19"/>
      <c r="M13" s="23" t="str">
        <f aca="false">IF(COUNT($F13:$J13)&lt;5,"",ROUND($F13*W_SRC+$G13*W_QC+$H13*W_CAP+$I13*W_SUP+$J13*W_EXT,1))</f>
        <v/>
      </c>
      <c r="N13" s="24" t="str">
        <f aca="false">IF(OR($M13="",$K13=""),"",ROUND($M13*$K13,1))</f>
        <v/>
      </c>
      <c r="O13" s="25" t="str">
        <f aca="false">IF($E13="","",IF($L13&lt;&gt;"","CRITICAL (FLAG)",IF(OR($M13="",$K13=""),"NOT SCORED",IF($N13&gt;=T_CRIT,"CRITICAL",IF($N13&gt;=T_MON,"MONITOR","LOW")))))</f>
        <v/>
      </c>
      <c r="P13" s="12" t="str">
        <f aca="false">IF($M13="","",INDEX(DriverNames,MATCH(MAX($F13:$J13),$F13:$J13,0)))</f>
        <v/>
      </c>
      <c r="Q13" s="21"/>
      <c r="R13" s="26"/>
      <c r="S13" s="2" t="str">
        <f aca="false">IF($O13="","",IF($L13&lt;&gt;"",100,0)+IF($N13="",0,$N13)+ROW()/100000)</f>
        <v/>
      </c>
      <c r="T13" s="2" t="str">
        <f aca="false">IF($S13="","",IF($A13=SEL_MODEL,$S13,""))</f>
        <v/>
      </c>
    </row>
    <row r="14" customFormat="false" ht="15" hidden="false" customHeight="false" outlineLevel="0" collapsed="false">
      <c r="A14" s="19"/>
      <c r="B14" s="20"/>
      <c r="C14" s="21"/>
      <c r="D14" s="20"/>
      <c r="E14" s="19"/>
      <c r="F14" s="20"/>
      <c r="G14" s="20"/>
      <c r="H14" s="20"/>
      <c r="I14" s="22" t="str">
        <f aca="false">IF($E14="","",IFERROR(IF(INDEX(SUPPLIERS!$D$4:$D$63,MATCH($E14,SUPPLIERS!$A$4:$A$63,0))="","",INDEX(SUPPLIERS!$D$4:$D$63,MATCH($E14,SUPPLIERS!$A$4:$A$63,0))),""))</f>
        <v/>
      </c>
      <c r="J14" s="22" t="str">
        <f aca="false">IF($E14="","",IFERROR(IF(INDEX(SUPPLIERS!$E$4:$E$63,MATCH($E14,SUPPLIERS!$A$4:$A$63,0))="","",INDEX(SUPPLIERS!$E$4:$E$63,MATCH($E14,SUPPLIERS!$A$4:$A$63,0))),""))</f>
        <v/>
      </c>
      <c r="K14" s="20"/>
      <c r="L14" s="19"/>
      <c r="M14" s="23" t="str">
        <f aca="false">IF(COUNT($F14:$J14)&lt;5,"",ROUND($F14*W_SRC+$G14*W_QC+$H14*W_CAP+$I14*W_SUP+$J14*W_EXT,1))</f>
        <v/>
      </c>
      <c r="N14" s="24" t="str">
        <f aca="false">IF(OR($M14="",$K14=""),"",ROUND($M14*$K14,1))</f>
        <v/>
      </c>
      <c r="O14" s="25" t="str">
        <f aca="false">IF($E14="","",IF($L14&lt;&gt;"","CRITICAL (FLAG)",IF(OR($M14="",$K14=""),"NOT SCORED",IF($N14&gt;=T_CRIT,"CRITICAL",IF($N14&gt;=T_MON,"MONITOR","LOW")))))</f>
        <v/>
      </c>
      <c r="P14" s="12" t="str">
        <f aca="false">IF($M14="","",INDEX(DriverNames,MATCH(MAX($F14:$J14),$F14:$J14,0)))</f>
        <v/>
      </c>
      <c r="Q14" s="21"/>
      <c r="R14" s="26"/>
      <c r="S14" s="2" t="str">
        <f aca="false">IF($O14="","",IF($L14&lt;&gt;"",100,0)+IF($N14="",0,$N14)+ROW()/100000)</f>
        <v/>
      </c>
      <c r="T14" s="2" t="str">
        <f aca="false">IF($S14="","",IF($A14=SEL_MODEL,$S14,""))</f>
        <v/>
      </c>
    </row>
    <row r="15" customFormat="false" ht="15" hidden="false" customHeight="false" outlineLevel="0" collapsed="false">
      <c r="A15" s="19"/>
      <c r="B15" s="20"/>
      <c r="C15" s="21"/>
      <c r="D15" s="20"/>
      <c r="E15" s="19"/>
      <c r="F15" s="20"/>
      <c r="G15" s="20"/>
      <c r="H15" s="20"/>
      <c r="I15" s="22" t="str">
        <f aca="false">IF($E15="","",IFERROR(IF(INDEX(SUPPLIERS!$D$4:$D$63,MATCH($E15,SUPPLIERS!$A$4:$A$63,0))="","",INDEX(SUPPLIERS!$D$4:$D$63,MATCH($E15,SUPPLIERS!$A$4:$A$63,0))),""))</f>
        <v/>
      </c>
      <c r="J15" s="22" t="str">
        <f aca="false">IF($E15="","",IFERROR(IF(INDEX(SUPPLIERS!$E$4:$E$63,MATCH($E15,SUPPLIERS!$A$4:$A$63,0))="","",INDEX(SUPPLIERS!$E$4:$E$63,MATCH($E15,SUPPLIERS!$A$4:$A$63,0))),""))</f>
        <v/>
      </c>
      <c r="K15" s="20"/>
      <c r="L15" s="19"/>
      <c r="M15" s="23" t="str">
        <f aca="false">IF(COUNT($F15:$J15)&lt;5,"",ROUND($F15*W_SRC+$G15*W_QC+$H15*W_CAP+$I15*W_SUP+$J15*W_EXT,1))</f>
        <v/>
      </c>
      <c r="N15" s="24" t="str">
        <f aca="false">IF(OR($M15="",$K15=""),"",ROUND($M15*$K15,1))</f>
        <v/>
      </c>
      <c r="O15" s="25" t="str">
        <f aca="false">IF($E15="","",IF($L15&lt;&gt;"","CRITICAL (FLAG)",IF(OR($M15="",$K15=""),"NOT SCORED",IF($N15&gt;=T_CRIT,"CRITICAL",IF($N15&gt;=T_MON,"MONITOR","LOW")))))</f>
        <v/>
      </c>
      <c r="P15" s="12" t="str">
        <f aca="false">IF($M15="","",INDEX(DriverNames,MATCH(MAX($F15:$J15),$F15:$J15,0)))</f>
        <v/>
      </c>
      <c r="Q15" s="21"/>
      <c r="R15" s="26"/>
      <c r="S15" s="2" t="str">
        <f aca="false">IF($O15="","",IF($L15&lt;&gt;"",100,0)+IF($N15="",0,$N15)+ROW()/100000)</f>
        <v/>
      </c>
      <c r="T15" s="2" t="str">
        <f aca="false">IF($S15="","",IF($A15=SEL_MODEL,$S15,""))</f>
        <v/>
      </c>
    </row>
    <row r="16" customFormat="false" ht="15" hidden="false" customHeight="false" outlineLevel="0" collapsed="false">
      <c r="A16" s="19"/>
      <c r="B16" s="20"/>
      <c r="C16" s="21"/>
      <c r="D16" s="20"/>
      <c r="E16" s="19"/>
      <c r="F16" s="20"/>
      <c r="G16" s="20"/>
      <c r="H16" s="20"/>
      <c r="I16" s="22" t="str">
        <f aca="false">IF($E16="","",IFERROR(IF(INDEX(SUPPLIERS!$D$4:$D$63,MATCH($E16,SUPPLIERS!$A$4:$A$63,0))="","",INDEX(SUPPLIERS!$D$4:$D$63,MATCH($E16,SUPPLIERS!$A$4:$A$63,0))),""))</f>
        <v/>
      </c>
      <c r="J16" s="22" t="str">
        <f aca="false">IF($E16="","",IFERROR(IF(INDEX(SUPPLIERS!$E$4:$E$63,MATCH($E16,SUPPLIERS!$A$4:$A$63,0))="","",INDEX(SUPPLIERS!$E$4:$E$63,MATCH($E16,SUPPLIERS!$A$4:$A$63,0))),""))</f>
        <v/>
      </c>
      <c r="K16" s="20"/>
      <c r="L16" s="19"/>
      <c r="M16" s="23" t="str">
        <f aca="false">IF(COUNT($F16:$J16)&lt;5,"",ROUND($F16*W_SRC+$G16*W_QC+$H16*W_CAP+$I16*W_SUP+$J16*W_EXT,1))</f>
        <v/>
      </c>
      <c r="N16" s="24" t="str">
        <f aca="false">IF(OR($M16="",$K16=""),"",ROUND($M16*$K16,1))</f>
        <v/>
      </c>
      <c r="O16" s="25" t="str">
        <f aca="false">IF($E16="","",IF($L16&lt;&gt;"","CRITICAL (FLAG)",IF(OR($M16="",$K16=""),"NOT SCORED",IF($N16&gt;=T_CRIT,"CRITICAL",IF($N16&gt;=T_MON,"MONITOR","LOW")))))</f>
        <v/>
      </c>
      <c r="P16" s="12" t="str">
        <f aca="false">IF($M16="","",INDEX(DriverNames,MATCH(MAX($F16:$J16),$F16:$J16,0)))</f>
        <v/>
      </c>
      <c r="Q16" s="21"/>
      <c r="R16" s="26"/>
      <c r="S16" s="2" t="str">
        <f aca="false">IF($O16="","",IF($L16&lt;&gt;"",100,0)+IF($N16="",0,$N16)+ROW()/100000)</f>
        <v/>
      </c>
      <c r="T16" s="2" t="str">
        <f aca="false">IF($S16="","",IF($A16=SEL_MODEL,$S16,""))</f>
        <v/>
      </c>
    </row>
    <row r="17" customFormat="false" ht="15" hidden="false" customHeight="false" outlineLevel="0" collapsed="false">
      <c r="A17" s="19"/>
      <c r="B17" s="20"/>
      <c r="C17" s="21"/>
      <c r="D17" s="20"/>
      <c r="E17" s="19"/>
      <c r="F17" s="20"/>
      <c r="G17" s="20"/>
      <c r="H17" s="20"/>
      <c r="I17" s="22" t="str">
        <f aca="false">IF($E17="","",IFERROR(IF(INDEX(SUPPLIERS!$D$4:$D$63,MATCH($E17,SUPPLIERS!$A$4:$A$63,0))="","",INDEX(SUPPLIERS!$D$4:$D$63,MATCH($E17,SUPPLIERS!$A$4:$A$63,0))),""))</f>
        <v/>
      </c>
      <c r="J17" s="22" t="str">
        <f aca="false">IF($E17="","",IFERROR(IF(INDEX(SUPPLIERS!$E$4:$E$63,MATCH($E17,SUPPLIERS!$A$4:$A$63,0))="","",INDEX(SUPPLIERS!$E$4:$E$63,MATCH($E17,SUPPLIERS!$A$4:$A$63,0))),""))</f>
        <v/>
      </c>
      <c r="K17" s="20"/>
      <c r="L17" s="19"/>
      <c r="M17" s="23" t="str">
        <f aca="false">IF(COUNT($F17:$J17)&lt;5,"",ROUND($F17*W_SRC+$G17*W_QC+$H17*W_CAP+$I17*W_SUP+$J17*W_EXT,1))</f>
        <v/>
      </c>
      <c r="N17" s="24" t="str">
        <f aca="false">IF(OR($M17="",$K17=""),"",ROUND($M17*$K17,1))</f>
        <v/>
      </c>
      <c r="O17" s="25" t="str">
        <f aca="false">IF($E17="","",IF($L17&lt;&gt;"","CRITICAL (FLAG)",IF(OR($M17="",$K17=""),"NOT SCORED",IF($N17&gt;=T_CRIT,"CRITICAL",IF($N17&gt;=T_MON,"MONITOR","LOW")))))</f>
        <v/>
      </c>
      <c r="P17" s="12" t="str">
        <f aca="false">IF($M17="","",INDEX(DriverNames,MATCH(MAX($F17:$J17),$F17:$J17,0)))</f>
        <v/>
      </c>
      <c r="Q17" s="21"/>
      <c r="R17" s="26"/>
      <c r="S17" s="2" t="str">
        <f aca="false">IF($O17="","",IF($L17&lt;&gt;"",100,0)+IF($N17="",0,$N17)+ROW()/100000)</f>
        <v/>
      </c>
      <c r="T17" s="2" t="str">
        <f aca="false">IF($S17="","",IF($A17=SEL_MODEL,$S17,""))</f>
        <v/>
      </c>
    </row>
    <row r="18" customFormat="false" ht="15" hidden="false" customHeight="false" outlineLevel="0" collapsed="false">
      <c r="A18" s="19"/>
      <c r="B18" s="20"/>
      <c r="C18" s="21"/>
      <c r="D18" s="20"/>
      <c r="E18" s="19"/>
      <c r="F18" s="20"/>
      <c r="G18" s="20"/>
      <c r="H18" s="20"/>
      <c r="I18" s="22" t="str">
        <f aca="false">IF($E18="","",IFERROR(IF(INDEX(SUPPLIERS!$D$4:$D$63,MATCH($E18,SUPPLIERS!$A$4:$A$63,0))="","",INDEX(SUPPLIERS!$D$4:$D$63,MATCH($E18,SUPPLIERS!$A$4:$A$63,0))),""))</f>
        <v/>
      </c>
      <c r="J18" s="22" t="str">
        <f aca="false">IF($E18="","",IFERROR(IF(INDEX(SUPPLIERS!$E$4:$E$63,MATCH($E18,SUPPLIERS!$A$4:$A$63,0))="","",INDEX(SUPPLIERS!$E$4:$E$63,MATCH($E18,SUPPLIERS!$A$4:$A$63,0))),""))</f>
        <v/>
      </c>
      <c r="K18" s="20"/>
      <c r="L18" s="19"/>
      <c r="M18" s="23" t="str">
        <f aca="false">IF(COUNT($F18:$J18)&lt;5,"",ROUND($F18*W_SRC+$G18*W_QC+$H18*W_CAP+$I18*W_SUP+$J18*W_EXT,1))</f>
        <v/>
      </c>
      <c r="N18" s="24" t="str">
        <f aca="false">IF(OR($M18="",$K18=""),"",ROUND($M18*$K18,1))</f>
        <v/>
      </c>
      <c r="O18" s="25" t="str">
        <f aca="false">IF($E18="","",IF($L18&lt;&gt;"","CRITICAL (FLAG)",IF(OR($M18="",$K18=""),"NOT SCORED",IF($N18&gt;=T_CRIT,"CRITICAL",IF($N18&gt;=T_MON,"MONITOR","LOW")))))</f>
        <v/>
      </c>
      <c r="P18" s="12" t="str">
        <f aca="false">IF($M18="","",INDEX(DriverNames,MATCH(MAX($F18:$J18),$F18:$J18,0)))</f>
        <v/>
      </c>
      <c r="Q18" s="21"/>
      <c r="R18" s="26"/>
      <c r="S18" s="2" t="str">
        <f aca="false">IF($O18="","",IF($L18&lt;&gt;"",100,0)+IF($N18="",0,$N18)+ROW()/100000)</f>
        <v/>
      </c>
      <c r="T18" s="2" t="str">
        <f aca="false">IF($S18="","",IF($A18=SEL_MODEL,$S18,""))</f>
        <v/>
      </c>
    </row>
    <row r="19" customFormat="false" ht="15" hidden="false" customHeight="false" outlineLevel="0" collapsed="false">
      <c r="A19" s="19"/>
      <c r="B19" s="20"/>
      <c r="C19" s="21"/>
      <c r="D19" s="20"/>
      <c r="E19" s="19"/>
      <c r="F19" s="20"/>
      <c r="G19" s="20"/>
      <c r="H19" s="20"/>
      <c r="I19" s="22" t="str">
        <f aca="false">IF($E19="","",IFERROR(IF(INDEX(SUPPLIERS!$D$4:$D$63,MATCH($E19,SUPPLIERS!$A$4:$A$63,0))="","",INDEX(SUPPLIERS!$D$4:$D$63,MATCH($E19,SUPPLIERS!$A$4:$A$63,0))),""))</f>
        <v/>
      </c>
      <c r="J19" s="22" t="str">
        <f aca="false">IF($E19="","",IFERROR(IF(INDEX(SUPPLIERS!$E$4:$E$63,MATCH($E19,SUPPLIERS!$A$4:$A$63,0))="","",INDEX(SUPPLIERS!$E$4:$E$63,MATCH($E19,SUPPLIERS!$A$4:$A$63,0))),""))</f>
        <v/>
      </c>
      <c r="K19" s="20"/>
      <c r="L19" s="19"/>
      <c r="M19" s="23" t="str">
        <f aca="false">IF(COUNT($F19:$J19)&lt;5,"",ROUND($F19*W_SRC+$G19*W_QC+$H19*W_CAP+$I19*W_SUP+$J19*W_EXT,1))</f>
        <v/>
      </c>
      <c r="N19" s="24" t="str">
        <f aca="false">IF(OR($M19="",$K19=""),"",ROUND($M19*$K19,1))</f>
        <v/>
      </c>
      <c r="O19" s="25" t="str">
        <f aca="false">IF($E19="","",IF($L19&lt;&gt;"","CRITICAL (FLAG)",IF(OR($M19="",$K19=""),"NOT SCORED",IF($N19&gt;=T_CRIT,"CRITICAL",IF($N19&gt;=T_MON,"MONITOR","LOW")))))</f>
        <v/>
      </c>
      <c r="P19" s="12" t="str">
        <f aca="false">IF($M19="","",INDEX(DriverNames,MATCH(MAX($F19:$J19),$F19:$J19,0)))</f>
        <v/>
      </c>
      <c r="Q19" s="21"/>
      <c r="R19" s="26"/>
      <c r="S19" s="2" t="str">
        <f aca="false">IF($O19="","",IF($L19&lt;&gt;"",100,0)+IF($N19="",0,$N19)+ROW()/100000)</f>
        <v/>
      </c>
      <c r="T19" s="2" t="str">
        <f aca="false">IF($S19="","",IF($A19=SEL_MODEL,$S19,""))</f>
        <v/>
      </c>
    </row>
    <row r="20" customFormat="false" ht="15" hidden="false" customHeight="false" outlineLevel="0" collapsed="false">
      <c r="A20" s="19"/>
      <c r="B20" s="20"/>
      <c r="C20" s="21"/>
      <c r="D20" s="20"/>
      <c r="E20" s="19"/>
      <c r="F20" s="20"/>
      <c r="G20" s="20"/>
      <c r="H20" s="20"/>
      <c r="I20" s="22" t="str">
        <f aca="false">IF($E20="","",IFERROR(IF(INDEX(SUPPLIERS!$D$4:$D$63,MATCH($E20,SUPPLIERS!$A$4:$A$63,0))="","",INDEX(SUPPLIERS!$D$4:$D$63,MATCH($E20,SUPPLIERS!$A$4:$A$63,0))),""))</f>
        <v/>
      </c>
      <c r="J20" s="22" t="str">
        <f aca="false">IF($E20="","",IFERROR(IF(INDEX(SUPPLIERS!$E$4:$E$63,MATCH($E20,SUPPLIERS!$A$4:$A$63,0))="","",INDEX(SUPPLIERS!$E$4:$E$63,MATCH($E20,SUPPLIERS!$A$4:$A$63,0))),""))</f>
        <v/>
      </c>
      <c r="K20" s="20"/>
      <c r="L20" s="19"/>
      <c r="M20" s="23" t="str">
        <f aca="false">IF(COUNT($F20:$J20)&lt;5,"",ROUND($F20*W_SRC+$G20*W_QC+$H20*W_CAP+$I20*W_SUP+$J20*W_EXT,1))</f>
        <v/>
      </c>
      <c r="N20" s="24" t="str">
        <f aca="false">IF(OR($M20="",$K20=""),"",ROUND($M20*$K20,1))</f>
        <v/>
      </c>
      <c r="O20" s="25" t="str">
        <f aca="false">IF($E20="","",IF($L20&lt;&gt;"","CRITICAL (FLAG)",IF(OR($M20="",$K20=""),"NOT SCORED",IF($N20&gt;=T_CRIT,"CRITICAL",IF($N20&gt;=T_MON,"MONITOR","LOW")))))</f>
        <v/>
      </c>
      <c r="P20" s="12" t="str">
        <f aca="false">IF($M20="","",INDEX(DriverNames,MATCH(MAX($F20:$J20),$F20:$J20,0)))</f>
        <v/>
      </c>
      <c r="Q20" s="21"/>
      <c r="R20" s="26"/>
      <c r="S20" s="2" t="str">
        <f aca="false">IF($O20="","",IF($L20&lt;&gt;"",100,0)+IF($N20="",0,$N20)+ROW()/100000)</f>
        <v/>
      </c>
      <c r="T20" s="2" t="str">
        <f aca="false">IF($S20="","",IF($A20=SEL_MODEL,$S20,""))</f>
        <v/>
      </c>
    </row>
    <row r="21" customFormat="false" ht="15" hidden="false" customHeight="false" outlineLevel="0" collapsed="false">
      <c r="A21" s="19"/>
      <c r="B21" s="20"/>
      <c r="C21" s="21"/>
      <c r="D21" s="20"/>
      <c r="E21" s="19"/>
      <c r="F21" s="20"/>
      <c r="G21" s="20"/>
      <c r="H21" s="20"/>
      <c r="I21" s="22" t="str">
        <f aca="false">IF($E21="","",IFERROR(IF(INDEX(SUPPLIERS!$D$4:$D$63,MATCH($E21,SUPPLIERS!$A$4:$A$63,0))="","",INDEX(SUPPLIERS!$D$4:$D$63,MATCH($E21,SUPPLIERS!$A$4:$A$63,0))),""))</f>
        <v/>
      </c>
      <c r="J21" s="22" t="str">
        <f aca="false">IF($E21="","",IFERROR(IF(INDEX(SUPPLIERS!$E$4:$E$63,MATCH($E21,SUPPLIERS!$A$4:$A$63,0))="","",INDEX(SUPPLIERS!$E$4:$E$63,MATCH($E21,SUPPLIERS!$A$4:$A$63,0))),""))</f>
        <v/>
      </c>
      <c r="K21" s="20"/>
      <c r="L21" s="19"/>
      <c r="M21" s="23" t="str">
        <f aca="false">IF(COUNT($F21:$J21)&lt;5,"",ROUND($F21*W_SRC+$G21*W_QC+$H21*W_CAP+$I21*W_SUP+$J21*W_EXT,1))</f>
        <v/>
      </c>
      <c r="N21" s="24" t="str">
        <f aca="false">IF(OR($M21="",$K21=""),"",ROUND($M21*$K21,1))</f>
        <v/>
      </c>
      <c r="O21" s="25" t="str">
        <f aca="false">IF($E21="","",IF($L21&lt;&gt;"","CRITICAL (FLAG)",IF(OR($M21="",$K21=""),"NOT SCORED",IF($N21&gt;=T_CRIT,"CRITICAL",IF($N21&gt;=T_MON,"MONITOR","LOW")))))</f>
        <v/>
      </c>
      <c r="P21" s="12" t="str">
        <f aca="false">IF($M21="","",INDEX(DriverNames,MATCH(MAX($F21:$J21),$F21:$J21,0)))</f>
        <v/>
      </c>
      <c r="Q21" s="21"/>
      <c r="R21" s="26"/>
      <c r="S21" s="2" t="str">
        <f aca="false">IF($O21="","",IF($L21&lt;&gt;"",100,0)+IF($N21="",0,$N21)+ROW()/100000)</f>
        <v/>
      </c>
      <c r="T21" s="2" t="str">
        <f aca="false">IF($S21="","",IF($A21=SEL_MODEL,$S21,""))</f>
        <v/>
      </c>
    </row>
    <row r="22" customFormat="false" ht="15" hidden="false" customHeight="false" outlineLevel="0" collapsed="false">
      <c r="A22" s="19"/>
      <c r="B22" s="20"/>
      <c r="C22" s="21"/>
      <c r="D22" s="20"/>
      <c r="E22" s="19"/>
      <c r="F22" s="20"/>
      <c r="G22" s="20"/>
      <c r="H22" s="20"/>
      <c r="I22" s="22" t="str">
        <f aca="false">IF($E22="","",IFERROR(IF(INDEX(SUPPLIERS!$D$4:$D$63,MATCH($E22,SUPPLIERS!$A$4:$A$63,0))="","",INDEX(SUPPLIERS!$D$4:$D$63,MATCH($E22,SUPPLIERS!$A$4:$A$63,0))),""))</f>
        <v/>
      </c>
      <c r="J22" s="22" t="str">
        <f aca="false">IF($E22="","",IFERROR(IF(INDEX(SUPPLIERS!$E$4:$E$63,MATCH($E22,SUPPLIERS!$A$4:$A$63,0))="","",INDEX(SUPPLIERS!$E$4:$E$63,MATCH($E22,SUPPLIERS!$A$4:$A$63,0))),""))</f>
        <v/>
      </c>
      <c r="K22" s="20"/>
      <c r="L22" s="19"/>
      <c r="M22" s="23" t="str">
        <f aca="false">IF(COUNT($F22:$J22)&lt;5,"",ROUND($F22*W_SRC+$G22*W_QC+$H22*W_CAP+$I22*W_SUP+$J22*W_EXT,1))</f>
        <v/>
      </c>
      <c r="N22" s="24" t="str">
        <f aca="false">IF(OR($M22="",$K22=""),"",ROUND($M22*$K22,1))</f>
        <v/>
      </c>
      <c r="O22" s="25" t="str">
        <f aca="false">IF($E22="","",IF($L22&lt;&gt;"","CRITICAL (FLAG)",IF(OR($M22="",$K22=""),"NOT SCORED",IF($N22&gt;=T_CRIT,"CRITICAL",IF($N22&gt;=T_MON,"MONITOR","LOW")))))</f>
        <v/>
      </c>
      <c r="P22" s="12" t="str">
        <f aca="false">IF($M22="","",INDEX(DriverNames,MATCH(MAX($F22:$J22),$F22:$J22,0)))</f>
        <v/>
      </c>
      <c r="Q22" s="21"/>
      <c r="R22" s="26"/>
      <c r="S22" s="2" t="str">
        <f aca="false">IF($O22="","",IF($L22&lt;&gt;"",100,0)+IF($N22="",0,$N22)+ROW()/100000)</f>
        <v/>
      </c>
      <c r="T22" s="2" t="str">
        <f aca="false">IF($S22="","",IF($A22=SEL_MODEL,$S22,""))</f>
        <v/>
      </c>
    </row>
    <row r="23" customFormat="false" ht="15" hidden="false" customHeight="false" outlineLevel="0" collapsed="false">
      <c r="A23" s="19"/>
      <c r="B23" s="20"/>
      <c r="C23" s="21"/>
      <c r="D23" s="20"/>
      <c r="E23" s="19"/>
      <c r="F23" s="20"/>
      <c r="G23" s="20"/>
      <c r="H23" s="20"/>
      <c r="I23" s="22" t="str">
        <f aca="false">IF($E23="","",IFERROR(IF(INDEX(SUPPLIERS!$D$4:$D$63,MATCH($E23,SUPPLIERS!$A$4:$A$63,0))="","",INDEX(SUPPLIERS!$D$4:$D$63,MATCH($E23,SUPPLIERS!$A$4:$A$63,0))),""))</f>
        <v/>
      </c>
      <c r="J23" s="22" t="str">
        <f aca="false">IF($E23="","",IFERROR(IF(INDEX(SUPPLIERS!$E$4:$E$63,MATCH($E23,SUPPLIERS!$A$4:$A$63,0))="","",INDEX(SUPPLIERS!$E$4:$E$63,MATCH($E23,SUPPLIERS!$A$4:$A$63,0))),""))</f>
        <v/>
      </c>
      <c r="K23" s="20"/>
      <c r="L23" s="19"/>
      <c r="M23" s="23" t="str">
        <f aca="false">IF(COUNT($F23:$J23)&lt;5,"",ROUND($F23*W_SRC+$G23*W_QC+$H23*W_CAP+$I23*W_SUP+$J23*W_EXT,1))</f>
        <v/>
      </c>
      <c r="N23" s="24" t="str">
        <f aca="false">IF(OR($M23="",$K23=""),"",ROUND($M23*$K23,1))</f>
        <v/>
      </c>
      <c r="O23" s="25" t="str">
        <f aca="false">IF($E23="","",IF($L23&lt;&gt;"","CRITICAL (FLAG)",IF(OR($M23="",$K23=""),"NOT SCORED",IF($N23&gt;=T_CRIT,"CRITICAL",IF($N23&gt;=T_MON,"MONITOR","LOW")))))</f>
        <v/>
      </c>
      <c r="P23" s="12" t="str">
        <f aca="false">IF($M23="","",INDEX(DriverNames,MATCH(MAX($F23:$J23),$F23:$J23,0)))</f>
        <v/>
      </c>
      <c r="Q23" s="21"/>
      <c r="R23" s="26"/>
      <c r="S23" s="2" t="str">
        <f aca="false">IF($O23="","",IF($L23&lt;&gt;"",100,0)+IF($N23="",0,$N23)+ROW()/100000)</f>
        <v/>
      </c>
      <c r="T23" s="2" t="str">
        <f aca="false">IF($S23="","",IF($A23=SEL_MODEL,$S23,""))</f>
        <v/>
      </c>
    </row>
    <row r="24" customFormat="false" ht="15" hidden="false" customHeight="false" outlineLevel="0" collapsed="false">
      <c r="A24" s="19"/>
      <c r="B24" s="20"/>
      <c r="C24" s="21"/>
      <c r="D24" s="20"/>
      <c r="E24" s="19"/>
      <c r="F24" s="20"/>
      <c r="G24" s="20"/>
      <c r="H24" s="20"/>
      <c r="I24" s="22" t="str">
        <f aca="false">IF($E24="","",IFERROR(IF(INDEX(SUPPLIERS!$D$4:$D$63,MATCH($E24,SUPPLIERS!$A$4:$A$63,0))="","",INDEX(SUPPLIERS!$D$4:$D$63,MATCH($E24,SUPPLIERS!$A$4:$A$63,0))),""))</f>
        <v/>
      </c>
      <c r="J24" s="22" t="str">
        <f aca="false">IF($E24="","",IFERROR(IF(INDEX(SUPPLIERS!$E$4:$E$63,MATCH($E24,SUPPLIERS!$A$4:$A$63,0))="","",INDEX(SUPPLIERS!$E$4:$E$63,MATCH($E24,SUPPLIERS!$A$4:$A$63,0))),""))</f>
        <v/>
      </c>
      <c r="K24" s="20"/>
      <c r="L24" s="19"/>
      <c r="M24" s="23" t="str">
        <f aca="false">IF(COUNT($F24:$J24)&lt;5,"",ROUND($F24*W_SRC+$G24*W_QC+$H24*W_CAP+$I24*W_SUP+$J24*W_EXT,1))</f>
        <v/>
      </c>
      <c r="N24" s="24" t="str">
        <f aca="false">IF(OR($M24="",$K24=""),"",ROUND($M24*$K24,1))</f>
        <v/>
      </c>
      <c r="O24" s="25" t="str">
        <f aca="false">IF($E24="","",IF($L24&lt;&gt;"","CRITICAL (FLAG)",IF(OR($M24="",$K24=""),"NOT SCORED",IF($N24&gt;=T_CRIT,"CRITICAL",IF($N24&gt;=T_MON,"MONITOR","LOW")))))</f>
        <v/>
      </c>
      <c r="P24" s="12" t="str">
        <f aca="false">IF($M24="","",INDEX(DriverNames,MATCH(MAX($F24:$J24),$F24:$J24,0)))</f>
        <v/>
      </c>
      <c r="Q24" s="21"/>
      <c r="R24" s="26"/>
      <c r="S24" s="2" t="str">
        <f aca="false">IF($O24="","",IF($L24&lt;&gt;"",100,0)+IF($N24="",0,$N24)+ROW()/100000)</f>
        <v/>
      </c>
      <c r="T24" s="2" t="str">
        <f aca="false">IF($S24="","",IF($A24=SEL_MODEL,$S24,""))</f>
        <v/>
      </c>
    </row>
    <row r="25" customFormat="false" ht="15" hidden="false" customHeight="false" outlineLevel="0" collapsed="false">
      <c r="A25" s="19"/>
      <c r="B25" s="20"/>
      <c r="C25" s="21"/>
      <c r="D25" s="20"/>
      <c r="E25" s="19"/>
      <c r="F25" s="20"/>
      <c r="G25" s="20"/>
      <c r="H25" s="20"/>
      <c r="I25" s="22" t="str">
        <f aca="false">IF($E25="","",IFERROR(IF(INDEX(SUPPLIERS!$D$4:$D$63,MATCH($E25,SUPPLIERS!$A$4:$A$63,0))="","",INDEX(SUPPLIERS!$D$4:$D$63,MATCH($E25,SUPPLIERS!$A$4:$A$63,0))),""))</f>
        <v/>
      </c>
      <c r="J25" s="22" t="str">
        <f aca="false">IF($E25="","",IFERROR(IF(INDEX(SUPPLIERS!$E$4:$E$63,MATCH($E25,SUPPLIERS!$A$4:$A$63,0))="","",INDEX(SUPPLIERS!$E$4:$E$63,MATCH($E25,SUPPLIERS!$A$4:$A$63,0))),""))</f>
        <v/>
      </c>
      <c r="K25" s="20"/>
      <c r="L25" s="19"/>
      <c r="M25" s="23" t="str">
        <f aca="false">IF(COUNT($F25:$J25)&lt;5,"",ROUND($F25*W_SRC+$G25*W_QC+$H25*W_CAP+$I25*W_SUP+$J25*W_EXT,1))</f>
        <v/>
      </c>
      <c r="N25" s="24" t="str">
        <f aca="false">IF(OR($M25="",$K25=""),"",ROUND($M25*$K25,1))</f>
        <v/>
      </c>
      <c r="O25" s="25" t="str">
        <f aca="false">IF($E25="","",IF($L25&lt;&gt;"","CRITICAL (FLAG)",IF(OR($M25="",$K25=""),"NOT SCORED",IF($N25&gt;=T_CRIT,"CRITICAL",IF($N25&gt;=T_MON,"MONITOR","LOW")))))</f>
        <v/>
      </c>
      <c r="P25" s="12" t="str">
        <f aca="false">IF($M25="","",INDEX(DriverNames,MATCH(MAX($F25:$J25),$F25:$J25,0)))</f>
        <v/>
      </c>
      <c r="Q25" s="21"/>
      <c r="R25" s="26"/>
      <c r="S25" s="2" t="str">
        <f aca="false">IF($O25="","",IF($L25&lt;&gt;"",100,0)+IF($N25="",0,$N25)+ROW()/100000)</f>
        <v/>
      </c>
      <c r="T25" s="2" t="str">
        <f aca="false">IF($S25="","",IF($A25=SEL_MODEL,$S25,""))</f>
        <v/>
      </c>
    </row>
    <row r="26" customFormat="false" ht="15" hidden="false" customHeight="false" outlineLevel="0" collapsed="false">
      <c r="A26" s="19"/>
      <c r="B26" s="20"/>
      <c r="C26" s="21"/>
      <c r="D26" s="20"/>
      <c r="E26" s="19"/>
      <c r="F26" s="20"/>
      <c r="G26" s="20"/>
      <c r="H26" s="20"/>
      <c r="I26" s="22" t="str">
        <f aca="false">IF($E26="","",IFERROR(IF(INDEX(SUPPLIERS!$D$4:$D$63,MATCH($E26,SUPPLIERS!$A$4:$A$63,0))="","",INDEX(SUPPLIERS!$D$4:$D$63,MATCH($E26,SUPPLIERS!$A$4:$A$63,0))),""))</f>
        <v/>
      </c>
      <c r="J26" s="22" t="str">
        <f aca="false">IF($E26="","",IFERROR(IF(INDEX(SUPPLIERS!$E$4:$E$63,MATCH($E26,SUPPLIERS!$A$4:$A$63,0))="","",INDEX(SUPPLIERS!$E$4:$E$63,MATCH($E26,SUPPLIERS!$A$4:$A$63,0))),""))</f>
        <v/>
      </c>
      <c r="K26" s="20"/>
      <c r="L26" s="19"/>
      <c r="M26" s="23" t="str">
        <f aca="false">IF(COUNT($F26:$J26)&lt;5,"",ROUND($F26*W_SRC+$G26*W_QC+$H26*W_CAP+$I26*W_SUP+$J26*W_EXT,1))</f>
        <v/>
      </c>
      <c r="N26" s="24" t="str">
        <f aca="false">IF(OR($M26="",$K26=""),"",ROUND($M26*$K26,1))</f>
        <v/>
      </c>
      <c r="O26" s="25" t="str">
        <f aca="false">IF($E26="","",IF($L26&lt;&gt;"","CRITICAL (FLAG)",IF(OR($M26="",$K26=""),"NOT SCORED",IF($N26&gt;=T_CRIT,"CRITICAL",IF($N26&gt;=T_MON,"MONITOR","LOW")))))</f>
        <v/>
      </c>
      <c r="P26" s="12" t="str">
        <f aca="false">IF($M26="","",INDEX(DriverNames,MATCH(MAX($F26:$J26),$F26:$J26,0)))</f>
        <v/>
      </c>
      <c r="Q26" s="21"/>
      <c r="R26" s="26"/>
      <c r="S26" s="2" t="str">
        <f aca="false">IF($O26="","",IF($L26&lt;&gt;"",100,0)+IF($N26="",0,$N26)+ROW()/100000)</f>
        <v/>
      </c>
      <c r="T26" s="2" t="str">
        <f aca="false">IF($S26="","",IF($A26=SEL_MODEL,$S26,""))</f>
        <v/>
      </c>
    </row>
    <row r="27" customFormat="false" ht="15" hidden="false" customHeight="false" outlineLevel="0" collapsed="false">
      <c r="A27" s="19"/>
      <c r="B27" s="20"/>
      <c r="C27" s="21"/>
      <c r="D27" s="20"/>
      <c r="E27" s="19"/>
      <c r="F27" s="20"/>
      <c r="G27" s="20"/>
      <c r="H27" s="20"/>
      <c r="I27" s="22" t="str">
        <f aca="false">IF($E27="","",IFERROR(IF(INDEX(SUPPLIERS!$D$4:$D$63,MATCH($E27,SUPPLIERS!$A$4:$A$63,0))="","",INDEX(SUPPLIERS!$D$4:$D$63,MATCH($E27,SUPPLIERS!$A$4:$A$63,0))),""))</f>
        <v/>
      </c>
      <c r="J27" s="22" t="str">
        <f aca="false">IF($E27="","",IFERROR(IF(INDEX(SUPPLIERS!$E$4:$E$63,MATCH($E27,SUPPLIERS!$A$4:$A$63,0))="","",INDEX(SUPPLIERS!$E$4:$E$63,MATCH($E27,SUPPLIERS!$A$4:$A$63,0))),""))</f>
        <v/>
      </c>
      <c r="K27" s="20"/>
      <c r="L27" s="19"/>
      <c r="M27" s="23" t="str">
        <f aca="false">IF(COUNT($F27:$J27)&lt;5,"",ROUND($F27*W_SRC+$G27*W_QC+$H27*W_CAP+$I27*W_SUP+$J27*W_EXT,1))</f>
        <v/>
      </c>
      <c r="N27" s="24" t="str">
        <f aca="false">IF(OR($M27="",$K27=""),"",ROUND($M27*$K27,1))</f>
        <v/>
      </c>
      <c r="O27" s="25" t="str">
        <f aca="false">IF($E27="","",IF($L27&lt;&gt;"","CRITICAL (FLAG)",IF(OR($M27="",$K27=""),"NOT SCORED",IF($N27&gt;=T_CRIT,"CRITICAL",IF($N27&gt;=T_MON,"MONITOR","LOW")))))</f>
        <v/>
      </c>
      <c r="P27" s="12" t="str">
        <f aca="false">IF($M27="","",INDEX(DriverNames,MATCH(MAX($F27:$J27),$F27:$J27,0)))</f>
        <v/>
      </c>
      <c r="Q27" s="21"/>
      <c r="R27" s="26"/>
      <c r="S27" s="2" t="str">
        <f aca="false">IF($O27="","",IF($L27&lt;&gt;"",100,0)+IF($N27="",0,$N27)+ROW()/100000)</f>
        <v/>
      </c>
      <c r="T27" s="2" t="str">
        <f aca="false">IF($S27="","",IF($A27=SEL_MODEL,$S27,""))</f>
        <v/>
      </c>
    </row>
    <row r="28" customFormat="false" ht="15" hidden="false" customHeight="false" outlineLevel="0" collapsed="false">
      <c r="A28" s="19"/>
      <c r="B28" s="20"/>
      <c r="C28" s="21"/>
      <c r="D28" s="20"/>
      <c r="E28" s="19"/>
      <c r="F28" s="20"/>
      <c r="G28" s="20"/>
      <c r="H28" s="20"/>
      <c r="I28" s="22" t="str">
        <f aca="false">IF($E28="","",IFERROR(IF(INDEX(SUPPLIERS!$D$4:$D$63,MATCH($E28,SUPPLIERS!$A$4:$A$63,0))="","",INDEX(SUPPLIERS!$D$4:$D$63,MATCH($E28,SUPPLIERS!$A$4:$A$63,0))),""))</f>
        <v/>
      </c>
      <c r="J28" s="22" t="str">
        <f aca="false">IF($E28="","",IFERROR(IF(INDEX(SUPPLIERS!$E$4:$E$63,MATCH($E28,SUPPLIERS!$A$4:$A$63,0))="","",INDEX(SUPPLIERS!$E$4:$E$63,MATCH($E28,SUPPLIERS!$A$4:$A$63,0))),""))</f>
        <v/>
      </c>
      <c r="K28" s="20"/>
      <c r="L28" s="19"/>
      <c r="M28" s="23" t="str">
        <f aca="false">IF(COUNT($F28:$J28)&lt;5,"",ROUND($F28*W_SRC+$G28*W_QC+$H28*W_CAP+$I28*W_SUP+$J28*W_EXT,1))</f>
        <v/>
      </c>
      <c r="N28" s="24" t="str">
        <f aca="false">IF(OR($M28="",$K28=""),"",ROUND($M28*$K28,1))</f>
        <v/>
      </c>
      <c r="O28" s="25" t="str">
        <f aca="false">IF($E28="","",IF($L28&lt;&gt;"","CRITICAL (FLAG)",IF(OR($M28="",$K28=""),"NOT SCORED",IF($N28&gt;=T_CRIT,"CRITICAL",IF($N28&gt;=T_MON,"MONITOR","LOW")))))</f>
        <v/>
      </c>
      <c r="P28" s="12" t="str">
        <f aca="false">IF($M28="","",INDEX(DriverNames,MATCH(MAX($F28:$J28),$F28:$J28,0)))</f>
        <v/>
      </c>
      <c r="Q28" s="21"/>
      <c r="R28" s="26"/>
      <c r="S28" s="2" t="str">
        <f aca="false">IF($O28="","",IF($L28&lt;&gt;"",100,0)+IF($N28="",0,$N28)+ROW()/100000)</f>
        <v/>
      </c>
      <c r="T28" s="2" t="str">
        <f aca="false">IF($S28="","",IF($A28=SEL_MODEL,$S28,""))</f>
        <v/>
      </c>
    </row>
    <row r="29" customFormat="false" ht="15" hidden="false" customHeight="false" outlineLevel="0" collapsed="false">
      <c r="A29" s="19"/>
      <c r="B29" s="20"/>
      <c r="C29" s="21"/>
      <c r="D29" s="20"/>
      <c r="E29" s="19"/>
      <c r="F29" s="20"/>
      <c r="G29" s="20"/>
      <c r="H29" s="20"/>
      <c r="I29" s="22" t="str">
        <f aca="false">IF($E29="","",IFERROR(IF(INDEX(SUPPLIERS!$D$4:$D$63,MATCH($E29,SUPPLIERS!$A$4:$A$63,0))="","",INDEX(SUPPLIERS!$D$4:$D$63,MATCH($E29,SUPPLIERS!$A$4:$A$63,0))),""))</f>
        <v/>
      </c>
      <c r="J29" s="22" t="str">
        <f aca="false">IF($E29="","",IFERROR(IF(INDEX(SUPPLIERS!$E$4:$E$63,MATCH($E29,SUPPLIERS!$A$4:$A$63,0))="","",INDEX(SUPPLIERS!$E$4:$E$63,MATCH($E29,SUPPLIERS!$A$4:$A$63,0))),""))</f>
        <v/>
      </c>
      <c r="K29" s="20"/>
      <c r="L29" s="19"/>
      <c r="M29" s="23" t="str">
        <f aca="false">IF(COUNT($F29:$J29)&lt;5,"",ROUND($F29*W_SRC+$G29*W_QC+$H29*W_CAP+$I29*W_SUP+$J29*W_EXT,1))</f>
        <v/>
      </c>
      <c r="N29" s="24" t="str">
        <f aca="false">IF(OR($M29="",$K29=""),"",ROUND($M29*$K29,1))</f>
        <v/>
      </c>
      <c r="O29" s="25" t="str">
        <f aca="false">IF($E29="","",IF($L29&lt;&gt;"","CRITICAL (FLAG)",IF(OR($M29="",$K29=""),"NOT SCORED",IF($N29&gt;=T_CRIT,"CRITICAL",IF($N29&gt;=T_MON,"MONITOR","LOW")))))</f>
        <v/>
      </c>
      <c r="P29" s="12" t="str">
        <f aca="false">IF($M29="","",INDEX(DriverNames,MATCH(MAX($F29:$J29),$F29:$J29,0)))</f>
        <v/>
      </c>
      <c r="Q29" s="21"/>
      <c r="R29" s="26"/>
      <c r="S29" s="2" t="str">
        <f aca="false">IF($O29="","",IF($L29&lt;&gt;"",100,0)+IF($N29="",0,$N29)+ROW()/100000)</f>
        <v/>
      </c>
      <c r="T29" s="2" t="str">
        <f aca="false">IF($S29="","",IF($A29=SEL_MODEL,$S29,""))</f>
        <v/>
      </c>
    </row>
    <row r="30" customFormat="false" ht="15" hidden="false" customHeight="false" outlineLevel="0" collapsed="false">
      <c r="A30" s="19"/>
      <c r="B30" s="20"/>
      <c r="C30" s="21"/>
      <c r="D30" s="20"/>
      <c r="E30" s="19"/>
      <c r="F30" s="20"/>
      <c r="G30" s="20"/>
      <c r="H30" s="20"/>
      <c r="I30" s="22" t="str">
        <f aca="false">IF($E30="","",IFERROR(IF(INDEX(SUPPLIERS!$D$4:$D$63,MATCH($E30,SUPPLIERS!$A$4:$A$63,0))="","",INDEX(SUPPLIERS!$D$4:$D$63,MATCH($E30,SUPPLIERS!$A$4:$A$63,0))),""))</f>
        <v/>
      </c>
      <c r="J30" s="22" t="str">
        <f aca="false">IF($E30="","",IFERROR(IF(INDEX(SUPPLIERS!$E$4:$E$63,MATCH($E30,SUPPLIERS!$A$4:$A$63,0))="","",INDEX(SUPPLIERS!$E$4:$E$63,MATCH($E30,SUPPLIERS!$A$4:$A$63,0))),""))</f>
        <v/>
      </c>
      <c r="K30" s="20"/>
      <c r="L30" s="19"/>
      <c r="M30" s="23" t="str">
        <f aca="false">IF(COUNT($F30:$J30)&lt;5,"",ROUND($F30*W_SRC+$G30*W_QC+$H30*W_CAP+$I30*W_SUP+$J30*W_EXT,1))</f>
        <v/>
      </c>
      <c r="N30" s="24" t="str">
        <f aca="false">IF(OR($M30="",$K30=""),"",ROUND($M30*$K30,1))</f>
        <v/>
      </c>
      <c r="O30" s="25" t="str">
        <f aca="false">IF($E30="","",IF($L30&lt;&gt;"","CRITICAL (FLAG)",IF(OR($M30="",$K30=""),"NOT SCORED",IF($N30&gt;=T_CRIT,"CRITICAL",IF($N30&gt;=T_MON,"MONITOR","LOW")))))</f>
        <v/>
      </c>
      <c r="P30" s="12" t="str">
        <f aca="false">IF($M30="","",INDEX(DriverNames,MATCH(MAX($F30:$J30),$F30:$J30,0)))</f>
        <v/>
      </c>
      <c r="Q30" s="21"/>
      <c r="R30" s="26"/>
      <c r="S30" s="2" t="str">
        <f aca="false">IF($O30="","",IF($L30&lt;&gt;"",100,0)+IF($N30="",0,$N30)+ROW()/100000)</f>
        <v/>
      </c>
      <c r="T30" s="2" t="str">
        <f aca="false">IF($S30="","",IF($A30=SEL_MODEL,$S30,""))</f>
        <v/>
      </c>
    </row>
    <row r="31" customFormat="false" ht="15" hidden="false" customHeight="false" outlineLevel="0" collapsed="false">
      <c r="A31" s="19"/>
      <c r="B31" s="20"/>
      <c r="C31" s="21"/>
      <c r="D31" s="20"/>
      <c r="E31" s="19"/>
      <c r="F31" s="20"/>
      <c r="G31" s="20"/>
      <c r="H31" s="20"/>
      <c r="I31" s="22" t="str">
        <f aca="false">IF($E31="","",IFERROR(IF(INDEX(SUPPLIERS!$D$4:$D$63,MATCH($E31,SUPPLIERS!$A$4:$A$63,0))="","",INDEX(SUPPLIERS!$D$4:$D$63,MATCH($E31,SUPPLIERS!$A$4:$A$63,0))),""))</f>
        <v/>
      </c>
      <c r="J31" s="22" t="str">
        <f aca="false">IF($E31="","",IFERROR(IF(INDEX(SUPPLIERS!$E$4:$E$63,MATCH($E31,SUPPLIERS!$A$4:$A$63,0))="","",INDEX(SUPPLIERS!$E$4:$E$63,MATCH($E31,SUPPLIERS!$A$4:$A$63,0))),""))</f>
        <v/>
      </c>
      <c r="K31" s="20"/>
      <c r="L31" s="19"/>
      <c r="M31" s="23" t="str">
        <f aca="false">IF(COUNT($F31:$J31)&lt;5,"",ROUND($F31*W_SRC+$G31*W_QC+$H31*W_CAP+$I31*W_SUP+$J31*W_EXT,1))</f>
        <v/>
      </c>
      <c r="N31" s="24" t="str">
        <f aca="false">IF(OR($M31="",$K31=""),"",ROUND($M31*$K31,1))</f>
        <v/>
      </c>
      <c r="O31" s="25" t="str">
        <f aca="false">IF($E31="","",IF($L31&lt;&gt;"","CRITICAL (FLAG)",IF(OR($M31="",$K31=""),"NOT SCORED",IF($N31&gt;=T_CRIT,"CRITICAL",IF($N31&gt;=T_MON,"MONITOR","LOW")))))</f>
        <v/>
      </c>
      <c r="P31" s="12" t="str">
        <f aca="false">IF($M31="","",INDEX(DriverNames,MATCH(MAX($F31:$J31),$F31:$J31,0)))</f>
        <v/>
      </c>
      <c r="Q31" s="21"/>
      <c r="R31" s="26"/>
      <c r="S31" s="2" t="str">
        <f aca="false">IF($O31="","",IF($L31&lt;&gt;"",100,0)+IF($N31="",0,$N31)+ROW()/100000)</f>
        <v/>
      </c>
      <c r="T31" s="2" t="str">
        <f aca="false">IF($S31="","",IF($A31=SEL_MODEL,$S31,""))</f>
        <v/>
      </c>
    </row>
    <row r="32" customFormat="false" ht="15" hidden="false" customHeight="false" outlineLevel="0" collapsed="false">
      <c r="A32" s="19"/>
      <c r="B32" s="20"/>
      <c r="C32" s="21"/>
      <c r="D32" s="20"/>
      <c r="E32" s="19"/>
      <c r="F32" s="20"/>
      <c r="G32" s="20"/>
      <c r="H32" s="20"/>
      <c r="I32" s="22" t="str">
        <f aca="false">IF($E32="","",IFERROR(IF(INDEX(SUPPLIERS!$D$4:$D$63,MATCH($E32,SUPPLIERS!$A$4:$A$63,0))="","",INDEX(SUPPLIERS!$D$4:$D$63,MATCH($E32,SUPPLIERS!$A$4:$A$63,0))),""))</f>
        <v/>
      </c>
      <c r="J32" s="22" t="str">
        <f aca="false">IF($E32="","",IFERROR(IF(INDEX(SUPPLIERS!$E$4:$E$63,MATCH($E32,SUPPLIERS!$A$4:$A$63,0))="","",INDEX(SUPPLIERS!$E$4:$E$63,MATCH($E32,SUPPLIERS!$A$4:$A$63,0))),""))</f>
        <v/>
      </c>
      <c r="K32" s="20"/>
      <c r="L32" s="19"/>
      <c r="M32" s="23" t="str">
        <f aca="false">IF(COUNT($F32:$J32)&lt;5,"",ROUND($F32*W_SRC+$G32*W_QC+$H32*W_CAP+$I32*W_SUP+$J32*W_EXT,1))</f>
        <v/>
      </c>
      <c r="N32" s="24" t="str">
        <f aca="false">IF(OR($M32="",$K32=""),"",ROUND($M32*$K32,1))</f>
        <v/>
      </c>
      <c r="O32" s="25" t="str">
        <f aca="false">IF($E32="","",IF($L32&lt;&gt;"","CRITICAL (FLAG)",IF(OR($M32="",$K32=""),"NOT SCORED",IF($N32&gt;=T_CRIT,"CRITICAL",IF($N32&gt;=T_MON,"MONITOR","LOW")))))</f>
        <v/>
      </c>
      <c r="P32" s="12" t="str">
        <f aca="false">IF($M32="","",INDEX(DriverNames,MATCH(MAX($F32:$J32),$F32:$J32,0)))</f>
        <v/>
      </c>
      <c r="Q32" s="21"/>
      <c r="R32" s="26"/>
      <c r="S32" s="2" t="str">
        <f aca="false">IF($O32="","",IF($L32&lt;&gt;"",100,0)+IF($N32="",0,$N32)+ROW()/100000)</f>
        <v/>
      </c>
      <c r="T32" s="2" t="str">
        <f aca="false">IF($S32="","",IF($A32=SEL_MODEL,$S32,""))</f>
        <v/>
      </c>
    </row>
    <row r="33" customFormat="false" ht="15" hidden="false" customHeight="false" outlineLevel="0" collapsed="false">
      <c r="A33" s="19"/>
      <c r="B33" s="20"/>
      <c r="C33" s="21"/>
      <c r="D33" s="20"/>
      <c r="E33" s="19"/>
      <c r="F33" s="20"/>
      <c r="G33" s="20"/>
      <c r="H33" s="20"/>
      <c r="I33" s="22" t="str">
        <f aca="false">IF($E33="","",IFERROR(IF(INDEX(SUPPLIERS!$D$4:$D$63,MATCH($E33,SUPPLIERS!$A$4:$A$63,0))="","",INDEX(SUPPLIERS!$D$4:$D$63,MATCH($E33,SUPPLIERS!$A$4:$A$63,0))),""))</f>
        <v/>
      </c>
      <c r="J33" s="22" t="str">
        <f aca="false">IF($E33="","",IFERROR(IF(INDEX(SUPPLIERS!$E$4:$E$63,MATCH($E33,SUPPLIERS!$A$4:$A$63,0))="","",INDEX(SUPPLIERS!$E$4:$E$63,MATCH($E33,SUPPLIERS!$A$4:$A$63,0))),""))</f>
        <v/>
      </c>
      <c r="K33" s="20"/>
      <c r="L33" s="19"/>
      <c r="M33" s="23" t="str">
        <f aca="false">IF(COUNT($F33:$J33)&lt;5,"",ROUND($F33*W_SRC+$G33*W_QC+$H33*W_CAP+$I33*W_SUP+$J33*W_EXT,1))</f>
        <v/>
      </c>
      <c r="N33" s="24" t="str">
        <f aca="false">IF(OR($M33="",$K33=""),"",ROUND($M33*$K33,1))</f>
        <v/>
      </c>
      <c r="O33" s="25" t="str">
        <f aca="false">IF($E33="","",IF($L33&lt;&gt;"","CRITICAL (FLAG)",IF(OR($M33="",$K33=""),"NOT SCORED",IF($N33&gt;=T_CRIT,"CRITICAL",IF($N33&gt;=T_MON,"MONITOR","LOW")))))</f>
        <v/>
      </c>
      <c r="P33" s="12" t="str">
        <f aca="false">IF($M33="","",INDEX(DriverNames,MATCH(MAX($F33:$J33),$F33:$J33,0)))</f>
        <v/>
      </c>
      <c r="Q33" s="21"/>
      <c r="R33" s="26"/>
      <c r="S33" s="2" t="str">
        <f aca="false">IF($O33="","",IF($L33&lt;&gt;"",100,0)+IF($N33="",0,$N33)+ROW()/100000)</f>
        <v/>
      </c>
      <c r="T33" s="2" t="str">
        <f aca="false">IF($S33="","",IF($A33=SEL_MODEL,$S33,""))</f>
        <v/>
      </c>
    </row>
    <row r="34" customFormat="false" ht="15" hidden="false" customHeight="false" outlineLevel="0" collapsed="false">
      <c r="A34" s="19"/>
      <c r="B34" s="20"/>
      <c r="C34" s="21"/>
      <c r="D34" s="20"/>
      <c r="E34" s="19"/>
      <c r="F34" s="20"/>
      <c r="G34" s="20"/>
      <c r="H34" s="20"/>
      <c r="I34" s="22" t="str">
        <f aca="false">IF($E34="","",IFERROR(IF(INDEX(SUPPLIERS!$D$4:$D$63,MATCH($E34,SUPPLIERS!$A$4:$A$63,0))="","",INDEX(SUPPLIERS!$D$4:$D$63,MATCH($E34,SUPPLIERS!$A$4:$A$63,0))),""))</f>
        <v/>
      </c>
      <c r="J34" s="22" t="str">
        <f aca="false">IF($E34="","",IFERROR(IF(INDEX(SUPPLIERS!$E$4:$E$63,MATCH($E34,SUPPLIERS!$A$4:$A$63,0))="","",INDEX(SUPPLIERS!$E$4:$E$63,MATCH($E34,SUPPLIERS!$A$4:$A$63,0))),""))</f>
        <v/>
      </c>
      <c r="K34" s="20"/>
      <c r="L34" s="19"/>
      <c r="M34" s="23" t="str">
        <f aca="false">IF(COUNT($F34:$J34)&lt;5,"",ROUND($F34*W_SRC+$G34*W_QC+$H34*W_CAP+$I34*W_SUP+$J34*W_EXT,1))</f>
        <v/>
      </c>
      <c r="N34" s="24" t="str">
        <f aca="false">IF(OR($M34="",$K34=""),"",ROUND($M34*$K34,1))</f>
        <v/>
      </c>
      <c r="O34" s="25" t="str">
        <f aca="false">IF($E34="","",IF($L34&lt;&gt;"","CRITICAL (FLAG)",IF(OR($M34="",$K34=""),"NOT SCORED",IF($N34&gt;=T_CRIT,"CRITICAL",IF($N34&gt;=T_MON,"MONITOR","LOW")))))</f>
        <v/>
      </c>
      <c r="P34" s="12" t="str">
        <f aca="false">IF($M34="","",INDEX(DriverNames,MATCH(MAX($F34:$J34),$F34:$J34,0)))</f>
        <v/>
      </c>
      <c r="Q34" s="21"/>
      <c r="R34" s="26"/>
      <c r="S34" s="2" t="str">
        <f aca="false">IF($O34="","",IF($L34&lt;&gt;"",100,0)+IF($N34="",0,$N34)+ROW()/100000)</f>
        <v/>
      </c>
      <c r="T34" s="2" t="str">
        <f aca="false">IF($S34="","",IF($A34=SEL_MODEL,$S34,""))</f>
        <v/>
      </c>
    </row>
    <row r="35" customFormat="false" ht="15" hidden="false" customHeight="false" outlineLevel="0" collapsed="false">
      <c r="A35" s="19"/>
      <c r="B35" s="20"/>
      <c r="C35" s="21"/>
      <c r="D35" s="20"/>
      <c r="E35" s="19"/>
      <c r="F35" s="20"/>
      <c r="G35" s="20"/>
      <c r="H35" s="20"/>
      <c r="I35" s="22" t="str">
        <f aca="false">IF($E35="","",IFERROR(IF(INDEX(SUPPLIERS!$D$4:$D$63,MATCH($E35,SUPPLIERS!$A$4:$A$63,0))="","",INDEX(SUPPLIERS!$D$4:$D$63,MATCH($E35,SUPPLIERS!$A$4:$A$63,0))),""))</f>
        <v/>
      </c>
      <c r="J35" s="22" t="str">
        <f aca="false">IF($E35="","",IFERROR(IF(INDEX(SUPPLIERS!$E$4:$E$63,MATCH($E35,SUPPLIERS!$A$4:$A$63,0))="","",INDEX(SUPPLIERS!$E$4:$E$63,MATCH($E35,SUPPLIERS!$A$4:$A$63,0))),""))</f>
        <v/>
      </c>
      <c r="K35" s="20"/>
      <c r="L35" s="19"/>
      <c r="M35" s="23" t="str">
        <f aca="false">IF(COUNT($F35:$J35)&lt;5,"",ROUND($F35*W_SRC+$G35*W_QC+$H35*W_CAP+$I35*W_SUP+$J35*W_EXT,1))</f>
        <v/>
      </c>
      <c r="N35" s="24" t="str">
        <f aca="false">IF(OR($M35="",$K35=""),"",ROUND($M35*$K35,1))</f>
        <v/>
      </c>
      <c r="O35" s="25" t="str">
        <f aca="false">IF($E35="","",IF($L35&lt;&gt;"","CRITICAL (FLAG)",IF(OR($M35="",$K35=""),"NOT SCORED",IF($N35&gt;=T_CRIT,"CRITICAL",IF($N35&gt;=T_MON,"MONITOR","LOW")))))</f>
        <v/>
      </c>
      <c r="P35" s="12" t="str">
        <f aca="false">IF($M35="","",INDEX(DriverNames,MATCH(MAX($F35:$J35),$F35:$J35,0)))</f>
        <v/>
      </c>
      <c r="Q35" s="21"/>
      <c r="R35" s="26"/>
      <c r="S35" s="2" t="str">
        <f aca="false">IF($O35="","",IF($L35&lt;&gt;"",100,0)+IF($N35="",0,$N35)+ROW()/100000)</f>
        <v/>
      </c>
      <c r="T35" s="2" t="str">
        <f aca="false">IF($S35="","",IF($A35=SEL_MODEL,$S35,""))</f>
        <v/>
      </c>
    </row>
    <row r="36" customFormat="false" ht="15" hidden="false" customHeight="false" outlineLevel="0" collapsed="false">
      <c r="A36" s="19"/>
      <c r="B36" s="20"/>
      <c r="C36" s="21"/>
      <c r="D36" s="20"/>
      <c r="E36" s="19"/>
      <c r="F36" s="20"/>
      <c r="G36" s="20"/>
      <c r="H36" s="20"/>
      <c r="I36" s="22" t="str">
        <f aca="false">IF($E36="","",IFERROR(IF(INDEX(SUPPLIERS!$D$4:$D$63,MATCH($E36,SUPPLIERS!$A$4:$A$63,0))="","",INDEX(SUPPLIERS!$D$4:$D$63,MATCH($E36,SUPPLIERS!$A$4:$A$63,0))),""))</f>
        <v/>
      </c>
      <c r="J36" s="22" t="str">
        <f aca="false">IF($E36="","",IFERROR(IF(INDEX(SUPPLIERS!$E$4:$E$63,MATCH($E36,SUPPLIERS!$A$4:$A$63,0))="","",INDEX(SUPPLIERS!$E$4:$E$63,MATCH($E36,SUPPLIERS!$A$4:$A$63,0))),""))</f>
        <v/>
      </c>
      <c r="K36" s="20"/>
      <c r="L36" s="19"/>
      <c r="M36" s="23" t="str">
        <f aca="false">IF(COUNT($F36:$J36)&lt;5,"",ROUND($F36*W_SRC+$G36*W_QC+$H36*W_CAP+$I36*W_SUP+$J36*W_EXT,1))</f>
        <v/>
      </c>
      <c r="N36" s="24" t="str">
        <f aca="false">IF(OR($M36="",$K36=""),"",ROUND($M36*$K36,1))</f>
        <v/>
      </c>
      <c r="O36" s="25" t="str">
        <f aca="false">IF($E36="","",IF($L36&lt;&gt;"","CRITICAL (FLAG)",IF(OR($M36="",$K36=""),"NOT SCORED",IF($N36&gt;=T_CRIT,"CRITICAL",IF($N36&gt;=T_MON,"MONITOR","LOW")))))</f>
        <v/>
      </c>
      <c r="P36" s="12" t="str">
        <f aca="false">IF($M36="","",INDEX(DriverNames,MATCH(MAX($F36:$J36),$F36:$J36,0)))</f>
        <v/>
      </c>
      <c r="Q36" s="21"/>
      <c r="R36" s="26"/>
      <c r="S36" s="2" t="str">
        <f aca="false">IF($O36="","",IF($L36&lt;&gt;"",100,0)+IF($N36="",0,$N36)+ROW()/100000)</f>
        <v/>
      </c>
      <c r="T36" s="2" t="str">
        <f aca="false">IF($S36="","",IF($A36=SEL_MODEL,$S36,""))</f>
        <v/>
      </c>
    </row>
    <row r="37" customFormat="false" ht="15" hidden="false" customHeight="false" outlineLevel="0" collapsed="false">
      <c r="A37" s="19"/>
      <c r="B37" s="20"/>
      <c r="C37" s="21"/>
      <c r="D37" s="20"/>
      <c r="E37" s="19"/>
      <c r="F37" s="20"/>
      <c r="G37" s="20"/>
      <c r="H37" s="20"/>
      <c r="I37" s="22" t="str">
        <f aca="false">IF($E37="","",IFERROR(IF(INDEX(SUPPLIERS!$D$4:$D$63,MATCH($E37,SUPPLIERS!$A$4:$A$63,0))="","",INDEX(SUPPLIERS!$D$4:$D$63,MATCH($E37,SUPPLIERS!$A$4:$A$63,0))),""))</f>
        <v/>
      </c>
      <c r="J37" s="22" t="str">
        <f aca="false">IF($E37="","",IFERROR(IF(INDEX(SUPPLIERS!$E$4:$E$63,MATCH($E37,SUPPLIERS!$A$4:$A$63,0))="","",INDEX(SUPPLIERS!$E$4:$E$63,MATCH($E37,SUPPLIERS!$A$4:$A$63,0))),""))</f>
        <v/>
      </c>
      <c r="K37" s="20"/>
      <c r="L37" s="19"/>
      <c r="M37" s="23" t="str">
        <f aca="false">IF(COUNT($F37:$J37)&lt;5,"",ROUND($F37*W_SRC+$G37*W_QC+$H37*W_CAP+$I37*W_SUP+$J37*W_EXT,1))</f>
        <v/>
      </c>
      <c r="N37" s="24" t="str">
        <f aca="false">IF(OR($M37="",$K37=""),"",ROUND($M37*$K37,1))</f>
        <v/>
      </c>
      <c r="O37" s="25" t="str">
        <f aca="false">IF($E37="","",IF($L37&lt;&gt;"","CRITICAL (FLAG)",IF(OR($M37="",$K37=""),"NOT SCORED",IF($N37&gt;=T_CRIT,"CRITICAL",IF($N37&gt;=T_MON,"MONITOR","LOW")))))</f>
        <v/>
      </c>
      <c r="P37" s="12" t="str">
        <f aca="false">IF($M37="","",INDEX(DriverNames,MATCH(MAX($F37:$J37),$F37:$J37,0)))</f>
        <v/>
      </c>
      <c r="Q37" s="21"/>
      <c r="R37" s="26"/>
      <c r="S37" s="2" t="str">
        <f aca="false">IF($O37="","",IF($L37&lt;&gt;"",100,0)+IF($N37="",0,$N37)+ROW()/100000)</f>
        <v/>
      </c>
      <c r="T37" s="2" t="str">
        <f aca="false">IF($S37="","",IF($A37=SEL_MODEL,$S37,""))</f>
        <v/>
      </c>
    </row>
    <row r="38" customFormat="false" ht="15" hidden="false" customHeight="false" outlineLevel="0" collapsed="false">
      <c r="A38" s="19"/>
      <c r="B38" s="20"/>
      <c r="C38" s="21"/>
      <c r="D38" s="20"/>
      <c r="E38" s="19"/>
      <c r="F38" s="20"/>
      <c r="G38" s="20"/>
      <c r="H38" s="20"/>
      <c r="I38" s="22" t="str">
        <f aca="false">IF($E38="","",IFERROR(IF(INDEX(SUPPLIERS!$D$4:$D$63,MATCH($E38,SUPPLIERS!$A$4:$A$63,0))="","",INDEX(SUPPLIERS!$D$4:$D$63,MATCH($E38,SUPPLIERS!$A$4:$A$63,0))),""))</f>
        <v/>
      </c>
      <c r="J38" s="22" t="str">
        <f aca="false">IF($E38="","",IFERROR(IF(INDEX(SUPPLIERS!$E$4:$E$63,MATCH($E38,SUPPLIERS!$A$4:$A$63,0))="","",INDEX(SUPPLIERS!$E$4:$E$63,MATCH($E38,SUPPLIERS!$A$4:$A$63,0))),""))</f>
        <v/>
      </c>
      <c r="K38" s="20"/>
      <c r="L38" s="19"/>
      <c r="M38" s="23" t="str">
        <f aca="false">IF(COUNT($F38:$J38)&lt;5,"",ROUND($F38*W_SRC+$G38*W_QC+$H38*W_CAP+$I38*W_SUP+$J38*W_EXT,1))</f>
        <v/>
      </c>
      <c r="N38" s="24" t="str">
        <f aca="false">IF(OR($M38="",$K38=""),"",ROUND($M38*$K38,1))</f>
        <v/>
      </c>
      <c r="O38" s="25" t="str">
        <f aca="false">IF($E38="","",IF($L38&lt;&gt;"","CRITICAL (FLAG)",IF(OR($M38="",$K38=""),"NOT SCORED",IF($N38&gt;=T_CRIT,"CRITICAL",IF($N38&gt;=T_MON,"MONITOR","LOW")))))</f>
        <v/>
      </c>
      <c r="P38" s="12" t="str">
        <f aca="false">IF($M38="","",INDEX(DriverNames,MATCH(MAX($F38:$J38),$F38:$J38,0)))</f>
        <v/>
      </c>
      <c r="Q38" s="21"/>
      <c r="R38" s="26"/>
      <c r="S38" s="2" t="str">
        <f aca="false">IF($O38="","",IF($L38&lt;&gt;"",100,0)+IF($N38="",0,$N38)+ROW()/100000)</f>
        <v/>
      </c>
      <c r="T38" s="2" t="str">
        <f aca="false">IF($S38="","",IF($A38=SEL_MODEL,$S38,""))</f>
        <v/>
      </c>
    </row>
    <row r="39" customFormat="false" ht="15" hidden="false" customHeight="false" outlineLevel="0" collapsed="false">
      <c r="A39" s="19"/>
      <c r="B39" s="20"/>
      <c r="C39" s="21"/>
      <c r="D39" s="20"/>
      <c r="E39" s="19"/>
      <c r="F39" s="20"/>
      <c r="G39" s="20"/>
      <c r="H39" s="20"/>
      <c r="I39" s="22" t="str">
        <f aca="false">IF($E39="","",IFERROR(IF(INDEX(SUPPLIERS!$D$4:$D$63,MATCH($E39,SUPPLIERS!$A$4:$A$63,0))="","",INDEX(SUPPLIERS!$D$4:$D$63,MATCH($E39,SUPPLIERS!$A$4:$A$63,0))),""))</f>
        <v/>
      </c>
      <c r="J39" s="22" t="str">
        <f aca="false">IF($E39="","",IFERROR(IF(INDEX(SUPPLIERS!$E$4:$E$63,MATCH($E39,SUPPLIERS!$A$4:$A$63,0))="","",INDEX(SUPPLIERS!$E$4:$E$63,MATCH($E39,SUPPLIERS!$A$4:$A$63,0))),""))</f>
        <v/>
      </c>
      <c r="K39" s="20"/>
      <c r="L39" s="19"/>
      <c r="M39" s="23" t="str">
        <f aca="false">IF(COUNT($F39:$J39)&lt;5,"",ROUND($F39*W_SRC+$G39*W_QC+$H39*W_CAP+$I39*W_SUP+$J39*W_EXT,1))</f>
        <v/>
      </c>
      <c r="N39" s="24" t="str">
        <f aca="false">IF(OR($M39="",$K39=""),"",ROUND($M39*$K39,1))</f>
        <v/>
      </c>
      <c r="O39" s="25" t="str">
        <f aca="false">IF($E39="","",IF($L39&lt;&gt;"","CRITICAL (FLAG)",IF(OR($M39="",$K39=""),"NOT SCORED",IF($N39&gt;=T_CRIT,"CRITICAL",IF($N39&gt;=T_MON,"MONITOR","LOW")))))</f>
        <v/>
      </c>
      <c r="P39" s="12" t="str">
        <f aca="false">IF($M39="","",INDEX(DriverNames,MATCH(MAX($F39:$J39),$F39:$J39,0)))</f>
        <v/>
      </c>
      <c r="Q39" s="21"/>
      <c r="R39" s="26"/>
      <c r="S39" s="2" t="str">
        <f aca="false">IF($O39="","",IF($L39&lt;&gt;"",100,0)+IF($N39="",0,$N39)+ROW()/100000)</f>
        <v/>
      </c>
      <c r="T39" s="2" t="str">
        <f aca="false">IF($S39="","",IF($A39=SEL_MODEL,$S39,""))</f>
        <v/>
      </c>
    </row>
    <row r="40" customFormat="false" ht="15" hidden="false" customHeight="false" outlineLevel="0" collapsed="false">
      <c r="A40" s="19"/>
      <c r="B40" s="20"/>
      <c r="C40" s="21"/>
      <c r="D40" s="20"/>
      <c r="E40" s="19"/>
      <c r="F40" s="20"/>
      <c r="G40" s="20"/>
      <c r="H40" s="20"/>
      <c r="I40" s="22" t="str">
        <f aca="false">IF($E40="","",IFERROR(IF(INDEX(SUPPLIERS!$D$4:$D$63,MATCH($E40,SUPPLIERS!$A$4:$A$63,0))="","",INDEX(SUPPLIERS!$D$4:$D$63,MATCH($E40,SUPPLIERS!$A$4:$A$63,0))),""))</f>
        <v/>
      </c>
      <c r="J40" s="22" t="str">
        <f aca="false">IF($E40="","",IFERROR(IF(INDEX(SUPPLIERS!$E$4:$E$63,MATCH($E40,SUPPLIERS!$A$4:$A$63,0))="","",INDEX(SUPPLIERS!$E$4:$E$63,MATCH($E40,SUPPLIERS!$A$4:$A$63,0))),""))</f>
        <v/>
      </c>
      <c r="K40" s="20"/>
      <c r="L40" s="19"/>
      <c r="M40" s="23" t="str">
        <f aca="false">IF(COUNT($F40:$J40)&lt;5,"",ROUND($F40*W_SRC+$G40*W_QC+$H40*W_CAP+$I40*W_SUP+$J40*W_EXT,1))</f>
        <v/>
      </c>
      <c r="N40" s="24" t="str">
        <f aca="false">IF(OR($M40="",$K40=""),"",ROUND($M40*$K40,1))</f>
        <v/>
      </c>
      <c r="O40" s="25" t="str">
        <f aca="false">IF($E40="","",IF($L40&lt;&gt;"","CRITICAL (FLAG)",IF(OR($M40="",$K40=""),"NOT SCORED",IF($N40&gt;=T_CRIT,"CRITICAL",IF($N40&gt;=T_MON,"MONITOR","LOW")))))</f>
        <v/>
      </c>
      <c r="P40" s="12" t="str">
        <f aca="false">IF($M40="","",INDEX(DriverNames,MATCH(MAX($F40:$J40),$F40:$J40,0)))</f>
        <v/>
      </c>
      <c r="Q40" s="21"/>
      <c r="R40" s="26"/>
      <c r="S40" s="2" t="str">
        <f aca="false">IF($O40="","",IF($L40&lt;&gt;"",100,0)+IF($N40="",0,$N40)+ROW()/100000)</f>
        <v/>
      </c>
      <c r="T40" s="2" t="str">
        <f aca="false">IF($S40="","",IF($A40=SEL_MODEL,$S40,""))</f>
        <v/>
      </c>
    </row>
    <row r="41" customFormat="false" ht="15" hidden="false" customHeight="false" outlineLevel="0" collapsed="false">
      <c r="A41" s="19"/>
      <c r="B41" s="20"/>
      <c r="C41" s="21"/>
      <c r="D41" s="20"/>
      <c r="E41" s="19"/>
      <c r="F41" s="20"/>
      <c r="G41" s="20"/>
      <c r="H41" s="20"/>
      <c r="I41" s="22" t="str">
        <f aca="false">IF($E41="","",IFERROR(IF(INDEX(SUPPLIERS!$D$4:$D$63,MATCH($E41,SUPPLIERS!$A$4:$A$63,0))="","",INDEX(SUPPLIERS!$D$4:$D$63,MATCH($E41,SUPPLIERS!$A$4:$A$63,0))),""))</f>
        <v/>
      </c>
      <c r="J41" s="22" t="str">
        <f aca="false">IF($E41="","",IFERROR(IF(INDEX(SUPPLIERS!$E$4:$E$63,MATCH($E41,SUPPLIERS!$A$4:$A$63,0))="","",INDEX(SUPPLIERS!$E$4:$E$63,MATCH($E41,SUPPLIERS!$A$4:$A$63,0))),""))</f>
        <v/>
      </c>
      <c r="K41" s="20"/>
      <c r="L41" s="19"/>
      <c r="M41" s="23" t="str">
        <f aca="false">IF(COUNT($F41:$J41)&lt;5,"",ROUND($F41*W_SRC+$G41*W_QC+$H41*W_CAP+$I41*W_SUP+$J41*W_EXT,1))</f>
        <v/>
      </c>
      <c r="N41" s="24" t="str">
        <f aca="false">IF(OR($M41="",$K41=""),"",ROUND($M41*$K41,1))</f>
        <v/>
      </c>
      <c r="O41" s="25" t="str">
        <f aca="false">IF($E41="","",IF($L41&lt;&gt;"","CRITICAL (FLAG)",IF(OR($M41="",$K41=""),"NOT SCORED",IF($N41&gt;=T_CRIT,"CRITICAL",IF($N41&gt;=T_MON,"MONITOR","LOW")))))</f>
        <v/>
      </c>
      <c r="P41" s="12" t="str">
        <f aca="false">IF($M41="","",INDEX(DriverNames,MATCH(MAX($F41:$J41),$F41:$J41,0)))</f>
        <v/>
      </c>
      <c r="Q41" s="21"/>
      <c r="R41" s="26"/>
      <c r="S41" s="2" t="str">
        <f aca="false">IF($O41="","",IF($L41&lt;&gt;"",100,0)+IF($N41="",0,$N41)+ROW()/100000)</f>
        <v/>
      </c>
      <c r="T41" s="2" t="str">
        <f aca="false">IF($S41="","",IF($A41=SEL_MODEL,$S41,""))</f>
        <v/>
      </c>
    </row>
    <row r="42" customFormat="false" ht="15" hidden="false" customHeight="false" outlineLevel="0" collapsed="false">
      <c r="A42" s="19"/>
      <c r="B42" s="20"/>
      <c r="C42" s="21"/>
      <c r="D42" s="20"/>
      <c r="E42" s="19"/>
      <c r="F42" s="20"/>
      <c r="G42" s="20"/>
      <c r="H42" s="20"/>
      <c r="I42" s="22" t="str">
        <f aca="false">IF($E42="","",IFERROR(IF(INDEX(SUPPLIERS!$D$4:$D$63,MATCH($E42,SUPPLIERS!$A$4:$A$63,0))="","",INDEX(SUPPLIERS!$D$4:$D$63,MATCH($E42,SUPPLIERS!$A$4:$A$63,0))),""))</f>
        <v/>
      </c>
      <c r="J42" s="22" t="str">
        <f aca="false">IF($E42="","",IFERROR(IF(INDEX(SUPPLIERS!$E$4:$E$63,MATCH($E42,SUPPLIERS!$A$4:$A$63,0))="","",INDEX(SUPPLIERS!$E$4:$E$63,MATCH($E42,SUPPLIERS!$A$4:$A$63,0))),""))</f>
        <v/>
      </c>
      <c r="K42" s="20"/>
      <c r="L42" s="19"/>
      <c r="M42" s="23" t="str">
        <f aca="false">IF(COUNT($F42:$J42)&lt;5,"",ROUND($F42*W_SRC+$G42*W_QC+$H42*W_CAP+$I42*W_SUP+$J42*W_EXT,1))</f>
        <v/>
      </c>
      <c r="N42" s="24" t="str">
        <f aca="false">IF(OR($M42="",$K42=""),"",ROUND($M42*$K42,1))</f>
        <v/>
      </c>
      <c r="O42" s="25" t="str">
        <f aca="false">IF($E42="","",IF($L42&lt;&gt;"","CRITICAL (FLAG)",IF(OR($M42="",$K42=""),"NOT SCORED",IF($N42&gt;=T_CRIT,"CRITICAL",IF($N42&gt;=T_MON,"MONITOR","LOW")))))</f>
        <v/>
      </c>
      <c r="P42" s="12" t="str">
        <f aca="false">IF($M42="","",INDEX(DriverNames,MATCH(MAX($F42:$J42),$F42:$J42,0)))</f>
        <v/>
      </c>
      <c r="Q42" s="21"/>
      <c r="R42" s="26"/>
      <c r="S42" s="2" t="str">
        <f aca="false">IF($O42="","",IF($L42&lt;&gt;"",100,0)+IF($N42="",0,$N42)+ROW()/100000)</f>
        <v/>
      </c>
      <c r="T42" s="2" t="str">
        <f aca="false">IF($S42="","",IF($A42=SEL_MODEL,$S42,""))</f>
        <v/>
      </c>
    </row>
    <row r="43" customFormat="false" ht="15" hidden="false" customHeight="false" outlineLevel="0" collapsed="false">
      <c r="A43" s="19"/>
      <c r="B43" s="20"/>
      <c r="C43" s="21"/>
      <c r="D43" s="20"/>
      <c r="E43" s="19"/>
      <c r="F43" s="20"/>
      <c r="G43" s="20"/>
      <c r="H43" s="20"/>
      <c r="I43" s="22" t="str">
        <f aca="false">IF($E43="","",IFERROR(IF(INDEX(SUPPLIERS!$D$4:$D$63,MATCH($E43,SUPPLIERS!$A$4:$A$63,0))="","",INDEX(SUPPLIERS!$D$4:$D$63,MATCH($E43,SUPPLIERS!$A$4:$A$63,0))),""))</f>
        <v/>
      </c>
      <c r="J43" s="22" t="str">
        <f aca="false">IF($E43="","",IFERROR(IF(INDEX(SUPPLIERS!$E$4:$E$63,MATCH($E43,SUPPLIERS!$A$4:$A$63,0))="","",INDEX(SUPPLIERS!$E$4:$E$63,MATCH($E43,SUPPLIERS!$A$4:$A$63,0))),""))</f>
        <v/>
      </c>
      <c r="K43" s="20"/>
      <c r="L43" s="19"/>
      <c r="M43" s="23" t="str">
        <f aca="false">IF(COUNT($F43:$J43)&lt;5,"",ROUND($F43*W_SRC+$G43*W_QC+$H43*W_CAP+$I43*W_SUP+$J43*W_EXT,1))</f>
        <v/>
      </c>
      <c r="N43" s="24" t="str">
        <f aca="false">IF(OR($M43="",$K43=""),"",ROUND($M43*$K43,1))</f>
        <v/>
      </c>
      <c r="O43" s="25" t="str">
        <f aca="false">IF($E43="","",IF($L43&lt;&gt;"","CRITICAL (FLAG)",IF(OR($M43="",$K43=""),"NOT SCORED",IF($N43&gt;=T_CRIT,"CRITICAL",IF($N43&gt;=T_MON,"MONITOR","LOW")))))</f>
        <v/>
      </c>
      <c r="P43" s="12" t="str">
        <f aca="false">IF($M43="","",INDEX(DriverNames,MATCH(MAX($F43:$J43),$F43:$J43,0)))</f>
        <v/>
      </c>
      <c r="Q43" s="21"/>
      <c r="R43" s="26"/>
      <c r="S43" s="2" t="str">
        <f aca="false">IF($O43="","",IF($L43&lt;&gt;"",100,0)+IF($N43="",0,$N43)+ROW()/100000)</f>
        <v/>
      </c>
      <c r="T43" s="2" t="str">
        <f aca="false">IF($S43="","",IF($A43=SEL_MODEL,$S43,""))</f>
        <v/>
      </c>
    </row>
    <row r="44" customFormat="false" ht="15" hidden="false" customHeight="false" outlineLevel="0" collapsed="false">
      <c r="A44" s="19"/>
      <c r="B44" s="20"/>
      <c r="C44" s="21"/>
      <c r="D44" s="20"/>
      <c r="E44" s="19"/>
      <c r="F44" s="20"/>
      <c r="G44" s="20"/>
      <c r="H44" s="20"/>
      <c r="I44" s="22" t="str">
        <f aca="false">IF($E44="","",IFERROR(IF(INDEX(SUPPLIERS!$D$4:$D$63,MATCH($E44,SUPPLIERS!$A$4:$A$63,0))="","",INDEX(SUPPLIERS!$D$4:$D$63,MATCH($E44,SUPPLIERS!$A$4:$A$63,0))),""))</f>
        <v/>
      </c>
      <c r="J44" s="22" t="str">
        <f aca="false">IF($E44="","",IFERROR(IF(INDEX(SUPPLIERS!$E$4:$E$63,MATCH($E44,SUPPLIERS!$A$4:$A$63,0))="","",INDEX(SUPPLIERS!$E$4:$E$63,MATCH($E44,SUPPLIERS!$A$4:$A$63,0))),""))</f>
        <v/>
      </c>
      <c r="K44" s="20"/>
      <c r="L44" s="19"/>
      <c r="M44" s="23" t="str">
        <f aca="false">IF(COUNT($F44:$J44)&lt;5,"",ROUND($F44*W_SRC+$G44*W_QC+$H44*W_CAP+$I44*W_SUP+$J44*W_EXT,1))</f>
        <v/>
      </c>
      <c r="N44" s="24" t="str">
        <f aca="false">IF(OR($M44="",$K44=""),"",ROUND($M44*$K44,1))</f>
        <v/>
      </c>
      <c r="O44" s="25" t="str">
        <f aca="false">IF($E44="","",IF($L44&lt;&gt;"","CRITICAL (FLAG)",IF(OR($M44="",$K44=""),"NOT SCORED",IF($N44&gt;=T_CRIT,"CRITICAL",IF($N44&gt;=T_MON,"MONITOR","LOW")))))</f>
        <v/>
      </c>
      <c r="P44" s="12" t="str">
        <f aca="false">IF($M44="","",INDEX(DriverNames,MATCH(MAX($F44:$J44),$F44:$J44,0)))</f>
        <v/>
      </c>
      <c r="Q44" s="21"/>
      <c r="R44" s="26"/>
      <c r="S44" s="2" t="str">
        <f aca="false">IF($O44="","",IF($L44&lt;&gt;"",100,0)+IF($N44="",0,$N44)+ROW()/100000)</f>
        <v/>
      </c>
      <c r="T44" s="2" t="str">
        <f aca="false">IF($S44="","",IF($A44=SEL_MODEL,$S44,""))</f>
        <v/>
      </c>
    </row>
    <row r="45" customFormat="false" ht="15" hidden="false" customHeight="false" outlineLevel="0" collapsed="false">
      <c r="A45" s="19"/>
      <c r="B45" s="20"/>
      <c r="C45" s="21"/>
      <c r="D45" s="20"/>
      <c r="E45" s="19"/>
      <c r="F45" s="20"/>
      <c r="G45" s="20"/>
      <c r="H45" s="20"/>
      <c r="I45" s="22" t="str">
        <f aca="false">IF($E45="","",IFERROR(IF(INDEX(SUPPLIERS!$D$4:$D$63,MATCH($E45,SUPPLIERS!$A$4:$A$63,0))="","",INDEX(SUPPLIERS!$D$4:$D$63,MATCH($E45,SUPPLIERS!$A$4:$A$63,0))),""))</f>
        <v/>
      </c>
      <c r="J45" s="22" t="str">
        <f aca="false">IF($E45="","",IFERROR(IF(INDEX(SUPPLIERS!$E$4:$E$63,MATCH($E45,SUPPLIERS!$A$4:$A$63,0))="","",INDEX(SUPPLIERS!$E$4:$E$63,MATCH($E45,SUPPLIERS!$A$4:$A$63,0))),""))</f>
        <v/>
      </c>
      <c r="K45" s="20"/>
      <c r="L45" s="19"/>
      <c r="M45" s="23" t="str">
        <f aca="false">IF(COUNT($F45:$J45)&lt;5,"",ROUND($F45*W_SRC+$G45*W_QC+$H45*W_CAP+$I45*W_SUP+$J45*W_EXT,1))</f>
        <v/>
      </c>
      <c r="N45" s="24" t="str">
        <f aca="false">IF(OR($M45="",$K45=""),"",ROUND($M45*$K45,1))</f>
        <v/>
      </c>
      <c r="O45" s="25" t="str">
        <f aca="false">IF($E45="","",IF($L45&lt;&gt;"","CRITICAL (FLAG)",IF(OR($M45="",$K45=""),"NOT SCORED",IF($N45&gt;=T_CRIT,"CRITICAL",IF($N45&gt;=T_MON,"MONITOR","LOW")))))</f>
        <v/>
      </c>
      <c r="P45" s="12" t="str">
        <f aca="false">IF($M45="","",INDEX(DriverNames,MATCH(MAX($F45:$J45),$F45:$J45,0)))</f>
        <v/>
      </c>
      <c r="Q45" s="21"/>
      <c r="R45" s="26"/>
      <c r="S45" s="2" t="str">
        <f aca="false">IF($O45="","",IF($L45&lt;&gt;"",100,0)+IF($N45="",0,$N45)+ROW()/100000)</f>
        <v/>
      </c>
      <c r="T45" s="2" t="str">
        <f aca="false">IF($S45="","",IF($A45=SEL_MODEL,$S45,""))</f>
        <v/>
      </c>
    </row>
    <row r="46" customFormat="false" ht="15" hidden="false" customHeight="false" outlineLevel="0" collapsed="false">
      <c r="A46" s="19"/>
      <c r="B46" s="20"/>
      <c r="C46" s="21"/>
      <c r="D46" s="20"/>
      <c r="E46" s="19"/>
      <c r="F46" s="20"/>
      <c r="G46" s="20"/>
      <c r="H46" s="20"/>
      <c r="I46" s="22" t="str">
        <f aca="false">IF($E46="","",IFERROR(IF(INDEX(SUPPLIERS!$D$4:$D$63,MATCH($E46,SUPPLIERS!$A$4:$A$63,0))="","",INDEX(SUPPLIERS!$D$4:$D$63,MATCH($E46,SUPPLIERS!$A$4:$A$63,0))),""))</f>
        <v/>
      </c>
      <c r="J46" s="22" t="str">
        <f aca="false">IF($E46="","",IFERROR(IF(INDEX(SUPPLIERS!$E$4:$E$63,MATCH($E46,SUPPLIERS!$A$4:$A$63,0))="","",INDEX(SUPPLIERS!$E$4:$E$63,MATCH($E46,SUPPLIERS!$A$4:$A$63,0))),""))</f>
        <v/>
      </c>
      <c r="K46" s="20"/>
      <c r="L46" s="19"/>
      <c r="M46" s="23" t="str">
        <f aca="false">IF(COUNT($F46:$J46)&lt;5,"",ROUND($F46*W_SRC+$G46*W_QC+$H46*W_CAP+$I46*W_SUP+$J46*W_EXT,1))</f>
        <v/>
      </c>
      <c r="N46" s="24" t="str">
        <f aca="false">IF(OR($M46="",$K46=""),"",ROUND($M46*$K46,1))</f>
        <v/>
      </c>
      <c r="O46" s="25" t="str">
        <f aca="false">IF($E46="","",IF($L46&lt;&gt;"","CRITICAL (FLAG)",IF(OR($M46="",$K46=""),"NOT SCORED",IF($N46&gt;=T_CRIT,"CRITICAL",IF($N46&gt;=T_MON,"MONITOR","LOW")))))</f>
        <v/>
      </c>
      <c r="P46" s="12" t="str">
        <f aca="false">IF($M46="","",INDEX(DriverNames,MATCH(MAX($F46:$J46),$F46:$J46,0)))</f>
        <v/>
      </c>
      <c r="Q46" s="21"/>
      <c r="R46" s="26"/>
      <c r="S46" s="2" t="str">
        <f aca="false">IF($O46="","",IF($L46&lt;&gt;"",100,0)+IF($N46="",0,$N46)+ROW()/100000)</f>
        <v/>
      </c>
      <c r="T46" s="2" t="str">
        <f aca="false">IF($S46="","",IF($A46=SEL_MODEL,$S46,""))</f>
        <v/>
      </c>
    </row>
    <row r="47" customFormat="false" ht="15" hidden="false" customHeight="false" outlineLevel="0" collapsed="false">
      <c r="A47" s="19"/>
      <c r="B47" s="20"/>
      <c r="C47" s="21"/>
      <c r="D47" s="20"/>
      <c r="E47" s="19"/>
      <c r="F47" s="20"/>
      <c r="G47" s="20"/>
      <c r="H47" s="20"/>
      <c r="I47" s="22" t="str">
        <f aca="false">IF($E47="","",IFERROR(IF(INDEX(SUPPLIERS!$D$4:$D$63,MATCH($E47,SUPPLIERS!$A$4:$A$63,0))="","",INDEX(SUPPLIERS!$D$4:$D$63,MATCH($E47,SUPPLIERS!$A$4:$A$63,0))),""))</f>
        <v/>
      </c>
      <c r="J47" s="22" t="str">
        <f aca="false">IF($E47="","",IFERROR(IF(INDEX(SUPPLIERS!$E$4:$E$63,MATCH($E47,SUPPLIERS!$A$4:$A$63,0))="","",INDEX(SUPPLIERS!$E$4:$E$63,MATCH($E47,SUPPLIERS!$A$4:$A$63,0))),""))</f>
        <v/>
      </c>
      <c r="K47" s="20"/>
      <c r="L47" s="19"/>
      <c r="M47" s="23" t="str">
        <f aca="false">IF(COUNT($F47:$J47)&lt;5,"",ROUND($F47*W_SRC+$G47*W_QC+$H47*W_CAP+$I47*W_SUP+$J47*W_EXT,1))</f>
        <v/>
      </c>
      <c r="N47" s="24" t="str">
        <f aca="false">IF(OR($M47="",$K47=""),"",ROUND($M47*$K47,1))</f>
        <v/>
      </c>
      <c r="O47" s="25" t="str">
        <f aca="false">IF($E47="","",IF($L47&lt;&gt;"","CRITICAL (FLAG)",IF(OR($M47="",$K47=""),"NOT SCORED",IF($N47&gt;=T_CRIT,"CRITICAL",IF($N47&gt;=T_MON,"MONITOR","LOW")))))</f>
        <v/>
      </c>
      <c r="P47" s="12" t="str">
        <f aca="false">IF($M47="","",INDEX(DriverNames,MATCH(MAX($F47:$J47),$F47:$J47,0)))</f>
        <v/>
      </c>
      <c r="Q47" s="21"/>
      <c r="R47" s="26"/>
      <c r="S47" s="2" t="str">
        <f aca="false">IF($O47="","",IF($L47&lt;&gt;"",100,0)+IF($N47="",0,$N47)+ROW()/100000)</f>
        <v/>
      </c>
      <c r="T47" s="2" t="str">
        <f aca="false">IF($S47="","",IF($A47=SEL_MODEL,$S47,""))</f>
        <v/>
      </c>
    </row>
    <row r="48" customFormat="false" ht="15" hidden="false" customHeight="false" outlineLevel="0" collapsed="false">
      <c r="A48" s="19"/>
      <c r="B48" s="20"/>
      <c r="C48" s="21"/>
      <c r="D48" s="20"/>
      <c r="E48" s="19"/>
      <c r="F48" s="20"/>
      <c r="G48" s="20"/>
      <c r="H48" s="20"/>
      <c r="I48" s="22" t="str">
        <f aca="false">IF($E48="","",IFERROR(IF(INDEX(SUPPLIERS!$D$4:$D$63,MATCH($E48,SUPPLIERS!$A$4:$A$63,0))="","",INDEX(SUPPLIERS!$D$4:$D$63,MATCH($E48,SUPPLIERS!$A$4:$A$63,0))),""))</f>
        <v/>
      </c>
      <c r="J48" s="22" t="str">
        <f aca="false">IF($E48="","",IFERROR(IF(INDEX(SUPPLIERS!$E$4:$E$63,MATCH($E48,SUPPLIERS!$A$4:$A$63,0))="","",INDEX(SUPPLIERS!$E$4:$E$63,MATCH($E48,SUPPLIERS!$A$4:$A$63,0))),""))</f>
        <v/>
      </c>
      <c r="K48" s="20"/>
      <c r="L48" s="19"/>
      <c r="M48" s="23" t="str">
        <f aca="false">IF(COUNT($F48:$J48)&lt;5,"",ROUND($F48*W_SRC+$G48*W_QC+$H48*W_CAP+$I48*W_SUP+$J48*W_EXT,1))</f>
        <v/>
      </c>
      <c r="N48" s="24" t="str">
        <f aca="false">IF(OR($M48="",$K48=""),"",ROUND($M48*$K48,1))</f>
        <v/>
      </c>
      <c r="O48" s="25" t="str">
        <f aca="false">IF($E48="","",IF($L48&lt;&gt;"","CRITICAL (FLAG)",IF(OR($M48="",$K48=""),"NOT SCORED",IF($N48&gt;=T_CRIT,"CRITICAL",IF($N48&gt;=T_MON,"MONITOR","LOW")))))</f>
        <v/>
      </c>
      <c r="P48" s="12" t="str">
        <f aca="false">IF($M48="","",INDEX(DriverNames,MATCH(MAX($F48:$J48),$F48:$J48,0)))</f>
        <v/>
      </c>
      <c r="Q48" s="21"/>
      <c r="R48" s="26"/>
      <c r="S48" s="2" t="str">
        <f aca="false">IF($O48="","",IF($L48&lt;&gt;"",100,0)+IF($N48="",0,$N48)+ROW()/100000)</f>
        <v/>
      </c>
      <c r="T48" s="2" t="str">
        <f aca="false">IF($S48="","",IF($A48=SEL_MODEL,$S48,""))</f>
        <v/>
      </c>
    </row>
    <row r="49" customFormat="false" ht="15" hidden="false" customHeight="false" outlineLevel="0" collapsed="false">
      <c r="A49" s="19"/>
      <c r="B49" s="20"/>
      <c r="C49" s="21"/>
      <c r="D49" s="20"/>
      <c r="E49" s="19"/>
      <c r="F49" s="20"/>
      <c r="G49" s="20"/>
      <c r="H49" s="20"/>
      <c r="I49" s="22" t="str">
        <f aca="false">IF($E49="","",IFERROR(IF(INDEX(SUPPLIERS!$D$4:$D$63,MATCH($E49,SUPPLIERS!$A$4:$A$63,0))="","",INDEX(SUPPLIERS!$D$4:$D$63,MATCH($E49,SUPPLIERS!$A$4:$A$63,0))),""))</f>
        <v/>
      </c>
      <c r="J49" s="22" t="str">
        <f aca="false">IF($E49="","",IFERROR(IF(INDEX(SUPPLIERS!$E$4:$E$63,MATCH($E49,SUPPLIERS!$A$4:$A$63,0))="","",INDEX(SUPPLIERS!$E$4:$E$63,MATCH($E49,SUPPLIERS!$A$4:$A$63,0))),""))</f>
        <v/>
      </c>
      <c r="K49" s="20"/>
      <c r="L49" s="19"/>
      <c r="M49" s="23" t="str">
        <f aca="false">IF(COUNT($F49:$J49)&lt;5,"",ROUND($F49*W_SRC+$G49*W_QC+$H49*W_CAP+$I49*W_SUP+$J49*W_EXT,1))</f>
        <v/>
      </c>
      <c r="N49" s="24" t="str">
        <f aca="false">IF(OR($M49="",$K49=""),"",ROUND($M49*$K49,1))</f>
        <v/>
      </c>
      <c r="O49" s="25" t="str">
        <f aca="false">IF($E49="","",IF($L49&lt;&gt;"","CRITICAL (FLAG)",IF(OR($M49="",$K49=""),"NOT SCORED",IF($N49&gt;=T_CRIT,"CRITICAL",IF($N49&gt;=T_MON,"MONITOR","LOW")))))</f>
        <v/>
      </c>
      <c r="P49" s="12" t="str">
        <f aca="false">IF($M49="","",INDEX(DriverNames,MATCH(MAX($F49:$J49),$F49:$J49,0)))</f>
        <v/>
      </c>
      <c r="Q49" s="21"/>
      <c r="R49" s="26"/>
      <c r="S49" s="2" t="str">
        <f aca="false">IF($O49="","",IF($L49&lt;&gt;"",100,0)+IF($N49="",0,$N49)+ROW()/100000)</f>
        <v/>
      </c>
      <c r="T49" s="2" t="str">
        <f aca="false">IF($S49="","",IF($A49=SEL_MODEL,$S49,""))</f>
        <v/>
      </c>
    </row>
    <row r="50" customFormat="false" ht="15" hidden="false" customHeight="false" outlineLevel="0" collapsed="false">
      <c r="A50" s="19"/>
      <c r="B50" s="20"/>
      <c r="C50" s="21"/>
      <c r="D50" s="20"/>
      <c r="E50" s="19"/>
      <c r="F50" s="20"/>
      <c r="G50" s="20"/>
      <c r="H50" s="20"/>
      <c r="I50" s="22" t="str">
        <f aca="false">IF($E50="","",IFERROR(IF(INDEX(SUPPLIERS!$D$4:$D$63,MATCH($E50,SUPPLIERS!$A$4:$A$63,0))="","",INDEX(SUPPLIERS!$D$4:$D$63,MATCH($E50,SUPPLIERS!$A$4:$A$63,0))),""))</f>
        <v/>
      </c>
      <c r="J50" s="22" t="str">
        <f aca="false">IF($E50="","",IFERROR(IF(INDEX(SUPPLIERS!$E$4:$E$63,MATCH($E50,SUPPLIERS!$A$4:$A$63,0))="","",INDEX(SUPPLIERS!$E$4:$E$63,MATCH($E50,SUPPLIERS!$A$4:$A$63,0))),""))</f>
        <v/>
      </c>
      <c r="K50" s="20"/>
      <c r="L50" s="19"/>
      <c r="M50" s="23" t="str">
        <f aca="false">IF(COUNT($F50:$J50)&lt;5,"",ROUND($F50*W_SRC+$G50*W_QC+$H50*W_CAP+$I50*W_SUP+$J50*W_EXT,1))</f>
        <v/>
      </c>
      <c r="N50" s="24" t="str">
        <f aca="false">IF(OR($M50="",$K50=""),"",ROUND($M50*$K50,1))</f>
        <v/>
      </c>
      <c r="O50" s="25" t="str">
        <f aca="false">IF($E50="","",IF($L50&lt;&gt;"","CRITICAL (FLAG)",IF(OR($M50="",$K50=""),"NOT SCORED",IF($N50&gt;=T_CRIT,"CRITICAL",IF($N50&gt;=T_MON,"MONITOR","LOW")))))</f>
        <v/>
      </c>
      <c r="P50" s="12" t="str">
        <f aca="false">IF($M50="","",INDEX(DriverNames,MATCH(MAX($F50:$J50),$F50:$J50,0)))</f>
        <v/>
      </c>
      <c r="Q50" s="21"/>
      <c r="R50" s="26"/>
      <c r="S50" s="2" t="str">
        <f aca="false">IF($O50="","",IF($L50&lt;&gt;"",100,0)+IF($N50="",0,$N50)+ROW()/100000)</f>
        <v/>
      </c>
      <c r="T50" s="2" t="str">
        <f aca="false">IF($S50="","",IF($A50=SEL_MODEL,$S50,""))</f>
        <v/>
      </c>
    </row>
    <row r="51" customFormat="false" ht="15" hidden="false" customHeight="false" outlineLevel="0" collapsed="false">
      <c r="A51" s="19"/>
      <c r="B51" s="20"/>
      <c r="C51" s="21"/>
      <c r="D51" s="20"/>
      <c r="E51" s="19"/>
      <c r="F51" s="20"/>
      <c r="G51" s="20"/>
      <c r="H51" s="20"/>
      <c r="I51" s="22" t="str">
        <f aca="false">IF($E51="","",IFERROR(IF(INDEX(SUPPLIERS!$D$4:$D$63,MATCH($E51,SUPPLIERS!$A$4:$A$63,0))="","",INDEX(SUPPLIERS!$D$4:$D$63,MATCH($E51,SUPPLIERS!$A$4:$A$63,0))),""))</f>
        <v/>
      </c>
      <c r="J51" s="22" t="str">
        <f aca="false">IF($E51="","",IFERROR(IF(INDEX(SUPPLIERS!$E$4:$E$63,MATCH($E51,SUPPLIERS!$A$4:$A$63,0))="","",INDEX(SUPPLIERS!$E$4:$E$63,MATCH($E51,SUPPLIERS!$A$4:$A$63,0))),""))</f>
        <v/>
      </c>
      <c r="K51" s="20"/>
      <c r="L51" s="19"/>
      <c r="M51" s="23" t="str">
        <f aca="false">IF(COUNT($F51:$J51)&lt;5,"",ROUND($F51*W_SRC+$G51*W_QC+$H51*W_CAP+$I51*W_SUP+$J51*W_EXT,1))</f>
        <v/>
      </c>
      <c r="N51" s="24" t="str">
        <f aca="false">IF(OR($M51="",$K51=""),"",ROUND($M51*$K51,1))</f>
        <v/>
      </c>
      <c r="O51" s="25" t="str">
        <f aca="false">IF($E51="","",IF($L51&lt;&gt;"","CRITICAL (FLAG)",IF(OR($M51="",$K51=""),"NOT SCORED",IF($N51&gt;=T_CRIT,"CRITICAL",IF($N51&gt;=T_MON,"MONITOR","LOW")))))</f>
        <v/>
      </c>
      <c r="P51" s="12" t="str">
        <f aca="false">IF($M51="","",INDEX(DriverNames,MATCH(MAX($F51:$J51),$F51:$J51,0)))</f>
        <v/>
      </c>
      <c r="Q51" s="21"/>
      <c r="R51" s="26"/>
      <c r="S51" s="2" t="str">
        <f aca="false">IF($O51="","",IF($L51&lt;&gt;"",100,0)+IF($N51="",0,$N51)+ROW()/100000)</f>
        <v/>
      </c>
      <c r="T51" s="2" t="str">
        <f aca="false">IF($S51="","",IF($A51=SEL_MODEL,$S51,""))</f>
        <v/>
      </c>
    </row>
    <row r="52" customFormat="false" ht="15" hidden="false" customHeight="false" outlineLevel="0" collapsed="false">
      <c r="A52" s="19"/>
      <c r="B52" s="20"/>
      <c r="C52" s="21"/>
      <c r="D52" s="20"/>
      <c r="E52" s="19"/>
      <c r="F52" s="20"/>
      <c r="G52" s="20"/>
      <c r="H52" s="20"/>
      <c r="I52" s="22" t="str">
        <f aca="false">IF($E52="","",IFERROR(IF(INDEX(SUPPLIERS!$D$4:$D$63,MATCH($E52,SUPPLIERS!$A$4:$A$63,0))="","",INDEX(SUPPLIERS!$D$4:$D$63,MATCH($E52,SUPPLIERS!$A$4:$A$63,0))),""))</f>
        <v/>
      </c>
      <c r="J52" s="22" t="str">
        <f aca="false">IF($E52="","",IFERROR(IF(INDEX(SUPPLIERS!$E$4:$E$63,MATCH($E52,SUPPLIERS!$A$4:$A$63,0))="","",INDEX(SUPPLIERS!$E$4:$E$63,MATCH($E52,SUPPLIERS!$A$4:$A$63,0))),""))</f>
        <v/>
      </c>
      <c r="K52" s="20"/>
      <c r="L52" s="19"/>
      <c r="M52" s="23" t="str">
        <f aca="false">IF(COUNT($F52:$J52)&lt;5,"",ROUND($F52*W_SRC+$G52*W_QC+$H52*W_CAP+$I52*W_SUP+$J52*W_EXT,1))</f>
        <v/>
      </c>
      <c r="N52" s="24" t="str">
        <f aca="false">IF(OR($M52="",$K52=""),"",ROUND($M52*$K52,1))</f>
        <v/>
      </c>
      <c r="O52" s="25" t="str">
        <f aca="false">IF($E52="","",IF($L52&lt;&gt;"","CRITICAL (FLAG)",IF(OR($M52="",$K52=""),"NOT SCORED",IF($N52&gt;=T_CRIT,"CRITICAL",IF($N52&gt;=T_MON,"MONITOR","LOW")))))</f>
        <v/>
      </c>
      <c r="P52" s="12" t="str">
        <f aca="false">IF($M52="","",INDEX(DriverNames,MATCH(MAX($F52:$J52),$F52:$J52,0)))</f>
        <v/>
      </c>
      <c r="Q52" s="21"/>
      <c r="R52" s="26"/>
      <c r="S52" s="2" t="str">
        <f aca="false">IF($O52="","",IF($L52&lt;&gt;"",100,0)+IF($N52="",0,$N52)+ROW()/100000)</f>
        <v/>
      </c>
      <c r="T52" s="2" t="str">
        <f aca="false">IF($S52="","",IF($A52=SEL_MODEL,$S52,""))</f>
        <v/>
      </c>
    </row>
    <row r="53" customFormat="false" ht="15" hidden="false" customHeight="false" outlineLevel="0" collapsed="false">
      <c r="A53" s="19"/>
      <c r="B53" s="20"/>
      <c r="C53" s="21"/>
      <c r="D53" s="20"/>
      <c r="E53" s="19"/>
      <c r="F53" s="20"/>
      <c r="G53" s="20"/>
      <c r="H53" s="20"/>
      <c r="I53" s="22" t="str">
        <f aca="false">IF($E53="","",IFERROR(IF(INDEX(SUPPLIERS!$D$4:$D$63,MATCH($E53,SUPPLIERS!$A$4:$A$63,0))="","",INDEX(SUPPLIERS!$D$4:$D$63,MATCH($E53,SUPPLIERS!$A$4:$A$63,0))),""))</f>
        <v/>
      </c>
      <c r="J53" s="22" t="str">
        <f aca="false">IF($E53="","",IFERROR(IF(INDEX(SUPPLIERS!$E$4:$E$63,MATCH($E53,SUPPLIERS!$A$4:$A$63,0))="","",INDEX(SUPPLIERS!$E$4:$E$63,MATCH($E53,SUPPLIERS!$A$4:$A$63,0))),""))</f>
        <v/>
      </c>
      <c r="K53" s="20"/>
      <c r="L53" s="19"/>
      <c r="M53" s="23" t="str">
        <f aca="false">IF(COUNT($F53:$J53)&lt;5,"",ROUND($F53*W_SRC+$G53*W_QC+$H53*W_CAP+$I53*W_SUP+$J53*W_EXT,1))</f>
        <v/>
      </c>
      <c r="N53" s="24" t="str">
        <f aca="false">IF(OR($M53="",$K53=""),"",ROUND($M53*$K53,1))</f>
        <v/>
      </c>
      <c r="O53" s="25" t="str">
        <f aca="false">IF($E53="","",IF($L53&lt;&gt;"","CRITICAL (FLAG)",IF(OR($M53="",$K53=""),"NOT SCORED",IF($N53&gt;=T_CRIT,"CRITICAL",IF($N53&gt;=T_MON,"MONITOR","LOW")))))</f>
        <v/>
      </c>
      <c r="P53" s="12" t="str">
        <f aca="false">IF($M53="","",INDEX(DriverNames,MATCH(MAX($F53:$J53),$F53:$J53,0)))</f>
        <v/>
      </c>
      <c r="Q53" s="21"/>
      <c r="R53" s="26"/>
      <c r="S53" s="2" t="str">
        <f aca="false">IF($O53="","",IF($L53&lt;&gt;"",100,0)+IF($N53="",0,$N53)+ROW()/100000)</f>
        <v/>
      </c>
      <c r="T53" s="2" t="str">
        <f aca="false">IF($S53="","",IF($A53=SEL_MODEL,$S53,""))</f>
        <v/>
      </c>
    </row>
    <row r="54" customFormat="false" ht="15" hidden="false" customHeight="false" outlineLevel="0" collapsed="false">
      <c r="A54" s="19"/>
      <c r="B54" s="20"/>
      <c r="C54" s="21"/>
      <c r="D54" s="20"/>
      <c r="E54" s="19"/>
      <c r="F54" s="20"/>
      <c r="G54" s="20"/>
      <c r="H54" s="20"/>
      <c r="I54" s="22" t="str">
        <f aca="false">IF($E54="","",IFERROR(IF(INDEX(SUPPLIERS!$D$4:$D$63,MATCH($E54,SUPPLIERS!$A$4:$A$63,0))="","",INDEX(SUPPLIERS!$D$4:$D$63,MATCH($E54,SUPPLIERS!$A$4:$A$63,0))),""))</f>
        <v/>
      </c>
      <c r="J54" s="22" t="str">
        <f aca="false">IF($E54="","",IFERROR(IF(INDEX(SUPPLIERS!$E$4:$E$63,MATCH($E54,SUPPLIERS!$A$4:$A$63,0))="","",INDEX(SUPPLIERS!$E$4:$E$63,MATCH($E54,SUPPLIERS!$A$4:$A$63,0))),""))</f>
        <v/>
      </c>
      <c r="K54" s="20"/>
      <c r="L54" s="19"/>
      <c r="M54" s="23" t="str">
        <f aca="false">IF(COUNT($F54:$J54)&lt;5,"",ROUND($F54*W_SRC+$G54*W_QC+$H54*W_CAP+$I54*W_SUP+$J54*W_EXT,1))</f>
        <v/>
      </c>
      <c r="N54" s="24" t="str">
        <f aca="false">IF(OR($M54="",$K54=""),"",ROUND($M54*$K54,1))</f>
        <v/>
      </c>
      <c r="O54" s="25" t="str">
        <f aca="false">IF($E54="","",IF($L54&lt;&gt;"","CRITICAL (FLAG)",IF(OR($M54="",$K54=""),"NOT SCORED",IF($N54&gt;=T_CRIT,"CRITICAL",IF($N54&gt;=T_MON,"MONITOR","LOW")))))</f>
        <v/>
      </c>
      <c r="P54" s="12" t="str">
        <f aca="false">IF($M54="","",INDEX(DriverNames,MATCH(MAX($F54:$J54),$F54:$J54,0)))</f>
        <v/>
      </c>
      <c r="Q54" s="21"/>
      <c r="R54" s="26"/>
      <c r="S54" s="2" t="str">
        <f aca="false">IF($O54="","",IF($L54&lt;&gt;"",100,0)+IF($N54="",0,$N54)+ROW()/100000)</f>
        <v/>
      </c>
      <c r="T54" s="2" t="str">
        <f aca="false">IF($S54="","",IF($A54=SEL_MODEL,$S54,""))</f>
        <v/>
      </c>
    </row>
    <row r="55" customFormat="false" ht="15" hidden="false" customHeight="false" outlineLevel="0" collapsed="false">
      <c r="A55" s="19"/>
      <c r="B55" s="20"/>
      <c r="C55" s="21"/>
      <c r="D55" s="20"/>
      <c r="E55" s="19"/>
      <c r="F55" s="20"/>
      <c r="G55" s="20"/>
      <c r="H55" s="20"/>
      <c r="I55" s="22" t="str">
        <f aca="false">IF($E55="","",IFERROR(IF(INDEX(SUPPLIERS!$D$4:$D$63,MATCH($E55,SUPPLIERS!$A$4:$A$63,0))="","",INDEX(SUPPLIERS!$D$4:$D$63,MATCH($E55,SUPPLIERS!$A$4:$A$63,0))),""))</f>
        <v/>
      </c>
      <c r="J55" s="22" t="str">
        <f aca="false">IF($E55="","",IFERROR(IF(INDEX(SUPPLIERS!$E$4:$E$63,MATCH($E55,SUPPLIERS!$A$4:$A$63,0))="","",INDEX(SUPPLIERS!$E$4:$E$63,MATCH($E55,SUPPLIERS!$A$4:$A$63,0))),""))</f>
        <v/>
      </c>
      <c r="K55" s="20"/>
      <c r="L55" s="19"/>
      <c r="M55" s="23" t="str">
        <f aca="false">IF(COUNT($F55:$J55)&lt;5,"",ROUND($F55*W_SRC+$G55*W_QC+$H55*W_CAP+$I55*W_SUP+$J55*W_EXT,1))</f>
        <v/>
      </c>
      <c r="N55" s="24" t="str">
        <f aca="false">IF(OR($M55="",$K55=""),"",ROUND($M55*$K55,1))</f>
        <v/>
      </c>
      <c r="O55" s="25" t="str">
        <f aca="false">IF($E55="","",IF($L55&lt;&gt;"","CRITICAL (FLAG)",IF(OR($M55="",$K55=""),"NOT SCORED",IF($N55&gt;=T_CRIT,"CRITICAL",IF($N55&gt;=T_MON,"MONITOR","LOW")))))</f>
        <v/>
      </c>
      <c r="P55" s="12" t="str">
        <f aca="false">IF($M55="","",INDEX(DriverNames,MATCH(MAX($F55:$J55),$F55:$J55,0)))</f>
        <v/>
      </c>
      <c r="Q55" s="21"/>
      <c r="R55" s="26"/>
      <c r="S55" s="2" t="str">
        <f aca="false">IF($O55="","",IF($L55&lt;&gt;"",100,0)+IF($N55="",0,$N55)+ROW()/100000)</f>
        <v/>
      </c>
      <c r="T55" s="2" t="str">
        <f aca="false">IF($S55="","",IF($A55=SEL_MODEL,$S55,""))</f>
        <v/>
      </c>
    </row>
    <row r="56" customFormat="false" ht="15" hidden="false" customHeight="false" outlineLevel="0" collapsed="false">
      <c r="A56" s="19"/>
      <c r="B56" s="20"/>
      <c r="C56" s="21"/>
      <c r="D56" s="20"/>
      <c r="E56" s="19"/>
      <c r="F56" s="20"/>
      <c r="G56" s="20"/>
      <c r="H56" s="20"/>
      <c r="I56" s="22" t="str">
        <f aca="false">IF($E56="","",IFERROR(IF(INDEX(SUPPLIERS!$D$4:$D$63,MATCH($E56,SUPPLIERS!$A$4:$A$63,0))="","",INDEX(SUPPLIERS!$D$4:$D$63,MATCH($E56,SUPPLIERS!$A$4:$A$63,0))),""))</f>
        <v/>
      </c>
      <c r="J56" s="22" t="str">
        <f aca="false">IF($E56="","",IFERROR(IF(INDEX(SUPPLIERS!$E$4:$E$63,MATCH($E56,SUPPLIERS!$A$4:$A$63,0))="","",INDEX(SUPPLIERS!$E$4:$E$63,MATCH($E56,SUPPLIERS!$A$4:$A$63,0))),""))</f>
        <v/>
      </c>
      <c r="K56" s="20"/>
      <c r="L56" s="19"/>
      <c r="M56" s="23" t="str">
        <f aca="false">IF(COUNT($F56:$J56)&lt;5,"",ROUND($F56*W_SRC+$G56*W_QC+$H56*W_CAP+$I56*W_SUP+$J56*W_EXT,1))</f>
        <v/>
      </c>
      <c r="N56" s="24" t="str">
        <f aca="false">IF(OR($M56="",$K56=""),"",ROUND($M56*$K56,1))</f>
        <v/>
      </c>
      <c r="O56" s="25" t="str">
        <f aca="false">IF($E56="","",IF($L56&lt;&gt;"","CRITICAL (FLAG)",IF(OR($M56="",$K56=""),"NOT SCORED",IF($N56&gt;=T_CRIT,"CRITICAL",IF($N56&gt;=T_MON,"MONITOR","LOW")))))</f>
        <v/>
      </c>
      <c r="P56" s="12" t="str">
        <f aca="false">IF($M56="","",INDEX(DriverNames,MATCH(MAX($F56:$J56),$F56:$J56,0)))</f>
        <v/>
      </c>
      <c r="Q56" s="21"/>
      <c r="R56" s="26"/>
      <c r="S56" s="2" t="str">
        <f aca="false">IF($O56="","",IF($L56&lt;&gt;"",100,0)+IF($N56="",0,$N56)+ROW()/100000)</f>
        <v/>
      </c>
      <c r="T56" s="2" t="str">
        <f aca="false">IF($S56="","",IF($A56=SEL_MODEL,$S56,""))</f>
        <v/>
      </c>
    </row>
    <row r="57" customFormat="false" ht="15" hidden="false" customHeight="false" outlineLevel="0" collapsed="false">
      <c r="A57" s="19"/>
      <c r="B57" s="20"/>
      <c r="C57" s="21"/>
      <c r="D57" s="20"/>
      <c r="E57" s="19"/>
      <c r="F57" s="20"/>
      <c r="G57" s="20"/>
      <c r="H57" s="20"/>
      <c r="I57" s="22" t="str">
        <f aca="false">IF($E57="","",IFERROR(IF(INDEX(SUPPLIERS!$D$4:$D$63,MATCH($E57,SUPPLIERS!$A$4:$A$63,0))="","",INDEX(SUPPLIERS!$D$4:$D$63,MATCH($E57,SUPPLIERS!$A$4:$A$63,0))),""))</f>
        <v/>
      </c>
      <c r="J57" s="22" t="str">
        <f aca="false">IF($E57="","",IFERROR(IF(INDEX(SUPPLIERS!$E$4:$E$63,MATCH($E57,SUPPLIERS!$A$4:$A$63,0))="","",INDEX(SUPPLIERS!$E$4:$E$63,MATCH($E57,SUPPLIERS!$A$4:$A$63,0))),""))</f>
        <v/>
      </c>
      <c r="K57" s="20"/>
      <c r="L57" s="19"/>
      <c r="M57" s="23" t="str">
        <f aca="false">IF(COUNT($F57:$J57)&lt;5,"",ROUND($F57*W_SRC+$G57*W_QC+$H57*W_CAP+$I57*W_SUP+$J57*W_EXT,1))</f>
        <v/>
      </c>
      <c r="N57" s="24" t="str">
        <f aca="false">IF(OR($M57="",$K57=""),"",ROUND($M57*$K57,1))</f>
        <v/>
      </c>
      <c r="O57" s="25" t="str">
        <f aca="false">IF($E57="","",IF($L57&lt;&gt;"","CRITICAL (FLAG)",IF(OR($M57="",$K57=""),"NOT SCORED",IF($N57&gt;=T_CRIT,"CRITICAL",IF($N57&gt;=T_MON,"MONITOR","LOW")))))</f>
        <v/>
      </c>
      <c r="P57" s="12" t="str">
        <f aca="false">IF($M57="","",INDEX(DriverNames,MATCH(MAX($F57:$J57),$F57:$J57,0)))</f>
        <v/>
      </c>
      <c r="Q57" s="21"/>
      <c r="R57" s="26"/>
      <c r="S57" s="2" t="str">
        <f aca="false">IF($O57="","",IF($L57&lt;&gt;"",100,0)+IF($N57="",0,$N57)+ROW()/100000)</f>
        <v/>
      </c>
      <c r="T57" s="2" t="str">
        <f aca="false">IF($S57="","",IF($A57=SEL_MODEL,$S57,""))</f>
        <v/>
      </c>
    </row>
    <row r="58" customFormat="false" ht="15" hidden="false" customHeight="false" outlineLevel="0" collapsed="false">
      <c r="A58" s="19"/>
      <c r="B58" s="20"/>
      <c r="C58" s="21"/>
      <c r="D58" s="20"/>
      <c r="E58" s="19"/>
      <c r="F58" s="20"/>
      <c r="G58" s="20"/>
      <c r="H58" s="20"/>
      <c r="I58" s="22" t="str">
        <f aca="false">IF($E58="","",IFERROR(IF(INDEX(SUPPLIERS!$D$4:$D$63,MATCH($E58,SUPPLIERS!$A$4:$A$63,0))="","",INDEX(SUPPLIERS!$D$4:$D$63,MATCH($E58,SUPPLIERS!$A$4:$A$63,0))),""))</f>
        <v/>
      </c>
      <c r="J58" s="22" t="str">
        <f aca="false">IF($E58="","",IFERROR(IF(INDEX(SUPPLIERS!$E$4:$E$63,MATCH($E58,SUPPLIERS!$A$4:$A$63,0))="","",INDEX(SUPPLIERS!$E$4:$E$63,MATCH($E58,SUPPLIERS!$A$4:$A$63,0))),""))</f>
        <v/>
      </c>
      <c r="K58" s="20"/>
      <c r="L58" s="19"/>
      <c r="M58" s="23" t="str">
        <f aca="false">IF(COUNT($F58:$J58)&lt;5,"",ROUND($F58*W_SRC+$G58*W_QC+$H58*W_CAP+$I58*W_SUP+$J58*W_EXT,1))</f>
        <v/>
      </c>
      <c r="N58" s="24" t="str">
        <f aca="false">IF(OR($M58="",$K58=""),"",ROUND($M58*$K58,1))</f>
        <v/>
      </c>
      <c r="O58" s="25" t="str">
        <f aca="false">IF($E58="","",IF($L58&lt;&gt;"","CRITICAL (FLAG)",IF(OR($M58="",$K58=""),"NOT SCORED",IF($N58&gt;=T_CRIT,"CRITICAL",IF($N58&gt;=T_MON,"MONITOR","LOW")))))</f>
        <v/>
      </c>
      <c r="P58" s="12" t="str">
        <f aca="false">IF($M58="","",INDEX(DriverNames,MATCH(MAX($F58:$J58),$F58:$J58,0)))</f>
        <v/>
      </c>
      <c r="Q58" s="21"/>
      <c r="R58" s="26"/>
      <c r="S58" s="2" t="str">
        <f aca="false">IF($O58="","",IF($L58&lt;&gt;"",100,0)+IF($N58="",0,$N58)+ROW()/100000)</f>
        <v/>
      </c>
      <c r="T58" s="2" t="str">
        <f aca="false">IF($S58="","",IF($A58=SEL_MODEL,$S58,""))</f>
        <v/>
      </c>
    </row>
    <row r="59" customFormat="false" ht="15" hidden="false" customHeight="false" outlineLevel="0" collapsed="false">
      <c r="A59" s="19"/>
      <c r="B59" s="20"/>
      <c r="C59" s="21"/>
      <c r="D59" s="20"/>
      <c r="E59" s="19"/>
      <c r="F59" s="20"/>
      <c r="G59" s="20"/>
      <c r="H59" s="20"/>
      <c r="I59" s="22" t="str">
        <f aca="false">IF($E59="","",IFERROR(IF(INDEX(SUPPLIERS!$D$4:$D$63,MATCH($E59,SUPPLIERS!$A$4:$A$63,0))="","",INDEX(SUPPLIERS!$D$4:$D$63,MATCH($E59,SUPPLIERS!$A$4:$A$63,0))),""))</f>
        <v/>
      </c>
      <c r="J59" s="22" t="str">
        <f aca="false">IF($E59="","",IFERROR(IF(INDEX(SUPPLIERS!$E$4:$E$63,MATCH($E59,SUPPLIERS!$A$4:$A$63,0))="","",INDEX(SUPPLIERS!$E$4:$E$63,MATCH($E59,SUPPLIERS!$A$4:$A$63,0))),""))</f>
        <v/>
      </c>
      <c r="K59" s="20"/>
      <c r="L59" s="19"/>
      <c r="M59" s="23" t="str">
        <f aca="false">IF(COUNT($F59:$J59)&lt;5,"",ROUND($F59*W_SRC+$G59*W_QC+$H59*W_CAP+$I59*W_SUP+$J59*W_EXT,1))</f>
        <v/>
      </c>
      <c r="N59" s="24" t="str">
        <f aca="false">IF(OR($M59="",$K59=""),"",ROUND($M59*$K59,1))</f>
        <v/>
      </c>
      <c r="O59" s="25" t="str">
        <f aca="false">IF($E59="","",IF($L59&lt;&gt;"","CRITICAL (FLAG)",IF(OR($M59="",$K59=""),"NOT SCORED",IF($N59&gt;=T_CRIT,"CRITICAL",IF($N59&gt;=T_MON,"MONITOR","LOW")))))</f>
        <v/>
      </c>
      <c r="P59" s="12" t="str">
        <f aca="false">IF($M59="","",INDEX(DriverNames,MATCH(MAX($F59:$J59),$F59:$J59,0)))</f>
        <v/>
      </c>
      <c r="Q59" s="21"/>
      <c r="R59" s="26"/>
      <c r="S59" s="2" t="str">
        <f aca="false">IF($O59="","",IF($L59&lt;&gt;"",100,0)+IF($N59="",0,$N59)+ROW()/100000)</f>
        <v/>
      </c>
      <c r="T59" s="2" t="str">
        <f aca="false">IF($S59="","",IF($A59=SEL_MODEL,$S59,""))</f>
        <v/>
      </c>
    </row>
    <row r="60" customFormat="false" ht="15" hidden="false" customHeight="false" outlineLevel="0" collapsed="false">
      <c r="A60" s="19"/>
      <c r="B60" s="20"/>
      <c r="C60" s="21"/>
      <c r="D60" s="20"/>
      <c r="E60" s="19"/>
      <c r="F60" s="20"/>
      <c r="G60" s="20"/>
      <c r="H60" s="20"/>
      <c r="I60" s="22" t="str">
        <f aca="false">IF($E60="","",IFERROR(IF(INDEX(SUPPLIERS!$D$4:$D$63,MATCH($E60,SUPPLIERS!$A$4:$A$63,0))="","",INDEX(SUPPLIERS!$D$4:$D$63,MATCH($E60,SUPPLIERS!$A$4:$A$63,0))),""))</f>
        <v/>
      </c>
      <c r="J60" s="22" t="str">
        <f aca="false">IF($E60="","",IFERROR(IF(INDEX(SUPPLIERS!$E$4:$E$63,MATCH($E60,SUPPLIERS!$A$4:$A$63,0))="","",INDEX(SUPPLIERS!$E$4:$E$63,MATCH($E60,SUPPLIERS!$A$4:$A$63,0))),""))</f>
        <v/>
      </c>
      <c r="K60" s="20"/>
      <c r="L60" s="19"/>
      <c r="M60" s="23" t="str">
        <f aca="false">IF(COUNT($F60:$J60)&lt;5,"",ROUND($F60*W_SRC+$G60*W_QC+$H60*W_CAP+$I60*W_SUP+$J60*W_EXT,1))</f>
        <v/>
      </c>
      <c r="N60" s="24" t="str">
        <f aca="false">IF(OR($M60="",$K60=""),"",ROUND($M60*$K60,1))</f>
        <v/>
      </c>
      <c r="O60" s="25" t="str">
        <f aca="false">IF($E60="","",IF($L60&lt;&gt;"","CRITICAL (FLAG)",IF(OR($M60="",$K60=""),"NOT SCORED",IF($N60&gt;=T_CRIT,"CRITICAL",IF($N60&gt;=T_MON,"MONITOR","LOW")))))</f>
        <v/>
      </c>
      <c r="P60" s="12" t="str">
        <f aca="false">IF($M60="","",INDEX(DriverNames,MATCH(MAX($F60:$J60),$F60:$J60,0)))</f>
        <v/>
      </c>
      <c r="Q60" s="21"/>
      <c r="R60" s="26"/>
      <c r="S60" s="2" t="str">
        <f aca="false">IF($O60="","",IF($L60&lt;&gt;"",100,0)+IF($N60="",0,$N60)+ROW()/100000)</f>
        <v/>
      </c>
      <c r="T60" s="2" t="str">
        <f aca="false">IF($S60="","",IF($A60=SEL_MODEL,$S60,""))</f>
        <v/>
      </c>
    </row>
    <row r="61" customFormat="false" ht="15" hidden="false" customHeight="false" outlineLevel="0" collapsed="false">
      <c r="A61" s="19"/>
      <c r="B61" s="20"/>
      <c r="C61" s="21"/>
      <c r="D61" s="20"/>
      <c r="E61" s="19"/>
      <c r="F61" s="20"/>
      <c r="G61" s="20"/>
      <c r="H61" s="20"/>
      <c r="I61" s="22" t="str">
        <f aca="false">IF($E61="","",IFERROR(IF(INDEX(SUPPLIERS!$D$4:$D$63,MATCH($E61,SUPPLIERS!$A$4:$A$63,0))="","",INDEX(SUPPLIERS!$D$4:$D$63,MATCH($E61,SUPPLIERS!$A$4:$A$63,0))),""))</f>
        <v/>
      </c>
      <c r="J61" s="22" t="str">
        <f aca="false">IF($E61="","",IFERROR(IF(INDEX(SUPPLIERS!$E$4:$E$63,MATCH($E61,SUPPLIERS!$A$4:$A$63,0))="","",INDEX(SUPPLIERS!$E$4:$E$63,MATCH($E61,SUPPLIERS!$A$4:$A$63,0))),""))</f>
        <v/>
      </c>
      <c r="K61" s="20"/>
      <c r="L61" s="19"/>
      <c r="M61" s="23" t="str">
        <f aca="false">IF(COUNT($F61:$J61)&lt;5,"",ROUND($F61*W_SRC+$G61*W_QC+$H61*W_CAP+$I61*W_SUP+$J61*W_EXT,1))</f>
        <v/>
      </c>
      <c r="N61" s="24" t="str">
        <f aca="false">IF(OR($M61="",$K61=""),"",ROUND($M61*$K61,1))</f>
        <v/>
      </c>
      <c r="O61" s="25" t="str">
        <f aca="false">IF($E61="","",IF($L61&lt;&gt;"","CRITICAL (FLAG)",IF(OR($M61="",$K61=""),"NOT SCORED",IF($N61&gt;=T_CRIT,"CRITICAL",IF($N61&gt;=T_MON,"MONITOR","LOW")))))</f>
        <v/>
      </c>
      <c r="P61" s="12" t="str">
        <f aca="false">IF($M61="","",INDEX(DriverNames,MATCH(MAX($F61:$J61),$F61:$J61,0)))</f>
        <v/>
      </c>
      <c r="Q61" s="21"/>
      <c r="R61" s="26"/>
      <c r="S61" s="2" t="str">
        <f aca="false">IF($O61="","",IF($L61&lt;&gt;"",100,0)+IF($N61="",0,$N61)+ROW()/100000)</f>
        <v/>
      </c>
      <c r="T61" s="2" t="str">
        <f aca="false">IF($S61="","",IF($A61=SEL_MODEL,$S61,""))</f>
        <v/>
      </c>
    </row>
    <row r="62" customFormat="false" ht="15" hidden="false" customHeight="false" outlineLevel="0" collapsed="false">
      <c r="A62" s="19"/>
      <c r="B62" s="20"/>
      <c r="C62" s="21"/>
      <c r="D62" s="20"/>
      <c r="E62" s="19"/>
      <c r="F62" s="20"/>
      <c r="G62" s="20"/>
      <c r="H62" s="20"/>
      <c r="I62" s="22" t="str">
        <f aca="false">IF($E62="","",IFERROR(IF(INDEX(SUPPLIERS!$D$4:$D$63,MATCH($E62,SUPPLIERS!$A$4:$A$63,0))="","",INDEX(SUPPLIERS!$D$4:$D$63,MATCH($E62,SUPPLIERS!$A$4:$A$63,0))),""))</f>
        <v/>
      </c>
      <c r="J62" s="22" t="str">
        <f aca="false">IF($E62="","",IFERROR(IF(INDEX(SUPPLIERS!$E$4:$E$63,MATCH($E62,SUPPLIERS!$A$4:$A$63,0))="","",INDEX(SUPPLIERS!$E$4:$E$63,MATCH($E62,SUPPLIERS!$A$4:$A$63,0))),""))</f>
        <v/>
      </c>
      <c r="K62" s="20"/>
      <c r="L62" s="19"/>
      <c r="M62" s="23" t="str">
        <f aca="false">IF(COUNT($F62:$J62)&lt;5,"",ROUND($F62*W_SRC+$G62*W_QC+$H62*W_CAP+$I62*W_SUP+$J62*W_EXT,1))</f>
        <v/>
      </c>
      <c r="N62" s="24" t="str">
        <f aca="false">IF(OR($M62="",$K62=""),"",ROUND($M62*$K62,1))</f>
        <v/>
      </c>
      <c r="O62" s="25" t="str">
        <f aca="false">IF($E62="","",IF($L62&lt;&gt;"","CRITICAL (FLAG)",IF(OR($M62="",$K62=""),"NOT SCORED",IF($N62&gt;=T_CRIT,"CRITICAL",IF($N62&gt;=T_MON,"MONITOR","LOW")))))</f>
        <v/>
      </c>
      <c r="P62" s="12" t="str">
        <f aca="false">IF($M62="","",INDEX(DriverNames,MATCH(MAX($F62:$J62),$F62:$J62,0)))</f>
        <v/>
      </c>
      <c r="Q62" s="21"/>
      <c r="R62" s="26"/>
      <c r="S62" s="2" t="str">
        <f aca="false">IF($O62="","",IF($L62&lt;&gt;"",100,0)+IF($N62="",0,$N62)+ROW()/100000)</f>
        <v/>
      </c>
      <c r="T62" s="2" t="str">
        <f aca="false">IF($S62="","",IF($A62=SEL_MODEL,$S62,""))</f>
        <v/>
      </c>
    </row>
    <row r="63" customFormat="false" ht="15" hidden="false" customHeight="false" outlineLevel="0" collapsed="false">
      <c r="A63" s="19"/>
      <c r="B63" s="20"/>
      <c r="C63" s="21"/>
      <c r="D63" s="20"/>
      <c r="E63" s="19"/>
      <c r="F63" s="20"/>
      <c r="G63" s="20"/>
      <c r="H63" s="20"/>
      <c r="I63" s="22" t="str">
        <f aca="false">IF($E63="","",IFERROR(IF(INDEX(SUPPLIERS!$D$4:$D$63,MATCH($E63,SUPPLIERS!$A$4:$A$63,0))="","",INDEX(SUPPLIERS!$D$4:$D$63,MATCH($E63,SUPPLIERS!$A$4:$A$63,0))),""))</f>
        <v/>
      </c>
      <c r="J63" s="22" t="str">
        <f aca="false">IF($E63="","",IFERROR(IF(INDEX(SUPPLIERS!$E$4:$E$63,MATCH($E63,SUPPLIERS!$A$4:$A$63,0))="","",INDEX(SUPPLIERS!$E$4:$E$63,MATCH($E63,SUPPLIERS!$A$4:$A$63,0))),""))</f>
        <v/>
      </c>
      <c r="K63" s="20"/>
      <c r="L63" s="19"/>
      <c r="M63" s="23" t="str">
        <f aca="false">IF(COUNT($F63:$J63)&lt;5,"",ROUND($F63*W_SRC+$G63*W_QC+$H63*W_CAP+$I63*W_SUP+$J63*W_EXT,1))</f>
        <v/>
      </c>
      <c r="N63" s="24" t="str">
        <f aca="false">IF(OR($M63="",$K63=""),"",ROUND($M63*$K63,1))</f>
        <v/>
      </c>
      <c r="O63" s="25" t="str">
        <f aca="false">IF($E63="","",IF($L63&lt;&gt;"","CRITICAL (FLAG)",IF(OR($M63="",$K63=""),"NOT SCORED",IF($N63&gt;=T_CRIT,"CRITICAL",IF($N63&gt;=T_MON,"MONITOR","LOW")))))</f>
        <v/>
      </c>
      <c r="P63" s="12" t="str">
        <f aca="false">IF($M63="","",INDEX(DriverNames,MATCH(MAX($F63:$J63),$F63:$J63,0)))</f>
        <v/>
      </c>
      <c r="Q63" s="21"/>
      <c r="R63" s="26"/>
      <c r="S63" s="2" t="str">
        <f aca="false">IF($O63="","",IF($L63&lt;&gt;"",100,0)+IF($N63="",0,$N63)+ROW()/100000)</f>
        <v/>
      </c>
      <c r="T63" s="2" t="str">
        <f aca="false">IF($S63="","",IF($A63=SEL_MODEL,$S63,""))</f>
        <v/>
      </c>
    </row>
    <row r="64" customFormat="false" ht="15" hidden="false" customHeight="false" outlineLevel="0" collapsed="false">
      <c r="A64" s="19"/>
      <c r="B64" s="20"/>
      <c r="C64" s="21"/>
      <c r="D64" s="20"/>
      <c r="E64" s="19"/>
      <c r="F64" s="20"/>
      <c r="G64" s="20"/>
      <c r="H64" s="20"/>
      <c r="I64" s="22" t="str">
        <f aca="false">IF($E64="","",IFERROR(IF(INDEX(SUPPLIERS!$D$4:$D$63,MATCH($E64,SUPPLIERS!$A$4:$A$63,0))="","",INDEX(SUPPLIERS!$D$4:$D$63,MATCH($E64,SUPPLIERS!$A$4:$A$63,0))),""))</f>
        <v/>
      </c>
      <c r="J64" s="22" t="str">
        <f aca="false">IF($E64="","",IFERROR(IF(INDEX(SUPPLIERS!$E$4:$E$63,MATCH($E64,SUPPLIERS!$A$4:$A$63,0))="","",INDEX(SUPPLIERS!$E$4:$E$63,MATCH($E64,SUPPLIERS!$A$4:$A$63,0))),""))</f>
        <v/>
      </c>
      <c r="K64" s="20"/>
      <c r="L64" s="19"/>
      <c r="M64" s="23" t="str">
        <f aca="false">IF(COUNT($F64:$J64)&lt;5,"",ROUND($F64*W_SRC+$G64*W_QC+$H64*W_CAP+$I64*W_SUP+$J64*W_EXT,1))</f>
        <v/>
      </c>
      <c r="N64" s="24" t="str">
        <f aca="false">IF(OR($M64="",$K64=""),"",ROUND($M64*$K64,1))</f>
        <v/>
      </c>
      <c r="O64" s="25" t="str">
        <f aca="false">IF($E64="","",IF($L64&lt;&gt;"","CRITICAL (FLAG)",IF(OR($M64="",$K64=""),"NOT SCORED",IF($N64&gt;=T_CRIT,"CRITICAL",IF($N64&gt;=T_MON,"MONITOR","LOW")))))</f>
        <v/>
      </c>
      <c r="P64" s="12" t="str">
        <f aca="false">IF($M64="","",INDEX(DriverNames,MATCH(MAX($F64:$J64),$F64:$J64,0)))</f>
        <v/>
      </c>
      <c r="Q64" s="21"/>
      <c r="R64" s="26"/>
      <c r="S64" s="2" t="str">
        <f aca="false">IF($O64="","",IF($L64&lt;&gt;"",100,0)+IF($N64="",0,$N64)+ROW()/100000)</f>
        <v/>
      </c>
      <c r="T64" s="2" t="str">
        <f aca="false">IF($S64="","",IF($A64=SEL_MODEL,$S64,""))</f>
        <v/>
      </c>
    </row>
    <row r="65" customFormat="false" ht="15" hidden="false" customHeight="false" outlineLevel="0" collapsed="false">
      <c r="A65" s="19"/>
      <c r="B65" s="20"/>
      <c r="C65" s="21"/>
      <c r="D65" s="20"/>
      <c r="E65" s="19"/>
      <c r="F65" s="20"/>
      <c r="G65" s="20"/>
      <c r="H65" s="20"/>
      <c r="I65" s="22" t="str">
        <f aca="false">IF($E65="","",IFERROR(IF(INDEX(SUPPLIERS!$D$4:$D$63,MATCH($E65,SUPPLIERS!$A$4:$A$63,0))="","",INDEX(SUPPLIERS!$D$4:$D$63,MATCH($E65,SUPPLIERS!$A$4:$A$63,0))),""))</f>
        <v/>
      </c>
      <c r="J65" s="22" t="str">
        <f aca="false">IF($E65="","",IFERROR(IF(INDEX(SUPPLIERS!$E$4:$E$63,MATCH($E65,SUPPLIERS!$A$4:$A$63,0))="","",INDEX(SUPPLIERS!$E$4:$E$63,MATCH($E65,SUPPLIERS!$A$4:$A$63,0))),""))</f>
        <v/>
      </c>
      <c r="K65" s="20"/>
      <c r="L65" s="19"/>
      <c r="M65" s="23" t="str">
        <f aca="false">IF(COUNT($F65:$J65)&lt;5,"",ROUND($F65*W_SRC+$G65*W_QC+$H65*W_CAP+$I65*W_SUP+$J65*W_EXT,1))</f>
        <v/>
      </c>
      <c r="N65" s="24" t="str">
        <f aca="false">IF(OR($M65="",$K65=""),"",ROUND($M65*$K65,1))</f>
        <v/>
      </c>
      <c r="O65" s="25" t="str">
        <f aca="false">IF($E65="","",IF($L65&lt;&gt;"","CRITICAL (FLAG)",IF(OR($M65="",$K65=""),"NOT SCORED",IF($N65&gt;=T_CRIT,"CRITICAL",IF($N65&gt;=T_MON,"MONITOR","LOW")))))</f>
        <v/>
      </c>
      <c r="P65" s="12" t="str">
        <f aca="false">IF($M65="","",INDEX(DriverNames,MATCH(MAX($F65:$J65),$F65:$J65,0)))</f>
        <v/>
      </c>
      <c r="Q65" s="21"/>
      <c r="R65" s="26"/>
      <c r="S65" s="2" t="str">
        <f aca="false">IF($O65="","",IF($L65&lt;&gt;"",100,0)+IF($N65="",0,$N65)+ROW()/100000)</f>
        <v/>
      </c>
      <c r="T65" s="2" t="str">
        <f aca="false">IF($S65="","",IF($A65=SEL_MODEL,$S65,""))</f>
        <v/>
      </c>
    </row>
    <row r="66" customFormat="false" ht="15" hidden="false" customHeight="false" outlineLevel="0" collapsed="false">
      <c r="A66" s="19"/>
      <c r="B66" s="20"/>
      <c r="C66" s="21"/>
      <c r="D66" s="20"/>
      <c r="E66" s="19"/>
      <c r="F66" s="20"/>
      <c r="G66" s="20"/>
      <c r="H66" s="20"/>
      <c r="I66" s="22" t="str">
        <f aca="false">IF($E66="","",IFERROR(IF(INDEX(SUPPLIERS!$D$4:$D$63,MATCH($E66,SUPPLIERS!$A$4:$A$63,0))="","",INDEX(SUPPLIERS!$D$4:$D$63,MATCH($E66,SUPPLIERS!$A$4:$A$63,0))),""))</f>
        <v/>
      </c>
      <c r="J66" s="22" t="str">
        <f aca="false">IF($E66="","",IFERROR(IF(INDEX(SUPPLIERS!$E$4:$E$63,MATCH($E66,SUPPLIERS!$A$4:$A$63,0))="","",INDEX(SUPPLIERS!$E$4:$E$63,MATCH($E66,SUPPLIERS!$A$4:$A$63,0))),""))</f>
        <v/>
      </c>
      <c r="K66" s="20"/>
      <c r="L66" s="19"/>
      <c r="M66" s="23" t="str">
        <f aca="false">IF(COUNT($F66:$J66)&lt;5,"",ROUND($F66*W_SRC+$G66*W_QC+$H66*W_CAP+$I66*W_SUP+$J66*W_EXT,1))</f>
        <v/>
      </c>
      <c r="N66" s="24" t="str">
        <f aca="false">IF(OR($M66="",$K66=""),"",ROUND($M66*$K66,1))</f>
        <v/>
      </c>
      <c r="O66" s="25" t="str">
        <f aca="false">IF($E66="","",IF($L66&lt;&gt;"","CRITICAL (FLAG)",IF(OR($M66="",$K66=""),"NOT SCORED",IF($N66&gt;=T_CRIT,"CRITICAL",IF($N66&gt;=T_MON,"MONITOR","LOW")))))</f>
        <v/>
      </c>
      <c r="P66" s="12" t="str">
        <f aca="false">IF($M66="","",INDEX(DriverNames,MATCH(MAX($F66:$J66),$F66:$J66,0)))</f>
        <v/>
      </c>
      <c r="Q66" s="21"/>
      <c r="R66" s="26"/>
      <c r="S66" s="2" t="str">
        <f aca="false">IF($O66="","",IF($L66&lt;&gt;"",100,0)+IF($N66="",0,$N66)+ROW()/100000)</f>
        <v/>
      </c>
      <c r="T66" s="2" t="str">
        <f aca="false">IF($S66="","",IF($A66=SEL_MODEL,$S66,""))</f>
        <v/>
      </c>
    </row>
    <row r="67" customFormat="false" ht="15" hidden="false" customHeight="false" outlineLevel="0" collapsed="false">
      <c r="A67" s="19"/>
      <c r="B67" s="20"/>
      <c r="C67" s="21"/>
      <c r="D67" s="20"/>
      <c r="E67" s="19"/>
      <c r="F67" s="20"/>
      <c r="G67" s="20"/>
      <c r="H67" s="20"/>
      <c r="I67" s="22" t="str">
        <f aca="false">IF($E67="","",IFERROR(IF(INDEX(SUPPLIERS!$D$4:$D$63,MATCH($E67,SUPPLIERS!$A$4:$A$63,0))="","",INDEX(SUPPLIERS!$D$4:$D$63,MATCH($E67,SUPPLIERS!$A$4:$A$63,0))),""))</f>
        <v/>
      </c>
      <c r="J67" s="22" t="str">
        <f aca="false">IF($E67="","",IFERROR(IF(INDEX(SUPPLIERS!$E$4:$E$63,MATCH($E67,SUPPLIERS!$A$4:$A$63,0))="","",INDEX(SUPPLIERS!$E$4:$E$63,MATCH($E67,SUPPLIERS!$A$4:$A$63,0))),""))</f>
        <v/>
      </c>
      <c r="K67" s="20"/>
      <c r="L67" s="19"/>
      <c r="M67" s="23" t="str">
        <f aca="false">IF(COUNT($F67:$J67)&lt;5,"",ROUND($F67*W_SRC+$G67*W_QC+$H67*W_CAP+$I67*W_SUP+$J67*W_EXT,1))</f>
        <v/>
      </c>
      <c r="N67" s="24" t="str">
        <f aca="false">IF(OR($M67="",$K67=""),"",ROUND($M67*$K67,1))</f>
        <v/>
      </c>
      <c r="O67" s="25" t="str">
        <f aca="false">IF($E67="","",IF($L67&lt;&gt;"","CRITICAL (FLAG)",IF(OR($M67="",$K67=""),"NOT SCORED",IF($N67&gt;=T_CRIT,"CRITICAL",IF($N67&gt;=T_MON,"MONITOR","LOW")))))</f>
        <v/>
      </c>
      <c r="P67" s="12" t="str">
        <f aca="false">IF($M67="","",INDEX(DriverNames,MATCH(MAX($F67:$J67),$F67:$J67,0)))</f>
        <v/>
      </c>
      <c r="Q67" s="21"/>
      <c r="R67" s="26"/>
      <c r="S67" s="2" t="str">
        <f aca="false">IF($O67="","",IF($L67&lt;&gt;"",100,0)+IF($N67="",0,$N67)+ROW()/100000)</f>
        <v/>
      </c>
      <c r="T67" s="2" t="str">
        <f aca="false">IF($S67="","",IF($A67=SEL_MODEL,$S67,""))</f>
        <v/>
      </c>
    </row>
    <row r="68" customFormat="false" ht="15" hidden="false" customHeight="false" outlineLevel="0" collapsed="false">
      <c r="A68" s="19"/>
      <c r="B68" s="20"/>
      <c r="C68" s="21"/>
      <c r="D68" s="20"/>
      <c r="E68" s="19"/>
      <c r="F68" s="20"/>
      <c r="G68" s="20"/>
      <c r="H68" s="20"/>
      <c r="I68" s="22" t="str">
        <f aca="false">IF($E68="","",IFERROR(IF(INDEX(SUPPLIERS!$D$4:$D$63,MATCH($E68,SUPPLIERS!$A$4:$A$63,0))="","",INDEX(SUPPLIERS!$D$4:$D$63,MATCH($E68,SUPPLIERS!$A$4:$A$63,0))),""))</f>
        <v/>
      </c>
      <c r="J68" s="22" t="str">
        <f aca="false">IF($E68="","",IFERROR(IF(INDEX(SUPPLIERS!$E$4:$E$63,MATCH($E68,SUPPLIERS!$A$4:$A$63,0))="","",INDEX(SUPPLIERS!$E$4:$E$63,MATCH($E68,SUPPLIERS!$A$4:$A$63,0))),""))</f>
        <v/>
      </c>
      <c r="K68" s="20"/>
      <c r="L68" s="19"/>
      <c r="M68" s="23" t="str">
        <f aca="false">IF(COUNT($F68:$J68)&lt;5,"",ROUND($F68*W_SRC+$G68*W_QC+$H68*W_CAP+$I68*W_SUP+$J68*W_EXT,1))</f>
        <v/>
      </c>
      <c r="N68" s="24" t="str">
        <f aca="false">IF(OR($M68="",$K68=""),"",ROUND($M68*$K68,1))</f>
        <v/>
      </c>
      <c r="O68" s="25" t="str">
        <f aca="false">IF($E68="","",IF($L68&lt;&gt;"","CRITICAL (FLAG)",IF(OR($M68="",$K68=""),"NOT SCORED",IF($N68&gt;=T_CRIT,"CRITICAL",IF($N68&gt;=T_MON,"MONITOR","LOW")))))</f>
        <v/>
      </c>
      <c r="P68" s="12" t="str">
        <f aca="false">IF($M68="","",INDEX(DriverNames,MATCH(MAX($F68:$J68),$F68:$J68,0)))</f>
        <v/>
      </c>
      <c r="Q68" s="21"/>
      <c r="R68" s="26"/>
      <c r="S68" s="2" t="str">
        <f aca="false">IF($O68="","",IF($L68&lt;&gt;"",100,0)+IF($N68="",0,$N68)+ROW()/100000)</f>
        <v/>
      </c>
      <c r="T68" s="2" t="str">
        <f aca="false">IF($S68="","",IF($A68=SEL_MODEL,$S68,""))</f>
        <v/>
      </c>
    </row>
    <row r="69" customFormat="false" ht="15" hidden="false" customHeight="false" outlineLevel="0" collapsed="false">
      <c r="A69" s="19"/>
      <c r="B69" s="20"/>
      <c r="C69" s="21"/>
      <c r="D69" s="20"/>
      <c r="E69" s="19"/>
      <c r="F69" s="20"/>
      <c r="G69" s="20"/>
      <c r="H69" s="20"/>
      <c r="I69" s="22" t="str">
        <f aca="false">IF($E69="","",IFERROR(IF(INDEX(SUPPLIERS!$D$4:$D$63,MATCH($E69,SUPPLIERS!$A$4:$A$63,0))="","",INDEX(SUPPLIERS!$D$4:$D$63,MATCH($E69,SUPPLIERS!$A$4:$A$63,0))),""))</f>
        <v/>
      </c>
      <c r="J69" s="22" t="str">
        <f aca="false">IF($E69="","",IFERROR(IF(INDEX(SUPPLIERS!$E$4:$E$63,MATCH($E69,SUPPLIERS!$A$4:$A$63,0))="","",INDEX(SUPPLIERS!$E$4:$E$63,MATCH($E69,SUPPLIERS!$A$4:$A$63,0))),""))</f>
        <v/>
      </c>
      <c r="K69" s="20"/>
      <c r="L69" s="19"/>
      <c r="M69" s="23" t="str">
        <f aca="false">IF(COUNT($F69:$J69)&lt;5,"",ROUND($F69*W_SRC+$G69*W_QC+$H69*W_CAP+$I69*W_SUP+$J69*W_EXT,1))</f>
        <v/>
      </c>
      <c r="N69" s="24" t="str">
        <f aca="false">IF(OR($M69="",$K69=""),"",ROUND($M69*$K69,1))</f>
        <v/>
      </c>
      <c r="O69" s="25" t="str">
        <f aca="false">IF($E69="","",IF($L69&lt;&gt;"","CRITICAL (FLAG)",IF(OR($M69="",$K69=""),"NOT SCORED",IF($N69&gt;=T_CRIT,"CRITICAL",IF($N69&gt;=T_MON,"MONITOR","LOW")))))</f>
        <v/>
      </c>
      <c r="P69" s="12" t="str">
        <f aca="false">IF($M69="","",INDEX(DriverNames,MATCH(MAX($F69:$J69),$F69:$J69,0)))</f>
        <v/>
      </c>
      <c r="Q69" s="21"/>
      <c r="R69" s="26"/>
      <c r="S69" s="2" t="str">
        <f aca="false">IF($O69="","",IF($L69&lt;&gt;"",100,0)+IF($N69="",0,$N69)+ROW()/100000)</f>
        <v/>
      </c>
      <c r="T69" s="2" t="str">
        <f aca="false">IF($S69="","",IF($A69=SEL_MODEL,$S69,""))</f>
        <v/>
      </c>
    </row>
    <row r="70" customFormat="false" ht="15" hidden="false" customHeight="false" outlineLevel="0" collapsed="false">
      <c r="A70" s="19"/>
      <c r="B70" s="20"/>
      <c r="C70" s="21"/>
      <c r="D70" s="20"/>
      <c r="E70" s="19"/>
      <c r="F70" s="20"/>
      <c r="G70" s="20"/>
      <c r="H70" s="20"/>
      <c r="I70" s="22" t="str">
        <f aca="false">IF($E70="","",IFERROR(IF(INDEX(SUPPLIERS!$D$4:$D$63,MATCH($E70,SUPPLIERS!$A$4:$A$63,0))="","",INDEX(SUPPLIERS!$D$4:$D$63,MATCH($E70,SUPPLIERS!$A$4:$A$63,0))),""))</f>
        <v/>
      </c>
      <c r="J70" s="22" t="str">
        <f aca="false">IF($E70="","",IFERROR(IF(INDEX(SUPPLIERS!$E$4:$E$63,MATCH($E70,SUPPLIERS!$A$4:$A$63,0))="","",INDEX(SUPPLIERS!$E$4:$E$63,MATCH($E70,SUPPLIERS!$A$4:$A$63,0))),""))</f>
        <v/>
      </c>
      <c r="K70" s="20"/>
      <c r="L70" s="19"/>
      <c r="M70" s="23" t="str">
        <f aca="false">IF(COUNT($F70:$J70)&lt;5,"",ROUND($F70*W_SRC+$G70*W_QC+$H70*W_CAP+$I70*W_SUP+$J70*W_EXT,1))</f>
        <v/>
      </c>
      <c r="N70" s="24" t="str">
        <f aca="false">IF(OR($M70="",$K70=""),"",ROUND($M70*$K70,1))</f>
        <v/>
      </c>
      <c r="O70" s="25" t="str">
        <f aca="false">IF($E70="","",IF($L70&lt;&gt;"","CRITICAL (FLAG)",IF(OR($M70="",$K70=""),"NOT SCORED",IF($N70&gt;=T_CRIT,"CRITICAL",IF($N70&gt;=T_MON,"MONITOR","LOW")))))</f>
        <v/>
      </c>
      <c r="P70" s="12" t="str">
        <f aca="false">IF($M70="","",INDEX(DriverNames,MATCH(MAX($F70:$J70),$F70:$J70,0)))</f>
        <v/>
      </c>
      <c r="Q70" s="21"/>
      <c r="R70" s="26"/>
      <c r="S70" s="2" t="str">
        <f aca="false">IF($O70="","",IF($L70&lt;&gt;"",100,0)+IF($N70="",0,$N70)+ROW()/100000)</f>
        <v/>
      </c>
      <c r="T70" s="2" t="str">
        <f aca="false">IF($S70="","",IF($A70=SEL_MODEL,$S70,""))</f>
        <v/>
      </c>
    </row>
    <row r="71" customFormat="false" ht="15" hidden="false" customHeight="false" outlineLevel="0" collapsed="false">
      <c r="A71" s="19"/>
      <c r="B71" s="20"/>
      <c r="C71" s="21"/>
      <c r="D71" s="20"/>
      <c r="E71" s="19"/>
      <c r="F71" s="20"/>
      <c r="G71" s="20"/>
      <c r="H71" s="20"/>
      <c r="I71" s="22" t="str">
        <f aca="false">IF($E71="","",IFERROR(IF(INDEX(SUPPLIERS!$D$4:$D$63,MATCH($E71,SUPPLIERS!$A$4:$A$63,0))="","",INDEX(SUPPLIERS!$D$4:$D$63,MATCH($E71,SUPPLIERS!$A$4:$A$63,0))),""))</f>
        <v/>
      </c>
      <c r="J71" s="22" t="str">
        <f aca="false">IF($E71="","",IFERROR(IF(INDEX(SUPPLIERS!$E$4:$E$63,MATCH($E71,SUPPLIERS!$A$4:$A$63,0))="","",INDEX(SUPPLIERS!$E$4:$E$63,MATCH($E71,SUPPLIERS!$A$4:$A$63,0))),""))</f>
        <v/>
      </c>
      <c r="K71" s="20"/>
      <c r="L71" s="19"/>
      <c r="M71" s="23" t="str">
        <f aca="false">IF(COUNT($F71:$J71)&lt;5,"",ROUND($F71*W_SRC+$G71*W_QC+$H71*W_CAP+$I71*W_SUP+$J71*W_EXT,1))</f>
        <v/>
      </c>
      <c r="N71" s="24" t="str">
        <f aca="false">IF(OR($M71="",$K71=""),"",ROUND($M71*$K71,1))</f>
        <v/>
      </c>
      <c r="O71" s="25" t="str">
        <f aca="false">IF($E71="","",IF($L71&lt;&gt;"","CRITICAL (FLAG)",IF(OR($M71="",$K71=""),"NOT SCORED",IF($N71&gt;=T_CRIT,"CRITICAL",IF($N71&gt;=T_MON,"MONITOR","LOW")))))</f>
        <v/>
      </c>
      <c r="P71" s="12" t="str">
        <f aca="false">IF($M71="","",INDEX(DriverNames,MATCH(MAX($F71:$J71),$F71:$J71,0)))</f>
        <v/>
      </c>
      <c r="Q71" s="21"/>
      <c r="R71" s="26"/>
      <c r="S71" s="2" t="str">
        <f aca="false">IF($O71="","",IF($L71&lt;&gt;"",100,0)+IF($N71="",0,$N71)+ROW()/100000)</f>
        <v/>
      </c>
      <c r="T71" s="2" t="str">
        <f aca="false">IF($S71="","",IF($A71=SEL_MODEL,$S71,""))</f>
        <v/>
      </c>
    </row>
    <row r="72" customFormat="false" ht="15" hidden="false" customHeight="false" outlineLevel="0" collapsed="false">
      <c r="A72" s="19"/>
      <c r="B72" s="20"/>
      <c r="C72" s="21"/>
      <c r="D72" s="20"/>
      <c r="E72" s="19"/>
      <c r="F72" s="20"/>
      <c r="G72" s="20"/>
      <c r="H72" s="20"/>
      <c r="I72" s="22" t="str">
        <f aca="false">IF($E72="","",IFERROR(IF(INDEX(SUPPLIERS!$D$4:$D$63,MATCH($E72,SUPPLIERS!$A$4:$A$63,0))="","",INDEX(SUPPLIERS!$D$4:$D$63,MATCH($E72,SUPPLIERS!$A$4:$A$63,0))),""))</f>
        <v/>
      </c>
      <c r="J72" s="22" t="str">
        <f aca="false">IF($E72="","",IFERROR(IF(INDEX(SUPPLIERS!$E$4:$E$63,MATCH($E72,SUPPLIERS!$A$4:$A$63,0))="","",INDEX(SUPPLIERS!$E$4:$E$63,MATCH($E72,SUPPLIERS!$A$4:$A$63,0))),""))</f>
        <v/>
      </c>
      <c r="K72" s="20"/>
      <c r="L72" s="19"/>
      <c r="M72" s="23" t="str">
        <f aca="false">IF(COUNT($F72:$J72)&lt;5,"",ROUND($F72*W_SRC+$G72*W_QC+$H72*W_CAP+$I72*W_SUP+$J72*W_EXT,1))</f>
        <v/>
      </c>
      <c r="N72" s="24" t="str">
        <f aca="false">IF(OR($M72="",$K72=""),"",ROUND($M72*$K72,1))</f>
        <v/>
      </c>
      <c r="O72" s="25" t="str">
        <f aca="false">IF($E72="","",IF($L72&lt;&gt;"","CRITICAL (FLAG)",IF(OR($M72="",$K72=""),"NOT SCORED",IF($N72&gt;=T_CRIT,"CRITICAL",IF($N72&gt;=T_MON,"MONITOR","LOW")))))</f>
        <v/>
      </c>
      <c r="P72" s="12" t="str">
        <f aca="false">IF($M72="","",INDEX(DriverNames,MATCH(MAX($F72:$J72),$F72:$J72,0)))</f>
        <v/>
      </c>
      <c r="Q72" s="21"/>
      <c r="R72" s="26"/>
      <c r="S72" s="2" t="str">
        <f aca="false">IF($O72="","",IF($L72&lt;&gt;"",100,0)+IF($N72="",0,$N72)+ROW()/100000)</f>
        <v/>
      </c>
      <c r="T72" s="2" t="str">
        <f aca="false">IF($S72="","",IF($A72=SEL_MODEL,$S72,""))</f>
        <v/>
      </c>
    </row>
    <row r="73" customFormat="false" ht="15" hidden="false" customHeight="false" outlineLevel="0" collapsed="false">
      <c r="A73" s="19"/>
      <c r="B73" s="20"/>
      <c r="C73" s="21"/>
      <c r="D73" s="20"/>
      <c r="E73" s="19"/>
      <c r="F73" s="20"/>
      <c r="G73" s="20"/>
      <c r="H73" s="20"/>
      <c r="I73" s="22" t="str">
        <f aca="false">IF($E73="","",IFERROR(IF(INDEX(SUPPLIERS!$D$4:$D$63,MATCH($E73,SUPPLIERS!$A$4:$A$63,0))="","",INDEX(SUPPLIERS!$D$4:$D$63,MATCH($E73,SUPPLIERS!$A$4:$A$63,0))),""))</f>
        <v/>
      </c>
      <c r="J73" s="22" t="str">
        <f aca="false">IF($E73="","",IFERROR(IF(INDEX(SUPPLIERS!$E$4:$E$63,MATCH($E73,SUPPLIERS!$A$4:$A$63,0))="","",INDEX(SUPPLIERS!$E$4:$E$63,MATCH($E73,SUPPLIERS!$A$4:$A$63,0))),""))</f>
        <v/>
      </c>
      <c r="K73" s="20"/>
      <c r="L73" s="19"/>
      <c r="M73" s="23" t="str">
        <f aca="false">IF(COUNT($F73:$J73)&lt;5,"",ROUND($F73*W_SRC+$G73*W_QC+$H73*W_CAP+$I73*W_SUP+$J73*W_EXT,1))</f>
        <v/>
      </c>
      <c r="N73" s="24" t="str">
        <f aca="false">IF(OR($M73="",$K73=""),"",ROUND($M73*$K73,1))</f>
        <v/>
      </c>
      <c r="O73" s="25" t="str">
        <f aca="false">IF($E73="","",IF($L73&lt;&gt;"","CRITICAL (FLAG)",IF(OR($M73="",$K73=""),"NOT SCORED",IF($N73&gt;=T_CRIT,"CRITICAL",IF($N73&gt;=T_MON,"MONITOR","LOW")))))</f>
        <v/>
      </c>
      <c r="P73" s="12" t="str">
        <f aca="false">IF($M73="","",INDEX(DriverNames,MATCH(MAX($F73:$J73),$F73:$J73,0)))</f>
        <v/>
      </c>
      <c r="Q73" s="21"/>
      <c r="R73" s="26"/>
      <c r="S73" s="2" t="str">
        <f aca="false">IF($O73="","",IF($L73&lt;&gt;"",100,0)+IF($N73="",0,$N73)+ROW()/100000)</f>
        <v/>
      </c>
      <c r="T73" s="2" t="str">
        <f aca="false">IF($S73="","",IF($A73=SEL_MODEL,$S73,""))</f>
        <v/>
      </c>
    </row>
    <row r="74" customFormat="false" ht="15" hidden="false" customHeight="false" outlineLevel="0" collapsed="false">
      <c r="A74" s="19"/>
      <c r="B74" s="20"/>
      <c r="C74" s="21"/>
      <c r="D74" s="20"/>
      <c r="E74" s="19"/>
      <c r="F74" s="20"/>
      <c r="G74" s="20"/>
      <c r="H74" s="20"/>
      <c r="I74" s="22" t="str">
        <f aca="false">IF($E74="","",IFERROR(IF(INDEX(SUPPLIERS!$D$4:$D$63,MATCH($E74,SUPPLIERS!$A$4:$A$63,0))="","",INDEX(SUPPLIERS!$D$4:$D$63,MATCH($E74,SUPPLIERS!$A$4:$A$63,0))),""))</f>
        <v/>
      </c>
      <c r="J74" s="22" t="str">
        <f aca="false">IF($E74="","",IFERROR(IF(INDEX(SUPPLIERS!$E$4:$E$63,MATCH($E74,SUPPLIERS!$A$4:$A$63,0))="","",INDEX(SUPPLIERS!$E$4:$E$63,MATCH($E74,SUPPLIERS!$A$4:$A$63,0))),""))</f>
        <v/>
      </c>
      <c r="K74" s="20"/>
      <c r="L74" s="19"/>
      <c r="M74" s="23" t="str">
        <f aca="false">IF(COUNT($F74:$J74)&lt;5,"",ROUND($F74*W_SRC+$G74*W_QC+$H74*W_CAP+$I74*W_SUP+$J74*W_EXT,1))</f>
        <v/>
      </c>
      <c r="N74" s="24" t="str">
        <f aca="false">IF(OR($M74="",$K74=""),"",ROUND($M74*$K74,1))</f>
        <v/>
      </c>
      <c r="O74" s="25" t="str">
        <f aca="false">IF($E74="","",IF($L74&lt;&gt;"","CRITICAL (FLAG)",IF(OR($M74="",$K74=""),"NOT SCORED",IF($N74&gt;=T_CRIT,"CRITICAL",IF($N74&gt;=T_MON,"MONITOR","LOW")))))</f>
        <v/>
      </c>
      <c r="P74" s="12" t="str">
        <f aca="false">IF($M74="","",INDEX(DriverNames,MATCH(MAX($F74:$J74),$F74:$J74,0)))</f>
        <v/>
      </c>
      <c r="Q74" s="21"/>
      <c r="R74" s="26"/>
      <c r="S74" s="2" t="str">
        <f aca="false">IF($O74="","",IF($L74&lt;&gt;"",100,0)+IF($N74="",0,$N74)+ROW()/100000)</f>
        <v/>
      </c>
      <c r="T74" s="2" t="str">
        <f aca="false">IF($S74="","",IF($A74=SEL_MODEL,$S74,""))</f>
        <v/>
      </c>
    </row>
    <row r="75" customFormat="false" ht="15" hidden="false" customHeight="false" outlineLevel="0" collapsed="false">
      <c r="A75" s="19"/>
      <c r="B75" s="20"/>
      <c r="C75" s="21"/>
      <c r="D75" s="20"/>
      <c r="E75" s="19"/>
      <c r="F75" s="20"/>
      <c r="G75" s="20"/>
      <c r="H75" s="20"/>
      <c r="I75" s="22" t="str">
        <f aca="false">IF($E75="","",IFERROR(IF(INDEX(SUPPLIERS!$D$4:$D$63,MATCH($E75,SUPPLIERS!$A$4:$A$63,0))="","",INDEX(SUPPLIERS!$D$4:$D$63,MATCH($E75,SUPPLIERS!$A$4:$A$63,0))),""))</f>
        <v/>
      </c>
      <c r="J75" s="22" t="str">
        <f aca="false">IF($E75="","",IFERROR(IF(INDEX(SUPPLIERS!$E$4:$E$63,MATCH($E75,SUPPLIERS!$A$4:$A$63,0))="","",INDEX(SUPPLIERS!$E$4:$E$63,MATCH($E75,SUPPLIERS!$A$4:$A$63,0))),""))</f>
        <v/>
      </c>
      <c r="K75" s="20"/>
      <c r="L75" s="19"/>
      <c r="M75" s="23" t="str">
        <f aca="false">IF(COUNT($F75:$J75)&lt;5,"",ROUND($F75*W_SRC+$G75*W_QC+$H75*W_CAP+$I75*W_SUP+$J75*W_EXT,1))</f>
        <v/>
      </c>
      <c r="N75" s="24" t="str">
        <f aca="false">IF(OR($M75="",$K75=""),"",ROUND($M75*$K75,1))</f>
        <v/>
      </c>
      <c r="O75" s="25" t="str">
        <f aca="false">IF($E75="","",IF($L75&lt;&gt;"","CRITICAL (FLAG)",IF(OR($M75="",$K75=""),"NOT SCORED",IF($N75&gt;=T_CRIT,"CRITICAL",IF($N75&gt;=T_MON,"MONITOR","LOW")))))</f>
        <v/>
      </c>
      <c r="P75" s="12" t="str">
        <f aca="false">IF($M75="","",INDEX(DriverNames,MATCH(MAX($F75:$J75),$F75:$J75,0)))</f>
        <v/>
      </c>
      <c r="Q75" s="21"/>
      <c r="R75" s="26"/>
      <c r="S75" s="2" t="str">
        <f aca="false">IF($O75="","",IF($L75&lt;&gt;"",100,0)+IF($N75="",0,$N75)+ROW()/100000)</f>
        <v/>
      </c>
      <c r="T75" s="2" t="str">
        <f aca="false">IF($S75="","",IF($A75=SEL_MODEL,$S75,""))</f>
        <v/>
      </c>
    </row>
    <row r="76" customFormat="false" ht="15" hidden="false" customHeight="false" outlineLevel="0" collapsed="false">
      <c r="A76" s="19"/>
      <c r="B76" s="20"/>
      <c r="C76" s="21"/>
      <c r="D76" s="20"/>
      <c r="E76" s="19"/>
      <c r="F76" s="20"/>
      <c r="G76" s="20"/>
      <c r="H76" s="20"/>
      <c r="I76" s="22" t="str">
        <f aca="false">IF($E76="","",IFERROR(IF(INDEX(SUPPLIERS!$D$4:$D$63,MATCH($E76,SUPPLIERS!$A$4:$A$63,0))="","",INDEX(SUPPLIERS!$D$4:$D$63,MATCH($E76,SUPPLIERS!$A$4:$A$63,0))),""))</f>
        <v/>
      </c>
      <c r="J76" s="22" t="str">
        <f aca="false">IF($E76="","",IFERROR(IF(INDEX(SUPPLIERS!$E$4:$E$63,MATCH($E76,SUPPLIERS!$A$4:$A$63,0))="","",INDEX(SUPPLIERS!$E$4:$E$63,MATCH($E76,SUPPLIERS!$A$4:$A$63,0))),""))</f>
        <v/>
      </c>
      <c r="K76" s="20"/>
      <c r="L76" s="19"/>
      <c r="M76" s="23" t="str">
        <f aca="false">IF(COUNT($F76:$J76)&lt;5,"",ROUND($F76*W_SRC+$G76*W_QC+$H76*W_CAP+$I76*W_SUP+$J76*W_EXT,1))</f>
        <v/>
      </c>
      <c r="N76" s="24" t="str">
        <f aca="false">IF(OR($M76="",$K76=""),"",ROUND($M76*$K76,1))</f>
        <v/>
      </c>
      <c r="O76" s="25" t="str">
        <f aca="false">IF($E76="","",IF($L76&lt;&gt;"","CRITICAL (FLAG)",IF(OR($M76="",$K76=""),"NOT SCORED",IF($N76&gt;=T_CRIT,"CRITICAL",IF($N76&gt;=T_MON,"MONITOR","LOW")))))</f>
        <v/>
      </c>
      <c r="P76" s="12" t="str">
        <f aca="false">IF($M76="","",INDEX(DriverNames,MATCH(MAX($F76:$J76),$F76:$J76,0)))</f>
        <v/>
      </c>
      <c r="Q76" s="21"/>
      <c r="R76" s="26"/>
      <c r="S76" s="2" t="str">
        <f aca="false">IF($O76="","",IF($L76&lt;&gt;"",100,0)+IF($N76="",0,$N76)+ROW()/100000)</f>
        <v/>
      </c>
      <c r="T76" s="2" t="str">
        <f aca="false">IF($S76="","",IF($A76=SEL_MODEL,$S76,""))</f>
        <v/>
      </c>
    </row>
    <row r="77" customFormat="false" ht="15" hidden="false" customHeight="false" outlineLevel="0" collapsed="false">
      <c r="A77" s="19"/>
      <c r="B77" s="20"/>
      <c r="C77" s="21"/>
      <c r="D77" s="20"/>
      <c r="E77" s="19"/>
      <c r="F77" s="20"/>
      <c r="G77" s="20"/>
      <c r="H77" s="20"/>
      <c r="I77" s="22" t="str">
        <f aca="false">IF($E77="","",IFERROR(IF(INDEX(SUPPLIERS!$D$4:$D$63,MATCH($E77,SUPPLIERS!$A$4:$A$63,0))="","",INDEX(SUPPLIERS!$D$4:$D$63,MATCH($E77,SUPPLIERS!$A$4:$A$63,0))),""))</f>
        <v/>
      </c>
      <c r="J77" s="22" t="str">
        <f aca="false">IF($E77="","",IFERROR(IF(INDEX(SUPPLIERS!$E$4:$E$63,MATCH($E77,SUPPLIERS!$A$4:$A$63,0))="","",INDEX(SUPPLIERS!$E$4:$E$63,MATCH($E77,SUPPLIERS!$A$4:$A$63,0))),""))</f>
        <v/>
      </c>
      <c r="K77" s="20"/>
      <c r="L77" s="19"/>
      <c r="M77" s="23" t="str">
        <f aca="false">IF(COUNT($F77:$J77)&lt;5,"",ROUND($F77*W_SRC+$G77*W_QC+$H77*W_CAP+$I77*W_SUP+$J77*W_EXT,1))</f>
        <v/>
      </c>
      <c r="N77" s="24" t="str">
        <f aca="false">IF(OR($M77="",$K77=""),"",ROUND($M77*$K77,1))</f>
        <v/>
      </c>
      <c r="O77" s="25" t="str">
        <f aca="false">IF($E77="","",IF($L77&lt;&gt;"","CRITICAL (FLAG)",IF(OR($M77="",$K77=""),"NOT SCORED",IF($N77&gt;=T_CRIT,"CRITICAL",IF($N77&gt;=T_MON,"MONITOR","LOW")))))</f>
        <v/>
      </c>
      <c r="P77" s="12" t="str">
        <f aca="false">IF($M77="","",INDEX(DriverNames,MATCH(MAX($F77:$J77),$F77:$J77,0)))</f>
        <v/>
      </c>
      <c r="Q77" s="21"/>
      <c r="R77" s="26"/>
      <c r="S77" s="2" t="str">
        <f aca="false">IF($O77="","",IF($L77&lt;&gt;"",100,0)+IF($N77="",0,$N77)+ROW()/100000)</f>
        <v/>
      </c>
      <c r="T77" s="2" t="str">
        <f aca="false">IF($S77="","",IF($A77=SEL_MODEL,$S77,""))</f>
        <v/>
      </c>
    </row>
    <row r="78" customFormat="false" ht="15" hidden="false" customHeight="false" outlineLevel="0" collapsed="false">
      <c r="A78" s="19"/>
      <c r="B78" s="20"/>
      <c r="C78" s="21"/>
      <c r="D78" s="20"/>
      <c r="E78" s="19"/>
      <c r="F78" s="20"/>
      <c r="G78" s="20"/>
      <c r="H78" s="20"/>
      <c r="I78" s="22" t="str">
        <f aca="false">IF($E78="","",IFERROR(IF(INDEX(SUPPLIERS!$D$4:$D$63,MATCH($E78,SUPPLIERS!$A$4:$A$63,0))="","",INDEX(SUPPLIERS!$D$4:$D$63,MATCH($E78,SUPPLIERS!$A$4:$A$63,0))),""))</f>
        <v/>
      </c>
      <c r="J78" s="22" t="str">
        <f aca="false">IF($E78="","",IFERROR(IF(INDEX(SUPPLIERS!$E$4:$E$63,MATCH($E78,SUPPLIERS!$A$4:$A$63,0))="","",INDEX(SUPPLIERS!$E$4:$E$63,MATCH($E78,SUPPLIERS!$A$4:$A$63,0))),""))</f>
        <v/>
      </c>
      <c r="K78" s="20"/>
      <c r="L78" s="19"/>
      <c r="M78" s="23" t="str">
        <f aca="false">IF(COUNT($F78:$J78)&lt;5,"",ROUND($F78*W_SRC+$G78*W_QC+$H78*W_CAP+$I78*W_SUP+$J78*W_EXT,1))</f>
        <v/>
      </c>
      <c r="N78" s="24" t="str">
        <f aca="false">IF(OR($M78="",$K78=""),"",ROUND($M78*$K78,1))</f>
        <v/>
      </c>
      <c r="O78" s="25" t="str">
        <f aca="false">IF($E78="","",IF($L78&lt;&gt;"","CRITICAL (FLAG)",IF(OR($M78="",$K78=""),"NOT SCORED",IF($N78&gt;=T_CRIT,"CRITICAL",IF($N78&gt;=T_MON,"MONITOR","LOW")))))</f>
        <v/>
      </c>
      <c r="P78" s="12" t="str">
        <f aca="false">IF($M78="","",INDEX(DriverNames,MATCH(MAX($F78:$J78),$F78:$J78,0)))</f>
        <v/>
      </c>
      <c r="Q78" s="21"/>
      <c r="R78" s="26"/>
      <c r="S78" s="2" t="str">
        <f aca="false">IF($O78="","",IF($L78&lt;&gt;"",100,0)+IF($N78="",0,$N78)+ROW()/100000)</f>
        <v/>
      </c>
      <c r="T78" s="2" t="str">
        <f aca="false">IF($S78="","",IF($A78=SEL_MODEL,$S78,""))</f>
        <v/>
      </c>
    </row>
    <row r="79" customFormat="false" ht="15" hidden="false" customHeight="false" outlineLevel="0" collapsed="false">
      <c r="A79" s="19"/>
      <c r="B79" s="20"/>
      <c r="C79" s="21"/>
      <c r="D79" s="20"/>
      <c r="E79" s="19"/>
      <c r="F79" s="20"/>
      <c r="G79" s="20"/>
      <c r="H79" s="20"/>
      <c r="I79" s="22" t="str">
        <f aca="false">IF($E79="","",IFERROR(IF(INDEX(SUPPLIERS!$D$4:$D$63,MATCH($E79,SUPPLIERS!$A$4:$A$63,0))="","",INDEX(SUPPLIERS!$D$4:$D$63,MATCH($E79,SUPPLIERS!$A$4:$A$63,0))),""))</f>
        <v/>
      </c>
      <c r="J79" s="22" t="str">
        <f aca="false">IF($E79="","",IFERROR(IF(INDEX(SUPPLIERS!$E$4:$E$63,MATCH($E79,SUPPLIERS!$A$4:$A$63,0))="","",INDEX(SUPPLIERS!$E$4:$E$63,MATCH($E79,SUPPLIERS!$A$4:$A$63,0))),""))</f>
        <v/>
      </c>
      <c r="K79" s="20"/>
      <c r="L79" s="19"/>
      <c r="M79" s="23" t="str">
        <f aca="false">IF(COUNT($F79:$J79)&lt;5,"",ROUND($F79*W_SRC+$G79*W_QC+$H79*W_CAP+$I79*W_SUP+$J79*W_EXT,1))</f>
        <v/>
      </c>
      <c r="N79" s="24" t="str">
        <f aca="false">IF(OR($M79="",$K79=""),"",ROUND($M79*$K79,1))</f>
        <v/>
      </c>
      <c r="O79" s="25" t="str">
        <f aca="false">IF($E79="","",IF($L79&lt;&gt;"","CRITICAL (FLAG)",IF(OR($M79="",$K79=""),"NOT SCORED",IF($N79&gt;=T_CRIT,"CRITICAL",IF($N79&gt;=T_MON,"MONITOR","LOW")))))</f>
        <v/>
      </c>
      <c r="P79" s="12" t="str">
        <f aca="false">IF($M79="","",INDEX(DriverNames,MATCH(MAX($F79:$J79),$F79:$J79,0)))</f>
        <v/>
      </c>
      <c r="Q79" s="21"/>
      <c r="R79" s="26"/>
      <c r="S79" s="2" t="str">
        <f aca="false">IF($O79="","",IF($L79&lt;&gt;"",100,0)+IF($N79="",0,$N79)+ROW()/100000)</f>
        <v/>
      </c>
      <c r="T79" s="2" t="str">
        <f aca="false">IF($S79="","",IF($A79=SEL_MODEL,$S79,""))</f>
        <v/>
      </c>
    </row>
    <row r="80" customFormat="false" ht="15" hidden="false" customHeight="false" outlineLevel="0" collapsed="false">
      <c r="A80" s="19"/>
      <c r="B80" s="20"/>
      <c r="C80" s="21"/>
      <c r="D80" s="20"/>
      <c r="E80" s="19"/>
      <c r="F80" s="20"/>
      <c r="G80" s="20"/>
      <c r="H80" s="20"/>
      <c r="I80" s="22" t="str">
        <f aca="false">IF($E80="","",IFERROR(IF(INDEX(SUPPLIERS!$D$4:$D$63,MATCH($E80,SUPPLIERS!$A$4:$A$63,0))="","",INDEX(SUPPLIERS!$D$4:$D$63,MATCH($E80,SUPPLIERS!$A$4:$A$63,0))),""))</f>
        <v/>
      </c>
      <c r="J80" s="22" t="str">
        <f aca="false">IF($E80="","",IFERROR(IF(INDEX(SUPPLIERS!$E$4:$E$63,MATCH($E80,SUPPLIERS!$A$4:$A$63,0))="","",INDEX(SUPPLIERS!$E$4:$E$63,MATCH($E80,SUPPLIERS!$A$4:$A$63,0))),""))</f>
        <v/>
      </c>
      <c r="K80" s="20"/>
      <c r="L80" s="19"/>
      <c r="M80" s="23" t="str">
        <f aca="false">IF(COUNT($F80:$J80)&lt;5,"",ROUND($F80*W_SRC+$G80*W_QC+$H80*W_CAP+$I80*W_SUP+$J80*W_EXT,1))</f>
        <v/>
      </c>
      <c r="N80" s="24" t="str">
        <f aca="false">IF(OR($M80="",$K80=""),"",ROUND($M80*$K80,1))</f>
        <v/>
      </c>
      <c r="O80" s="25" t="str">
        <f aca="false">IF($E80="","",IF($L80&lt;&gt;"","CRITICAL (FLAG)",IF(OR($M80="",$K80=""),"NOT SCORED",IF($N80&gt;=T_CRIT,"CRITICAL",IF($N80&gt;=T_MON,"MONITOR","LOW")))))</f>
        <v/>
      </c>
      <c r="P80" s="12" t="str">
        <f aca="false">IF($M80="","",INDEX(DriverNames,MATCH(MAX($F80:$J80),$F80:$J80,0)))</f>
        <v/>
      </c>
      <c r="Q80" s="21"/>
      <c r="R80" s="26"/>
      <c r="S80" s="2" t="str">
        <f aca="false">IF($O80="","",IF($L80&lt;&gt;"",100,0)+IF($N80="",0,$N80)+ROW()/100000)</f>
        <v/>
      </c>
      <c r="T80" s="2" t="str">
        <f aca="false">IF($S80="","",IF($A80=SEL_MODEL,$S80,""))</f>
        <v/>
      </c>
    </row>
    <row r="81" customFormat="false" ht="15" hidden="false" customHeight="false" outlineLevel="0" collapsed="false">
      <c r="A81" s="19"/>
      <c r="B81" s="20"/>
      <c r="C81" s="21"/>
      <c r="D81" s="20"/>
      <c r="E81" s="19"/>
      <c r="F81" s="20"/>
      <c r="G81" s="20"/>
      <c r="H81" s="20"/>
      <c r="I81" s="22" t="str">
        <f aca="false">IF($E81="","",IFERROR(IF(INDEX(SUPPLIERS!$D$4:$D$63,MATCH($E81,SUPPLIERS!$A$4:$A$63,0))="","",INDEX(SUPPLIERS!$D$4:$D$63,MATCH($E81,SUPPLIERS!$A$4:$A$63,0))),""))</f>
        <v/>
      </c>
      <c r="J81" s="22" t="str">
        <f aca="false">IF($E81="","",IFERROR(IF(INDEX(SUPPLIERS!$E$4:$E$63,MATCH($E81,SUPPLIERS!$A$4:$A$63,0))="","",INDEX(SUPPLIERS!$E$4:$E$63,MATCH($E81,SUPPLIERS!$A$4:$A$63,0))),""))</f>
        <v/>
      </c>
      <c r="K81" s="20"/>
      <c r="L81" s="19"/>
      <c r="M81" s="23" t="str">
        <f aca="false">IF(COUNT($F81:$J81)&lt;5,"",ROUND($F81*W_SRC+$G81*W_QC+$H81*W_CAP+$I81*W_SUP+$J81*W_EXT,1))</f>
        <v/>
      </c>
      <c r="N81" s="24" t="str">
        <f aca="false">IF(OR($M81="",$K81=""),"",ROUND($M81*$K81,1))</f>
        <v/>
      </c>
      <c r="O81" s="25" t="str">
        <f aca="false">IF($E81="","",IF($L81&lt;&gt;"","CRITICAL (FLAG)",IF(OR($M81="",$K81=""),"NOT SCORED",IF($N81&gt;=T_CRIT,"CRITICAL",IF($N81&gt;=T_MON,"MONITOR","LOW")))))</f>
        <v/>
      </c>
      <c r="P81" s="12" t="str">
        <f aca="false">IF($M81="","",INDEX(DriverNames,MATCH(MAX($F81:$J81),$F81:$J81,0)))</f>
        <v/>
      </c>
      <c r="Q81" s="21"/>
      <c r="R81" s="26"/>
      <c r="S81" s="2" t="str">
        <f aca="false">IF($O81="","",IF($L81&lt;&gt;"",100,0)+IF($N81="",0,$N81)+ROW()/100000)</f>
        <v/>
      </c>
      <c r="T81" s="2" t="str">
        <f aca="false">IF($S81="","",IF($A81=SEL_MODEL,$S81,""))</f>
        <v/>
      </c>
    </row>
    <row r="82" customFormat="false" ht="15" hidden="false" customHeight="false" outlineLevel="0" collapsed="false">
      <c r="A82" s="19"/>
      <c r="B82" s="20"/>
      <c r="C82" s="21"/>
      <c r="D82" s="20"/>
      <c r="E82" s="19"/>
      <c r="F82" s="20"/>
      <c r="G82" s="20"/>
      <c r="H82" s="20"/>
      <c r="I82" s="22" t="str">
        <f aca="false">IF($E82="","",IFERROR(IF(INDEX(SUPPLIERS!$D$4:$D$63,MATCH($E82,SUPPLIERS!$A$4:$A$63,0))="","",INDEX(SUPPLIERS!$D$4:$D$63,MATCH($E82,SUPPLIERS!$A$4:$A$63,0))),""))</f>
        <v/>
      </c>
      <c r="J82" s="22" t="str">
        <f aca="false">IF($E82="","",IFERROR(IF(INDEX(SUPPLIERS!$E$4:$E$63,MATCH($E82,SUPPLIERS!$A$4:$A$63,0))="","",INDEX(SUPPLIERS!$E$4:$E$63,MATCH($E82,SUPPLIERS!$A$4:$A$63,0))),""))</f>
        <v/>
      </c>
      <c r="K82" s="20"/>
      <c r="L82" s="19"/>
      <c r="M82" s="23" t="str">
        <f aca="false">IF(COUNT($F82:$J82)&lt;5,"",ROUND($F82*W_SRC+$G82*W_QC+$H82*W_CAP+$I82*W_SUP+$J82*W_EXT,1))</f>
        <v/>
      </c>
      <c r="N82" s="24" t="str">
        <f aca="false">IF(OR($M82="",$K82=""),"",ROUND($M82*$K82,1))</f>
        <v/>
      </c>
      <c r="O82" s="25" t="str">
        <f aca="false">IF($E82="","",IF($L82&lt;&gt;"","CRITICAL (FLAG)",IF(OR($M82="",$K82=""),"NOT SCORED",IF($N82&gt;=T_CRIT,"CRITICAL",IF($N82&gt;=T_MON,"MONITOR","LOW")))))</f>
        <v/>
      </c>
      <c r="P82" s="12" t="str">
        <f aca="false">IF($M82="","",INDEX(DriverNames,MATCH(MAX($F82:$J82),$F82:$J82,0)))</f>
        <v/>
      </c>
      <c r="Q82" s="21"/>
      <c r="R82" s="26"/>
      <c r="S82" s="2" t="str">
        <f aca="false">IF($O82="","",IF($L82&lt;&gt;"",100,0)+IF($N82="",0,$N82)+ROW()/100000)</f>
        <v/>
      </c>
      <c r="T82" s="2" t="str">
        <f aca="false">IF($S82="","",IF($A82=SEL_MODEL,$S82,""))</f>
        <v/>
      </c>
    </row>
    <row r="83" customFormat="false" ht="15" hidden="false" customHeight="false" outlineLevel="0" collapsed="false">
      <c r="A83" s="19"/>
      <c r="B83" s="20"/>
      <c r="C83" s="21"/>
      <c r="D83" s="20"/>
      <c r="E83" s="19"/>
      <c r="F83" s="20"/>
      <c r="G83" s="20"/>
      <c r="H83" s="20"/>
      <c r="I83" s="22" t="str">
        <f aca="false">IF($E83="","",IFERROR(IF(INDEX(SUPPLIERS!$D$4:$D$63,MATCH($E83,SUPPLIERS!$A$4:$A$63,0))="","",INDEX(SUPPLIERS!$D$4:$D$63,MATCH($E83,SUPPLIERS!$A$4:$A$63,0))),""))</f>
        <v/>
      </c>
      <c r="J83" s="22" t="str">
        <f aca="false">IF($E83="","",IFERROR(IF(INDEX(SUPPLIERS!$E$4:$E$63,MATCH($E83,SUPPLIERS!$A$4:$A$63,0))="","",INDEX(SUPPLIERS!$E$4:$E$63,MATCH($E83,SUPPLIERS!$A$4:$A$63,0))),""))</f>
        <v/>
      </c>
      <c r="K83" s="20"/>
      <c r="L83" s="19"/>
      <c r="M83" s="23" t="str">
        <f aca="false">IF(COUNT($F83:$J83)&lt;5,"",ROUND($F83*W_SRC+$G83*W_QC+$H83*W_CAP+$I83*W_SUP+$J83*W_EXT,1))</f>
        <v/>
      </c>
      <c r="N83" s="24" t="str">
        <f aca="false">IF(OR($M83="",$K83=""),"",ROUND($M83*$K83,1))</f>
        <v/>
      </c>
      <c r="O83" s="25" t="str">
        <f aca="false">IF($E83="","",IF($L83&lt;&gt;"","CRITICAL (FLAG)",IF(OR($M83="",$K83=""),"NOT SCORED",IF($N83&gt;=T_CRIT,"CRITICAL",IF($N83&gt;=T_MON,"MONITOR","LOW")))))</f>
        <v/>
      </c>
      <c r="P83" s="12" t="str">
        <f aca="false">IF($M83="","",INDEX(DriverNames,MATCH(MAX($F83:$J83),$F83:$J83,0)))</f>
        <v/>
      </c>
      <c r="Q83" s="21"/>
      <c r="R83" s="26"/>
      <c r="S83" s="2" t="str">
        <f aca="false">IF($O83="","",IF($L83&lt;&gt;"",100,0)+IF($N83="",0,$N83)+ROW()/100000)</f>
        <v/>
      </c>
      <c r="T83" s="2" t="str">
        <f aca="false">IF($S83="","",IF($A83=SEL_MODEL,$S83,""))</f>
        <v/>
      </c>
    </row>
    <row r="84" customFormat="false" ht="15" hidden="false" customHeight="false" outlineLevel="0" collapsed="false">
      <c r="A84" s="19"/>
      <c r="B84" s="20"/>
      <c r="C84" s="21"/>
      <c r="D84" s="20"/>
      <c r="E84" s="19"/>
      <c r="F84" s="20"/>
      <c r="G84" s="20"/>
      <c r="H84" s="20"/>
      <c r="I84" s="22" t="str">
        <f aca="false">IF($E84="","",IFERROR(IF(INDEX(SUPPLIERS!$D$4:$D$63,MATCH($E84,SUPPLIERS!$A$4:$A$63,0))="","",INDEX(SUPPLIERS!$D$4:$D$63,MATCH($E84,SUPPLIERS!$A$4:$A$63,0))),""))</f>
        <v/>
      </c>
      <c r="J84" s="22" t="str">
        <f aca="false">IF($E84="","",IFERROR(IF(INDEX(SUPPLIERS!$E$4:$E$63,MATCH($E84,SUPPLIERS!$A$4:$A$63,0))="","",INDEX(SUPPLIERS!$E$4:$E$63,MATCH($E84,SUPPLIERS!$A$4:$A$63,0))),""))</f>
        <v/>
      </c>
      <c r="K84" s="20"/>
      <c r="L84" s="19"/>
      <c r="M84" s="23" t="str">
        <f aca="false">IF(COUNT($F84:$J84)&lt;5,"",ROUND($F84*W_SRC+$G84*W_QC+$H84*W_CAP+$I84*W_SUP+$J84*W_EXT,1))</f>
        <v/>
      </c>
      <c r="N84" s="24" t="str">
        <f aca="false">IF(OR($M84="",$K84=""),"",ROUND($M84*$K84,1))</f>
        <v/>
      </c>
      <c r="O84" s="25" t="str">
        <f aca="false">IF($E84="","",IF($L84&lt;&gt;"","CRITICAL (FLAG)",IF(OR($M84="",$K84=""),"NOT SCORED",IF($N84&gt;=T_CRIT,"CRITICAL",IF($N84&gt;=T_MON,"MONITOR","LOW")))))</f>
        <v/>
      </c>
      <c r="P84" s="12" t="str">
        <f aca="false">IF($M84="","",INDEX(DriverNames,MATCH(MAX($F84:$J84),$F84:$J84,0)))</f>
        <v/>
      </c>
      <c r="Q84" s="21"/>
      <c r="R84" s="26"/>
      <c r="S84" s="2" t="str">
        <f aca="false">IF($O84="","",IF($L84&lt;&gt;"",100,0)+IF($N84="",0,$N84)+ROW()/100000)</f>
        <v/>
      </c>
      <c r="T84" s="2" t="str">
        <f aca="false">IF($S84="","",IF($A84=SEL_MODEL,$S84,""))</f>
        <v/>
      </c>
    </row>
    <row r="85" customFormat="false" ht="15" hidden="false" customHeight="false" outlineLevel="0" collapsed="false">
      <c r="A85" s="19"/>
      <c r="B85" s="20"/>
      <c r="C85" s="21"/>
      <c r="D85" s="20"/>
      <c r="E85" s="19"/>
      <c r="F85" s="20"/>
      <c r="G85" s="20"/>
      <c r="H85" s="20"/>
      <c r="I85" s="22" t="str">
        <f aca="false">IF($E85="","",IFERROR(IF(INDEX(SUPPLIERS!$D$4:$D$63,MATCH($E85,SUPPLIERS!$A$4:$A$63,0))="","",INDEX(SUPPLIERS!$D$4:$D$63,MATCH($E85,SUPPLIERS!$A$4:$A$63,0))),""))</f>
        <v/>
      </c>
      <c r="J85" s="22" t="str">
        <f aca="false">IF($E85="","",IFERROR(IF(INDEX(SUPPLIERS!$E$4:$E$63,MATCH($E85,SUPPLIERS!$A$4:$A$63,0))="","",INDEX(SUPPLIERS!$E$4:$E$63,MATCH($E85,SUPPLIERS!$A$4:$A$63,0))),""))</f>
        <v/>
      </c>
      <c r="K85" s="20"/>
      <c r="L85" s="19"/>
      <c r="M85" s="23" t="str">
        <f aca="false">IF(COUNT($F85:$J85)&lt;5,"",ROUND($F85*W_SRC+$G85*W_QC+$H85*W_CAP+$I85*W_SUP+$J85*W_EXT,1))</f>
        <v/>
      </c>
      <c r="N85" s="24" t="str">
        <f aca="false">IF(OR($M85="",$K85=""),"",ROUND($M85*$K85,1))</f>
        <v/>
      </c>
      <c r="O85" s="25" t="str">
        <f aca="false">IF($E85="","",IF($L85&lt;&gt;"","CRITICAL (FLAG)",IF(OR($M85="",$K85=""),"NOT SCORED",IF($N85&gt;=T_CRIT,"CRITICAL",IF($N85&gt;=T_MON,"MONITOR","LOW")))))</f>
        <v/>
      </c>
      <c r="P85" s="12" t="str">
        <f aca="false">IF($M85="","",INDEX(DriverNames,MATCH(MAX($F85:$J85),$F85:$J85,0)))</f>
        <v/>
      </c>
      <c r="Q85" s="21"/>
      <c r="R85" s="26"/>
      <c r="S85" s="2" t="str">
        <f aca="false">IF($O85="","",IF($L85&lt;&gt;"",100,0)+IF($N85="",0,$N85)+ROW()/100000)</f>
        <v/>
      </c>
      <c r="T85" s="2" t="str">
        <f aca="false">IF($S85="","",IF($A85=SEL_MODEL,$S85,""))</f>
        <v/>
      </c>
    </row>
    <row r="86" customFormat="false" ht="15" hidden="false" customHeight="false" outlineLevel="0" collapsed="false">
      <c r="A86" s="19"/>
      <c r="B86" s="20"/>
      <c r="C86" s="21"/>
      <c r="D86" s="20"/>
      <c r="E86" s="19"/>
      <c r="F86" s="20"/>
      <c r="G86" s="20"/>
      <c r="H86" s="20"/>
      <c r="I86" s="22" t="str">
        <f aca="false">IF($E86="","",IFERROR(IF(INDEX(SUPPLIERS!$D$4:$D$63,MATCH($E86,SUPPLIERS!$A$4:$A$63,0))="","",INDEX(SUPPLIERS!$D$4:$D$63,MATCH($E86,SUPPLIERS!$A$4:$A$63,0))),""))</f>
        <v/>
      </c>
      <c r="J86" s="22" t="str">
        <f aca="false">IF($E86="","",IFERROR(IF(INDEX(SUPPLIERS!$E$4:$E$63,MATCH($E86,SUPPLIERS!$A$4:$A$63,0))="","",INDEX(SUPPLIERS!$E$4:$E$63,MATCH($E86,SUPPLIERS!$A$4:$A$63,0))),""))</f>
        <v/>
      </c>
      <c r="K86" s="20"/>
      <c r="L86" s="19"/>
      <c r="M86" s="23" t="str">
        <f aca="false">IF(COUNT($F86:$J86)&lt;5,"",ROUND($F86*W_SRC+$G86*W_QC+$H86*W_CAP+$I86*W_SUP+$J86*W_EXT,1))</f>
        <v/>
      </c>
      <c r="N86" s="24" t="str">
        <f aca="false">IF(OR($M86="",$K86=""),"",ROUND($M86*$K86,1))</f>
        <v/>
      </c>
      <c r="O86" s="25" t="str">
        <f aca="false">IF($E86="","",IF($L86&lt;&gt;"","CRITICAL (FLAG)",IF(OR($M86="",$K86=""),"NOT SCORED",IF($N86&gt;=T_CRIT,"CRITICAL",IF($N86&gt;=T_MON,"MONITOR","LOW")))))</f>
        <v/>
      </c>
      <c r="P86" s="12" t="str">
        <f aca="false">IF($M86="","",INDEX(DriverNames,MATCH(MAX($F86:$J86),$F86:$J86,0)))</f>
        <v/>
      </c>
      <c r="Q86" s="21"/>
      <c r="R86" s="26"/>
      <c r="S86" s="2" t="str">
        <f aca="false">IF($O86="","",IF($L86&lt;&gt;"",100,0)+IF($N86="",0,$N86)+ROW()/100000)</f>
        <v/>
      </c>
      <c r="T86" s="2" t="str">
        <f aca="false">IF($S86="","",IF($A86=SEL_MODEL,$S86,""))</f>
        <v/>
      </c>
    </row>
    <row r="87" customFormat="false" ht="15" hidden="false" customHeight="false" outlineLevel="0" collapsed="false">
      <c r="A87" s="19"/>
      <c r="B87" s="20"/>
      <c r="C87" s="21"/>
      <c r="D87" s="20"/>
      <c r="E87" s="19"/>
      <c r="F87" s="20"/>
      <c r="G87" s="20"/>
      <c r="H87" s="20"/>
      <c r="I87" s="22" t="str">
        <f aca="false">IF($E87="","",IFERROR(IF(INDEX(SUPPLIERS!$D$4:$D$63,MATCH($E87,SUPPLIERS!$A$4:$A$63,0))="","",INDEX(SUPPLIERS!$D$4:$D$63,MATCH($E87,SUPPLIERS!$A$4:$A$63,0))),""))</f>
        <v/>
      </c>
      <c r="J87" s="22" t="str">
        <f aca="false">IF($E87="","",IFERROR(IF(INDEX(SUPPLIERS!$E$4:$E$63,MATCH($E87,SUPPLIERS!$A$4:$A$63,0))="","",INDEX(SUPPLIERS!$E$4:$E$63,MATCH($E87,SUPPLIERS!$A$4:$A$63,0))),""))</f>
        <v/>
      </c>
      <c r="K87" s="20"/>
      <c r="L87" s="19"/>
      <c r="M87" s="23" t="str">
        <f aca="false">IF(COUNT($F87:$J87)&lt;5,"",ROUND($F87*W_SRC+$G87*W_QC+$H87*W_CAP+$I87*W_SUP+$J87*W_EXT,1))</f>
        <v/>
      </c>
      <c r="N87" s="24" t="str">
        <f aca="false">IF(OR($M87="",$K87=""),"",ROUND($M87*$K87,1))</f>
        <v/>
      </c>
      <c r="O87" s="25" t="str">
        <f aca="false">IF($E87="","",IF($L87&lt;&gt;"","CRITICAL (FLAG)",IF(OR($M87="",$K87=""),"NOT SCORED",IF($N87&gt;=T_CRIT,"CRITICAL",IF($N87&gt;=T_MON,"MONITOR","LOW")))))</f>
        <v/>
      </c>
      <c r="P87" s="12" t="str">
        <f aca="false">IF($M87="","",INDEX(DriverNames,MATCH(MAX($F87:$J87),$F87:$J87,0)))</f>
        <v/>
      </c>
      <c r="Q87" s="21"/>
      <c r="R87" s="26"/>
      <c r="S87" s="2" t="str">
        <f aca="false">IF($O87="","",IF($L87&lt;&gt;"",100,0)+IF($N87="",0,$N87)+ROW()/100000)</f>
        <v/>
      </c>
      <c r="T87" s="2" t="str">
        <f aca="false">IF($S87="","",IF($A87=SEL_MODEL,$S87,""))</f>
        <v/>
      </c>
    </row>
    <row r="88" customFormat="false" ht="15" hidden="false" customHeight="false" outlineLevel="0" collapsed="false">
      <c r="A88" s="19"/>
      <c r="B88" s="20"/>
      <c r="C88" s="21"/>
      <c r="D88" s="20"/>
      <c r="E88" s="19"/>
      <c r="F88" s="20"/>
      <c r="G88" s="20"/>
      <c r="H88" s="20"/>
      <c r="I88" s="22" t="str">
        <f aca="false">IF($E88="","",IFERROR(IF(INDEX(SUPPLIERS!$D$4:$D$63,MATCH($E88,SUPPLIERS!$A$4:$A$63,0))="","",INDEX(SUPPLIERS!$D$4:$D$63,MATCH($E88,SUPPLIERS!$A$4:$A$63,0))),""))</f>
        <v/>
      </c>
      <c r="J88" s="22" t="str">
        <f aca="false">IF($E88="","",IFERROR(IF(INDEX(SUPPLIERS!$E$4:$E$63,MATCH($E88,SUPPLIERS!$A$4:$A$63,0))="","",INDEX(SUPPLIERS!$E$4:$E$63,MATCH($E88,SUPPLIERS!$A$4:$A$63,0))),""))</f>
        <v/>
      </c>
      <c r="K88" s="20"/>
      <c r="L88" s="19"/>
      <c r="M88" s="23" t="str">
        <f aca="false">IF(COUNT($F88:$J88)&lt;5,"",ROUND($F88*W_SRC+$G88*W_QC+$H88*W_CAP+$I88*W_SUP+$J88*W_EXT,1))</f>
        <v/>
      </c>
      <c r="N88" s="24" t="str">
        <f aca="false">IF(OR($M88="",$K88=""),"",ROUND($M88*$K88,1))</f>
        <v/>
      </c>
      <c r="O88" s="25" t="str">
        <f aca="false">IF($E88="","",IF($L88&lt;&gt;"","CRITICAL (FLAG)",IF(OR($M88="",$K88=""),"NOT SCORED",IF($N88&gt;=T_CRIT,"CRITICAL",IF($N88&gt;=T_MON,"MONITOR","LOW")))))</f>
        <v/>
      </c>
      <c r="P88" s="12" t="str">
        <f aca="false">IF($M88="","",INDEX(DriverNames,MATCH(MAX($F88:$J88),$F88:$J88,0)))</f>
        <v/>
      </c>
      <c r="Q88" s="21"/>
      <c r="R88" s="26"/>
      <c r="S88" s="2" t="str">
        <f aca="false">IF($O88="","",IF($L88&lt;&gt;"",100,0)+IF($N88="",0,$N88)+ROW()/100000)</f>
        <v/>
      </c>
      <c r="T88" s="2" t="str">
        <f aca="false">IF($S88="","",IF($A88=SEL_MODEL,$S88,""))</f>
        <v/>
      </c>
    </row>
    <row r="89" customFormat="false" ht="15" hidden="false" customHeight="false" outlineLevel="0" collapsed="false">
      <c r="A89" s="19"/>
      <c r="B89" s="20"/>
      <c r="C89" s="21"/>
      <c r="D89" s="20"/>
      <c r="E89" s="19"/>
      <c r="F89" s="20"/>
      <c r="G89" s="20"/>
      <c r="H89" s="20"/>
      <c r="I89" s="22" t="str">
        <f aca="false">IF($E89="","",IFERROR(IF(INDEX(SUPPLIERS!$D$4:$D$63,MATCH($E89,SUPPLIERS!$A$4:$A$63,0))="","",INDEX(SUPPLIERS!$D$4:$D$63,MATCH($E89,SUPPLIERS!$A$4:$A$63,0))),""))</f>
        <v/>
      </c>
      <c r="J89" s="22" t="str">
        <f aca="false">IF($E89="","",IFERROR(IF(INDEX(SUPPLIERS!$E$4:$E$63,MATCH($E89,SUPPLIERS!$A$4:$A$63,0))="","",INDEX(SUPPLIERS!$E$4:$E$63,MATCH($E89,SUPPLIERS!$A$4:$A$63,0))),""))</f>
        <v/>
      </c>
      <c r="K89" s="20"/>
      <c r="L89" s="19"/>
      <c r="M89" s="23" t="str">
        <f aca="false">IF(COUNT($F89:$J89)&lt;5,"",ROUND($F89*W_SRC+$G89*W_QC+$H89*W_CAP+$I89*W_SUP+$J89*W_EXT,1))</f>
        <v/>
      </c>
      <c r="N89" s="24" t="str">
        <f aca="false">IF(OR($M89="",$K89=""),"",ROUND($M89*$K89,1))</f>
        <v/>
      </c>
      <c r="O89" s="25" t="str">
        <f aca="false">IF($E89="","",IF($L89&lt;&gt;"","CRITICAL (FLAG)",IF(OR($M89="",$K89=""),"NOT SCORED",IF($N89&gt;=T_CRIT,"CRITICAL",IF($N89&gt;=T_MON,"MONITOR","LOW")))))</f>
        <v/>
      </c>
      <c r="P89" s="12" t="str">
        <f aca="false">IF($M89="","",INDEX(DriverNames,MATCH(MAX($F89:$J89),$F89:$J89,0)))</f>
        <v/>
      </c>
      <c r="Q89" s="21"/>
      <c r="R89" s="26"/>
      <c r="S89" s="2" t="str">
        <f aca="false">IF($O89="","",IF($L89&lt;&gt;"",100,0)+IF($N89="",0,$N89)+ROW()/100000)</f>
        <v/>
      </c>
      <c r="T89" s="2" t="str">
        <f aca="false">IF($S89="","",IF($A89=SEL_MODEL,$S89,""))</f>
        <v/>
      </c>
    </row>
    <row r="90" customFormat="false" ht="15" hidden="false" customHeight="false" outlineLevel="0" collapsed="false">
      <c r="A90" s="19"/>
      <c r="B90" s="20"/>
      <c r="C90" s="21"/>
      <c r="D90" s="20"/>
      <c r="E90" s="19"/>
      <c r="F90" s="20"/>
      <c r="G90" s="20"/>
      <c r="H90" s="20"/>
      <c r="I90" s="22" t="str">
        <f aca="false">IF($E90="","",IFERROR(IF(INDEX(SUPPLIERS!$D$4:$D$63,MATCH($E90,SUPPLIERS!$A$4:$A$63,0))="","",INDEX(SUPPLIERS!$D$4:$D$63,MATCH($E90,SUPPLIERS!$A$4:$A$63,0))),""))</f>
        <v/>
      </c>
      <c r="J90" s="22" t="str">
        <f aca="false">IF($E90="","",IFERROR(IF(INDEX(SUPPLIERS!$E$4:$E$63,MATCH($E90,SUPPLIERS!$A$4:$A$63,0))="","",INDEX(SUPPLIERS!$E$4:$E$63,MATCH($E90,SUPPLIERS!$A$4:$A$63,0))),""))</f>
        <v/>
      </c>
      <c r="K90" s="20"/>
      <c r="L90" s="19"/>
      <c r="M90" s="23" t="str">
        <f aca="false">IF(COUNT($F90:$J90)&lt;5,"",ROUND($F90*W_SRC+$G90*W_QC+$H90*W_CAP+$I90*W_SUP+$J90*W_EXT,1))</f>
        <v/>
      </c>
      <c r="N90" s="24" t="str">
        <f aca="false">IF(OR($M90="",$K90=""),"",ROUND($M90*$K90,1))</f>
        <v/>
      </c>
      <c r="O90" s="25" t="str">
        <f aca="false">IF($E90="","",IF($L90&lt;&gt;"","CRITICAL (FLAG)",IF(OR($M90="",$K90=""),"NOT SCORED",IF($N90&gt;=T_CRIT,"CRITICAL",IF($N90&gt;=T_MON,"MONITOR","LOW")))))</f>
        <v/>
      </c>
      <c r="P90" s="12" t="str">
        <f aca="false">IF($M90="","",INDEX(DriverNames,MATCH(MAX($F90:$J90),$F90:$J90,0)))</f>
        <v/>
      </c>
      <c r="Q90" s="21"/>
      <c r="R90" s="26"/>
      <c r="S90" s="2" t="str">
        <f aca="false">IF($O90="","",IF($L90&lt;&gt;"",100,0)+IF($N90="",0,$N90)+ROW()/100000)</f>
        <v/>
      </c>
      <c r="T90" s="2" t="str">
        <f aca="false">IF($S90="","",IF($A90=SEL_MODEL,$S90,""))</f>
        <v/>
      </c>
    </row>
    <row r="91" customFormat="false" ht="15" hidden="false" customHeight="false" outlineLevel="0" collapsed="false">
      <c r="A91" s="19"/>
      <c r="B91" s="20"/>
      <c r="C91" s="21"/>
      <c r="D91" s="20"/>
      <c r="E91" s="19"/>
      <c r="F91" s="20"/>
      <c r="G91" s="20"/>
      <c r="H91" s="20"/>
      <c r="I91" s="22" t="str">
        <f aca="false">IF($E91="","",IFERROR(IF(INDEX(SUPPLIERS!$D$4:$D$63,MATCH($E91,SUPPLIERS!$A$4:$A$63,0))="","",INDEX(SUPPLIERS!$D$4:$D$63,MATCH($E91,SUPPLIERS!$A$4:$A$63,0))),""))</f>
        <v/>
      </c>
      <c r="J91" s="22" t="str">
        <f aca="false">IF($E91="","",IFERROR(IF(INDEX(SUPPLIERS!$E$4:$E$63,MATCH($E91,SUPPLIERS!$A$4:$A$63,0))="","",INDEX(SUPPLIERS!$E$4:$E$63,MATCH($E91,SUPPLIERS!$A$4:$A$63,0))),""))</f>
        <v/>
      </c>
      <c r="K91" s="20"/>
      <c r="L91" s="19"/>
      <c r="M91" s="23" t="str">
        <f aca="false">IF(COUNT($F91:$J91)&lt;5,"",ROUND($F91*W_SRC+$G91*W_QC+$H91*W_CAP+$I91*W_SUP+$J91*W_EXT,1))</f>
        <v/>
      </c>
      <c r="N91" s="24" t="str">
        <f aca="false">IF(OR($M91="",$K91=""),"",ROUND($M91*$K91,1))</f>
        <v/>
      </c>
      <c r="O91" s="25" t="str">
        <f aca="false">IF($E91="","",IF($L91&lt;&gt;"","CRITICAL (FLAG)",IF(OR($M91="",$K91=""),"NOT SCORED",IF($N91&gt;=T_CRIT,"CRITICAL",IF($N91&gt;=T_MON,"MONITOR","LOW")))))</f>
        <v/>
      </c>
      <c r="P91" s="12" t="str">
        <f aca="false">IF($M91="","",INDEX(DriverNames,MATCH(MAX($F91:$J91),$F91:$J91,0)))</f>
        <v/>
      </c>
      <c r="Q91" s="21"/>
      <c r="R91" s="26"/>
      <c r="S91" s="2" t="str">
        <f aca="false">IF($O91="","",IF($L91&lt;&gt;"",100,0)+IF($N91="",0,$N91)+ROW()/100000)</f>
        <v/>
      </c>
      <c r="T91" s="2" t="str">
        <f aca="false">IF($S91="","",IF($A91=SEL_MODEL,$S91,""))</f>
        <v/>
      </c>
    </row>
    <row r="92" customFormat="false" ht="15" hidden="false" customHeight="false" outlineLevel="0" collapsed="false">
      <c r="A92" s="19"/>
      <c r="B92" s="20"/>
      <c r="C92" s="21"/>
      <c r="D92" s="20"/>
      <c r="E92" s="19"/>
      <c r="F92" s="20"/>
      <c r="G92" s="20"/>
      <c r="H92" s="20"/>
      <c r="I92" s="22" t="str">
        <f aca="false">IF($E92="","",IFERROR(IF(INDEX(SUPPLIERS!$D$4:$D$63,MATCH($E92,SUPPLIERS!$A$4:$A$63,0))="","",INDEX(SUPPLIERS!$D$4:$D$63,MATCH($E92,SUPPLIERS!$A$4:$A$63,0))),""))</f>
        <v/>
      </c>
      <c r="J92" s="22" t="str">
        <f aca="false">IF($E92="","",IFERROR(IF(INDEX(SUPPLIERS!$E$4:$E$63,MATCH($E92,SUPPLIERS!$A$4:$A$63,0))="","",INDEX(SUPPLIERS!$E$4:$E$63,MATCH($E92,SUPPLIERS!$A$4:$A$63,0))),""))</f>
        <v/>
      </c>
      <c r="K92" s="20"/>
      <c r="L92" s="19"/>
      <c r="M92" s="23" t="str">
        <f aca="false">IF(COUNT($F92:$J92)&lt;5,"",ROUND($F92*W_SRC+$G92*W_QC+$H92*W_CAP+$I92*W_SUP+$J92*W_EXT,1))</f>
        <v/>
      </c>
      <c r="N92" s="24" t="str">
        <f aca="false">IF(OR($M92="",$K92=""),"",ROUND($M92*$K92,1))</f>
        <v/>
      </c>
      <c r="O92" s="25" t="str">
        <f aca="false">IF($E92="","",IF($L92&lt;&gt;"","CRITICAL (FLAG)",IF(OR($M92="",$K92=""),"NOT SCORED",IF($N92&gt;=T_CRIT,"CRITICAL",IF($N92&gt;=T_MON,"MONITOR","LOW")))))</f>
        <v/>
      </c>
      <c r="P92" s="12" t="str">
        <f aca="false">IF($M92="","",INDEX(DriverNames,MATCH(MAX($F92:$J92),$F92:$J92,0)))</f>
        <v/>
      </c>
      <c r="Q92" s="21"/>
      <c r="R92" s="26"/>
      <c r="S92" s="2" t="str">
        <f aca="false">IF($O92="","",IF($L92&lt;&gt;"",100,0)+IF($N92="",0,$N92)+ROW()/100000)</f>
        <v/>
      </c>
      <c r="T92" s="2" t="str">
        <f aca="false">IF($S92="","",IF($A92=SEL_MODEL,$S92,""))</f>
        <v/>
      </c>
    </row>
    <row r="93" customFormat="false" ht="15" hidden="false" customHeight="false" outlineLevel="0" collapsed="false">
      <c r="A93" s="19"/>
      <c r="B93" s="20"/>
      <c r="C93" s="21"/>
      <c r="D93" s="20"/>
      <c r="E93" s="19"/>
      <c r="F93" s="20"/>
      <c r="G93" s="20"/>
      <c r="H93" s="20"/>
      <c r="I93" s="22" t="str">
        <f aca="false">IF($E93="","",IFERROR(IF(INDEX(SUPPLIERS!$D$4:$D$63,MATCH($E93,SUPPLIERS!$A$4:$A$63,0))="","",INDEX(SUPPLIERS!$D$4:$D$63,MATCH($E93,SUPPLIERS!$A$4:$A$63,0))),""))</f>
        <v/>
      </c>
      <c r="J93" s="22" t="str">
        <f aca="false">IF($E93="","",IFERROR(IF(INDEX(SUPPLIERS!$E$4:$E$63,MATCH($E93,SUPPLIERS!$A$4:$A$63,0))="","",INDEX(SUPPLIERS!$E$4:$E$63,MATCH($E93,SUPPLIERS!$A$4:$A$63,0))),""))</f>
        <v/>
      </c>
      <c r="K93" s="20"/>
      <c r="L93" s="19"/>
      <c r="M93" s="23" t="str">
        <f aca="false">IF(COUNT($F93:$J93)&lt;5,"",ROUND($F93*W_SRC+$G93*W_QC+$H93*W_CAP+$I93*W_SUP+$J93*W_EXT,1))</f>
        <v/>
      </c>
      <c r="N93" s="24" t="str">
        <f aca="false">IF(OR($M93="",$K93=""),"",ROUND($M93*$K93,1))</f>
        <v/>
      </c>
      <c r="O93" s="25" t="str">
        <f aca="false">IF($E93="","",IF($L93&lt;&gt;"","CRITICAL (FLAG)",IF(OR($M93="",$K93=""),"NOT SCORED",IF($N93&gt;=T_CRIT,"CRITICAL",IF($N93&gt;=T_MON,"MONITOR","LOW")))))</f>
        <v/>
      </c>
      <c r="P93" s="12" t="str">
        <f aca="false">IF($M93="","",INDEX(DriverNames,MATCH(MAX($F93:$J93),$F93:$J93,0)))</f>
        <v/>
      </c>
      <c r="Q93" s="21"/>
      <c r="R93" s="26"/>
      <c r="S93" s="2" t="str">
        <f aca="false">IF($O93="","",IF($L93&lt;&gt;"",100,0)+IF($N93="",0,$N93)+ROW()/100000)</f>
        <v/>
      </c>
      <c r="T93" s="2" t="str">
        <f aca="false">IF($S93="","",IF($A93=SEL_MODEL,$S93,""))</f>
        <v/>
      </c>
    </row>
    <row r="94" customFormat="false" ht="15" hidden="false" customHeight="false" outlineLevel="0" collapsed="false">
      <c r="A94" s="19"/>
      <c r="B94" s="20"/>
      <c r="C94" s="21"/>
      <c r="D94" s="20"/>
      <c r="E94" s="19"/>
      <c r="F94" s="20"/>
      <c r="G94" s="20"/>
      <c r="H94" s="20"/>
      <c r="I94" s="22" t="str">
        <f aca="false">IF($E94="","",IFERROR(IF(INDEX(SUPPLIERS!$D$4:$D$63,MATCH($E94,SUPPLIERS!$A$4:$A$63,0))="","",INDEX(SUPPLIERS!$D$4:$D$63,MATCH($E94,SUPPLIERS!$A$4:$A$63,0))),""))</f>
        <v/>
      </c>
      <c r="J94" s="22" t="str">
        <f aca="false">IF($E94="","",IFERROR(IF(INDEX(SUPPLIERS!$E$4:$E$63,MATCH($E94,SUPPLIERS!$A$4:$A$63,0))="","",INDEX(SUPPLIERS!$E$4:$E$63,MATCH($E94,SUPPLIERS!$A$4:$A$63,0))),""))</f>
        <v/>
      </c>
      <c r="K94" s="20"/>
      <c r="L94" s="19"/>
      <c r="M94" s="23" t="str">
        <f aca="false">IF(COUNT($F94:$J94)&lt;5,"",ROUND($F94*W_SRC+$G94*W_QC+$H94*W_CAP+$I94*W_SUP+$J94*W_EXT,1))</f>
        <v/>
      </c>
      <c r="N94" s="24" t="str">
        <f aca="false">IF(OR($M94="",$K94=""),"",ROUND($M94*$K94,1))</f>
        <v/>
      </c>
      <c r="O94" s="25" t="str">
        <f aca="false">IF($E94="","",IF($L94&lt;&gt;"","CRITICAL (FLAG)",IF(OR($M94="",$K94=""),"NOT SCORED",IF($N94&gt;=T_CRIT,"CRITICAL",IF($N94&gt;=T_MON,"MONITOR","LOW")))))</f>
        <v/>
      </c>
      <c r="P94" s="12" t="str">
        <f aca="false">IF($M94="","",INDEX(DriverNames,MATCH(MAX($F94:$J94),$F94:$J94,0)))</f>
        <v/>
      </c>
      <c r="Q94" s="21"/>
      <c r="R94" s="26"/>
      <c r="S94" s="2" t="str">
        <f aca="false">IF($O94="","",IF($L94&lt;&gt;"",100,0)+IF($N94="",0,$N94)+ROW()/100000)</f>
        <v/>
      </c>
      <c r="T94" s="2" t="str">
        <f aca="false">IF($S94="","",IF($A94=SEL_MODEL,$S94,""))</f>
        <v/>
      </c>
    </row>
    <row r="95" customFormat="false" ht="15" hidden="false" customHeight="false" outlineLevel="0" collapsed="false">
      <c r="A95" s="19"/>
      <c r="B95" s="20"/>
      <c r="C95" s="21"/>
      <c r="D95" s="20"/>
      <c r="E95" s="19"/>
      <c r="F95" s="20"/>
      <c r="G95" s="20"/>
      <c r="H95" s="20"/>
      <c r="I95" s="22" t="str">
        <f aca="false">IF($E95="","",IFERROR(IF(INDEX(SUPPLIERS!$D$4:$D$63,MATCH($E95,SUPPLIERS!$A$4:$A$63,0))="","",INDEX(SUPPLIERS!$D$4:$D$63,MATCH($E95,SUPPLIERS!$A$4:$A$63,0))),""))</f>
        <v/>
      </c>
      <c r="J95" s="22" t="str">
        <f aca="false">IF($E95="","",IFERROR(IF(INDEX(SUPPLIERS!$E$4:$E$63,MATCH($E95,SUPPLIERS!$A$4:$A$63,0))="","",INDEX(SUPPLIERS!$E$4:$E$63,MATCH($E95,SUPPLIERS!$A$4:$A$63,0))),""))</f>
        <v/>
      </c>
      <c r="K95" s="20"/>
      <c r="L95" s="19"/>
      <c r="M95" s="23" t="str">
        <f aca="false">IF(COUNT($F95:$J95)&lt;5,"",ROUND($F95*W_SRC+$G95*W_QC+$H95*W_CAP+$I95*W_SUP+$J95*W_EXT,1))</f>
        <v/>
      </c>
      <c r="N95" s="24" t="str">
        <f aca="false">IF(OR($M95="",$K95=""),"",ROUND($M95*$K95,1))</f>
        <v/>
      </c>
      <c r="O95" s="25" t="str">
        <f aca="false">IF($E95="","",IF($L95&lt;&gt;"","CRITICAL (FLAG)",IF(OR($M95="",$K95=""),"NOT SCORED",IF($N95&gt;=T_CRIT,"CRITICAL",IF($N95&gt;=T_MON,"MONITOR","LOW")))))</f>
        <v/>
      </c>
      <c r="P95" s="12" t="str">
        <f aca="false">IF($M95="","",INDEX(DriverNames,MATCH(MAX($F95:$J95),$F95:$J95,0)))</f>
        <v/>
      </c>
      <c r="Q95" s="21"/>
      <c r="R95" s="26"/>
      <c r="S95" s="2" t="str">
        <f aca="false">IF($O95="","",IF($L95&lt;&gt;"",100,0)+IF($N95="",0,$N95)+ROW()/100000)</f>
        <v/>
      </c>
      <c r="T95" s="2" t="str">
        <f aca="false">IF($S95="","",IF($A95=SEL_MODEL,$S95,""))</f>
        <v/>
      </c>
    </row>
    <row r="96" customFormat="false" ht="15" hidden="false" customHeight="false" outlineLevel="0" collapsed="false">
      <c r="A96" s="19"/>
      <c r="B96" s="20"/>
      <c r="C96" s="21"/>
      <c r="D96" s="20"/>
      <c r="E96" s="19"/>
      <c r="F96" s="20"/>
      <c r="G96" s="20"/>
      <c r="H96" s="20"/>
      <c r="I96" s="22" t="str">
        <f aca="false">IF($E96="","",IFERROR(IF(INDEX(SUPPLIERS!$D$4:$D$63,MATCH($E96,SUPPLIERS!$A$4:$A$63,0))="","",INDEX(SUPPLIERS!$D$4:$D$63,MATCH($E96,SUPPLIERS!$A$4:$A$63,0))),""))</f>
        <v/>
      </c>
      <c r="J96" s="22" t="str">
        <f aca="false">IF($E96="","",IFERROR(IF(INDEX(SUPPLIERS!$E$4:$E$63,MATCH($E96,SUPPLIERS!$A$4:$A$63,0))="","",INDEX(SUPPLIERS!$E$4:$E$63,MATCH($E96,SUPPLIERS!$A$4:$A$63,0))),""))</f>
        <v/>
      </c>
      <c r="K96" s="20"/>
      <c r="L96" s="19"/>
      <c r="M96" s="23" t="str">
        <f aca="false">IF(COUNT($F96:$J96)&lt;5,"",ROUND($F96*W_SRC+$G96*W_QC+$H96*W_CAP+$I96*W_SUP+$J96*W_EXT,1))</f>
        <v/>
      </c>
      <c r="N96" s="24" t="str">
        <f aca="false">IF(OR($M96="",$K96=""),"",ROUND($M96*$K96,1))</f>
        <v/>
      </c>
      <c r="O96" s="25" t="str">
        <f aca="false">IF($E96="","",IF($L96&lt;&gt;"","CRITICAL (FLAG)",IF(OR($M96="",$K96=""),"NOT SCORED",IF($N96&gt;=T_CRIT,"CRITICAL",IF($N96&gt;=T_MON,"MONITOR","LOW")))))</f>
        <v/>
      </c>
      <c r="P96" s="12" t="str">
        <f aca="false">IF($M96="","",INDEX(DriverNames,MATCH(MAX($F96:$J96),$F96:$J96,0)))</f>
        <v/>
      </c>
      <c r="Q96" s="21"/>
      <c r="R96" s="26"/>
      <c r="S96" s="2" t="str">
        <f aca="false">IF($O96="","",IF($L96&lt;&gt;"",100,0)+IF($N96="",0,$N96)+ROW()/100000)</f>
        <v/>
      </c>
      <c r="T96" s="2" t="str">
        <f aca="false">IF($S96="","",IF($A96=SEL_MODEL,$S96,""))</f>
        <v/>
      </c>
    </row>
    <row r="97" customFormat="false" ht="15" hidden="false" customHeight="false" outlineLevel="0" collapsed="false">
      <c r="A97" s="19"/>
      <c r="B97" s="20"/>
      <c r="C97" s="21"/>
      <c r="D97" s="20"/>
      <c r="E97" s="19"/>
      <c r="F97" s="20"/>
      <c r="G97" s="20"/>
      <c r="H97" s="20"/>
      <c r="I97" s="22" t="str">
        <f aca="false">IF($E97="","",IFERROR(IF(INDEX(SUPPLIERS!$D$4:$D$63,MATCH($E97,SUPPLIERS!$A$4:$A$63,0))="","",INDEX(SUPPLIERS!$D$4:$D$63,MATCH($E97,SUPPLIERS!$A$4:$A$63,0))),""))</f>
        <v/>
      </c>
      <c r="J97" s="22" t="str">
        <f aca="false">IF($E97="","",IFERROR(IF(INDEX(SUPPLIERS!$E$4:$E$63,MATCH($E97,SUPPLIERS!$A$4:$A$63,0))="","",INDEX(SUPPLIERS!$E$4:$E$63,MATCH($E97,SUPPLIERS!$A$4:$A$63,0))),""))</f>
        <v/>
      </c>
      <c r="K97" s="20"/>
      <c r="L97" s="19"/>
      <c r="M97" s="23" t="str">
        <f aca="false">IF(COUNT($F97:$J97)&lt;5,"",ROUND($F97*W_SRC+$G97*W_QC+$H97*W_CAP+$I97*W_SUP+$J97*W_EXT,1))</f>
        <v/>
      </c>
      <c r="N97" s="24" t="str">
        <f aca="false">IF(OR($M97="",$K97=""),"",ROUND($M97*$K97,1))</f>
        <v/>
      </c>
      <c r="O97" s="25" t="str">
        <f aca="false">IF($E97="","",IF($L97&lt;&gt;"","CRITICAL (FLAG)",IF(OR($M97="",$K97=""),"NOT SCORED",IF($N97&gt;=T_CRIT,"CRITICAL",IF($N97&gt;=T_MON,"MONITOR","LOW")))))</f>
        <v/>
      </c>
      <c r="P97" s="12" t="str">
        <f aca="false">IF($M97="","",INDEX(DriverNames,MATCH(MAX($F97:$J97),$F97:$J97,0)))</f>
        <v/>
      </c>
      <c r="Q97" s="21"/>
      <c r="R97" s="26"/>
      <c r="S97" s="2" t="str">
        <f aca="false">IF($O97="","",IF($L97&lt;&gt;"",100,0)+IF($N97="",0,$N97)+ROW()/100000)</f>
        <v/>
      </c>
      <c r="T97" s="2" t="str">
        <f aca="false">IF($S97="","",IF($A97=SEL_MODEL,$S97,""))</f>
        <v/>
      </c>
    </row>
    <row r="98" customFormat="false" ht="15" hidden="false" customHeight="false" outlineLevel="0" collapsed="false">
      <c r="A98" s="19"/>
      <c r="B98" s="20"/>
      <c r="C98" s="21"/>
      <c r="D98" s="20"/>
      <c r="E98" s="19"/>
      <c r="F98" s="20"/>
      <c r="G98" s="20"/>
      <c r="H98" s="20"/>
      <c r="I98" s="22" t="str">
        <f aca="false">IF($E98="","",IFERROR(IF(INDEX(SUPPLIERS!$D$4:$D$63,MATCH($E98,SUPPLIERS!$A$4:$A$63,0))="","",INDEX(SUPPLIERS!$D$4:$D$63,MATCH($E98,SUPPLIERS!$A$4:$A$63,0))),""))</f>
        <v/>
      </c>
      <c r="J98" s="22" t="str">
        <f aca="false">IF($E98="","",IFERROR(IF(INDEX(SUPPLIERS!$E$4:$E$63,MATCH($E98,SUPPLIERS!$A$4:$A$63,0))="","",INDEX(SUPPLIERS!$E$4:$E$63,MATCH($E98,SUPPLIERS!$A$4:$A$63,0))),""))</f>
        <v/>
      </c>
      <c r="K98" s="20"/>
      <c r="L98" s="19"/>
      <c r="M98" s="23" t="str">
        <f aca="false">IF(COUNT($F98:$J98)&lt;5,"",ROUND($F98*W_SRC+$G98*W_QC+$H98*W_CAP+$I98*W_SUP+$J98*W_EXT,1))</f>
        <v/>
      </c>
      <c r="N98" s="24" t="str">
        <f aca="false">IF(OR($M98="",$K98=""),"",ROUND($M98*$K98,1))</f>
        <v/>
      </c>
      <c r="O98" s="25" t="str">
        <f aca="false">IF($E98="","",IF($L98&lt;&gt;"","CRITICAL (FLAG)",IF(OR($M98="",$K98=""),"NOT SCORED",IF($N98&gt;=T_CRIT,"CRITICAL",IF($N98&gt;=T_MON,"MONITOR","LOW")))))</f>
        <v/>
      </c>
      <c r="P98" s="12" t="str">
        <f aca="false">IF($M98="","",INDEX(DriverNames,MATCH(MAX($F98:$J98),$F98:$J98,0)))</f>
        <v/>
      </c>
      <c r="Q98" s="21"/>
      <c r="R98" s="26"/>
      <c r="S98" s="2" t="str">
        <f aca="false">IF($O98="","",IF($L98&lt;&gt;"",100,0)+IF($N98="",0,$N98)+ROW()/100000)</f>
        <v/>
      </c>
      <c r="T98" s="2" t="str">
        <f aca="false">IF($S98="","",IF($A98=SEL_MODEL,$S98,""))</f>
        <v/>
      </c>
    </row>
    <row r="99" customFormat="false" ht="15" hidden="false" customHeight="false" outlineLevel="0" collapsed="false">
      <c r="A99" s="19"/>
      <c r="B99" s="20"/>
      <c r="C99" s="21"/>
      <c r="D99" s="20"/>
      <c r="E99" s="19"/>
      <c r="F99" s="20"/>
      <c r="G99" s="20"/>
      <c r="H99" s="20"/>
      <c r="I99" s="22" t="str">
        <f aca="false">IF($E99="","",IFERROR(IF(INDEX(SUPPLIERS!$D$4:$D$63,MATCH($E99,SUPPLIERS!$A$4:$A$63,0))="","",INDEX(SUPPLIERS!$D$4:$D$63,MATCH($E99,SUPPLIERS!$A$4:$A$63,0))),""))</f>
        <v/>
      </c>
      <c r="J99" s="22" t="str">
        <f aca="false">IF($E99="","",IFERROR(IF(INDEX(SUPPLIERS!$E$4:$E$63,MATCH($E99,SUPPLIERS!$A$4:$A$63,0))="","",INDEX(SUPPLIERS!$E$4:$E$63,MATCH($E99,SUPPLIERS!$A$4:$A$63,0))),""))</f>
        <v/>
      </c>
      <c r="K99" s="20"/>
      <c r="L99" s="19"/>
      <c r="M99" s="23" t="str">
        <f aca="false">IF(COUNT($F99:$J99)&lt;5,"",ROUND($F99*W_SRC+$G99*W_QC+$H99*W_CAP+$I99*W_SUP+$J99*W_EXT,1))</f>
        <v/>
      </c>
      <c r="N99" s="24" t="str">
        <f aca="false">IF(OR($M99="",$K99=""),"",ROUND($M99*$K99,1))</f>
        <v/>
      </c>
      <c r="O99" s="25" t="str">
        <f aca="false">IF($E99="","",IF($L99&lt;&gt;"","CRITICAL (FLAG)",IF(OR($M99="",$K99=""),"NOT SCORED",IF($N99&gt;=T_CRIT,"CRITICAL",IF($N99&gt;=T_MON,"MONITOR","LOW")))))</f>
        <v/>
      </c>
      <c r="P99" s="12" t="str">
        <f aca="false">IF($M99="","",INDEX(DriverNames,MATCH(MAX($F99:$J99),$F99:$J99,0)))</f>
        <v/>
      </c>
      <c r="Q99" s="21"/>
      <c r="R99" s="26"/>
      <c r="S99" s="2" t="str">
        <f aca="false">IF($O99="","",IF($L99&lt;&gt;"",100,0)+IF($N99="",0,$N99)+ROW()/100000)</f>
        <v/>
      </c>
      <c r="T99" s="2" t="str">
        <f aca="false">IF($S99="","",IF($A99=SEL_MODEL,$S99,""))</f>
        <v/>
      </c>
    </row>
    <row r="100" customFormat="false" ht="15" hidden="false" customHeight="false" outlineLevel="0" collapsed="false">
      <c r="A100" s="19"/>
      <c r="B100" s="20"/>
      <c r="C100" s="21"/>
      <c r="D100" s="20"/>
      <c r="E100" s="19"/>
      <c r="F100" s="20"/>
      <c r="G100" s="20"/>
      <c r="H100" s="20"/>
      <c r="I100" s="22" t="str">
        <f aca="false">IF($E100="","",IFERROR(IF(INDEX(SUPPLIERS!$D$4:$D$63,MATCH($E100,SUPPLIERS!$A$4:$A$63,0))="","",INDEX(SUPPLIERS!$D$4:$D$63,MATCH($E100,SUPPLIERS!$A$4:$A$63,0))),""))</f>
        <v/>
      </c>
      <c r="J100" s="22" t="str">
        <f aca="false">IF($E100="","",IFERROR(IF(INDEX(SUPPLIERS!$E$4:$E$63,MATCH($E100,SUPPLIERS!$A$4:$A$63,0))="","",INDEX(SUPPLIERS!$E$4:$E$63,MATCH($E100,SUPPLIERS!$A$4:$A$63,0))),""))</f>
        <v/>
      </c>
      <c r="K100" s="20"/>
      <c r="L100" s="19"/>
      <c r="M100" s="23" t="str">
        <f aca="false">IF(COUNT($F100:$J100)&lt;5,"",ROUND($F100*W_SRC+$G100*W_QC+$H100*W_CAP+$I100*W_SUP+$J100*W_EXT,1))</f>
        <v/>
      </c>
      <c r="N100" s="24" t="str">
        <f aca="false">IF(OR($M100="",$K100=""),"",ROUND($M100*$K100,1))</f>
        <v/>
      </c>
      <c r="O100" s="25" t="str">
        <f aca="false">IF($E100="","",IF($L100&lt;&gt;"","CRITICAL (FLAG)",IF(OR($M100="",$K100=""),"NOT SCORED",IF($N100&gt;=T_CRIT,"CRITICAL",IF($N100&gt;=T_MON,"MONITOR","LOW")))))</f>
        <v/>
      </c>
      <c r="P100" s="12" t="str">
        <f aca="false">IF($M100="","",INDEX(DriverNames,MATCH(MAX($F100:$J100),$F100:$J100,0)))</f>
        <v/>
      </c>
      <c r="Q100" s="21"/>
      <c r="R100" s="26"/>
      <c r="S100" s="2" t="str">
        <f aca="false">IF($O100="","",IF($L100&lt;&gt;"",100,0)+IF($N100="",0,$N100)+ROW()/100000)</f>
        <v/>
      </c>
      <c r="T100" s="2" t="str">
        <f aca="false">IF($S100="","",IF($A100=SEL_MODEL,$S100,""))</f>
        <v/>
      </c>
    </row>
    <row r="101" customFormat="false" ht="15" hidden="false" customHeight="false" outlineLevel="0" collapsed="false">
      <c r="A101" s="19"/>
      <c r="B101" s="20"/>
      <c r="C101" s="21"/>
      <c r="D101" s="20"/>
      <c r="E101" s="19"/>
      <c r="F101" s="20"/>
      <c r="G101" s="20"/>
      <c r="H101" s="20"/>
      <c r="I101" s="22" t="str">
        <f aca="false">IF($E101="","",IFERROR(IF(INDEX(SUPPLIERS!$D$4:$D$63,MATCH($E101,SUPPLIERS!$A$4:$A$63,0))="","",INDEX(SUPPLIERS!$D$4:$D$63,MATCH($E101,SUPPLIERS!$A$4:$A$63,0))),""))</f>
        <v/>
      </c>
      <c r="J101" s="22" t="str">
        <f aca="false">IF($E101="","",IFERROR(IF(INDEX(SUPPLIERS!$E$4:$E$63,MATCH($E101,SUPPLIERS!$A$4:$A$63,0))="","",INDEX(SUPPLIERS!$E$4:$E$63,MATCH($E101,SUPPLIERS!$A$4:$A$63,0))),""))</f>
        <v/>
      </c>
      <c r="K101" s="20"/>
      <c r="L101" s="19"/>
      <c r="M101" s="23" t="str">
        <f aca="false">IF(COUNT($F101:$J101)&lt;5,"",ROUND($F101*W_SRC+$G101*W_QC+$H101*W_CAP+$I101*W_SUP+$J101*W_EXT,1))</f>
        <v/>
      </c>
      <c r="N101" s="24" t="str">
        <f aca="false">IF(OR($M101="",$K101=""),"",ROUND($M101*$K101,1))</f>
        <v/>
      </c>
      <c r="O101" s="25" t="str">
        <f aca="false">IF($E101="","",IF($L101&lt;&gt;"","CRITICAL (FLAG)",IF(OR($M101="",$K101=""),"NOT SCORED",IF($N101&gt;=T_CRIT,"CRITICAL",IF($N101&gt;=T_MON,"MONITOR","LOW")))))</f>
        <v/>
      </c>
      <c r="P101" s="12" t="str">
        <f aca="false">IF($M101="","",INDEX(DriverNames,MATCH(MAX($F101:$J101),$F101:$J101,0)))</f>
        <v/>
      </c>
      <c r="Q101" s="21"/>
      <c r="R101" s="26"/>
      <c r="S101" s="2" t="str">
        <f aca="false">IF($O101="","",IF($L101&lt;&gt;"",100,0)+IF($N101="",0,$N101)+ROW()/100000)</f>
        <v/>
      </c>
      <c r="T101" s="2" t="str">
        <f aca="false">IF($S101="","",IF($A101=SEL_MODEL,$S101,""))</f>
        <v/>
      </c>
    </row>
    <row r="102" customFormat="false" ht="15" hidden="false" customHeight="false" outlineLevel="0" collapsed="false">
      <c r="A102" s="19"/>
      <c r="B102" s="20"/>
      <c r="C102" s="21"/>
      <c r="D102" s="20"/>
      <c r="E102" s="19"/>
      <c r="F102" s="20"/>
      <c r="G102" s="20"/>
      <c r="H102" s="20"/>
      <c r="I102" s="22" t="str">
        <f aca="false">IF($E102="","",IFERROR(IF(INDEX(SUPPLIERS!$D$4:$D$63,MATCH($E102,SUPPLIERS!$A$4:$A$63,0))="","",INDEX(SUPPLIERS!$D$4:$D$63,MATCH($E102,SUPPLIERS!$A$4:$A$63,0))),""))</f>
        <v/>
      </c>
      <c r="J102" s="22" t="str">
        <f aca="false">IF($E102="","",IFERROR(IF(INDEX(SUPPLIERS!$E$4:$E$63,MATCH($E102,SUPPLIERS!$A$4:$A$63,0))="","",INDEX(SUPPLIERS!$E$4:$E$63,MATCH($E102,SUPPLIERS!$A$4:$A$63,0))),""))</f>
        <v/>
      </c>
      <c r="K102" s="20"/>
      <c r="L102" s="19"/>
      <c r="M102" s="23" t="str">
        <f aca="false">IF(COUNT($F102:$J102)&lt;5,"",ROUND($F102*W_SRC+$G102*W_QC+$H102*W_CAP+$I102*W_SUP+$J102*W_EXT,1))</f>
        <v/>
      </c>
      <c r="N102" s="24" t="str">
        <f aca="false">IF(OR($M102="",$K102=""),"",ROUND($M102*$K102,1))</f>
        <v/>
      </c>
      <c r="O102" s="25" t="str">
        <f aca="false">IF($E102="","",IF($L102&lt;&gt;"","CRITICAL (FLAG)",IF(OR($M102="",$K102=""),"NOT SCORED",IF($N102&gt;=T_CRIT,"CRITICAL",IF($N102&gt;=T_MON,"MONITOR","LOW")))))</f>
        <v/>
      </c>
      <c r="P102" s="12" t="str">
        <f aca="false">IF($M102="","",INDEX(DriverNames,MATCH(MAX($F102:$J102),$F102:$J102,0)))</f>
        <v/>
      </c>
      <c r="Q102" s="21"/>
      <c r="R102" s="26"/>
      <c r="S102" s="2" t="str">
        <f aca="false">IF($O102="","",IF($L102&lt;&gt;"",100,0)+IF($N102="",0,$N102)+ROW()/100000)</f>
        <v/>
      </c>
      <c r="T102" s="2" t="str">
        <f aca="false">IF($S102="","",IF($A102=SEL_MODEL,$S102,""))</f>
        <v/>
      </c>
    </row>
    <row r="103" customFormat="false" ht="15" hidden="false" customHeight="false" outlineLevel="0" collapsed="false">
      <c r="A103" s="19"/>
      <c r="B103" s="20"/>
      <c r="C103" s="21"/>
      <c r="D103" s="20"/>
      <c r="E103" s="19"/>
      <c r="F103" s="20"/>
      <c r="G103" s="20"/>
      <c r="H103" s="20"/>
      <c r="I103" s="22" t="str">
        <f aca="false">IF($E103="","",IFERROR(IF(INDEX(SUPPLIERS!$D$4:$D$63,MATCH($E103,SUPPLIERS!$A$4:$A$63,0))="","",INDEX(SUPPLIERS!$D$4:$D$63,MATCH($E103,SUPPLIERS!$A$4:$A$63,0))),""))</f>
        <v/>
      </c>
      <c r="J103" s="22" t="str">
        <f aca="false">IF($E103="","",IFERROR(IF(INDEX(SUPPLIERS!$E$4:$E$63,MATCH($E103,SUPPLIERS!$A$4:$A$63,0))="","",INDEX(SUPPLIERS!$E$4:$E$63,MATCH($E103,SUPPLIERS!$A$4:$A$63,0))),""))</f>
        <v/>
      </c>
      <c r="K103" s="20"/>
      <c r="L103" s="19"/>
      <c r="M103" s="23" t="str">
        <f aca="false">IF(COUNT($F103:$J103)&lt;5,"",ROUND($F103*W_SRC+$G103*W_QC+$H103*W_CAP+$I103*W_SUP+$J103*W_EXT,1))</f>
        <v/>
      </c>
      <c r="N103" s="24" t="str">
        <f aca="false">IF(OR($M103="",$K103=""),"",ROUND($M103*$K103,1))</f>
        <v/>
      </c>
      <c r="O103" s="25" t="str">
        <f aca="false">IF($E103="","",IF($L103&lt;&gt;"","CRITICAL (FLAG)",IF(OR($M103="",$K103=""),"NOT SCORED",IF($N103&gt;=T_CRIT,"CRITICAL",IF($N103&gt;=T_MON,"MONITOR","LOW")))))</f>
        <v/>
      </c>
      <c r="P103" s="12" t="str">
        <f aca="false">IF($M103="","",INDEX(DriverNames,MATCH(MAX($F103:$J103),$F103:$J103,0)))</f>
        <v/>
      </c>
      <c r="Q103" s="21"/>
      <c r="R103" s="26"/>
      <c r="S103" s="2" t="str">
        <f aca="false">IF($O103="","",IF($L103&lt;&gt;"",100,0)+IF($N103="",0,$N103)+ROW()/100000)</f>
        <v/>
      </c>
      <c r="T103" s="2" t="str">
        <f aca="false">IF($S103="","",IF($A103=SEL_MODEL,$S103,""))</f>
        <v/>
      </c>
    </row>
    <row r="104" customFormat="false" ht="15" hidden="false" customHeight="false" outlineLevel="0" collapsed="false">
      <c r="A104" s="19"/>
      <c r="B104" s="20"/>
      <c r="C104" s="21"/>
      <c r="D104" s="20"/>
      <c r="E104" s="19"/>
      <c r="F104" s="20"/>
      <c r="G104" s="20"/>
      <c r="H104" s="20"/>
      <c r="I104" s="22" t="str">
        <f aca="false">IF($E104="","",IFERROR(IF(INDEX(SUPPLIERS!$D$4:$D$63,MATCH($E104,SUPPLIERS!$A$4:$A$63,0))="","",INDEX(SUPPLIERS!$D$4:$D$63,MATCH($E104,SUPPLIERS!$A$4:$A$63,0))),""))</f>
        <v/>
      </c>
      <c r="J104" s="22" t="str">
        <f aca="false">IF($E104="","",IFERROR(IF(INDEX(SUPPLIERS!$E$4:$E$63,MATCH($E104,SUPPLIERS!$A$4:$A$63,0))="","",INDEX(SUPPLIERS!$E$4:$E$63,MATCH($E104,SUPPLIERS!$A$4:$A$63,0))),""))</f>
        <v/>
      </c>
      <c r="K104" s="20"/>
      <c r="L104" s="19"/>
      <c r="M104" s="23" t="str">
        <f aca="false">IF(COUNT($F104:$J104)&lt;5,"",ROUND($F104*W_SRC+$G104*W_QC+$H104*W_CAP+$I104*W_SUP+$J104*W_EXT,1))</f>
        <v/>
      </c>
      <c r="N104" s="24" t="str">
        <f aca="false">IF(OR($M104="",$K104=""),"",ROUND($M104*$K104,1))</f>
        <v/>
      </c>
      <c r="O104" s="25" t="str">
        <f aca="false">IF($E104="","",IF($L104&lt;&gt;"","CRITICAL (FLAG)",IF(OR($M104="",$K104=""),"NOT SCORED",IF($N104&gt;=T_CRIT,"CRITICAL",IF($N104&gt;=T_MON,"MONITOR","LOW")))))</f>
        <v/>
      </c>
      <c r="P104" s="12" t="str">
        <f aca="false">IF($M104="","",INDEX(DriverNames,MATCH(MAX($F104:$J104),$F104:$J104,0)))</f>
        <v/>
      </c>
      <c r="Q104" s="21"/>
      <c r="R104" s="26"/>
      <c r="S104" s="2" t="str">
        <f aca="false">IF($O104="","",IF($L104&lt;&gt;"",100,0)+IF($N104="",0,$N104)+ROW()/100000)</f>
        <v/>
      </c>
      <c r="T104" s="2" t="str">
        <f aca="false">IF($S104="","",IF($A104=SEL_MODEL,$S104,""))</f>
        <v/>
      </c>
    </row>
    <row r="105" customFormat="false" ht="15" hidden="false" customHeight="false" outlineLevel="0" collapsed="false">
      <c r="A105" s="19"/>
      <c r="B105" s="20"/>
      <c r="C105" s="21"/>
      <c r="D105" s="20"/>
      <c r="E105" s="19"/>
      <c r="F105" s="20"/>
      <c r="G105" s="20"/>
      <c r="H105" s="20"/>
      <c r="I105" s="22" t="str">
        <f aca="false">IF($E105="","",IFERROR(IF(INDEX(SUPPLIERS!$D$4:$D$63,MATCH($E105,SUPPLIERS!$A$4:$A$63,0))="","",INDEX(SUPPLIERS!$D$4:$D$63,MATCH($E105,SUPPLIERS!$A$4:$A$63,0))),""))</f>
        <v/>
      </c>
      <c r="J105" s="22" t="str">
        <f aca="false">IF($E105="","",IFERROR(IF(INDEX(SUPPLIERS!$E$4:$E$63,MATCH($E105,SUPPLIERS!$A$4:$A$63,0))="","",INDEX(SUPPLIERS!$E$4:$E$63,MATCH($E105,SUPPLIERS!$A$4:$A$63,0))),""))</f>
        <v/>
      </c>
      <c r="K105" s="20"/>
      <c r="L105" s="19"/>
      <c r="M105" s="23" t="str">
        <f aca="false">IF(COUNT($F105:$J105)&lt;5,"",ROUND($F105*W_SRC+$G105*W_QC+$H105*W_CAP+$I105*W_SUP+$J105*W_EXT,1))</f>
        <v/>
      </c>
      <c r="N105" s="24" t="str">
        <f aca="false">IF(OR($M105="",$K105=""),"",ROUND($M105*$K105,1))</f>
        <v/>
      </c>
      <c r="O105" s="25" t="str">
        <f aca="false">IF($E105="","",IF($L105&lt;&gt;"","CRITICAL (FLAG)",IF(OR($M105="",$K105=""),"NOT SCORED",IF($N105&gt;=T_CRIT,"CRITICAL",IF($N105&gt;=T_MON,"MONITOR","LOW")))))</f>
        <v/>
      </c>
      <c r="P105" s="12" t="str">
        <f aca="false">IF($M105="","",INDEX(DriverNames,MATCH(MAX($F105:$J105),$F105:$J105,0)))</f>
        <v/>
      </c>
      <c r="Q105" s="21"/>
      <c r="R105" s="26"/>
      <c r="S105" s="2" t="str">
        <f aca="false">IF($O105="","",IF($L105&lt;&gt;"",100,0)+IF($N105="",0,$N105)+ROW()/100000)</f>
        <v/>
      </c>
      <c r="T105" s="2" t="str">
        <f aca="false">IF($S105="","",IF($A105=SEL_MODEL,$S105,""))</f>
        <v/>
      </c>
    </row>
    <row r="106" customFormat="false" ht="15" hidden="false" customHeight="false" outlineLevel="0" collapsed="false">
      <c r="A106" s="19"/>
      <c r="B106" s="20"/>
      <c r="C106" s="21"/>
      <c r="D106" s="20"/>
      <c r="E106" s="19"/>
      <c r="F106" s="20"/>
      <c r="G106" s="20"/>
      <c r="H106" s="20"/>
      <c r="I106" s="22" t="str">
        <f aca="false">IF($E106="","",IFERROR(IF(INDEX(SUPPLIERS!$D$4:$D$63,MATCH($E106,SUPPLIERS!$A$4:$A$63,0))="","",INDEX(SUPPLIERS!$D$4:$D$63,MATCH($E106,SUPPLIERS!$A$4:$A$63,0))),""))</f>
        <v/>
      </c>
      <c r="J106" s="22" t="str">
        <f aca="false">IF($E106="","",IFERROR(IF(INDEX(SUPPLIERS!$E$4:$E$63,MATCH($E106,SUPPLIERS!$A$4:$A$63,0))="","",INDEX(SUPPLIERS!$E$4:$E$63,MATCH($E106,SUPPLIERS!$A$4:$A$63,0))),""))</f>
        <v/>
      </c>
      <c r="K106" s="20"/>
      <c r="L106" s="19"/>
      <c r="M106" s="23" t="str">
        <f aca="false">IF(COUNT($F106:$J106)&lt;5,"",ROUND($F106*W_SRC+$G106*W_QC+$H106*W_CAP+$I106*W_SUP+$J106*W_EXT,1))</f>
        <v/>
      </c>
      <c r="N106" s="24" t="str">
        <f aca="false">IF(OR($M106="",$K106=""),"",ROUND($M106*$K106,1))</f>
        <v/>
      </c>
      <c r="O106" s="25" t="str">
        <f aca="false">IF($E106="","",IF($L106&lt;&gt;"","CRITICAL (FLAG)",IF(OR($M106="",$K106=""),"NOT SCORED",IF($N106&gt;=T_CRIT,"CRITICAL",IF($N106&gt;=T_MON,"MONITOR","LOW")))))</f>
        <v/>
      </c>
      <c r="P106" s="12" t="str">
        <f aca="false">IF($M106="","",INDEX(DriverNames,MATCH(MAX($F106:$J106),$F106:$J106,0)))</f>
        <v/>
      </c>
      <c r="Q106" s="21"/>
      <c r="R106" s="26"/>
      <c r="S106" s="2" t="str">
        <f aca="false">IF($O106="","",IF($L106&lt;&gt;"",100,0)+IF($N106="",0,$N106)+ROW()/100000)</f>
        <v/>
      </c>
      <c r="T106" s="2" t="str">
        <f aca="false">IF($S106="","",IF($A106=SEL_MODEL,$S106,""))</f>
        <v/>
      </c>
    </row>
    <row r="107" customFormat="false" ht="15" hidden="false" customHeight="false" outlineLevel="0" collapsed="false">
      <c r="A107" s="19"/>
      <c r="B107" s="20"/>
      <c r="C107" s="21"/>
      <c r="D107" s="20"/>
      <c r="E107" s="19"/>
      <c r="F107" s="20"/>
      <c r="G107" s="20"/>
      <c r="H107" s="20"/>
      <c r="I107" s="22" t="str">
        <f aca="false">IF($E107="","",IFERROR(IF(INDEX(SUPPLIERS!$D$4:$D$63,MATCH($E107,SUPPLIERS!$A$4:$A$63,0))="","",INDEX(SUPPLIERS!$D$4:$D$63,MATCH($E107,SUPPLIERS!$A$4:$A$63,0))),""))</f>
        <v/>
      </c>
      <c r="J107" s="22" t="str">
        <f aca="false">IF($E107="","",IFERROR(IF(INDEX(SUPPLIERS!$E$4:$E$63,MATCH($E107,SUPPLIERS!$A$4:$A$63,0))="","",INDEX(SUPPLIERS!$E$4:$E$63,MATCH($E107,SUPPLIERS!$A$4:$A$63,0))),""))</f>
        <v/>
      </c>
      <c r="K107" s="20"/>
      <c r="L107" s="19"/>
      <c r="M107" s="23" t="str">
        <f aca="false">IF(COUNT($F107:$J107)&lt;5,"",ROUND($F107*W_SRC+$G107*W_QC+$H107*W_CAP+$I107*W_SUP+$J107*W_EXT,1))</f>
        <v/>
      </c>
      <c r="N107" s="24" t="str">
        <f aca="false">IF(OR($M107="",$K107=""),"",ROUND($M107*$K107,1))</f>
        <v/>
      </c>
      <c r="O107" s="25" t="str">
        <f aca="false">IF($E107="","",IF($L107&lt;&gt;"","CRITICAL (FLAG)",IF(OR($M107="",$K107=""),"NOT SCORED",IF($N107&gt;=T_CRIT,"CRITICAL",IF($N107&gt;=T_MON,"MONITOR","LOW")))))</f>
        <v/>
      </c>
      <c r="P107" s="12" t="str">
        <f aca="false">IF($M107="","",INDEX(DriverNames,MATCH(MAX($F107:$J107),$F107:$J107,0)))</f>
        <v/>
      </c>
      <c r="Q107" s="21"/>
      <c r="R107" s="26"/>
      <c r="S107" s="2" t="str">
        <f aca="false">IF($O107="","",IF($L107&lt;&gt;"",100,0)+IF($N107="",0,$N107)+ROW()/100000)</f>
        <v/>
      </c>
      <c r="T107" s="2" t="str">
        <f aca="false">IF($S107="","",IF($A107=SEL_MODEL,$S107,""))</f>
        <v/>
      </c>
    </row>
    <row r="108" customFormat="false" ht="15" hidden="false" customHeight="false" outlineLevel="0" collapsed="false">
      <c r="A108" s="19"/>
      <c r="B108" s="20"/>
      <c r="C108" s="21"/>
      <c r="D108" s="20"/>
      <c r="E108" s="19"/>
      <c r="F108" s="20"/>
      <c r="G108" s="20"/>
      <c r="H108" s="20"/>
      <c r="I108" s="22" t="str">
        <f aca="false">IF($E108="","",IFERROR(IF(INDEX(SUPPLIERS!$D$4:$D$63,MATCH($E108,SUPPLIERS!$A$4:$A$63,0))="","",INDEX(SUPPLIERS!$D$4:$D$63,MATCH($E108,SUPPLIERS!$A$4:$A$63,0))),""))</f>
        <v/>
      </c>
      <c r="J108" s="22" t="str">
        <f aca="false">IF($E108="","",IFERROR(IF(INDEX(SUPPLIERS!$E$4:$E$63,MATCH($E108,SUPPLIERS!$A$4:$A$63,0))="","",INDEX(SUPPLIERS!$E$4:$E$63,MATCH($E108,SUPPLIERS!$A$4:$A$63,0))),""))</f>
        <v/>
      </c>
      <c r="K108" s="20"/>
      <c r="L108" s="19"/>
      <c r="M108" s="23" t="str">
        <f aca="false">IF(COUNT($F108:$J108)&lt;5,"",ROUND($F108*W_SRC+$G108*W_QC+$H108*W_CAP+$I108*W_SUP+$J108*W_EXT,1))</f>
        <v/>
      </c>
      <c r="N108" s="24" t="str">
        <f aca="false">IF(OR($M108="",$K108=""),"",ROUND($M108*$K108,1))</f>
        <v/>
      </c>
      <c r="O108" s="25" t="str">
        <f aca="false">IF($E108="","",IF($L108&lt;&gt;"","CRITICAL (FLAG)",IF(OR($M108="",$K108=""),"NOT SCORED",IF($N108&gt;=T_CRIT,"CRITICAL",IF($N108&gt;=T_MON,"MONITOR","LOW")))))</f>
        <v/>
      </c>
      <c r="P108" s="12" t="str">
        <f aca="false">IF($M108="","",INDEX(DriverNames,MATCH(MAX($F108:$J108),$F108:$J108,0)))</f>
        <v/>
      </c>
      <c r="Q108" s="21"/>
      <c r="R108" s="26"/>
      <c r="S108" s="2" t="str">
        <f aca="false">IF($O108="","",IF($L108&lt;&gt;"",100,0)+IF($N108="",0,$N108)+ROW()/100000)</f>
        <v/>
      </c>
      <c r="T108" s="2" t="str">
        <f aca="false">IF($S108="","",IF($A108=SEL_MODEL,$S108,""))</f>
        <v/>
      </c>
    </row>
    <row r="109" customFormat="false" ht="15" hidden="false" customHeight="false" outlineLevel="0" collapsed="false">
      <c r="A109" s="19"/>
      <c r="B109" s="20"/>
      <c r="C109" s="21"/>
      <c r="D109" s="20"/>
      <c r="E109" s="19"/>
      <c r="F109" s="20"/>
      <c r="G109" s="20"/>
      <c r="H109" s="20"/>
      <c r="I109" s="22" t="str">
        <f aca="false">IF($E109="","",IFERROR(IF(INDEX(SUPPLIERS!$D$4:$D$63,MATCH($E109,SUPPLIERS!$A$4:$A$63,0))="","",INDEX(SUPPLIERS!$D$4:$D$63,MATCH($E109,SUPPLIERS!$A$4:$A$63,0))),""))</f>
        <v/>
      </c>
      <c r="J109" s="22" t="str">
        <f aca="false">IF($E109="","",IFERROR(IF(INDEX(SUPPLIERS!$E$4:$E$63,MATCH($E109,SUPPLIERS!$A$4:$A$63,0))="","",INDEX(SUPPLIERS!$E$4:$E$63,MATCH($E109,SUPPLIERS!$A$4:$A$63,0))),""))</f>
        <v/>
      </c>
      <c r="K109" s="20"/>
      <c r="L109" s="19"/>
      <c r="M109" s="23" t="str">
        <f aca="false">IF(COUNT($F109:$J109)&lt;5,"",ROUND($F109*W_SRC+$G109*W_QC+$H109*W_CAP+$I109*W_SUP+$J109*W_EXT,1))</f>
        <v/>
      </c>
      <c r="N109" s="24" t="str">
        <f aca="false">IF(OR($M109="",$K109=""),"",ROUND($M109*$K109,1))</f>
        <v/>
      </c>
      <c r="O109" s="25" t="str">
        <f aca="false">IF($E109="","",IF($L109&lt;&gt;"","CRITICAL (FLAG)",IF(OR($M109="",$K109=""),"NOT SCORED",IF($N109&gt;=T_CRIT,"CRITICAL",IF($N109&gt;=T_MON,"MONITOR","LOW")))))</f>
        <v/>
      </c>
      <c r="P109" s="12" t="str">
        <f aca="false">IF($M109="","",INDEX(DriverNames,MATCH(MAX($F109:$J109),$F109:$J109,0)))</f>
        <v/>
      </c>
      <c r="Q109" s="21"/>
      <c r="R109" s="26"/>
      <c r="S109" s="2" t="str">
        <f aca="false">IF($O109="","",IF($L109&lt;&gt;"",100,0)+IF($N109="",0,$N109)+ROW()/100000)</f>
        <v/>
      </c>
      <c r="T109" s="2" t="str">
        <f aca="false">IF($S109="","",IF($A109=SEL_MODEL,$S109,""))</f>
        <v/>
      </c>
    </row>
    <row r="110" customFormat="false" ht="15" hidden="false" customHeight="false" outlineLevel="0" collapsed="false">
      <c r="A110" s="19"/>
      <c r="B110" s="20"/>
      <c r="C110" s="21"/>
      <c r="D110" s="20"/>
      <c r="E110" s="19"/>
      <c r="F110" s="20"/>
      <c r="G110" s="20"/>
      <c r="H110" s="20"/>
      <c r="I110" s="22" t="str">
        <f aca="false">IF($E110="","",IFERROR(IF(INDEX(SUPPLIERS!$D$4:$D$63,MATCH($E110,SUPPLIERS!$A$4:$A$63,0))="","",INDEX(SUPPLIERS!$D$4:$D$63,MATCH($E110,SUPPLIERS!$A$4:$A$63,0))),""))</f>
        <v/>
      </c>
      <c r="J110" s="22" t="str">
        <f aca="false">IF($E110="","",IFERROR(IF(INDEX(SUPPLIERS!$E$4:$E$63,MATCH($E110,SUPPLIERS!$A$4:$A$63,0))="","",INDEX(SUPPLIERS!$E$4:$E$63,MATCH($E110,SUPPLIERS!$A$4:$A$63,0))),""))</f>
        <v/>
      </c>
      <c r="K110" s="20"/>
      <c r="L110" s="19"/>
      <c r="M110" s="23" t="str">
        <f aca="false">IF(COUNT($F110:$J110)&lt;5,"",ROUND($F110*W_SRC+$G110*W_QC+$H110*W_CAP+$I110*W_SUP+$J110*W_EXT,1))</f>
        <v/>
      </c>
      <c r="N110" s="24" t="str">
        <f aca="false">IF(OR($M110="",$K110=""),"",ROUND($M110*$K110,1))</f>
        <v/>
      </c>
      <c r="O110" s="25" t="str">
        <f aca="false">IF($E110="","",IF($L110&lt;&gt;"","CRITICAL (FLAG)",IF(OR($M110="",$K110=""),"NOT SCORED",IF($N110&gt;=T_CRIT,"CRITICAL",IF($N110&gt;=T_MON,"MONITOR","LOW")))))</f>
        <v/>
      </c>
      <c r="P110" s="12" t="str">
        <f aca="false">IF($M110="","",INDEX(DriverNames,MATCH(MAX($F110:$J110),$F110:$J110,0)))</f>
        <v/>
      </c>
      <c r="Q110" s="21"/>
      <c r="R110" s="26"/>
      <c r="S110" s="2" t="str">
        <f aca="false">IF($O110="","",IF($L110&lt;&gt;"",100,0)+IF($N110="",0,$N110)+ROW()/100000)</f>
        <v/>
      </c>
      <c r="T110" s="2" t="str">
        <f aca="false">IF($S110="","",IF($A110=SEL_MODEL,$S110,""))</f>
        <v/>
      </c>
    </row>
    <row r="111" customFormat="false" ht="15" hidden="false" customHeight="false" outlineLevel="0" collapsed="false">
      <c r="A111" s="19"/>
      <c r="B111" s="20"/>
      <c r="C111" s="21"/>
      <c r="D111" s="20"/>
      <c r="E111" s="19"/>
      <c r="F111" s="20"/>
      <c r="G111" s="20"/>
      <c r="H111" s="20"/>
      <c r="I111" s="22" t="str">
        <f aca="false">IF($E111="","",IFERROR(IF(INDEX(SUPPLIERS!$D$4:$D$63,MATCH($E111,SUPPLIERS!$A$4:$A$63,0))="","",INDEX(SUPPLIERS!$D$4:$D$63,MATCH($E111,SUPPLIERS!$A$4:$A$63,0))),""))</f>
        <v/>
      </c>
      <c r="J111" s="22" t="str">
        <f aca="false">IF($E111="","",IFERROR(IF(INDEX(SUPPLIERS!$E$4:$E$63,MATCH($E111,SUPPLIERS!$A$4:$A$63,0))="","",INDEX(SUPPLIERS!$E$4:$E$63,MATCH($E111,SUPPLIERS!$A$4:$A$63,0))),""))</f>
        <v/>
      </c>
      <c r="K111" s="20"/>
      <c r="L111" s="19"/>
      <c r="M111" s="23" t="str">
        <f aca="false">IF(COUNT($F111:$J111)&lt;5,"",ROUND($F111*W_SRC+$G111*W_QC+$H111*W_CAP+$I111*W_SUP+$J111*W_EXT,1))</f>
        <v/>
      </c>
      <c r="N111" s="24" t="str">
        <f aca="false">IF(OR($M111="",$K111=""),"",ROUND($M111*$K111,1))</f>
        <v/>
      </c>
      <c r="O111" s="25" t="str">
        <f aca="false">IF($E111="","",IF($L111&lt;&gt;"","CRITICAL (FLAG)",IF(OR($M111="",$K111=""),"NOT SCORED",IF($N111&gt;=T_CRIT,"CRITICAL",IF($N111&gt;=T_MON,"MONITOR","LOW")))))</f>
        <v/>
      </c>
      <c r="P111" s="12" t="str">
        <f aca="false">IF($M111="","",INDEX(DriverNames,MATCH(MAX($F111:$J111),$F111:$J111,0)))</f>
        <v/>
      </c>
      <c r="Q111" s="21"/>
      <c r="R111" s="26"/>
      <c r="S111" s="2" t="str">
        <f aca="false">IF($O111="","",IF($L111&lt;&gt;"",100,0)+IF($N111="",0,$N111)+ROW()/100000)</f>
        <v/>
      </c>
      <c r="T111" s="2" t="str">
        <f aca="false">IF($S111="","",IF($A111=SEL_MODEL,$S111,""))</f>
        <v/>
      </c>
    </row>
    <row r="112" customFormat="false" ht="15" hidden="false" customHeight="false" outlineLevel="0" collapsed="false">
      <c r="A112" s="19"/>
      <c r="B112" s="20"/>
      <c r="C112" s="21"/>
      <c r="D112" s="20"/>
      <c r="E112" s="19"/>
      <c r="F112" s="20"/>
      <c r="G112" s="20"/>
      <c r="H112" s="20"/>
      <c r="I112" s="22" t="str">
        <f aca="false">IF($E112="","",IFERROR(IF(INDEX(SUPPLIERS!$D$4:$D$63,MATCH($E112,SUPPLIERS!$A$4:$A$63,0))="","",INDEX(SUPPLIERS!$D$4:$D$63,MATCH($E112,SUPPLIERS!$A$4:$A$63,0))),""))</f>
        <v/>
      </c>
      <c r="J112" s="22" t="str">
        <f aca="false">IF($E112="","",IFERROR(IF(INDEX(SUPPLIERS!$E$4:$E$63,MATCH($E112,SUPPLIERS!$A$4:$A$63,0))="","",INDEX(SUPPLIERS!$E$4:$E$63,MATCH($E112,SUPPLIERS!$A$4:$A$63,0))),""))</f>
        <v/>
      </c>
      <c r="K112" s="20"/>
      <c r="L112" s="19"/>
      <c r="M112" s="23" t="str">
        <f aca="false">IF(COUNT($F112:$J112)&lt;5,"",ROUND($F112*W_SRC+$G112*W_QC+$H112*W_CAP+$I112*W_SUP+$J112*W_EXT,1))</f>
        <v/>
      </c>
      <c r="N112" s="24" t="str">
        <f aca="false">IF(OR($M112="",$K112=""),"",ROUND($M112*$K112,1))</f>
        <v/>
      </c>
      <c r="O112" s="25" t="str">
        <f aca="false">IF($E112="","",IF($L112&lt;&gt;"","CRITICAL (FLAG)",IF(OR($M112="",$K112=""),"NOT SCORED",IF($N112&gt;=T_CRIT,"CRITICAL",IF($N112&gt;=T_MON,"MONITOR","LOW")))))</f>
        <v/>
      </c>
      <c r="P112" s="12" t="str">
        <f aca="false">IF($M112="","",INDEX(DriverNames,MATCH(MAX($F112:$J112),$F112:$J112,0)))</f>
        <v/>
      </c>
      <c r="Q112" s="21"/>
      <c r="R112" s="26"/>
      <c r="S112" s="2" t="str">
        <f aca="false">IF($O112="","",IF($L112&lt;&gt;"",100,0)+IF($N112="",0,$N112)+ROW()/100000)</f>
        <v/>
      </c>
      <c r="T112" s="2" t="str">
        <f aca="false">IF($S112="","",IF($A112=SEL_MODEL,$S112,""))</f>
        <v/>
      </c>
    </row>
    <row r="113" customFormat="false" ht="15" hidden="false" customHeight="false" outlineLevel="0" collapsed="false">
      <c r="A113" s="19"/>
      <c r="B113" s="20"/>
      <c r="C113" s="21"/>
      <c r="D113" s="20"/>
      <c r="E113" s="19"/>
      <c r="F113" s="20"/>
      <c r="G113" s="20"/>
      <c r="H113" s="20"/>
      <c r="I113" s="22" t="str">
        <f aca="false">IF($E113="","",IFERROR(IF(INDEX(SUPPLIERS!$D$4:$D$63,MATCH($E113,SUPPLIERS!$A$4:$A$63,0))="","",INDEX(SUPPLIERS!$D$4:$D$63,MATCH($E113,SUPPLIERS!$A$4:$A$63,0))),""))</f>
        <v/>
      </c>
      <c r="J113" s="22" t="str">
        <f aca="false">IF($E113="","",IFERROR(IF(INDEX(SUPPLIERS!$E$4:$E$63,MATCH($E113,SUPPLIERS!$A$4:$A$63,0))="","",INDEX(SUPPLIERS!$E$4:$E$63,MATCH($E113,SUPPLIERS!$A$4:$A$63,0))),""))</f>
        <v/>
      </c>
      <c r="K113" s="20"/>
      <c r="L113" s="19"/>
      <c r="M113" s="23" t="str">
        <f aca="false">IF(COUNT($F113:$J113)&lt;5,"",ROUND($F113*W_SRC+$G113*W_QC+$H113*W_CAP+$I113*W_SUP+$J113*W_EXT,1))</f>
        <v/>
      </c>
      <c r="N113" s="24" t="str">
        <f aca="false">IF(OR($M113="",$K113=""),"",ROUND($M113*$K113,1))</f>
        <v/>
      </c>
      <c r="O113" s="25" t="str">
        <f aca="false">IF($E113="","",IF($L113&lt;&gt;"","CRITICAL (FLAG)",IF(OR($M113="",$K113=""),"NOT SCORED",IF($N113&gt;=T_CRIT,"CRITICAL",IF($N113&gt;=T_MON,"MONITOR","LOW")))))</f>
        <v/>
      </c>
      <c r="P113" s="12" t="str">
        <f aca="false">IF($M113="","",INDEX(DriverNames,MATCH(MAX($F113:$J113),$F113:$J113,0)))</f>
        <v/>
      </c>
      <c r="Q113" s="21"/>
      <c r="R113" s="26"/>
      <c r="S113" s="2" t="str">
        <f aca="false">IF($O113="","",IF($L113&lt;&gt;"",100,0)+IF($N113="",0,$N113)+ROW()/100000)</f>
        <v/>
      </c>
      <c r="T113" s="2" t="str">
        <f aca="false">IF($S113="","",IF($A113=SEL_MODEL,$S113,""))</f>
        <v/>
      </c>
    </row>
    <row r="114" customFormat="false" ht="15" hidden="false" customHeight="false" outlineLevel="0" collapsed="false">
      <c r="A114" s="19"/>
      <c r="B114" s="20"/>
      <c r="C114" s="21"/>
      <c r="D114" s="20"/>
      <c r="E114" s="19"/>
      <c r="F114" s="20"/>
      <c r="G114" s="20"/>
      <c r="H114" s="20"/>
      <c r="I114" s="22" t="str">
        <f aca="false">IF($E114="","",IFERROR(IF(INDEX(SUPPLIERS!$D$4:$D$63,MATCH($E114,SUPPLIERS!$A$4:$A$63,0))="","",INDEX(SUPPLIERS!$D$4:$D$63,MATCH($E114,SUPPLIERS!$A$4:$A$63,0))),""))</f>
        <v/>
      </c>
      <c r="J114" s="22" t="str">
        <f aca="false">IF($E114="","",IFERROR(IF(INDEX(SUPPLIERS!$E$4:$E$63,MATCH($E114,SUPPLIERS!$A$4:$A$63,0))="","",INDEX(SUPPLIERS!$E$4:$E$63,MATCH($E114,SUPPLIERS!$A$4:$A$63,0))),""))</f>
        <v/>
      </c>
      <c r="K114" s="20"/>
      <c r="L114" s="19"/>
      <c r="M114" s="23" t="str">
        <f aca="false">IF(COUNT($F114:$J114)&lt;5,"",ROUND($F114*W_SRC+$G114*W_QC+$H114*W_CAP+$I114*W_SUP+$J114*W_EXT,1))</f>
        <v/>
      </c>
      <c r="N114" s="24" t="str">
        <f aca="false">IF(OR($M114="",$K114=""),"",ROUND($M114*$K114,1))</f>
        <v/>
      </c>
      <c r="O114" s="25" t="str">
        <f aca="false">IF($E114="","",IF($L114&lt;&gt;"","CRITICAL (FLAG)",IF(OR($M114="",$K114=""),"NOT SCORED",IF($N114&gt;=T_CRIT,"CRITICAL",IF($N114&gt;=T_MON,"MONITOR","LOW")))))</f>
        <v/>
      </c>
      <c r="P114" s="12" t="str">
        <f aca="false">IF($M114="","",INDEX(DriverNames,MATCH(MAX($F114:$J114),$F114:$J114,0)))</f>
        <v/>
      </c>
      <c r="Q114" s="21"/>
      <c r="R114" s="26"/>
      <c r="S114" s="2" t="str">
        <f aca="false">IF($O114="","",IF($L114&lt;&gt;"",100,0)+IF($N114="",0,$N114)+ROW()/100000)</f>
        <v/>
      </c>
      <c r="T114" s="2" t="str">
        <f aca="false">IF($S114="","",IF($A114=SEL_MODEL,$S114,""))</f>
        <v/>
      </c>
    </row>
    <row r="115" customFormat="false" ht="15" hidden="false" customHeight="false" outlineLevel="0" collapsed="false">
      <c r="A115" s="19"/>
      <c r="B115" s="20"/>
      <c r="C115" s="21"/>
      <c r="D115" s="20"/>
      <c r="E115" s="19"/>
      <c r="F115" s="20"/>
      <c r="G115" s="20"/>
      <c r="H115" s="20"/>
      <c r="I115" s="22" t="str">
        <f aca="false">IF($E115="","",IFERROR(IF(INDEX(SUPPLIERS!$D$4:$D$63,MATCH($E115,SUPPLIERS!$A$4:$A$63,0))="","",INDEX(SUPPLIERS!$D$4:$D$63,MATCH($E115,SUPPLIERS!$A$4:$A$63,0))),""))</f>
        <v/>
      </c>
      <c r="J115" s="22" t="str">
        <f aca="false">IF($E115="","",IFERROR(IF(INDEX(SUPPLIERS!$E$4:$E$63,MATCH($E115,SUPPLIERS!$A$4:$A$63,0))="","",INDEX(SUPPLIERS!$E$4:$E$63,MATCH($E115,SUPPLIERS!$A$4:$A$63,0))),""))</f>
        <v/>
      </c>
      <c r="K115" s="20"/>
      <c r="L115" s="19"/>
      <c r="M115" s="23" t="str">
        <f aca="false">IF(COUNT($F115:$J115)&lt;5,"",ROUND($F115*W_SRC+$G115*W_QC+$H115*W_CAP+$I115*W_SUP+$J115*W_EXT,1))</f>
        <v/>
      </c>
      <c r="N115" s="24" t="str">
        <f aca="false">IF(OR($M115="",$K115=""),"",ROUND($M115*$K115,1))</f>
        <v/>
      </c>
      <c r="O115" s="25" t="str">
        <f aca="false">IF($E115="","",IF($L115&lt;&gt;"","CRITICAL (FLAG)",IF(OR($M115="",$K115=""),"NOT SCORED",IF($N115&gt;=T_CRIT,"CRITICAL",IF($N115&gt;=T_MON,"MONITOR","LOW")))))</f>
        <v/>
      </c>
      <c r="P115" s="12" t="str">
        <f aca="false">IF($M115="","",INDEX(DriverNames,MATCH(MAX($F115:$J115),$F115:$J115,0)))</f>
        <v/>
      </c>
      <c r="Q115" s="21"/>
      <c r="R115" s="26"/>
      <c r="S115" s="2" t="str">
        <f aca="false">IF($O115="","",IF($L115&lt;&gt;"",100,0)+IF($N115="",0,$N115)+ROW()/100000)</f>
        <v/>
      </c>
      <c r="T115" s="2" t="str">
        <f aca="false">IF($S115="","",IF($A115=SEL_MODEL,$S115,""))</f>
        <v/>
      </c>
    </row>
    <row r="116" customFormat="false" ht="15" hidden="false" customHeight="false" outlineLevel="0" collapsed="false">
      <c r="A116" s="19"/>
      <c r="B116" s="20"/>
      <c r="C116" s="21"/>
      <c r="D116" s="20"/>
      <c r="E116" s="19"/>
      <c r="F116" s="20"/>
      <c r="G116" s="20"/>
      <c r="H116" s="20"/>
      <c r="I116" s="22" t="str">
        <f aca="false">IF($E116="","",IFERROR(IF(INDEX(SUPPLIERS!$D$4:$D$63,MATCH($E116,SUPPLIERS!$A$4:$A$63,0))="","",INDEX(SUPPLIERS!$D$4:$D$63,MATCH($E116,SUPPLIERS!$A$4:$A$63,0))),""))</f>
        <v/>
      </c>
      <c r="J116" s="22" t="str">
        <f aca="false">IF($E116="","",IFERROR(IF(INDEX(SUPPLIERS!$E$4:$E$63,MATCH($E116,SUPPLIERS!$A$4:$A$63,0))="","",INDEX(SUPPLIERS!$E$4:$E$63,MATCH($E116,SUPPLIERS!$A$4:$A$63,0))),""))</f>
        <v/>
      </c>
      <c r="K116" s="20"/>
      <c r="L116" s="19"/>
      <c r="M116" s="23" t="str">
        <f aca="false">IF(COUNT($F116:$J116)&lt;5,"",ROUND($F116*W_SRC+$G116*W_QC+$H116*W_CAP+$I116*W_SUP+$J116*W_EXT,1))</f>
        <v/>
      </c>
      <c r="N116" s="24" t="str">
        <f aca="false">IF(OR($M116="",$K116=""),"",ROUND($M116*$K116,1))</f>
        <v/>
      </c>
      <c r="O116" s="25" t="str">
        <f aca="false">IF($E116="","",IF($L116&lt;&gt;"","CRITICAL (FLAG)",IF(OR($M116="",$K116=""),"NOT SCORED",IF($N116&gt;=T_CRIT,"CRITICAL",IF($N116&gt;=T_MON,"MONITOR","LOW")))))</f>
        <v/>
      </c>
      <c r="P116" s="12" t="str">
        <f aca="false">IF($M116="","",INDEX(DriverNames,MATCH(MAX($F116:$J116),$F116:$J116,0)))</f>
        <v/>
      </c>
      <c r="Q116" s="21"/>
      <c r="R116" s="26"/>
      <c r="S116" s="2" t="str">
        <f aca="false">IF($O116="","",IF($L116&lt;&gt;"",100,0)+IF($N116="",0,$N116)+ROW()/100000)</f>
        <v/>
      </c>
      <c r="T116" s="2" t="str">
        <f aca="false">IF($S116="","",IF($A116=SEL_MODEL,$S116,""))</f>
        <v/>
      </c>
    </row>
    <row r="117" customFormat="false" ht="15" hidden="false" customHeight="false" outlineLevel="0" collapsed="false">
      <c r="A117" s="19"/>
      <c r="B117" s="20"/>
      <c r="C117" s="21"/>
      <c r="D117" s="20"/>
      <c r="E117" s="19"/>
      <c r="F117" s="20"/>
      <c r="G117" s="20"/>
      <c r="H117" s="20"/>
      <c r="I117" s="22" t="str">
        <f aca="false">IF($E117="","",IFERROR(IF(INDEX(SUPPLIERS!$D$4:$D$63,MATCH($E117,SUPPLIERS!$A$4:$A$63,0))="","",INDEX(SUPPLIERS!$D$4:$D$63,MATCH($E117,SUPPLIERS!$A$4:$A$63,0))),""))</f>
        <v/>
      </c>
      <c r="J117" s="22" t="str">
        <f aca="false">IF($E117="","",IFERROR(IF(INDEX(SUPPLIERS!$E$4:$E$63,MATCH($E117,SUPPLIERS!$A$4:$A$63,0))="","",INDEX(SUPPLIERS!$E$4:$E$63,MATCH($E117,SUPPLIERS!$A$4:$A$63,0))),""))</f>
        <v/>
      </c>
      <c r="K117" s="20"/>
      <c r="L117" s="19"/>
      <c r="M117" s="23" t="str">
        <f aca="false">IF(COUNT($F117:$J117)&lt;5,"",ROUND($F117*W_SRC+$G117*W_QC+$H117*W_CAP+$I117*W_SUP+$J117*W_EXT,1))</f>
        <v/>
      </c>
      <c r="N117" s="24" t="str">
        <f aca="false">IF(OR($M117="",$K117=""),"",ROUND($M117*$K117,1))</f>
        <v/>
      </c>
      <c r="O117" s="25" t="str">
        <f aca="false">IF($E117="","",IF($L117&lt;&gt;"","CRITICAL (FLAG)",IF(OR($M117="",$K117=""),"NOT SCORED",IF($N117&gt;=T_CRIT,"CRITICAL",IF($N117&gt;=T_MON,"MONITOR","LOW")))))</f>
        <v/>
      </c>
      <c r="P117" s="12" t="str">
        <f aca="false">IF($M117="","",INDEX(DriverNames,MATCH(MAX($F117:$J117),$F117:$J117,0)))</f>
        <v/>
      </c>
      <c r="Q117" s="21"/>
      <c r="R117" s="26"/>
      <c r="S117" s="2" t="str">
        <f aca="false">IF($O117="","",IF($L117&lt;&gt;"",100,0)+IF($N117="",0,$N117)+ROW()/100000)</f>
        <v/>
      </c>
      <c r="T117" s="2" t="str">
        <f aca="false">IF($S117="","",IF($A117=SEL_MODEL,$S117,""))</f>
        <v/>
      </c>
    </row>
    <row r="118" customFormat="false" ht="15" hidden="false" customHeight="false" outlineLevel="0" collapsed="false">
      <c r="A118" s="19"/>
      <c r="B118" s="20"/>
      <c r="C118" s="21"/>
      <c r="D118" s="20"/>
      <c r="E118" s="19"/>
      <c r="F118" s="20"/>
      <c r="G118" s="20"/>
      <c r="H118" s="20"/>
      <c r="I118" s="22" t="str">
        <f aca="false">IF($E118="","",IFERROR(IF(INDEX(SUPPLIERS!$D$4:$D$63,MATCH($E118,SUPPLIERS!$A$4:$A$63,0))="","",INDEX(SUPPLIERS!$D$4:$D$63,MATCH($E118,SUPPLIERS!$A$4:$A$63,0))),""))</f>
        <v/>
      </c>
      <c r="J118" s="22" t="str">
        <f aca="false">IF($E118="","",IFERROR(IF(INDEX(SUPPLIERS!$E$4:$E$63,MATCH($E118,SUPPLIERS!$A$4:$A$63,0))="","",INDEX(SUPPLIERS!$E$4:$E$63,MATCH($E118,SUPPLIERS!$A$4:$A$63,0))),""))</f>
        <v/>
      </c>
      <c r="K118" s="20"/>
      <c r="L118" s="19"/>
      <c r="M118" s="23" t="str">
        <f aca="false">IF(COUNT($F118:$J118)&lt;5,"",ROUND($F118*W_SRC+$G118*W_QC+$H118*W_CAP+$I118*W_SUP+$J118*W_EXT,1))</f>
        <v/>
      </c>
      <c r="N118" s="24" t="str">
        <f aca="false">IF(OR($M118="",$K118=""),"",ROUND($M118*$K118,1))</f>
        <v/>
      </c>
      <c r="O118" s="25" t="str">
        <f aca="false">IF($E118="","",IF($L118&lt;&gt;"","CRITICAL (FLAG)",IF(OR($M118="",$K118=""),"NOT SCORED",IF($N118&gt;=T_CRIT,"CRITICAL",IF($N118&gt;=T_MON,"MONITOR","LOW")))))</f>
        <v/>
      </c>
      <c r="P118" s="12" t="str">
        <f aca="false">IF($M118="","",INDEX(DriverNames,MATCH(MAX($F118:$J118),$F118:$J118,0)))</f>
        <v/>
      </c>
      <c r="Q118" s="21"/>
      <c r="R118" s="26"/>
      <c r="S118" s="2" t="str">
        <f aca="false">IF($O118="","",IF($L118&lt;&gt;"",100,0)+IF($N118="",0,$N118)+ROW()/100000)</f>
        <v/>
      </c>
      <c r="T118" s="2" t="str">
        <f aca="false">IF($S118="","",IF($A118=SEL_MODEL,$S118,""))</f>
        <v/>
      </c>
    </row>
    <row r="119" customFormat="false" ht="15" hidden="false" customHeight="false" outlineLevel="0" collapsed="false">
      <c r="A119" s="19"/>
      <c r="B119" s="20"/>
      <c r="C119" s="21"/>
      <c r="D119" s="20"/>
      <c r="E119" s="19"/>
      <c r="F119" s="20"/>
      <c r="G119" s="20"/>
      <c r="H119" s="20"/>
      <c r="I119" s="22" t="str">
        <f aca="false">IF($E119="","",IFERROR(IF(INDEX(SUPPLIERS!$D$4:$D$63,MATCH($E119,SUPPLIERS!$A$4:$A$63,0))="","",INDEX(SUPPLIERS!$D$4:$D$63,MATCH($E119,SUPPLIERS!$A$4:$A$63,0))),""))</f>
        <v/>
      </c>
      <c r="J119" s="22" t="str">
        <f aca="false">IF($E119="","",IFERROR(IF(INDEX(SUPPLIERS!$E$4:$E$63,MATCH($E119,SUPPLIERS!$A$4:$A$63,0))="","",INDEX(SUPPLIERS!$E$4:$E$63,MATCH($E119,SUPPLIERS!$A$4:$A$63,0))),""))</f>
        <v/>
      </c>
      <c r="K119" s="20"/>
      <c r="L119" s="19"/>
      <c r="M119" s="23" t="str">
        <f aca="false">IF(COUNT($F119:$J119)&lt;5,"",ROUND($F119*W_SRC+$G119*W_QC+$H119*W_CAP+$I119*W_SUP+$J119*W_EXT,1))</f>
        <v/>
      </c>
      <c r="N119" s="24" t="str">
        <f aca="false">IF(OR($M119="",$K119=""),"",ROUND($M119*$K119,1))</f>
        <v/>
      </c>
      <c r="O119" s="25" t="str">
        <f aca="false">IF($E119="","",IF($L119&lt;&gt;"","CRITICAL (FLAG)",IF(OR($M119="",$K119=""),"NOT SCORED",IF($N119&gt;=T_CRIT,"CRITICAL",IF($N119&gt;=T_MON,"MONITOR","LOW")))))</f>
        <v/>
      </c>
      <c r="P119" s="12" t="str">
        <f aca="false">IF($M119="","",INDEX(DriverNames,MATCH(MAX($F119:$J119),$F119:$J119,0)))</f>
        <v/>
      </c>
      <c r="Q119" s="21"/>
      <c r="R119" s="26"/>
      <c r="S119" s="2" t="str">
        <f aca="false">IF($O119="","",IF($L119&lt;&gt;"",100,0)+IF($N119="",0,$N119)+ROW()/100000)</f>
        <v/>
      </c>
      <c r="T119" s="2" t="str">
        <f aca="false">IF($S119="","",IF($A119=SEL_MODEL,$S119,""))</f>
        <v/>
      </c>
    </row>
    <row r="120" customFormat="false" ht="15" hidden="false" customHeight="false" outlineLevel="0" collapsed="false">
      <c r="A120" s="19"/>
      <c r="B120" s="20"/>
      <c r="C120" s="21"/>
      <c r="D120" s="20"/>
      <c r="E120" s="19"/>
      <c r="F120" s="20"/>
      <c r="G120" s="20"/>
      <c r="H120" s="20"/>
      <c r="I120" s="22" t="str">
        <f aca="false">IF($E120="","",IFERROR(IF(INDEX(SUPPLIERS!$D$4:$D$63,MATCH($E120,SUPPLIERS!$A$4:$A$63,0))="","",INDEX(SUPPLIERS!$D$4:$D$63,MATCH($E120,SUPPLIERS!$A$4:$A$63,0))),""))</f>
        <v/>
      </c>
      <c r="J120" s="22" t="str">
        <f aca="false">IF($E120="","",IFERROR(IF(INDEX(SUPPLIERS!$E$4:$E$63,MATCH($E120,SUPPLIERS!$A$4:$A$63,0))="","",INDEX(SUPPLIERS!$E$4:$E$63,MATCH($E120,SUPPLIERS!$A$4:$A$63,0))),""))</f>
        <v/>
      </c>
      <c r="K120" s="20"/>
      <c r="L120" s="19"/>
      <c r="M120" s="23" t="str">
        <f aca="false">IF(COUNT($F120:$J120)&lt;5,"",ROUND($F120*W_SRC+$G120*W_QC+$H120*W_CAP+$I120*W_SUP+$J120*W_EXT,1))</f>
        <v/>
      </c>
      <c r="N120" s="24" t="str">
        <f aca="false">IF(OR($M120="",$K120=""),"",ROUND($M120*$K120,1))</f>
        <v/>
      </c>
      <c r="O120" s="25" t="str">
        <f aca="false">IF($E120="","",IF($L120&lt;&gt;"","CRITICAL (FLAG)",IF(OR($M120="",$K120=""),"NOT SCORED",IF($N120&gt;=T_CRIT,"CRITICAL",IF($N120&gt;=T_MON,"MONITOR","LOW")))))</f>
        <v/>
      </c>
      <c r="P120" s="12" t="str">
        <f aca="false">IF($M120="","",INDEX(DriverNames,MATCH(MAX($F120:$J120),$F120:$J120,0)))</f>
        <v/>
      </c>
      <c r="Q120" s="21"/>
      <c r="R120" s="26"/>
      <c r="S120" s="2" t="str">
        <f aca="false">IF($O120="","",IF($L120&lt;&gt;"",100,0)+IF($N120="",0,$N120)+ROW()/100000)</f>
        <v/>
      </c>
      <c r="T120" s="2" t="str">
        <f aca="false">IF($S120="","",IF($A120=SEL_MODEL,$S120,""))</f>
        <v/>
      </c>
    </row>
    <row r="121" customFormat="false" ht="15" hidden="false" customHeight="false" outlineLevel="0" collapsed="false">
      <c r="A121" s="19"/>
      <c r="B121" s="20"/>
      <c r="C121" s="21"/>
      <c r="D121" s="20"/>
      <c r="E121" s="19"/>
      <c r="F121" s="20"/>
      <c r="G121" s="20"/>
      <c r="H121" s="20"/>
      <c r="I121" s="22" t="str">
        <f aca="false">IF($E121="","",IFERROR(IF(INDEX(SUPPLIERS!$D$4:$D$63,MATCH($E121,SUPPLIERS!$A$4:$A$63,0))="","",INDEX(SUPPLIERS!$D$4:$D$63,MATCH($E121,SUPPLIERS!$A$4:$A$63,0))),""))</f>
        <v/>
      </c>
      <c r="J121" s="22" t="str">
        <f aca="false">IF($E121="","",IFERROR(IF(INDEX(SUPPLIERS!$E$4:$E$63,MATCH($E121,SUPPLIERS!$A$4:$A$63,0))="","",INDEX(SUPPLIERS!$E$4:$E$63,MATCH($E121,SUPPLIERS!$A$4:$A$63,0))),""))</f>
        <v/>
      </c>
      <c r="K121" s="20"/>
      <c r="L121" s="19"/>
      <c r="M121" s="23" t="str">
        <f aca="false">IF(COUNT($F121:$J121)&lt;5,"",ROUND($F121*W_SRC+$G121*W_QC+$H121*W_CAP+$I121*W_SUP+$J121*W_EXT,1))</f>
        <v/>
      </c>
      <c r="N121" s="24" t="str">
        <f aca="false">IF(OR($M121="",$K121=""),"",ROUND($M121*$K121,1))</f>
        <v/>
      </c>
      <c r="O121" s="25" t="str">
        <f aca="false">IF($E121="","",IF($L121&lt;&gt;"","CRITICAL (FLAG)",IF(OR($M121="",$K121=""),"NOT SCORED",IF($N121&gt;=T_CRIT,"CRITICAL",IF($N121&gt;=T_MON,"MONITOR","LOW")))))</f>
        <v/>
      </c>
      <c r="P121" s="12" t="str">
        <f aca="false">IF($M121="","",INDEX(DriverNames,MATCH(MAX($F121:$J121),$F121:$J121,0)))</f>
        <v/>
      </c>
      <c r="Q121" s="21"/>
      <c r="R121" s="26"/>
      <c r="S121" s="2" t="str">
        <f aca="false">IF($O121="","",IF($L121&lt;&gt;"",100,0)+IF($N121="",0,$N121)+ROW()/100000)</f>
        <v/>
      </c>
      <c r="T121" s="2" t="str">
        <f aca="false">IF($S121="","",IF($A121=SEL_MODEL,$S121,""))</f>
        <v/>
      </c>
    </row>
    <row r="122" customFormat="false" ht="15" hidden="false" customHeight="false" outlineLevel="0" collapsed="false">
      <c r="A122" s="19"/>
      <c r="B122" s="20"/>
      <c r="C122" s="21"/>
      <c r="D122" s="20"/>
      <c r="E122" s="19"/>
      <c r="F122" s="20"/>
      <c r="G122" s="20"/>
      <c r="H122" s="20"/>
      <c r="I122" s="22" t="str">
        <f aca="false">IF($E122="","",IFERROR(IF(INDEX(SUPPLIERS!$D$4:$D$63,MATCH($E122,SUPPLIERS!$A$4:$A$63,0))="","",INDEX(SUPPLIERS!$D$4:$D$63,MATCH($E122,SUPPLIERS!$A$4:$A$63,0))),""))</f>
        <v/>
      </c>
      <c r="J122" s="22" t="str">
        <f aca="false">IF($E122="","",IFERROR(IF(INDEX(SUPPLIERS!$E$4:$E$63,MATCH($E122,SUPPLIERS!$A$4:$A$63,0))="","",INDEX(SUPPLIERS!$E$4:$E$63,MATCH($E122,SUPPLIERS!$A$4:$A$63,0))),""))</f>
        <v/>
      </c>
      <c r="K122" s="20"/>
      <c r="L122" s="19"/>
      <c r="M122" s="23" t="str">
        <f aca="false">IF(COUNT($F122:$J122)&lt;5,"",ROUND($F122*W_SRC+$G122*W_QC+$H122*W_CAP+$I122*W_SUP+$J122*W_EXT,1))</f>
        <v/>
      </c>
      <c r="N122" s="24" t="str">
        <f aca="false">IF(OR($M122="",$K122=""),"",ROUND($M122*$K122,1))</f>
        <v/>
      </c>
      <c r="O122" s="25" t="str">
        <f aca="false">IF($E122="","",IF($L122&lt;&gt;"","CRITICAL (FLAG)",IF(OR($M122="",$K122=""),"NOT SCORED",IF($N122&gt;=T_CRIT,"CRITICAL",IF($N122&gt;=T_MON,"MONITOR","LOW")))))</f>
        <v/>
      </c>
      <c r="P122" s="12" t="str">
        <f aca="false">IF($M122="","",INDEX(DriverNames,MATCH(MAX($F122:$J122),$F122:$J122,0)))</f>
        <v/>
      </c>
      <c r="Q122" s="21"/>
      <c r="R122" s="26"/>
      <c r="S122" s="2" t="str">
        <f aca="false">IF($O122="","",IF($L122&lt;&gt;"",100,0)+IF($N122="",0,$N122)+ROW()/100000)</f>
        <v/>
      </c>
      <c r="T122" s="2" t="str">
        <f aca="false">IF($S122="","",IF($A122=SEL_MODEL,$S122,""))</f>
        <v/>
      </c>
    </row>
    <row r="123" customFormat="false" ht="15" hidden="false" customHeight="false" outlineLevel="0" collapsed="false">
      <c r="A123" s="19"/>
      <c r="B123" s="20"/>
      <c r="C123" s="21"/>
      <c r="D123" s="20"/>
      <c r="E123" s="19"/>
      <c r="F123" s="20"/>
      <c r="G123" s="20"/>
      <c r="H123" s="20"/>
      <c r="I123" s="22" t="str">
        <f aca="false">IF($E123="","",IFERROR(IF(INDEX(SUPPLIERS!$D$4:$D$63,MATCH($E123,SUPPLIERS!$A$4:$A$63,0))="","",INDEX(SUPPLIERS!$D$4:$D$63,MATCH($E123,SUPPLIERS!$A$4:$A$63,0))),""))</f>
        <v/>
      </c>
      <c r="J123" s="22" t="str">
        <f aca="false">IF($E123="","",IFERROR(IF(INDEX(SUPPLIERS!$E$4:$E$63,MATCH($E123,SUPPLIERS!$A$4:$A$63,0))="","",INDEX(SUPPLIERS!$E$4:$E$63,MATCH($E123,SUPPLIERS!$A$4:$A$63,0))),""))</f>
        <v/>
      </c>
      <c r="K123" s="20"/>
      <c r="L123" s="19"/>
      <c r="M123" s="23" t="str">
        <f aca="false">IF(COUNT($F123:$J123)&lt;5,"",ROUND($F123*W_SRC+$G123*W_QC+$H123*W_CAP+$I123*W_SUP+$J123*W_EXT,1))</f>
        <v/>
      </c>
      <c r="N123" s="24" t="str">
        <f aca="false">IF(OR($M123="",$K123=""),"",ROUND($M123*$K123,1))</f>
        <v/>
      </c>
      <c r="O123" s="25" t="str">
        <f aca="false">IF($E123="","",IF($L123&lt;&gt;"","CRITICAL (FLAG)",IF(OR($M123="",$K123=""),"NOT SCORED",IF($N123&gt;=T_CRIT,"CRITICAL",IF($N123&gt;=T_MON,"MONITOR","LOW")))))</f>
        <v/>
      </c>
      <c r="P123" s="12" t="str">
        <f aca="false">IF($M123="","",INDEX(DriverNames,MATCH(MAX($F123:$J123),$F123:$J123,0)))</f>
        <v/>
      </c>
      <c r="Q123" s="21"/>
      <c r="R123" s="26"/>
      <c r="S123" s="2" t="str">
        <f aca="false">IF($O123="","",IF($L123&lt;&gt;"",100,0)+IF($N123="",0,$N123)+ROW()/100000)</f>
        <v/>
      </c>
      <c r="T123" s="2" t="str">
        <f aca="false">IF($S123="","",IF($A123=SEL_MODEL,$S123,""))</f>
        <v/>
      </c>
    </row>
    <row r="124" customFormat="false" ht="15" hidden="false" customHeight="false" outlineLevel="0" collapsed="false">
      <c r="A124" s="19"/>
      <c r="B124" s="20"/>
      <c r="C124" s="21"/>
      <c r="D124" s="20"/>
      <c r="E124" s="19"/>
      <c r="F124" s="20"/>
      <c r="G124" s="20"/>
      <c r="H124" s="20"/>
      <c r="I124" s="22" t="str">
        <f aca="false">IF($E124="","",IFERROR(IF(INDEX(SUPPLIERS!$D$4:$D$63,MATCH($E124,SUPPLIERS!$A$4:$A$63,0))="","",INDEX(SUPPLIERS!$D$4:$D$63,MATCH($E124,SUPPLIERS!$A$4:$A$63,0))),""))</f>
        <v/>
      </c>
      <c r="J124" s="22" t="str">
        <f aca="false">IF($E124="","",IFERROR(IF(INDEX(SUPPLIERS!$E$4:$E$63,MATCH($E124,SUPPLIERS!$A$4:$A$63,0))="","",INDEX(SUPPLIERS!$E$4:$E$63,MATCH($E124,SUPPLIERS!$A$4:$A$63,0))),""))</f>
        <v/>
      </c>
      <c r="K124" s="20"/>
      <c r="L124" s="19"/>
      <c r="M124" s="23" t="str">
        <f aca="false">IF(COUNT($F124:$J124)&lt;5,"",ROUND($F124*W_SRC+$G124*W_QC+$H124*W_CAP+$I124*W_SUP+$J124*W_EXT,1))</f>
        <v/>
      </c>
      <c r="N124" s="24" t="str">
        <f aca="false">IF(OR($M124="",$K124=""),"",ROUND($M124*$K124,1))</f>
        <v/>
      </c>
      <c r="O124" s="25" t="str">
        <f aca="false">IF($E124="","",IF($L124&lt;&gt;"","CRITICAL (FLAG)",IF(OR($M124="",$K124=""),"NOT SCORED",IF($N124&gt;=T_CRIT,"CRITICAL",IF($N124&gt;=T_MON,"MONITOR","LOW")))))</f>
        <v/>
      </c>
      <c r="P124" s="12" t="str">
        <f aca="false">IF($M124="","",INDEX(DriverNames,MATCH(MAX($F124:$J124),$F124:$J124,0)))</f>
        <v/>
      </c>
      <c r="Q124" s="21"/>
      <c r="R124" s="26"/>
      <c r="S124" s="2" t="str">
        <f aca="false">IF($O124="","",IF($L124&lt;&gt;"",100,0)+IF($N124="",0,$N124)+ROW()/100000)</f>
        <v/>
      </c>
      <c r="T124" s="2" t="str">
        <f aca="false">IF($S124="","",IF($A124=SEL_MODEL,$S124,""))</f>
        <v/>
      </c>
    </row>
    <row r="125" customFormat="false" ht="15" hidden="false" customHeight="false" outlineLevel="0" collapsed="false">
      <c r="A125" s="19"/>
      <c r="B125" s="20"/>
      <c r="C125" s="21"/>
      <c r="D125" s="20"/>
      <c r="E125" s="19"/>
      <c r="F125" s="20"/>
      <c r="G125" s="20"/>
      <c r="H125" s="20"/>
      <c r="I125" s="22" t="str">
        <f aca="false">IF($E125="","",IFERROR(IF(INDEX(SUPPLIERS!$D$4:$D$63,MATCH($E125,SUPPLIERS!$A$4:$A$63,0))="","",INDEX(SUPPLIERS!$D$4:$D$63,MATCH($E125,SUPPLIERS!$A$4:$A$63,0))),""))</f>
        <v/>
      </c>
      <c r="J125" s="22" t="str">
        <f aca="false">IF($E125="","",IFERROR(IF(INDEX(SUPPLIERS!$E$4:$E$63,MATCH($E125,SUPPLIERS!$A$4:$A$63,0))="","",INDEX(SUPPLIERS!$E$4:$E$63,MATCH($E125,SUPPLIERS!$A$4:$A$63,0))),""))</f>
        <v/>
      </c>
      <c r="K125" s="20"/>
      <c r="L125" s="19"/>
      <c r="M125" s="23" t="str">
        <f aca="false">IF(COUNT($F125:$J125)&lt;5,"",ROUND($F125*W_SRC+$G125*W_QC+$H125*W_CAP+$I125*W_SUP+$J125*W_EXT,1))</f>
        <v/>
      </c>
      <c r="N125" s="24" t="str">
        <f aca="false">IF(OR($M125="",$K125=""),"",ROUND($M125*$K125,1))</f>
        <v/>
      </c>
      <c r="O125" s="25" t="str">
        <f aca="false">IF($E125="","",IF($L125&lt;&gt;"","CRITICAL (FLAG)",IF(OR($M125="",$K125=""),"NOT SCORED",IF($N125&gt;=T_CRIT,"CRITICAL",IF($N125&gt;=T_MON,"MONITOR","LOW")))))</f>
        <v/>
      </c>
      <c r="P125" s="12" t="str">
        <f aca="false">IF($M125="","",INDEX(DriverNames,MATCH(MAX($F125:$J125),$F125:$J125,0)))</f>
        <v/>
      </c>
      <c r="Q125" s="21"/>
      <c r="R125" s="26"/>
      <c r="S125" s="2" t="str">
        <f aca="false">IF($O125="","",IF($L125&lt;&gt;"",100,0)+IF($N125="",0,$N125)+ROW()/100000)</f>
        <v/>
      </c>
      <c r="T125" s="2" t="str">
        <f aca="false">IF($S125="","",IF($A125=SEL_MODEL,$S125,""))</f>
        <v/>
      </c>
    </row>
    <row r="126" customFormat="false" ht="15" hidden="false" customHeight="false" outlineLevel="0" collapsed="false">
      <c r="A126" s="19"/>
      <c r="B126" s="20"/>
      <c r="C126" s="21"/>
      <c r="D126" s="20"/>
      <c r="E126" s="19"/>
      <c r="F126" s="20"/>
      <c r="G126" s="20"/>
      <c r="H126" s="20"/>
      <c r="I126" s="22" t="str">
        <f aca="false">IF($E126="","",IFERROR(IF(INDEX(SUPPLIERS!$D$4:$D$63,MATCH($E126,SUPPLIERS!$A$4:$A$63,0))="","",INDEX(SUPPLIERS!$D$4:$D$63,MATCH($E126,SUPPLIERS!$A$4:$A$63,0))),""))</f>
        <v/>
      </c>
      <c r="J126" s="22" t="str">
        <f aca="false">IF($E126="","",IFERROR(IF(INDEX(SUPPLIERS!$E$4:$E$63,MATCH($E126,SUPPLIERS!$A$4:$A$63,0))="","",INDEX(SUPPLIERS!$E$4:$E$63,MATCH($E126,SUPPLIERS!$A$4:$A$63,0))),""))</f>
        <v/>
      </c>
      <c r="K126" s="20"/>
      <c r="L126" s="19"/>
      <c r="M126" s="23" t="str">
        <f aca="false">IF(COUNT($F126:$J126)&lt;5,"",ROUND($F126*W_SRC+$G126*W_QC+$H126*W_CAP+$I126*W_SUP+$J126*W_EXT,1))</f>
        <v/>
      </c>
      <c r="N126" s="24" t="str">
        <f aca="false">IF(OR($M126="",$K126=""),"",ROUND($M126*$K126,1))</f>
        <v/>
      </c>
      <c r="O126" s="25" t="str">
        <f aca="false">IF($E126="","",IF($L126&lt;&gt;"","CRITICAL (FLAG)",IF(OR($M126="",$K126=""),"NOT SCORED",IF($N126&gt;=T_CRIT,"CRITICAL",IF($N126&gt;=T_MON,"MONITOR","LOW")))))</f>
        <v/>
      </c>
      <c r="P126" s="12" t="str">
        <f aca="false">IF($M126="","",INDEX(DriverNames,MATCH(MAX($F126:$J126),$F126:$J126,0)))</f>
        <v/>
      </c>
      <c r="Q126" s="21"/>
      <c r="R126" s="26"/>
      <c r="S126" s="2" t="str">
        <f aca="false">IF($O126="","",IF($L126&lt;&gt;"",100,0)+IF($N126="",0,$N126)+ROW()/100000)</f>
        <v/>
      </c>
      <c r="T126" s="2" t="str">
        <f aca="false">IF($S126="","",IF($A126=SEL_MODEL,$S126,""))</f>
        <v/>
      </c>
    </row>
    <row r="127" customFormat="false" ht="15" hidden="false" customHeight="false" outlineLevel="0" collapsed="false">
      <c r="A127" s="19"/>
      <c r="B127" s="20"/>
      <c r="C127" s="21"/>
      <c r="D127" s="20"/>
      <c r="E127" s="19"/>
      <c r="F127" s="20"/>
      <c r="G127" s="20"/>
      <c r="H127" s="20"/>
      <c r="I127" s="22" t="str">
        <f aca="false">IF($E127="","",IFERROR(IF(INDEX(SUPPLIERS!$D$4:$D$63,MATCH($E127,SUPPLIERS!$A$4:$A$63,0))="","",INDEX(SUPPLIERS!$D$4:$D$63,MATCH($E127,SUPPLIERS!$A$4:$A$63,0))),""))</f>
        <v/>
      </c>
      <c r="J127" s="22" t="str">
        <f aca="false">IF($E127="","",IFERROR(IF(INDEX(SUPPLIERS!$E$4:$E$63,MATCH($E127,SUPPLIERS!$A$4:$A$63,0))="","",INDEX(SUPPLIERS!$E$4:$E$63,MATCH($E127,SUPPLIERS!$A$4:$A$63,0))),""))</f>
        <v/>
      </c>
      <c r="K127" s="20"/>
      <c r="L127" s="19"/>
      <c r="M127" s="23" t="str">
        <f aca="false">IF(COUNT($F127:$J127)&lt;5,"",ROUND($F127*W_SRC+$G127*W_QC+$H127*W_CAP+$I127*W_SUP+$J127*W_EXT,1))</f>
        <v/>
      </c>
      <c r="N127" s="24" t="str">
        <f aca="false">IF(OR($M127="",$K127=""),"",ROUND($M127*$K127,1))</f>
        <v/>
      </c>
      <c r="O127" s="25" t="str">
        <f aca="false">IF($E127="","",IF($L127&lt;&gt;"","CRITICAL (FLAG)",IF(OR($M127="",$K127=""),"NOT SCORED",IF($N127&gt;=T_CRIT,"CRITICAL",IF($N127&gt;=T_MON,"MONITOR","LOW")))))</f>
        <v/>
      </c>
      <c r="P127" s="12" t="str">
        <f aca="false">IF($M127="","",INDEX(DriverNames,MATCH(MAX($F127:$J127),$F127:$J127,0)))</f>
        <v/>
      </c>
      <c r="Q127" s="21"/>
      <c r="R127" s="26"/>
      <c r="S127" s="2" t="str">
        <f aca="false">IF($O127="","",IF($L127&lt;&gt;"",100,0)+IF($N127="",0,$N127)+ROW()/100000)</f>
        <v/>
      </c>
      <c r="T127" s="2" t="str">
        <f aca="false">IF($S127="","",IF($A127=SEL_MODEL,$S127,""))</f>
        <v/>
      </c>
    </row>
    <row r="128" customFormat="false" ht="15" hidden="false" customHeight="false" outlineLevel="0" collapsed="false">
      <c r="A128" s="19"/>
      <c r="B128" s="20"/>
      <c r="C128" s="21"/>
      <c r="D128" s="20"/>
      <c r="E128" s="19"/>
      <c r="F128" s="20"/>
      <c r="G128" s="20"/>
      <c r="H128" s="20"/>
      <c r="I128" s="22" t="str">
        <f aca="false">IF($E128="","",IFERROR(IF(INDEX(SUPPLIERS!$D$4:$D$63,MATCH($E128,SUPPLIERS!$A$4:$A$63,0))="","",INDEX(SUPPLIERS!$D$4:$D$63,MATCH($E128,SUPPLIERS!$A$4:$A$63,0))),""))</f>
        <v/>
      </c>
      <c r="J128" s="22" t="str">
        <f aca="false">IF($E128="","",IFERROR(IF(INDEX(SUPPLIERS!$E$4:$E$63,MATCH($E128,SUPPLIERS!$A$4:$A$63,0))="","",INDEX(SUPPLIERS!$E$4:$E$63,MATCH($E128,SUPPLIERS!$A$4:$A$63,0))),""))</f>
        <v/>
      </c>
      <c r="K128" s="20"/>
      <c r="L128" s="19"/>
      <c r="M128" s="23" t="str">
        <f aca="false">IF(COUNT($F128:$J128)&lt;5,"",ROUND($F128*W_SRC+$G128*W_QC+$H128*W_CAP+$I128*W_SUP+$J128*W_EXT,1))</f>
        <v/>
      </c>
      <c r="N128" s="24" t="str">
        <f aca="false">IF(OR($M128="",$K128=""),"",ROUND($M128*$K128,1))</f>
        <v/>
      </c>
      <c r="O128" s="25" t="str">
        <f aca="false">IF($E128="","",IF($L128&lt;&gt;"","CRITICAL (FLAG)",IF(OR($M128="",$K128=""),"NOT SCORED",IF($N128&gt;=T_CRIT,"CRITICAL",IF($N128&gt;=T_MON,"MONITOR","LOW")))))</f>
        <v/>
      </c>
      <c r="P128" s="12" t="str">
        <f aca="false">IF($M128="","",INDEX(DriverNames,MATCH(MAX($F128:$J128),$F128:$J128,0)))</f>
        <v/>
      </c>
      <c r="Q128" s="21"/>
      <c r="R128" s="26"/>
      <c r="S128" s="2" t="str">
        <f aca="false">IF($O128="","",IF($L128&lt;&gt;"",100,0)+IF($N128="",0,$N128)+ROW()/100000)</f>
        <v/>
      </c>
      <c r="T128" s="2" t="str">
        <f aca="false">IF($S128="","",IF($A128=SEL_MODEL,$S128,""))</f>
        <v/>
      </c>
    </row>
    <row r="129" customFormat="false" ht="15" hidden="false" customHeight="false" outlineLevel="0" collapsed="false">
      <c r="A129" s="19"/>
      <c r="B129" s="20"/>
      <c r="C129" s="21"/>
      <c r="D129" s="20"/>
      <c r="E129" s="19"/>
      <c r="F129" s="20"/>
      <c r="G129" s="20"/>
      <c r="H129" s="20"/>
      <c r="I129" s="22" t="str">
        <f aca="false">IF($E129="","",IFERROR(IF(INDEX(SUPPLIERS!$D$4:$D$63,MATCH($E129,SUPPLIERS!$A$4:$A$63,0))="","",INDEX(SUPPLIERS!$D$4:$D$63,MATCH($E129,SUPPLIERS!$A$4:$A$63,0))),""))</f>
        <v/>
      </c>
      <c r="J129" s="22" t="str">
        <f aca="false">IF($E129="","",IFERROR(IF(INDEX(SUPPLIERS!$E$4:$E$63,MATCH($E129,SUPPLIERS!$A$4:$A$63,0))="","",INDEX(SUPPLIERS!$E$4:$E$63,MATCH($E129,SUPPLIERS!$A$4:$A$63,0))),""))</f>
        <v/>
      </c>
      <c r="K129" s="20"/>
      <c r="L129" s="19"/>
      <c r="M129" s="23" t="str">
        <f aca="false">IF(COUNT($F129:$J129)&lt;5,"",ROUND($F129*W_SRC+$G129*W_QC+$H129*W_CAP+$I129*W_SUP+$J129*W_EXT,1))</f>
        <v/>
      </c>
      <c r="N129" s="24" t="str">
        <f aca="false">IF(OR($M129="",$K129=""),"",ROUND($M129*$K129,1))</f>
        <v/>
      </c>
      <c r="O129" s="25" t="str">
        <f aca="false">IF($E129="","",IF($L129&lt;&gt;"","CRITICAL (FLAG)",IF(OR($M129="",$K129=""),"NOT SCORED",IF($N129&gt;=T_CRIT,"CRITICAL",IF($N129&gt;=T_MON,"MONITOR","LOW")))))</f>
        <v/>
      </c>
      <c r="P129" s="12" t="str">
        <f aca="false">IF($M129="","",INDEX(DriverNames,MATCH(MAX($F129:$J129),$F129:$J129,0)))</f>
        <v/>
      </c>
      <c r="Q129" s="21"/>
      <c r="R129" s="26"/>
      <c r="S129" s="2" t="str">
        <f aca="false">IF($O129="","",IF($L129&lt;&gt;"",100,0)+IF($N129="",0,$N129)+ROW()/100000)</f>
        <v/>
      </c>
      <c r="T129" s="2" t="str">
        <f aca="false">IF($S129="","",IF($A129=SEL_MODEL,$S129,""))</f>
        <v/>
      </c>
    </row>
    <row r="130" customFormat="false" ht="15" hidden="false" customHeight="false" outlineLevel="0" collapsed="false">
      <c r="A130" s="19"/>
      <c r="B130" s="20"/>
      <c r="C130" s="21"/>
      <c r="D130" s="20"/>
      <c r="E130" s="19"/>
      <c r="F130" s="20"/>
      <c r="G130" s="20"/>
      <c r="H130" s="20"/>
      <c r="I130" s="22" t="str">
        <f aca="false">IF($E130="","",IFERROR(IF(INDEX(SUPPLIERS!$D$4:$D$63,MATCH($E130,SUPPLIERS!$A$4:$A$63,0))="","",INDEX(SUPPLIERS!$D$4:$D$63,MATCH($E130,SUPPLIERS!$A$4:$A$63,0))),""))</f>
        <v/>
      </c>
      <c r="J130" s="22" t="str">
        <f aca="false">IF($E130="","",IFERROR(IF(INDEX(SUPPLIERS!$E$4:$E$63,MATCH($E130,SUPPLIERS!$A$4:$A$63,0))="","",INDEX(SUPPLIERS!$E$4:$E$63,MATCH($E130,SUPPLIERS!$A$4:$A$63,0))),""))</f>
        <v/>
      </c>
      <c r="K130" s="20"/>
      <c r="L130" s="19"/>
      <c r="M130" s="23" t="str">
        <f aca="false">IF(COUNT($F130:$J130)&lt;5,"",ROUND($F130*W_SRC+$G130*W_QC+$H130*W_CAP+$I130*W_SUP+$J130*W_EXT,1))</f>
        <v/>
      </c>
      <c r="N130" s="24" t="str">
        <f aca="false">IF(OR($M130="",$K130=""),"",ROUND($M130*$K130,1))</f>
        <v/>
      </c>
      <c r="O130" s="25" t="str">
        <f aca="false">IF($E130="","",IF($L130&lt;&gt;"","CRITICAL (FLAG)",IF(OR($M130="",$K130=""),"NOT SCORED",IF($N130&gt;=T_CRIT,"CRITICAL",IF($N130&gt;=T_MON,"MONITOR","LOW")))))</f>
        <v/>
      </c>
      <c r="P130" s="12" t="str">
        <f aca="false">IF($M130="","",INDEX(DriverNames,MATCH(MAX($F130:$J130),$F130:$J130,0)))</f>
        <v/>
      </c>
      <c r="Q130" s="21"/>
      <c r="R130" s="26"/>
      <c r="S130" s="2" t="str">
        <f aca="false">IF($O130="","",IF($L130&lt;&gt;"",100,0)+IF($N130="",0,$N130)+ROW()/100000)</f>
        <v/>
      </c>
      <c r="T130" s="2" t="str">
        <f aca="false">IF($S130="","",IF($A130=SEL_MODEL,$S130,""))</f>
        <v/>
      </c>
    </row>
    <row r="131" customFormat="false" ht="15" hidden="false" customHeight="false" outlineLevel="0" collapsed="false">
      <c r="A131" s="19"/>
      <c r="B131" s="20"/>
      <c r="C131" s="21"/>
      <c r="D131" s="20"/>
      <c r="E131" s="19"/>
      <c r="F131" s="20"/>
      <c r="G131" s="20"/>
      <c r="H131" s="20"/>
      <c r="I131" s="22" t="str">
        <f aca="false">IF($E131="","",IFERROR(IF(INDEX(SUPPLIERS!$D$4:$D$63,MATCH($E131,SUPPLIERS!$A$4:$A$63,0))="","",INDEX(SUPPLIERS!$D$4:$D$63,MATCH($E131,SUPPLIERS!$A$4:$A$63,0))),""))</f>
        <v/>
      </c>
      <c r="J131" s="22" t="str">
        <f aca="false">IF($E131="","",IFERROR(IF(INDEX(SUPPLIERS!$E$4:$E$63,MATCH($E131,SUPPLIERS!$A$4:$A$63,0))="","",INDEX(SUPPLIERS!$E$4:$E$63,MATCH($E131,SUPPLIERS!$A$4:$A$63,0))),""))</f>
        <v/>
      </c>
      <c r="K131" s="20"/>
      <c r="L131" s="19"/>
      <c r="M131" s="23" t="str">
        <f aca="false">IF(COUNT($F131:$J131)&lt;5,"",ROUND($F131*W_SRC+$G131*W_QC+$H131*W_CAP+$I131*W_SUP+$J131*W_EXT,1))</f>
        <v/>
      </c>
      <c r="N131" s="24" t="str">
        <f aca="false">IF(OR($M131="",$K131=""),"",ROUND($M131*$K131,1))</f>
        <v/>
      </c>
      <c r="O131" s="25" t="str">
        <f aca="false">IF($E131="","",IF($L131&lt;&gt;"","CRITICAL (FLAG)",IF(OR($M131="",$K131=""),"NOT SCORED",IF($N131&gt;=T_CRIT,"CRITICAL",IF($N131&gt;=T_MON,"MONITOR","LOW")))))</f>
        <v/>
      </c>
      <c r="P131" s="12" t="str">
        <f aca="false">IF($M131="","",INDEX(DriverNames,MATCH(MAX($F131:$J131),$F131:$J131,0)))</f>
        <v/>
      </c>
      <c r="Q131" s="21"/>
      <c r="R131" s="26"/>
      <c r="S131" s="2" t="str">
        <f aca="false">IF($O131="","",IF($L131&lt;&gt;"",100,0)+IF($N131="",0,$N131)+ROW()/100000)</f>
        <v/>
      </c>
      <c r="T131" s="2" t="str">
        <f aca="false">IF($S131="","",IF($A131=SEL_MODEL,$S131,""))</f>
        <v/>
      </c>
    </row>
    <row r="132" customFormat="false" ht="15" hidden="false" customHeight="false" outlineLevel="0" collapsed="false">
      <c r="A132" s="19"/>
      <c r="B132" s="20"/>
      <c r="C132" s="21"/>
      <c r="D132" s="20"/>
      <c r="E132" s="19"/>
      <c r="F132" s="20"/>
      <c r="G132" s="20"/>
      <c r="H132" s="20"/>
      <c r="I132" s="22" t="str">
        <f aca="false">IF($E132="","",IFERROR(IF(INDEX(SUPPLIERS!$D$4:$D$63,MATCH($E132,SUPPLIERS!$A$4:$A$63,0))="","",INDEX(SUPPLIERS!$D$4:$D$63,MATCH($E132,SUPPLIERS!$A$4:$A$63,0))),""))</f>
        <v/>
      </c>
      <c r="J132" s="22" t="str">
        <f aca="false">IF($E132="","",IFERROR(IF(INDEX(SUPPLIERS!$E$4:$E$63,MATCH($E132,SUPPLIERS!$A$4:$A$63,0))="","",INDEX(SUPPLIERS!$E$4:$E$63,MATCH($E132,SUPPLIERS!$A$4:$A$63,0))),""))</f>
        <v/>
      </c>
      <c r="K132" s="20"/>
      <c r="L132" s="19"/>
      <c r="M132" s="23" t="str">
        <f aca="false">IF(COUNT($F132:$J132)&lt;5,"",ROUND($F132*W_SRC+$G132*W_QC+$H132*W_CAP+$I132*W_SUP+$J132*W_EXT,1))</f>
        <v/>
      </c>
      <c r="N132" s="24" t="str">
        <f aca="false">IF(OR($M132="",$K132=""),"",ROUND($M132*$K132,1))</f>
        <v/>
      </c>
      <c r="O132" s="25" t="str">
        <f aca="false">IF($E132="","",IF($L132&lt;&gt;"","CRITICAL (FLAG)",IF(OR($M132="",$K132=""),"NOT SCORED",IF($N132&gt;=T_CRIT,"CRITICAL",IF($N132&gt;=T_MON,"MONITOR","LOW")))))</f>
        <v/>
      </c>
      <c r="P132" s="12" t="str">
        <f aca="false">IF($M132="","",INDEX(DriverNames,MATCH(MAX($F132:$J132),$F132:$J132,0)))</f>
        <v/>
      </c>
      <c r="Q132" s="21"/>
      <c r="R132" s="26"/>
      <c r="S132" s="2" t="str">
        <f aca="false">IF($O132="","",IF($L132&lt;&gt;"",100,0)+IF($N132="",0,$N132)+ROW()/100000)</f>
        <v/>
      </c>
      <c r="T132" s="2" t="str">
        <f aca="false">IF($S132="","",IF($A132=SEL_MODEL,$S132,""))</f>
        <v/>
      </c>
    </row>
    <row r="133" customFormat="false" ht="15" hidden="false" customHeight="false" outlineLevel="0" collapsed="false">
      <c r="A133" s="19"/>
      <c r="B133" s="20"/>
      <c r="C133" s="21"/>
      <c r="D133" s="20"/>
      <c r="E133" s="19"/>
      <c r="F133" s="20"/>
      <c r="G133" s="20"/>
      <c r="H133" s="20"/>
      <c r="I133" s="22" t="str">
        <f aca="false">IF($E133="","",IFERROR(IF(INDEX(SUPPLIERS!$D$4:$D$63,MATCH($E133,SUPPLIERS!$A$4:$A$63,0))="","",INDEX(SUPPLIERS!$D$4:$D$63,MATCH($E133,SUPPLIERS!$A$4:$A$63,0))),""))</f>
        <v/>
      </c>
      <c r="J133" s="22" t="str">
        <f aca="false">IF($E133="","",IFERROR(IF(INDEX(SUPPLIERS!$E$4:$E$63,MATCH($E133,SUPPLIERS!$A$4:$A$63,0))="","",INDEX(SUPPLIERS!$E$4:$E$63,MATCH($E133,SUPPLIERS!$A$4:$A$63,0))),""))</f>
        <v/>
      </c>
      <c r="K133" s="20"/>
      <c r="L133" s="19"/>
      <c r="M133" s="23" t="str">
        <f aca="false">IF(COUNT($F133:$J133)&lt;5,"",ROUND($F133*W_SRC+$G133*W_QC+$H133*W_CAP+$I133*W_SUP+$J133*W_EXT,1))</f>
        <v/>
      </c>
      <c r="N133" s="24" t="str">
        <f aca="false">IF(OR($M133="",$K133=""),"",ROUND($M133*$K133,1))</f>
        <v/>
      </c>
      <c r="O133" s="25" t="str">
        <f aca="false">IF($E133="","",IF($L133&lt;&gt;"","CRITICAL (FLAG)",IF(OR($M133="",$K133=""),"NOT SCORED",IF($N133&gt;=T_CRIT,"CRITICAL",IF($N133&gt;=T_MON,"MONITOR","LOW")))))</f>
        <v/>
      </c>
      <c r="P133" s="12" t="str">
        <f aca="false">IF($M133="","",INDEX(DriverNames,MATCH(MAX($F133:$J133),$F133:$J133,0)))</f>
        <v/>
      </c>
      <c r="Q133" s="21"/>
      <c r="R133" s="26"/>
      <c r="S133" s="2" t="str">
        <f aca="false">IF($O133="","",IF($L133&lt;&gt;"",100,0)+IF($N133="",0,$N133)+ROW()/100000)</f>
        <v/>
      </c>
      <c r="T133" s="2" t="str">
        <f aca="false">IF($S133="","",IF($A133=SEL_MODEL,$S133,""))</f>
        <v/>
      </c>
    </row>
    <row r="134" customFormat="false" ht="15" hidden="false" customHeight="false" outlineLevel="0" collapsed="false">
      <c r="A134" s="19"/>
      <c r="B134" s="20"/>
      <c r="C134" s="21"/>
      <c r="D134" s="20"/>
      <c r="E134" s="19"/>
      <c r="F134" s="20"/>
      <c r="G134" s="20"/>
      <c r="H134" s="20"/>
      <c r="I134" s="22" t="str">
        <f aca="false">IF($E134="","",IFERROR(IF(INDEX(SUPPLIERS!$D$4:$D$63,MATCH($E134,SUPPLIERS!$A$4:$A$63,0))="","",INDEX(SUPPLIERS!$D$4:$D$63,MATCH($E134,SUPPLIERS!$A$4:$A$63,0))),""))</f>
        <v/>
      </c>
      <c r="J134" s="22" t="str">
        <f aca="false">IF($E134="","",IFERROR(IF(INDEX(SUPPLIERS!$E$4:$E$63,MATCH($E134,SUPPLIERS!$A$4:$A$63,0))="","",INDEX(SUPPLIERS!$E$4:$E$63,MATCH($E134,SUPPLIERS!$A$4:$A$63,0))),""))</f>
        <v/>
      </c>
      <c r="K134" s="20"/>
      <c r="L134" s="19"/>
      <c r="M134" s="23" t="str">
        <f aca="false">IF(COUNT($F134:$J134)&lt;5,"",ROUND($F134*W_SRC+$G134*W_QC+$H134*W_CAP+$I134*W_SUP+$J134*W_EXT,1))</f>
        <v/>
      </c>
      <c r="N134" s="24" t="str">
        <f aca="false">IF(OR($M134="",$K134=""),"",ROUND($M134*$K134,1))</f>
        <v/>
      </c>
      <c r="O134" s="25" t="str">
        <f aca="false">IF($E134="","",IF($L134&lt;&gt;"","CRITICAL (FLAG)",IF(OR($M134="",$K134=""),"NOT SCORED",IF($N134&gt;=T_CRIT,"CRITICAL",IF($N134&gt;=T_MON,"MONITOR","LOW")))))</f>
        <v/>
      </c>
      <c r="P134" s="12" t="str">
        <f aca="false">IF($M134="","",INDEX(DriverNames,MATCH(MAX($F134:$J134),$F134:$J134,0)))</f>
        <v/>
      </c>
      <c r="Q134" s="21"/>
      <c r="R134" s="26"/>
      <c r="S134" s="2" t="str">
        <f aca="false">IF($O134="","",IF($L134&lt;&gt;"",100,0)+IF($N134="",0,$N134)+ROW()/100000)</f>
        <v/>
      </c>
      <c r="T134" s="2" t="str">
        <f aca="false">IF($S134="","",IF($A134=SEL_MODEL,$S134,""))</f>
        <v/>
      </c>
    </row>
    <row r="135" customFormat="false" ht="15" hidden="false" customHeight="false" outlineLevel="0" collapsed="false">
      <c r="A135" s="19"/>
      <c r="B135" s="20"/>
      <c r="C135" s="21"/>
      <c r="D135" s="20"/>
      <c r="E135" s="19"/>
      <c r="F135" s="20"/>
      <c r="G135" s="20"/>
      <c r="H135" s="20"/>
      <c r="I135" s="22" t="str">
        <f aca="false">IF($E135="","",IFERROR(IF(INDEX(SUPPLIERS!$D$4:$D$63,MATCH($E135,SUPPLIERS!$A$4:$A$63,0))="","",INDEX(SUPPLIERS!$D$4:$D$63,MATCH($E135,SUPPLIERS!$A$4:$A$63,0))),""))</f>
        <v/>
      </c>
      <c r="J135" s="22" t="str">
        <f aca="false">IF($E135="","",IFERROR(IF(INDEX(SUPPLIERS!$E$4:$E$63,MATCH($E135,SUPPLIERS!$A$4:$A$63,0))="","",INDEX(SUPPLIERS!$E$4:$E$63,MATCH($E135,SUPPLIERS!$A$4:$A$63,0))),""))</f>
        <v/>
      </c>
      <c r="K135" s="20"/>
      <c r="L135" s="19"/>
      <c r="M135" s="23" t="str">
        <f aca="false">IF(COUNT($F135:$J135)&lt;5,"",ROUND($F135*W_SRC+$G135*W_QC+$H135*W_CAP+$I135*W_SUP+$J135*W_EXT,1))</f>
        <v/>
      </c>
      <c r="N135" s="24" t="str">
        <f aca="false">IF(OR($M135="",$K135=""),"",ROUND($M135*$K135,1))</f>
        <v/>
      </c>
      <c r="O135" s="25" t="str">
        <f aca="false">IF($E135="","",IF($L135&lt;&gt;"","CRITICAL (FLAG)",IF(OR($M135="",$K135=""),"NOT SCORED",IF($N135&gt;=T_CRIT,"CRITICAL",IF($N135&gt;=T_MON,"MONITOR","LOW")))))</f>
        <v/>
      </c>
      <c r="P135" s="12" t="str">
        <f aca="false">IF($M135="","",INDEX(DriverNames,MATCH(MAX($F135:$J135),$F135:$J135,0)))</f>
        <v/>
      </c>
      <c r="Q135" s="21"/>
      <c r="R135" s="26"/>
      <c r="S135" s="2" t="str">
        <f aca="false">IF($O135="","",IF($L135&lt;&gt;"",100,0)+IF($N135="",0,$N135)+ROW()/100000)</f>
        <v/>
      </c>
      <c r="T135" s="2" t="str">
        <f aca="false">IF($S135="","",IF($A135=SEL_MODEL,$S135,""))</f>
        <v/>
      </c>
    </row>
    <row r="136" customFormat="false" ht="15" hidden="false" customHeight="false" outlineLevel="0" collapsed="false">
      <c r="A136" s="19"/>
      <c r="B136" s="20"/>
      <c r="C136" s="21"/>
      <c r="D136" s="20"/>
      <c r="E136" s="19"/>
      <c r="F136" s="20"/>
      <c r="G136" s="20"/>
      <c r="H136" s="20"/>
      <c r="I136" s="22" t="str">
        <f aca="false">IF($E136="","",IFERROR(IF(INDEX(SUPPLIERS!$D$4:$D$63,MATCH($E136,SUPPLIERS!$A$4:$A$63,0))="","",INDEX(SUPPLIERS!$D$4:$D$63,MATCH($E136,SUPPLIERS!$A$4:$A$63,0))),""))</f>
        <v/>
      </c>
      <c r="J136" s="22" t="str">
        <f aca="false">IF($E136="","",IFERROR(IF(INDEX(SUPPLIERS!$E$4:$E$63,MATCH($E136,SUPPLIERS!$A$4:$A$63,0))="","",INDEX(SUPPLIERS!$E$4:$E$63,MATCH($E136,SUPPLIERS!$A$4:$A$63,0))),""))</f>
        <v/>
      </c>
      <c r="K136" s="20"/>
      <c r="L136" s="19"/>
      <c r="M136" s="23" t="str">
        <f aca="false">IF(COUNT($F136:$J136)&lt;5,"",ROUND($F136*W_SRC+$G136*W_QC+$H136*W_CAP+$I136*W_SUP+$J136*W_EXT,1))</f>
        <v/>
      </c>
      <c r="N136" s="24" t="str">
        <f aca="false">IF(OR($M136="",$K136=""),"",ROUND($M136*$K136,1))</f>
        <v/>
      </c>
      <c r="O136" s="25" t="str">
        <f aca="false">IF($E136="","",IF($L136&lt;&gt;"","CRITICAL (FLAG)",IF(OR($M136="",$K136=""),"NOT SCORED",IF($N136&gt;=T_CRIT,"CRITICAL",IF($N136&gt;=T_MON,"MONITOR","LOW")))))</f>
        <v/>
      </c>
      <c r="P136" s="12" t="str">
        <f aca="false">IF($M136="","",INDEX(DriverNames,MATCH(MAX($F136:$J136),$F136:$J136,0)))</f>
        <v/>
      </c>
      <c r="Q136" s="21"/>
      <c r="R136" s="26"/>
      <c r="S136" s="2" t="str">
        <f aca="false">IF($O136="","",IF($L136&lt;&gt;"",100,0)+IF($N136="",0,$N136)+ROW()/100000)</f>
        <v/>
      </c>
      <c r="T136" s="2" t="str">
        <f aca="false">IF($S136="","",IF($A136=SEL_MODEL,$S136,""))</f>
        <v/>
      </c>
    </row>
    <row r="137" customFormat="false" ht="15" hidden="false" customHeight="false" outlineLevel="0" collapsed="false">
      <c r="A137" s="19"/>
      <c r="B137" s="20"/>
      <c r="C137" s="21"/>
      <c r="D137" s="20"/>
      <c r="E137" s="19"/>
      <c r="F137" s="20"/>
      <c r="G137" s="20"/>
      <c r="H137" s="20"/>
      <c r="I137" s="22" t="str">
        <f aca="false">IF($E137="","",IFERROR(IF(INDEX(SUPPLIERS!$D$4:$D$63,MATCH($E137,SUPPLIERS!$A$4:$A$63,0))="","",INDEX(SUPPLIERS!$D$4:$D$63,MATCH($E137,SUPPLIERS!$A$4:$A$63,0))),""))</f>
        <v/>
      </c>
      <c r="J137" s="22" t="str">
        <f aca="false">IF($E137="","",IFERROR(IF(INDEX(SUPPLIERS!$E$4:$E$63,MATCH($E137,SUPPLIERS!$A$4:$A$63,0))="","",INDEX(SUPPLIERS!$E$4:$E$63,MATCH($E137,SUPPLIERS!$A$4:$A$63,0))),""))</f>
        <v/>
      </c>
      <c r="K137" s="20"/>
      <c r="L137" s="19"/>
      <c r="M137" s="23" t="str">
        <f aca="false">IF(COUNT($F137:$J137)&lt;5,"",ROUND($F137*W_SRC+$G137*W_QC+$H137*W_CAP+$I137*W_SUP+$J137*W_EXT,1))</f>
        <v/>
      </c>
      <c r="N137" s="24" t="str">
        <f aca="false">IF(OR($M137="",$K137=""),"",ROUND($M137*$K137,1))</f>
        <v/>
      </c>
      <c r="O137" s="25" t="str">
        <f aca="false">IF($E137="","",IF($L137&lt;&gt;"","CRITICAL (FLAG)",IF(OR($M137="",$K137=""),"NOT SCORED",IF($N137&gt;=T_CRIT,"CRITICAL",IF($N137&gt;=T_MON,"MONITOR","LOW")))))</f>
        <v/>
      </c>
      <c r="P137" s="12" t="str">
        <f aca="false">IF($M137="","",INDEX(DriverNames,MATCH(MAX($F137:$J137),$F137:$J137,0)))</f>
        <v/>
      </c>
      <c r="Q137" s="21"/>
      <c r="R137" s="26"/>
      <c r="S137" s="2" t="str">
        <f aca="false">IF($O137="","",IF($L137&lt;&gt;"",100,0)+IF($N137="",0,$N137)+ROW()/100000)</f>
        <v/>
      </c>
      <c r="T137" s="2" t="str">
        <f aca="false">IF($S137="","",IF($A137=SEL_MODEL,$S137,""))</f>
        <v/>
      </c>
    </row>
    <row r="138" customFormat="false" ht="15" hidden="false" customHeight="false" outlineLevel="0" collapsed="false">
      <c r="A138" s="19"/>
      <c r="B138" s="20"/>
      <c r="C138" s="21"/>
      <c r="D138" s="20"/>
      <c r="E138" s="19"/>
      <c r="F138" s="20"/>
      <c r="G138" s="20"/>
      <c r="H138" s="20"/>
      <c r="I138" s="22" t="str">
        <f aca="false">IF($E138="","",IFERROR(IF(INDEX(SUPPLIERS!$D$4:$D$63,MATCH($E138,SUPPLIERS!$A$4:$A$63,0))="","",INDEX(SUPPLIERS!$D$4:$D$63,MATCH($E138,SUPPLIERS!$A$4:$A$63,0))),""))</f>
        <v/>
      </c>
      <c r="J138" s="22" t="str">
        <f aca="false">IF($E138="","",IFERROR(IF(INDEX(SUPPLIERS!$E$4:$E$63,MATCH($E138,SUPPLIERS!$A$4:$A$63,0))="","",INDEX(SUPPLIERS!$E$4:$E$63,MATCH($E138,SUPPLIERS!$A$4:$A$63,0))),""))</f>
        <v/>
      </c>
      <c r="K138" s="20"/>
      <c r="L138" s="19"/>
      <c r="M138" s="23" t="str">
        <f aca="false">IF(COUNT($F138:$J138)&lt;5,"",ROUND($F138*W_SRC+$G138*W_QC+$H138*W_CAP+$I138*W_SUP+$J138*W_EXT,1))</f>
        <v/>
      </c>
      <c r="N138" s="24" t="str">
        <f aca="false">IF(OR($M138="",$K138=""),"",ROUND($M138*$K138,1))</f>
        <v/>
      </c>
      <c r="O138" s="25" t="str">
        <f aca="false">IF($E138="","",IF($L138&lt;&gt;"","CRITICAL (FLAG)",IF(OR($M138="",$K138=""),"NOT SCORED",IF($N138&gt;=T_CRIT,"CRITICAL",IF($N138&gt;=T_MON,"MONITOR","LOW")))))</f>
        <v/>
      </c>
      <c r="P138" s="12" t="str">
        <f aca="false">IF($M138="","",INDEX(DriverNames,MATCH(MAX($F138:$J138),$F138:$J138,0)))</f>
        <v/>
      </c>
      <c r="Q138" s="21"/>
      <c r="R138" s="26"/>
      <c r="S138" s="2" t="str">
        <f aca="false">IF($O138="","",IF($L138&lt;&gt;"",100,0)+IF($N138="",0,$N138)+ROW()/100000)</f>
        <v/>
      </c>
      <c r="T138" s="2" t="str">
        <f aca="false">IF($S138="","",IF($A138=SEL_MODEL,$S138,""))</f>
        <v/>
      </c>
    </row>
    <row r="139" customFormat="false" ht="15" hidden="false" customHeight="false" outlineLevel="0" collapsed="false">
      <c r="A139" s="19"/>
      <c r="B139" s="20"/>
      <c r="C139" s="21"/>
      <c r="D139" s="20"/>
      <c r="E139" s="19"/>
      <c r="F139" s="20"/>
      <c r="G139" s="20"/>
      <c r="H139" s="20"/>
      <c r="I139" s="22" t="str">
        <f aca="false">IF($E139="","",IFERROR(IF(INDEX(SUPPLIERS!$D$4:$D$63,MATCH($E139,SUPPLIERS!$A$4:$A$63,0))="","",INDEX(SUPPLIERS!$D$4:$D$63,MATCH($E139,SUPPLIERS!$A$4:$A$63,0))),""))</f>
        <v/>
      </c>
      <c r="J139" s="22" t="str">
        <f aca="false">IF($E139="","",IFERROR(IF(INDEX(SUPPLIERS!$E$4:$E$63,MATCH($E139,SUPPLIERS!$A$4:$A$63,0))="","",INDEX(SUPPLIERS!$E$4:$E$63,MATCH($E139,SUPPLIERS!$A$4:$A$63,0))),""))</f>
        <v/>
      </c>
      <c r="K139" s="20"/>
      <c r="L139" s="19"/>
      <c r="M139" s="23" t="str">
        <f aca="false">IF(COUNT($F139:$J139)&lt;5,"",ROUND($F139*W_SRC+$G139*W_QC+$H139*W_CAP+$I139*W_SUP+$J139*W_EXT,1))</f>
        <v/>
      </c>
      <c r="N139" s="24" t="str">
        <f aca="false">IF(OR($M139="",$K139=""),"",ROUND($M139*$K139,1))</f>
        <v/>
      </c>
      <c r="O139" s="25" t="str">
        <f aca="false">IF($E139="","",IF($L139&lt;&gt;"","CRITICAL (FLAG)",IF(OR($M139="",$K139=""),"NOT SCORED",IF($N139&gt;=T_CRIT,"CRITICAL",IF($N139&gt;=T_MON,"MONITOR","LOW")))))</f>
        <v/>
      </c>
      <c r="P139" s="12" t="str">
        <f aca="false">IF($M139="","",INDEX(DriverNames,MATCH(MAX($F139:$J139),$F139:$J139,0)))</f>
        <v/>
      </c>
      <c r="Q139" s="21"/>
      <c r="R139" s="26"/>
      <c r="S139" s="2" t="str">
        <f aca="false">IF($O139="","",IF($L139&lt;&gt;"",100,0)+IF($N139="",0,$N139)+ROW()/100000)</f>
        <v/>
      </c>
      <c r="T139" s="2" t="str">
        <f aca="false">IF($S139="","",IF($A139=SEL_MODEL,$S139,""))</f>
        <v/>
      </c>
    </row>
    <row r="140" customFormat="false" ht="15" hidden="false" customHeight="false" outlineLevel="0" collapsed="false">
      <c r="A140" s="19"/>
      <c r="B140" s="20"/>
      <c r="C140" s="21"/>
      <c r="D140" s="20"/>
      <c r="E140" s="19"/>
      <c r="F140" s="20"/>
      <c r="G140" s="20"/>
      <c r="H140" s="20"/>
      <c r="I140" s="22" t="str">
        <f aca="false">IF($E140="","",IFERROR(IF(INDEX(SUPPLIERS!$D$4:$D$63,MATCH($E140,SUPPLIERS!$A$4:$A$63,0))="","",INDEX(SUPPLIERS!$D$4:$D$63,MATCH($E140,SUPPLIERS!$A$4:$A$63,0))),""))</f>
        <v/>
      </c>
      <c r="J140" s="22" t="str">
        <f aca="false">IF($E140="","",IFERROR(IF(INDEX(SUPPLIERS!$E$4:$E$63,MATCH($E140,SUPPLIERS!$A$4:$A$63,0))="","",INDEX(SUPPLIERS!$E$4:$E$63,MATCH($E140,SUPPLIERS!$A$4:$A$63,0))),""))</f>
        <v/>
      </c>
      <c r="K140" s="20"/>
      <c r="L140" s="19"/>
      <c r="M140" s="23" t="str">
        <f aca="false">IF(COUNT($F140:$J140)&lt;5,"",ROUND($F140*W_SRC+$G140*W_QC+$H140*W_CAP+$I140*W_SUP+$J140*W_EXT,1))</f>
        <v/>
      </c>
      <c r="N140" s="24" t="str">
        <f aca="false">IF(OR($M140="",$K140=""),"",ROUND($M140*$K140,1))</f>
        <v/>
      </c>
      <c r="O140" s="25" t="str">
        <f aca="false">IF($E140="","",IF($L140&lt;&gt;"","CRITICAL (FLAG)",IF(OR($M140="",$K140=""),"NOT SCORED",IF($N140&gt;=T_CRIT,"CRITICAL",IF($N140&gt;=T_MON,"MONITOR","LOW")))))</f>
        <v/>
      </c>
      <c r="P140" s="12" t="str">
        <f aca="false">IF($M140="","",INDEX(DriverNames,MATCH(MAX($F140:$J140),$F140:$J140,0)))</f>
        <v/>
      </c>
      <c r="Q140" s="21"/>
      <c r="R140" s="26"/>
      <c r="S140" s="2" t="str">
        <f aca="false">IF($O140="","",IF($L140&lt;&gt;"",100,0)+IF($N140="",0,$N140)+ROW()/100000)</f>
        <v/>
      </c>
      <c r="T140" s="2" t="str">
        <f aca="false">IF($S140="","",IF($A140=SEL_MODEL,$S140,""))</f>
        <v/>
      </c>
    </row>
    <row r="141" customFormat="false" ht="15" hidden="false" customHeight="false" outlineLevel="0" collapsed="false">
      <c r="A141" s="19"/>
      <c r="B141" s="20"/>
      <c r="C141" s="21"/>
      <c r="D141" s="20"/>
      <c r="E141" s="19"/>
      <c r="F141" s="20"/>
      <c r="G141" s="20"/>
      <c r="H141" s="20"/>
      <c r="I141" s="22" t="str">
        <f aca="false">IF($E141="","",IFERROR(IF(INDEX(SUPPLIERS!$D$4:$D$63,MATCH($E141,SUPPLIERS!$A$4:$A$63,0))="","",INDEX(SUPPLIERS!$D$4:$D$63,MATCH($E141,SUPPLIERS!$A$4:$A$63,0))),""))</f>
        <v/>
      </c>
      <c r="J141" s="22" t="str">
        <f aca="false">IF($E141="","",IFERROR(IF(INDEX(SUPPLIERS!$E$4:$E$63,MATCH($E141,SUPPLIERS!$A$4:$A$63,0))="","",INDEX(SUPPLIERS!$E$4:$E$63,MATCH($E141,SUPPLIERS!$A$4:$A$63,0))),""))</f>
        <v/>
      </c>
      <c r="K141" s="20"/>
      <c r="L141" s="19"/>
      <c r="M141" s="23" t="str">
        <f aca="false">IF(COUNT($F141:$J141)&lt;5,"",ROUND($F141*W_SRC+$G141*W_QC+$H141*W_CAP+$I141*W_SUP+$J141*W_EXT,1))</f>
        <v/>
      </c>
      <c r="N141" s="24" t="str">
        <f aca="false">IF(OR($M141="",$K141=""),"",ROUND($M141*$K141,1))</f>
        <v/>
      </c>
      <c r="O141" s="25" t="str">
        <f aca="false">IF($E141="","",IF($L141&lt;&gt;"","CRITICAL (FLAG)",IF(OR($M141="",$K141=""),"NOT SCORED",IF($N141&gt;=T_CRIT,"CRITICAL",IF($N141&gt;=T_MON,"MONITOR","LOW")))))</f>
        <v/>
      </c>
      <c r="P141" s="12" t="str">
        <f aca="false">IF($M141="","",INDEX(DriverNames,MATCH(MAX($F141:$J141),$F141:$J141,0)))</f>
        <v/>
      </c>
      <c r="Q141" s="21"/>
      <c r="R141" s="26"/>
      <c r="S141" s="2" t="str">
        <f aca="false">IF($O141="","",IF($L141&lt;&gt;"",100,0)+IF($N141="",0,$N141)+ROW()/100000)</f>
        <v/>
      </c>
      <c r="T141" s="2" t="str">
        <f aca="false">IF($S141="","",IF($A141=SEL_MODEL,$S141,""))</f>
        <v/>
      </c>
    </row>
    <row r="142" customFormat="false" ht="15" hidden="false" customHeight="false" outlineLevel="0" collapsed="false">
      <c r="A142" s="19"/>
      <c r="B142" s="20"/>
      <c r="C142" s="21"/>
      <c r="D142" s="20"/>
      <c r="E142" s="19"/>
      <c r="F142" s="20"/>
      <c r="G142" s="20"/>
      <c r="H142" s="20"/>
      <c r="I142" s="22" t="str">
        <f aca="false">IF($E142="","",IFERROR(IF(INDEX(SUPPLIERS!$D$4:$D$63,MATCH($E142,SUPPLIERS!$A$4:$A$63,0))="","",INDEX(SUPPLIERS!$D$4:$D$63,MATCH($E142,SUPPLIERS!$A$4:$A$63,0))),""))</f>
        <v/>
      </c>
      <c r="J142" s="22" t="str">
        <f aca="false">IF($E142="","",IFERROR(IF(INDEX(SUPPLIERS!$E$4:$E$63,MATCH($E142,SUPPLIERS!$A$4:$A$63,0))="","",INDEX(SUPPLIERS!$E$4:$E$63,MATCH($E142,SUPPLIERS!$A$4:$A$63,0))),""))</f>
        <v/>
      </c>
      <c r="K142" s="20"/>
      <c r="L142" s="19"/>
      <c r="M142" s="23" t="str">
        <f aca="false">IF(COUNT($F142:$J142)&lt;5,"",ROUND($F142*W_SRC+$G142*W_QC+$H142*W_CAP+$I142*W_SUP+$J142*W_EXT,1))</f>
        <v/>
      </c>
      <c r="N142" s="24" t="str">
        <f aca="false">IF(OR($M142="",$K142=""),"",ROUND($M142*$K142,1))</f>
        <v/>
      </c>
      <c r="O142" s="25" t="str">
        <f aca="false">IF($E142="","",IF($L142&lt;&gt;"","CRITICAL (FLAG)",IF(OR($M142="",$K142=""),"NOT SCORED",IF($N142&gt;=T_CRIT,"CRITICAL",IF($N142&gt;=T_MON,"MONITOR","LOW")))))</f>
        <v/>
      </c>
      <c r="P142" s="12" t="str">
        <f aca="false">IF($M142="","",INDEX(DriverNames,MATCH(MAX($F142:$J142),$F142:$J142,0)))</f>
        <v/>
      </c>
      <c r="Q142" s="21"/>
      <c r="R142" s="26"/>
      <c r="S142" s="2" t="str">
        <f aca="false">IF($O142="","",IF($L142&lt;&gt;"",100,0)+IF($N142="",0,$N142)+ROW()/100000)</f>
        <v/>
      </c>
      <c r="T142" s="2" t="str">
        <f aca="false">IF($S142="","",IF($A142=SEL_MODEL,$S142,""))</f>
        <v/>
      </c>
    </row>
    <row r="143" customFormat="false" ht="15" hidden="false" customHeight="false" outlineLevel="0" collapsed="false">
      <c r="A143" s="19"/>
      <c r="B143" s="20"/>
      <c r="C143" s="21"/>
      <c r="D143" s="20"/>
      <c r="E143" s="19"/>
      <c r="F143" s="20"/>
      <c r="G143" s="20"/>
      <c r="H143" s="20"/>
      <c r="I143" s="22" t="str">
        <f aca="false">IF($E143="","",IFERROR(IF(INDEX(SUPPLIERS!$D$4:$D$63,MATCH($E143,SUPPLIERS!$A$4:$A$63,0))="","",INDEX(SUPPLIERS!$D$4:$D$63,MATCH($E143,SUPPLIERS!$A$4:$A$63,0))),""))</f>
        <v/>
      </c>
      <c r="J143" s="22" t="str">
        <f aca="false">IF($E143="","",IFERROR(IF(INDEX(SUPPLIERS!$E$4:$E$63,MATCH($E143,SUPPLIERS!$A$4:$A$63,0))="","",INDEX(SUPPLIERS!$E$4:$E$63,MATCH($E143,SUPPLIERS!$A$4:$A$63,0))),""))</f>
        <v/>
      </c>
      <c r="K143" s="20"/>
      <c r="L143" s="19"/>
      <c r="M143" s="23" t="str">
        <f aca="false">IF(COUNT($F143:$J143)&lt;5,"",ROUND($F143*W_SRC+$G143*W_QC+$H143*W_CAP+$I143*W_SUP+$J143*W_EXT,1))</f>
        <v/>
      </c>
      <c r="N143" s="24" t="str">
        <f aca="false">IF(OR($M143="",$K143=""),"",ROUND($M143*$K143,1))</f>
        <v/>
      </c>
      <c r="O143" s="25" t="str">
        <f aca="false">IF($E143="","",IF($L143&lt;&gt;"","CRITICAL (FLAG)",IF(OR($M143="",$K143=""),"NOT SCORED",IF($N143&gt;=T_CRIT,"CRITICAL",IF($N143&gt;=T_MON,"MONITOR","LOW")))))</f>
        <v/>
      </c>
      <c r="P143" s="12" t="str">
        <f aca="false">IF($M143="","",INDEX(DriverNames,MATCH(MAX($F143:$J143),$F143:$J143,0)))</f>
        <v/>
      </c>
      <c r="Q143" s="21"/>
      <c r="R143" s="26"/>
      <c r="S143" s="2" t="str">
        <f aca="false">IF($O143="","",IF($L143&lt;&gt;"",100,0)+IF($N143="",0,$N143)+ROW()/100000)</f>
        <v/>
      </c>
      <c r="T143" s="2" t="str">
        <f aca="false">IF($S143="","",IF($A143=SEL_MODEL,$S143,""))</f>
        <v/>
      </c>
    </row>
    <row r="144" customFormat="false" ht="15" hidden="false" customHeight="false" outlineLevel="0" collapsed="false">
      <c r="A144" s="19"/>
      <c r="B144" s="20"/>
      <c r="C144" s="21"/>
      <c r="D144" s="20"/>
      <c r="E144" s="19"/>
      <c r="F144" s="20"/>
      <c r="G144" s="20"/>
      <c r="H144" s="20"/>
      <c r="I144" s="22" t="str">
        <f aca="false">IF($E144="","",IFERROR(IF(INDEX(SUPPLIERS!$D$4:$D$63,MATCH($E144,SUPPLIERS!$A$4:$A$63,0))="","",INDEX(SUPPLIERS!$D$4:$D$63,MATCH($E144,SUPPLIERS!$A$4:$A$63,0))),""))</f>
        <v/>
      </c>
      <c r="J144" s="22" t="str">
        <f aca="false">IF($E144="","",IFERROR(IF(INDEX(SUPPLIERS!$E$4:$E$63,MATCH($E144,SUPPLIERS!$A$4:$A$63,0))="","",INDEX(SUPPLIERS!$E$4:$E$63,MATCH($E144,SUPPLIERS!$A$4:$A$63,0))),""))</f>
        <v/>
      </c>
      <c r="K144" s="20"/>
      <c r="L144" s="19"/>
      <c r="M144" s="23" t="str">
        <f aca="false">IF(COUNT($F144:$J144)&lt;5,"",ROUND($F144*W_SRC+$G144*W_QC+$H144*W_CAP+$I144*W_SUP+$J144*W_EXT,1))</f>
        <v/>
      </c>
      <c r="N144" s="24" t="str">
        <f aca="false">IF(OR($M144="",$K144=""),"",ROUND($M144*$K144,1))</f>
        <v/>
      </c>
      <c r="O144" s="25" t="str">
        <f aca="false">IF($E144="","",IF($L144&lt;&gt;"","CRITICAL (FLAG)",IF(OR($M144="",$K144=""),"NOT SCORED",IF($N144&gt;=T_CRIT,"CRITICAL",IF($N144&gt;=T_MON,"MONITOR","LOW")))))</f>
        <v/>
      </c>
      <c r="P144" s="12" t="str">
        <f aca="false">IF($M144="","",INDEX(DriverNames,MATCH(MAX($F144:$J144),$F144:$J144,0)))</f>
        <v/>
      </c>
      <c r="Q144" s="21"/>
      <c r="R144" s="26"/>
      <c r="S144" s="2" t="str">
        <f aca="false">IF($O144="","",IF($L144&lt;&gt;"",100,0)+IF($N144="",0,$N144)+ROW()/100000)</f>
        <v/>
      </c>
      <c r="T144" s="2" t="str">
        <f aca="false">IF($S144="","",IF($A144=SEL_MODEL,$S144,""))</f>
        <v/>
      </c>
    </row>
    <row r="145" customFormat="false" ht="15" hidden="false" customHeight="false" outlineLevel="0" collapsed="false">
      <c r="A145" s="19"/>
      <c r="B145" s="20"/>
      <c r="C145" s="21"/>
      <c r="D145" s="20"/>
      <c r="E145" s="19"/>
      <c r="F145" s="20"/>
      <c r="G145" s="20"/>
      <c r="H145" s="20"/>
      <c r="I145" s="22" t="str">
        <f aca="false">IF($E145="","",IFERROR(IF(INDEX(SUPPLIERS!$D$4:$D$63,MATCH($E145,SUPPLIERS!$A$4:$A$63,0))="","",INDEX(SUPPLIERS!$D$4:$D$63,MATCH($E145,SUPPLIERS!$A$4:$A$63,0))),""))</f>
        <v/>
      </c>
      <c r="J145" s="22" t="str">
        <f aca="false">IF($E145="","",IFERROR(IF(INDEX(SUPPLIERS!$E$4:$E$63,MATCH($E145,SUPPLIERS!$A$4:$A$63,0))="","",INDEX(SUPPLIERS!$E$4:$E$63,MATCH($E145,SUPPLIERS!$A$4:$A$63,0))),""))</f>
        <v/>
      </c>
      <c r="K145" s="20"/>
      <c r="L145" s="19"/>
      <c r="M145" s="23" t="str">
        <f aca="false">IF(COUNT($F145:$J145)&lt;5,"",ROUND($F145*W_SRC+$G145*W_QC+$H145*W_CAP+$I145*W_SUP+$J145*W_EXT,1))</f>
        <v/>
      </c>
      <c r="N145" s="24" t="str">
        <f aca="false">IF(OR($M145="",$K145=""),"",ROUND($M145*$K145,1))</f>
        <v/>
      </c>
      <c r="O145" s="25" t="str">
        <f aca="false">IF($E145="","",IF($L145&lt;&gt;"","CRITICAL (FLAG)",IF(OR($M145="",$K145=""),"NOT SCORED",IF($N145&gt;=T_CRIT,"CRITICAL",IF($N145&gt;=T_MON,"MONITOR","LOW")))))</f>
        <v/>
      </c>
      <c r="P145" s="12" t="str">
        <f aca="false">IF($M145="","",INDEX(DriverNames,MATCH(MAX($F145:$J145),$F145:$J145,0)))</f>
        <v/>
      </c>
      <c r="Q145" s="21"/>
      <c r="R145" s="26"/>
      <c r="S145" s="2" t="str">
        <f aca="false">IF($O145="","",IF($L145&lt;&gt;"",100,0)+IF($N145="",0,$N145)+ROW()/100000)</f>
        <v/>
      </c>
      <c r="T145" s="2" t="str">
        <f aca="false">IF($S145="","",IF($A145=SEL_MODEL,$S145,""))</f>
        <v/>
      </c>
    </row>
    <row r="146" customFormat="false" ht="15" hidden="false" customHeight="false" outlineLevel="0" collapsed="false">
      <c r="A146" s="19"/>
      <c r="B146" s="20"/>
      <c r="C146" s="21"/>
      <c r="D146" s="20"/>
      <c r="E146" s="19"/>
      <c r="F146" s="20"/>
      <c r="G146" s="20"/>
      <c r="H146" s="20"/>
      <c r="I146" s="22" t="str">
        <f aca="false">IF($E146="","",IFERROR(IF(INDEX(SUPPLIERS!$D$4:$D$63,MATCH($E146,SUPPLIERS!$A$4:$A$63,0))="","",INDEX(SUPPLIERS!$D$4:$D$63,MATCH($E146,SUPPLIERS!$A$4:$A$63,0))),""))</f>
        <v/>
      </c>
      <c r="J146" s="22" t="str">
        <f aca="false">IF($E146="","",IFERROR(IF(INDEX(SUPPLIERS!$E$4:$E$63,MATCH($E146,SUPPLIERS!$A$4:$A$63,0))="","",INDEX(SUPPLIERS!$E$4:$E$63,MATCH($E146,SUPPLIERS!$A$4:$A$63,0))),""))</f>
        <v/>
      </c>
      <c r="K146" s="20"/>
      <c r="L146" s="19"/>
      <c r="M146" s="23" t="str">
        <f aca="false">IF(COUNT($F146:$J146)&lt;5,"",ROUND($F146*W_SRC+$G146*W_QC+$H146*W_CAP+$I146*W_SUP+$J146*W_EXT,1))</f>
        <v/>
      </c>
      <c r="N146" s="24" t="str">
        <f aca="false">IF(OR($M146="",$K146=""),"",ROUND($M146*$K146,1))</f>
        <v/>
      </c>
      <c r="O146" s="25" t="str">
        <f aca="false">IF($E146="","",IF($L146&lt;&gt;"","CRITICAL (FLAG)",IF(OR($M146="",$K146=""),"NOT SCORED",IF($N146&gt;=T_CRIT,"CRITICAL",IF($N146&gt;=T_MON,"MONITOR","LOW")))))</f>
        <v/>
      </c>
      <c r="P146" s="12" t="str">
        <f aca="false">IF($M146="","",INDEX(DriverNames,MATCH(MAX($F146:$J146),$F146:$J146,0)))</f>
        <v/>
      </c>
      <c r="Q146" s="21"/>
      <c r="R146" s="26"/>
      <c r="S146" s="2" t="str">
        <f aca="false">IF($O146="","",IF($L146&lt;&gt;"",100,0)+IF($N146="",0,$N146)+ROW()/100000)</f>
        <v/>
      </c>
      <c r="T146" s="2" t="str">
        <f aca="false">IF($S146="","",IF($A146=SEL_MODEL,$S146,""))</f>
        <v/>
      </c>
    </row>
    <row r="147" customFormat="false" ht="15" hidden="false" customHeight="false" outlineLevel="0" collapsed="false">
      <c r="A147" s="19"/>
      <c r="B147" s="20"/>
      <c r="C147" s="21"/>
      <c r="D147" s="20"/>
      <c r="E147" s="19"/>
      <c r="F147" s="20"/>
      <c r="G147" s="20"/>
      <c r="H147" s="20"/>
      <c r="I147" s="22" t="str">
        <f aca="false">IF($E147="","",IFERROR(IF(INDEX(SUPPLIERS!$D$4:$D$63,MATCH($E147,SUPPLIERS!$A$4:$A$63,0))="","",INDEX(SUPPLIERS!$D$4:$D$63,MATCH($E147,SUPPLIERS!$A$4:$A$63,0))),""))</f>
        <v/>
      </c>
      <c r="J147" s="22" t="str">
        <f aca="false">IF($E147="","",IFERROR(IF(INDEX(SUPPLIERS!$E$4:$E$63,MATCH($E147,SUPPLIERS!$A$4:$A$63,0))="","",INDEX(SUPPLIERS!$E$4:$E$63,MATCH($E147,SUPPLIERS!$A$4:$A$63,0))),""))</f>
        <v/>
      </c>
      <c r="K147" s="20"/>
      <c r="L147" s="19"/>
      <c r="M147" s="23" t="str">
        <f aca="false">IF(COUNT($F147:$J147)&lt;5,"",ROUND($F147*W_SRC+$G147*W_QC+$H147*W_CAP+$I147*W_SUP+$J147*W_EXT,1))</f>
        <v/>
      </c>
      <c r="N147" s="24" t="str">
        <f aca="false">IF(OR($M147="",$K147=""),"",ROUND($M147*$K147,1))</f>
        <v/>
      </c>
      <c r="O147" s="25" t="str">
        <f aca="false">IF($E147="","",IF($L147&lt;&gt;"","CRITICAL (FLAG)",IF(OR($M147="",$K147=""),"NOT SCORED",IF($N147&gt;=T_CRIT,"CRITICAL",IF($N147&gt;=T_MON,"MONITOR","LOW")))))</f>
        <v/>
      </c>
      <c r="P147" s="12" t="str">
        <f aca="false">IF($M147="","",INDEX(DriverNames,MATCH(MAX($F147:$J147),$F147:$J147,0)))</f>
        <v/>
      </c>
      <c r="Q147" s="21"/>
      <c r="R147" s="26"/>
      <c r="S147" s="2" t="str">
        <f aca="false">IF($O147="","",IF($L147&lt;&gt;"",100,0)+IF($N147="",0,$N147)+ROW()/100000)</f>
        <v/>
      </c>
      <c r="T147" s="2" t="str">
        <f aca="false">IF($S147="","",IF($A147=SEL_MODEL,$S147,""))</f>
        <v/>
      </c>
    </row>
    <row r="148" customFormat="false" ht="15" hidden="false" customHeight="false" outlineLevel="0" collapsed="false">
      <c r="A148" s="19"/>
      <c r="B148" s="20"/>
      <c r="C148" s="21"/>
      <c r="D148" s="20"/>
      <c r="E148" s="19"/>
      <c r="F148" s="20"/>
      <c r="G148" s="20"/>
      <c r="H148" s="20"/>
      <c r="I148" s="22" t="str">
        <f aca="false">IF($E148="","",IFERROR(IF(INDEX(SUPPLIERS!$D$4:$D$63,MATCH($E148,SUPPLIERS!$A$4:$A$63,0))="","",INDEX(SUPPLIERS!$D$4:$D$63,MATCH($E148,SUPPLIERS!$A$4:$A$63,0))),""))</f>
        <v/>
      </c>
      <c r="J148" s="22" t="str">
        <f aca="false">IF($E148="","",IFERROR(IF(INDEX(SUPPLIERS!$E$4:$E$63,MATCH($E148,SUPPLIERS!$A$4:$A$63,0))="","",INDEX(SUPPLIERS!$E$4:$E$63,MATCH($E148,SUPPLIERS!$A$4:$A$63,0))),""))</f>
        <v/>
      </c>
      <c r="K148" s="20"/>
      <c r="L148" s="19"/>
      <c r="M148" s="23" t="str">
        <f aca="false">IF(COUNT($F148:$J148)&lt;5,"",ROUND($F148*W_SRC+$G148*W_QC+$H148*W_CAP+$I148*W_SUP+$J148*W_EXT,1))</f>
        <v/>
      </c>
      <c r="N148" s="24" t="str">
        <f aca="false">IF(OR($M148="",$K148=""),"",ROUND($M148*$K148,1))</f>
        <v/>
      </c>
      <c r="O148" s="25" t="str">
        <f aca="false">IF($E148="","",IF($L148&lt;&gt;"","CRITICAL (FLAG)",IF(OR($M148="",$K148=""),"NOT SCORED",IF($N148&gt;=T_CRIT,"CRITICAL",IF($N148&gt;=T_MON,"MONITOR","LOW")))))</f>
        <v/>
      </c>
      <c r="P148" s="12" t="str">
        <f aca="false">IF($M148="","",INDEX(DriverNames,MATCH(MAX($F148:$J148),$F148:$J148,0)))</f>
        <v/>
      </c>
      <c r="Q148" s="21"/>
      <c r="R148" s="26"/>
      <c r="S148" s="2" t="str">
        <f aca="false">IF($O148="","",IF($L148&lt;&gt;"",100,0)+IF($N148="",0,$N148)+ROW()/100000)</f>
        <v/>
      </c>
      <c r="T148" s="2" t="str">
        <f aca="false">IF($S148="","",IF($A148=SEL_MODEL,$S148,""))</f>
        <v/>
      </c>
    </row>
    <row r="149" customFormat="false" ht="15" hidden="false" customHeight="false" outlineLevel="0" collapsed="false">
      <c r="A149" s="19"/>
      <c r="B149" s="20"/>
      <c r="C149" s="21"/>
      <c r="D149" s="20"/>
      <c r="E149" s="19"/>
      <c r="F149" s="20"/>
      <c r="G149" s="20"/>
      <c r="H149" s="20"/>
      <c r="I149" s="22" t="str">
        <f aca="false">IF($E149="","",IFERROR(IF(INDEX(SUPPLIERS!$D$4:$D$63,MATCH($E149,SUPPLIERS!$A$4:$A$63,0))="","",INDEX(SUPPLIERS!$D$4:$D$63,MATCH($E149,SUPPLIERS!$A$4:$A$63,0))),""))</f>
        <v/>
      </c>
      <c r="J149" s="22" t="str">
        <f aca="false">IF($E149="","",IFERROR(IF(INDEX(SUPPLIERS!$E$4:$E$63,MATCH($E149,SUPPLIERS!$A$4:$A$63,0))="","",INDEX(SUPPLIERS!$E$4:$E$63,MATCH($E149,SUPPLIERS!$A$4:$A$63,0))),""))</f>
        <v/>
      </c>
      <c r="K149" s="20"/>
      <c r="L149" s="19"/>
      <c r="M149" s="23" t="str">
        <f aca="false">IF(COUNT($F149:$J149)&lt;5,"",ROUND($F149*W_SRC+$G149*W_QC+$H149*W_CAP+$I149*W_SUP+$J149*W_EXT,1))</f>
        <v/>
      </c>
      <c r="N149" s="24" t="str">
        <f aca="false">IF(OR($M149="",$K149=""),"",ROUND($M149*$K149,1))</f>
        <v/>
      </c>
      <c r="O149" s="25" t="str">
        <f aca="false">IF($E149="","",IF($L149&lt;&gt;"","CRITICAL (FLAG)",IF(OR($M149="",$K149=""),"NOT SCORED",IF($N149&gt;=T_CRIT,"CRITICAL",IF($N149&gt;=T_MON,"MONITOR","LOW")))))</f>
        <v/>
      </c>
      <c r="P149" s="12" t="str">
        <f aca="false">IF($M149="","",INDEX(DriverNames,MATCH(MAX($F149:$J149),$F149:$J149,0)))</f>
        <v/>
      </c>
      <c r="Q149" s="21"/>
      <c r="R149" s="26"/>
      <c r="S149" s="2" t="str">
        <f aca="false">IF($O149="","",IF($L149&lt;&gt;"",100,0)+IF($N149="",0,$N149)+ROW()/100000)</f>
        <v/>
      </c>
      <c r="T149" s="2" t="str">
        <f aca="false">IF($S149="","",IF($A149=SEL_MODEL,$S149,""))</f>
        <v/>
      </c>
    </row>
    <row r="150" customFormat="false" ht="15" hidden="false" customHeight="false" outlineLevel="0" collapsed="false">
      <c r="A150" s="19"/>
      <c r="B150" s="20"/>
      <c r="C150" s="21"/>
      <c r="D150" s="20"/>
      <c r="E150" s="19"/>
      <c r="F150" s="20"/>
      <c r="G150" s="20"/>
      <c r="H150" s="20"/>
      <c r="I150" s="22" t="str">
        <f aca="false">IF($E150="","",IFERROR(IF(INDEX(SUPPLIERS!$D$4:$D$63,MATCH($E150,SUPPLIERS!$A$4:$A$63,0))="","",INDEX(SUPPLIERS!$D$4:$D$63,MATCH($E150,SUPPLIERS!$A$4:$A$63,0))),""))</f>
        <v/>
      </c>
      <c r="J150" s="22" t="str">
        <f aca="false">IF($E150="","",IFERROR(IF(INDEX(SUPPLIERS!$E$4:$E$63,MATCH($E150,SUPPLIERS!$A$4:$A$63,0))="","",INDEX(SUPPLIERS!$E$4:$E$63,MATCH($E150,SUPPLIERS!$A$4:$A$63,0))),""))</f>
        <v/>
      </c>
      <c r="K150" s="20"/>
      <c r="L150" s="19"/>
      <c r="M150" s="23" t="str">
        <f aca="false">IF(COUNT($F150:$J150)&lt;5,"",ROUND($F150*W_SRC+$G150*W_QC+$H150*W_CAP+$I150*W_SUP+$J150*W_EXT,1))</f>
        <v/>
      </c>
      <c r="N150" s="24" t="str">
        <f aca="false">IF(OR($M150="",$K150=""),"",ROUND($M150*$K150,1))</f>
        <v/>
      </c>
      <c r="O150" s="25" t="str">
        <f aca="false">IF($E150="","",IF($L150&lt;&gt;"","CRITICAL (FLAG)",IF(OR($M150="",$K150=""),"NOT SCORED",IF($N150&gt;=T_CRIT,"CRITICAL",IF($N150&gt;=T_MON,"MONITOR","LOW")))))</f>
        <v/>
      </c>
      <c r="P150" s="12" t="str">
        <f aca="false">IF($M150="","",INDEX(DriverNames,MATCH(MAX($F150:$J150),$F150:$J150,0)))</f>
        <v/>
      </c>
      <c r="Q150" s="21"/>
      <c r="R150" s="26"/>
      <c r="S150" s="2" t="str">
        <f aca="false">IF($O150="","",IF($L150&lt;&gt;"",100,0)+IF($N150="",0,$N150)+ROW()/100000)</f>
        <v/>
      </c>
      <c r="T150" s="2" t="str">
        <f aca="false">IF($S150="","",IF($A150=SEL_MODEL,$S150,""))</f>
        <v/>
      </c>
    </row>
    <row r="151" customFormat="false" ht="15" hidden="false" customHeight="false" outlineLevel="0" collapsed="false">
      <c r="A151" s="19"/>
      <c r="B151" s="20"/>
      <c r="C151" s="21"/>
      <c r="D151" s="20"/>
      <c r="E151" s="19"/>
      <c r="F151" s="20"/>
      <c r="G151" s="20"/>
      <c r="H151" s="20"/>
      <c r="I151" s="22" t="str">
        <f aca="false">IF($E151="","",IFERROR(IF(INDEX(SUPPLIERS!$D$4:$D$63,MATCH($E151,SUPPLIERS!$A$4:$A$63,0))="","",INDEX(SUPPLIERS!$D$4:$D$63,MATCH($E151,SUPPLIERS!$A$4:$A$63,0))),""))</f>
        <v/>
      </c>
      <c r="J151" s="22" t="str">
        <f aca="false">IF($E151="","",IFERROR(IF(INDEX(SUPPLIERS!$E$4:$E$63,MATCH($E151,SUPPLIERS!$A$4:$A$63,0))="","",INDEX(SUPPLIERS!$E$4:$E$63,MATCH($E151,SUPPLIERS!$A$4:$A$63,0))),""))</f>
        <v/>
      </c>
      <c r="K151" s="20"/>
      <c r="L151" s="19"/>
      <c r="M151" s="23" t="str">
        <f aca="false">IF(COUNT($F151:$J151)&lt;5,"",ROUND($F151*W_SRC+$G151*W_QC+$H151*W_CAP+$I151*W_SUP+$J151*W_EXT,1))</f>
        <v/>
      </c>
      <c r="N151" s="24" t="str">
        <f aca="false">IF(OR($M151="",$K151=""),"",ROUND($M151*$K151,1))</f>
        <v/>
      </c>
      <c r="O151" s="25" t="str">
        <f aca="false">IF($E151="","",IF($L151&lt;&gt;"","CRITICAL (FLAG)",IF(OR($M151="",$K151=""),"NOT SCORED",IF($N151&gt;=T_CRIT,"CRITICAL",IF($N151&gt;=T_MON,"MONITOR","LOW")))))</f>
        <v/>
      </c>
      <c r="P151" s="12" t="str">
        <f aca="false">IF($M151="","",INDEX(DriverNames,MATCH(MAX($F151:$J151),$F151:$J151,0)))</f>
        <v/>
      </c>
      <c r="Q151" s="21"/>
      <c r="R151" s="26"/>
      <c r="S151" s="2" t="str">
        <f aca="false">IF($O151="","",IF($L151&lt;&gt;"",100,0)+IF($N151="",0,$N151)+ROW()/100000)</f>
        <v/>
      </c>
      <c r="T151" s="2" t="str">
        <f aca="false">IF($S151="","",IF($A151=SEL_MODEL,$S151,""))</f>
        <v/>
      </c>
    </row>
    <row r="152" customFormat="false" ht="15" hidden="false" customHeight="false" outlineLevel="0" collapsed="false">
      <c r="A152" s="19"/>
      <c r="B152" s="20"/>
      <c r="C152" s="21"/>
      <c r="D152" s="20"/>
      <c r="E152" s="19"/>
      <c r="F152" s="20"/>
      <c r="G152" s="20"/>
      <c r="H152" s="20"/>
      <c r="I152" s="22" t="str">
        <f aca="false">IF($E152="","",IFERROR(IF(INDEX(SUPPLIERS!$D$4:$D$63,MATCH($E152,SUPPLIERS!$A$4:$A$63,0))="","",INDEX(SUPPLIERS!$D$4:$D$63,MATCH($E152,SUPPLIERS!$A$4:$A$63,0))),""))</f>
        <v/>
      </c>
      <c r="J152" s="22" t="str">
        <f aca="false">IF($E152="","",IFERROR(IF(INDEX(SUPPLIERS!$E$4:$E$63,MATCH($E152,SUPPLIERS!$A$4:$A$63,0))="","",INDEX(SUPPLIERS!$E$4:$E$63,MATCH($E152,SUPPLIERS!$A$4:$A$63,0))),""))</f>
        <v/>
      </c>
      <c r="K152" s="20"/>
      <c r="L152" s="19"/>
      <c r="M152" s="23" t="str">
        <f aca="false">IF(COUNT($F152:$J152)&lt;5,"",ROUND($F152*W_SRC+$G152*W_QC+$H152*W_CAP+$I152*W_SUP+$J152*W_EXT,1))</f>
        <v/>
      </c>
      <c r="N152" s="24" t="str">
        <f aca="false">IF(OR($M152="",$K152=""),"",ROUND($M152*$K152,1))</f>
        <v/>
      </c>
      <c r="O152" s="25" t="str">
        <f aca="false">IF($E152="","",IF($L152&lt;&gt;"","CRITICAL (FLAG)",IF(OR($M152="",$K152=""),"NOT SCORED",IF($N152&gt;=T_CRIT,"CRITICAL",IF($N152&gt;=T_MON,"MONITOR","LOW")))))</f>
        <v/>
      </c>
      <c r="P152" s="12" t="str">
        <f aca="false">IF($M152="","",INDEX(DriverNames,MATCH(MAX($F152:$J152),$F152:$J152,0)))</f>
        <v/>
      </c>
      <c r="Q152" s="21"/>
      <c r="R152" s="26"/>
      <c r="S152" s="2" t="str">
        <f aca="false">IF($O152="","",IF($L152&lt;&gt;"",100,0)+IF($N152="",0,$N152)+ROW()/100000)</f>
        <v/>
      </c>
      <c r="T152" s="2" t="str">
        <f aca="false">IF($S152="","",IF($A152=SEL_MODEL,$S152,""))</f>
        <v/>
      </c>
    </row>
    <row r="153" customFormat="false" ht="15" hidden="false" customHeight="false" outlineLevel="0" collapsed="false">
      <c r="A153" s="19"/>
      <c r="B153" s="20"/>
      <c r="C153" s="21"/>
      <c r="D153" s="20"/>
      <c r="E153" s="19"/>
      <c r="F153" s="20"/>
      <c r="G153" s="20"/>
      <c r="H153" s="20"/>
      <c r="I153" s="22" t="str">
        <f aca="false">IF($E153="","",IFERROR(IF(INDEX(SUPPLIERS!$D$4:$D$63,MATCH($E153,SUPPLIERS!$A$4:$A$63,0))="","",INDEX(SUPPLIERS!$D$4:$D$63,MATCH($E153,SUPPLIERS!$A$4:$A$63,0))),""))</f>
        <v/>
      </c>
      <c r="J153" s="22" t="str">
        <f aca="false">IF($E153="","",IFERROR(IF(INDEX(SUPPLIERS!$E$4:$E$63,MATCH($E153,SUPPLIERS!$A$4:$A$63,0))="","",INDEX(SUPPLIERS!$E$4:$E$63,MATCH($E153,SUPPLIERS!$A$4:$A$63,0))),""))</f>
        <v/>
      </c>
      <c r="K153" s="20"/>
      <c r="L153" s="19"/>
      <c r="M153" s="23" t="str">
        <f aca="false">IF(COUNT($F153:$J153)&lt;5,"",ROUND($F153*W_SRC+$G153*W_QC+$H153*W_CAP+$I153*W_SUP+$J153*W_EXT,1))</f>
        <v/>
      </c>
      <c r="N153" s="24" t="str">
        <f aca="false">IF(OR($M153="",$K153=""),"",ROUND($M153*$K153,1))</f>
        <v/>
      </c>
      <c r="O153" s="25" t="str">
        <f aca="false">IF($E153="","",IF($L153&lt;&gt;"","CRITICAL (FLAG)",IF(OR($M153="",$K153=""),"NOT SCORED",IF($N153&gt;=T_CRIT,"CRITICAL",IF($N153&gt;=T_MON,"MONITOR","LOW")))))</f>
        <v/>
      </c>
      <c r="P153" s="12" t="str">
        <f aca="false">IF($M153="","",INDEX(DriverNames,MATCH(MAX($F153:$J153),$F153:$J153,0)))</f>
        <v/>
      </c>
      <c r="Q153" s="21"/>
      <c r="R153" s="26"/>
      <c r="S153" s="2" t="str">
        <f aca="false">IF($O153="","",IF($L153&lt;&gt;"",100,0)+IF($N153="",0,$N153)+ROW()/100000)</f>
        <v/>
      </c>
      <c r="T153" s="2" t="str">
        <f aca="false">IF($S153="","",IF($A153=SEL_MODEL,$S153,""))</f>
        <v/>
      </c>
    </row>
    <row r="154" customFormat="false" ht="15" hidden="false" customHeight="false" outlineLevel="0" collapsed="false">
      <c r="A154" s="19"/>
      <c r="B154" s="20"/>
      <c r="C154" s="21"/>
      <c r="D154" s="20"/>
      <c r="E154" s="19"/>
      <c r="F154" s="20"/>
      <c r="G154" s="20"/>
      <c r="H154" s="20"/>
      <c r="I154" s="22" t="str">
        <f aca="false">IF($E154="","",IFERROR(IF(INDEX(SUPPLIERS!$D$4:$D$63,MATCH($E154,SUPPLIERS!$A$4:$A$63,0))="","",INDEX(SUPPLIERS!$D$4:$D$63,MATCH($E154,SUPPLIERS!$A$4:$A$63,0))),""))</f>
        <v/>
      </c>
      <c r="J154" s="22" t="str">
        <f aca="false">IF($E154="","",IFERROR(IF(INDEX(SUPPLIERS!$E$4:$E$63,MATCH($E154,SUPPLIERS!$A$4:$A$63,0))="","",INDEX(SUPPLIERS!$E$4:$E$63,MATCH($E154,SUPPLIERS!$A$4:$A$63,0))),""))</f>
        <v/>
      </c>
      <c r="K154" s="20"/>
      <c r="L154" s="19"/>
      <c r="M154" s="23" t="str">
        <f aca="false">IF(COUNT($F154:$J154)&lt;5,"",ROUND($F154*W_SRC+$G154*W_QC+$H154*W_CAP+$I154*W_SUP+$J154*W_EXT,1))</f>
        <v/>
      </c>
      <c r="N154" s="24" t="str">
        <f aca="false">IF(OR($M154="",$K154=""),"",ROUND($M154*$K154,1))</f>
        <v/>
      </c>
      <c r="O154" s="25" t="str">
        <f aca="false">IF($E154="","",IF($L154&lt;&gt;"","CRITICAL (FLAG)",IF(OR($M154="",$K154=""),"NOT SCORED",IF($N154&gt;=T_CRIT,"CRITICAL",IF($N154&gt;=T_MON,"MONITOR","LOW")))))</f>
        <v/>
      </c>
      <c r="P154" s="12" t="str">
        <f aca="false">IF($M154="","",INDEX(DriverNames,MATCH(MAX($F154:$J154),$F154:$J154,0)))</f>
        <v/>
      </c>
      <c r="Q154" s="21"/>
      <c r="R154" s="26"/>
      <c r="S154" s="2" t="str">
        <f aca="false">IF($O154="","",IF($L154&lt;&gt;"",100,0)+IF($N154="",0,$N154)+ROW()/100000)</f>
        <v/>
      </c>
      <c r="T154" s="2" t="str">
        <f aca="false">IF($S154="","",IF($A154=SEL_MODEL,$S154,""))</f>
        <v/>
      </c>
    </row>
    <row r="155" customFormat="false" ht="15" hidden="false" customHeight="false" outlineLevel="0" collapsed="false">
      <c r="A155" s="19"/>
      <c r="B155" s="20"/>
      <c r="C155" s="21"/>
      <c r="D155" s="20"/>
      <c r="E155" s="19"/>
      <c r="F155" s="20"/>
      <c r="G155" s="20"/>
      <c r="H155" s="20"/>
      <c r="I155" s="22" t="str">
        <f aca="false">IF($E155="","",IFERROR(IF(INDEX(SUPPLIERS!$D$4:$D$63,MATCH($E155,SUPPLIERS!$A$4:$A$63,0))="","",INDEX(SUPPLIERS!$D$4:$D$63,MATCH($E155,SUPPLIERS!$A$4:$A$63,0))),""))</f>
        <v/>
      </c>
      <c r="J155" s="22" t="str">
        <f aca="false">IF($E155="","",IFERROR(IF(INDEX(SUPPLIERS!$E$4:$E$63,MATCH($E155,SUPPLIERS!$A$4:$A$63,0))="","",INDEX(SUPPLIERS!$E$4:$E$63,MATCH($E155,SUPPLIERS!$A$4:$A$63,0))),""))</f>
        <v/>
      </c>
      <c r="K155" s="20"/>
      <c r="L155" s="19"/>
      <c r="M155" s="23" t="str">
        <f aca="false">IF(COUNT($F155:$J155)&lt;5,"",ROUND($F155*W_SRC+$G155*W_QC+$H155*W_CAP+$I155*W_SUP+$J155*W_EXT,1))</f>
        <v/>
      </c>
      <c r="N155" s="24" t="str">
        <f aca="false">IF(OR($M155="",$K155=""),"",ROUND($M155*$K155,1))</f>
        <v/>
      </c>
      <c r="O155" s="25" t="str">
        <f aca="false">IF($E155="","",IF($L155&lt;&gt;"","CRITICAL (FLAG)",IF(OR($M155="",$K155=""),"NOT SCORED",IF($N155&gt;=T_CRIT,"CRITICAL",IF($N155&gt;=T_MON,"MONITOR","LOW")))))</f>
        <v/>
      </c>
      <c r="P155" s="12" t="str">
        <f aca="false">IF($M155="","",INDEX(DriverNames,MATCH(MAX($F155:$J155),$F155:$J155,0)))</f>
        <v/>
      </c>
      <c r="Q155" s="21"/>
      <c r="R155" s="26"/>
      <c r="S155" s="2" t="str">
        <f aca="false">IF($O155="","",IF($L155&lt;&gt;"",100,0)+IF($N155="",0,$N155)+ROW()/100000)</f>
        <v/>
      </c>
      <c r="T155" s="2" t="str">
        <f aca="false">IF($S155="","",IF($A155=SEL_MODEL,$S155,""))</f>
        <v/>
      </c>
    </row>
    <row r="156" customFormat="false" ht="15" hidden="false" customHeight="false" outlineLevel="0" collapsed="false">
      <c r="A156" s="19"/>
      <c r="B156" s="20"/>
      <c r="C156" s="21"/>
      <c r="D156" s="20"/>
      <c r="E156" s="19"/>
      <c r="F156" s="20"/>
      <c r="G156" s="20"/>
      <c r="H156" s="20"/>
      <c r="I156" s="22" t="str">
        <f aca="false">IF($E156="","",IFERROR(IF(INDEX(SUPPLIERS!$D$4:$D$63,MATCH($E156,SUPPLIERS!$A$4:$A$63,0))="","",INDEX(SUPPLIERS!$D$4:$D$63,MATCH($E156,SUPPLIERS!$A$4:$A$63,0))),""))</f>
        <v/>
      </c>
      <c r="J156" s="22" t="str">
        <f aca="false">IF($E156="","",IFERROR(IF(INDEX(SUPPLIERS!$E$4:$E$63,MATCH($E156,SUPPLIERS!$A$4:$A$63,0))="","",INDEX(SUPPLIERS!$E$4:$E$63,MATCH($E156,SUPPLIERS!$A$4:$A$63,0))),""))</f>
        <v/>
      </c>
      <c r="K156" s="20"/>
      <c r="L156" s="19"/>
      <c r="M156" s="23" t="str">
        <f aca="false">IF(COUNT($F156:$J156)&lt;5,"",ROUND($F156*W_SRC+$G156*W_QC+$H156*W_CAP+$I156*W_SUP+$J156*W_EXT,1))</f>
        <v/>
      </c>
      <c r="N156" s="24" t="str">
        <f aca="false">IF(OR($M156="",$K156=""),"",ROUND($M156*$K156,1))</f>
        <v/>
      </c>
      <c r="O156" s="25" t="str">
        <f aca="false">IF($E156="","",IF($L156&lt;&gt;"","CRITICAL (FLAG)",IF(OR($M156="",$K156=""),"NOT SCORED",IF($N156&gt;=T_CRIT,"CRITICAL",IF($N156&gt;=T_MON,"MONITOR","LOW")))))</f>
        <v/>
      </c>
      <c r="P156" s="12" t="str">
        <f aca="false">IF($M156="","",INDEX(DriverNames,MATCH(MAX($F156:$J156),$F156:$J156,0)))</f>
        <v/>
      </c>
      <c r="Q156" s="21"/>
      <c r="R156" s="26"/>
      <c r="S156" s="2" t="str">
        <f aca="false">IF($O156="","",IF($L156&lt;&gt;"",100,0)+IF($N156="",0,$N156)+ROW()/100000)</f>
        <v/>
      </c>
      <c r="T156" s="2" t="str">
        <f aca="false">IF($S156="","",IF($A156=SEL_MODEL,$S156,""))</f>
        <v/>
      </c>
    </row>
    <row r="157" customFormat="false" ht="15" hidden="false" customHeight="false" outlineLevel="0" collapsed="false">
      <c r="A157" s="19"/>
      <c r="B157" s="20"/>
      <c r="C157" s="21"/>
      <c r="D157" s="20"/>
      <c r="E157" s="19"/>
      <c r="F157" s="20"/>
      <c r="G157" s="20"/>
      <c r="H157" s="20"/>
      <c r="I157" s="22" t="str">
        <f aca="false">IF($E157="","",IFERROR(IF(INDEX(SUPPLIERS!$D$4:$D$63,MATCH($E157,SUPPLIERS!$A$4:$A$63,0))="","",INDEX(SUPPLIERS!$D$4:$D$63,MATCH($E157,SUPPLIERS!$A$4:$A$63,0))),""))</f>
        <v/>
      </c>
      <c r="J157" s="22" t="str">
        <f aca="false">IF($E157="","",IFERROR(IF(INDEX(SUPPLIERS!$E$4:$E$63,MATCH($E157,SUPPLIERS!$A$4:$A$63,0))="","",INDEX(SUPPLIERS!$E$4:$E$63,MATCH($E157,SUPPLIERS!$A$4:$A$63,0))),""))</f>
        <v/>
      </c>
      <c r="K157" s="20"/>
      <c r="L157" s="19"/>
      <c r="M157" s="23" t="str">
        <f aca="false">IF(COUNT($F157:$J157)&lt;5,"",ROUND($F157*W_SRC+$G157*W_QC+$H157*W_CAP+$I157*W_SUP+$J157*W_EXT,1))</f>
        <v/>
      </c>
      <c r="N157" s="24" t="str">
        <f aca="false">IF(OR($M157="",$K157=""),"",ROUND($M157*$K157,1))</f>
        <v/>
      </c>
      <c r="O157" s="25" t="str">
        <f aca="false">IF($E157="","",IF($L157&lt;&gt;"","CRITICAL (FLAG)",IF(OR($M157="",$K157=""),"NOT SCORED",IF($N157&gt;=T_CRIT,"CRITICAL",IF($N157&gt;=T_MON,"MONITOR","LOW")))))</f>
        <v/>
      </c>
      <c r="P157" s="12" t="str">
        <f aca="false">IF($M157="","",INDEX(DriverNames,MATCH(MAX($F157:$J157),$F157:$J157,0)))</f>
        <v/>
      </c>
      <c r="Q157" s="21"/>
      <c r="R157" s="26"/>
      <c r="S157" s="2" t="str">
        <f aca="false">IF($O157="","",IF($L157&lt;&gt;"",100,0)+IF($N157="",0,$N157)+ROW()/100000)</f>
        <v/>
      </c>
      <c r="T157" s="2" t="str">
        <f aca="false">IF($S157="","",IF($A157=SEL_MODEL,$S157,""))</f>
        <v/>
      </c>
    </row>
    <row r="158" customFormat="false" ht="15" hidden="false" customHeight="false" outlineLevel="0" collapsed="false">
      <c r="A158" s="19"/>
      <c r="B158" s="20"/>
      <c r="C158" s="21"/>
      <c r="D158" s="20"/>
      <c r="E158" s="19"/>
      <c r="F158" s="20"/>
      <c r="G158" s="20"/>
      <c r="H158" s="20"/>
      <c r="I158" s="22" t="str">
        <f aca="false">IF($E158="","",IFERROR(IF(INDEX(SUPPLIERS!$D$4:$D$63,MATCH($E158,SUPPLIERS!$A$4:$A$63,0))="","",INDEX(SUPPLIERS!$D$4:$D$63,MATCH($E158,SUPPLIERS!$A$4:$A$63,0))),""))</f>
        <v/>
      </c>
      <c r="J158" s="22" t="str">
        <f aca="false">IF($E158="","",IFERROR(IF(INDEX(SUPPLIERS!$E$4:$E$63,MATCH($E158,SUPPLIERS!$A$4:$A$63,0))="","",INDEX(SUPPLIERS!$E$4:$E$63,MATCH($E158,SUPPLIERS!$A$4:$A$63,0))),""))</f>
        <v/>
      </c>
      <c r="K158" s="20"/>
      <c r="L158" s="19"/>
      <c r="M158" s="23" t="str">
        <f aca="false">IF(COUNT($F158:$J158)&lt;5,"",ROUND($F158*W_SRC+$G158*W_QC+$H158*W_CAP+$I158*W_SUP+$J158*W_EXT,1))</f>
        <v/>
      </c>
      <c r="N158" s="24" t="str">
        <f aca="false">IF(OR($M158="",$K158=""),"",ROUND($M158*$K158,1))</f>
        <v/>
      </c>
      <c r="O158" s="25" t="str">
        <f aca="false">IF($E158="","",IF($L158&lt;&gt;"","CRITICAL (FLAG)",IF(OR($M158="",$K158=""),"NOT SCORED",IF($N158&gt;=T_CRIT,"CRITICAL",IF($N158&gt;=T_MON,"MONITOR","LOW")))))</f>
        <v/>
      </c>
      <c r="P158" s="12" t="str">
        <f aca="false">IF($M158="","",INDEX(DriverNames,MATCH(MAX($F158:$J158),$F158:$J158,0)))</f>
        <v/>
      </c>
      <c r="Q158" s="21"/>
      <c r="R158" s="26"/>
      <c r="S158" s="2" t="str">
        <f aca="false">IF($O158="","",IF($L158&lt;&gt;"",100,0)+IF($N158="",0,$N158)+ROW()/100000)</f>
        <v/>
      </c>
      <c r="T158" s="2" t="str">
        <f aca="false">IF($S158="","",IF($A158=SEL_MODEL,$S158,""))</f>
        <v/>
      </c>
    </row>
    <row r="159" customFormat="false" ht="15" hidden="false" customHeight="false" outlineLevel="0" collapsed="false">
      <c r="A159" s="19"/>
      <c r="B159" s="20"/>
      <c r="C159" s="21"/>
      <c r="D159" s="20"/>
      <c r="E159" s="19"/>
      <c r="F159" s="20"/>
      <c r="G159" s="20"/>
      <c r="H159" s="20"/>
      <c r="I159" s="22" t="str">
        <f aca="false">IF($E159="","",IFERROR(IF(INDEX(SUPPLIERS!$D$4:$D$63,MATCH($E159,SUPPLIERS!$A$4:$A$63,0))="","",INDEX(SUPPLIERS!$D$4:$D$63,MATCH($E159,SUPPLIERS!$A$4:$A$63,0))),""))</f>
        <v/>
      </c>
      <c r="J159" s="22" t="str">
        <f aca="false">IF($E159="","",IFERROR(IF(INDEX(SUPPLIERS!$E$4:$E$63,MATCH($E159,SUPPLIERS!$A$4:$A$63,0))="","",INDEX(SUPPLIERS!$E$4:$E$63,MATCH($E159,SUPPLIERS!$A$4:$A$63,0))),""))</f>
        <v/>
      </c>
      <c r="K159" s="20"/>
      <c r="L159" s="19"/>
      <c r="M159" s="23" t="str">
        <f aca="false">IF(COUNT($F159:$J159)&lt;5,"",ROUND($F159*W_SRC+$G159*W_QC+$H159*W_CAP+$I159*W_SUP+$J159*W_EXT,1))</f>
        <v/>
      </c>
      <c r="N159" s="24" t="str">
        <f aca="false">IF(OR($M159="",$K159=""),"",ROUND($M159*$K159,1))</f>
        <v/>
      </c>
      <c r="O159" s="25" t="str">
        <f aca="false">IF($E159="","",IF($L159&lt;&gt;"","CRITICAL (FLAG)",IF(OR($M159="",$K159=""),"NOT SCORED",IF($N159&gt;=T_CRIT,"CRITICAL",IF($N159&gt;=T_MON,"MONITOR","LOW")))))</f>
        <v/>
      </c>
      <c r="P159" s="12" t="str">
        <f aca="false">IF($M159="","",INDEX(DriverNames,MATCH(MAX($F159:$J159),$F159:$J159,0)))</f>
        <v/>
      </c>
      <c r="Q159" s="21"/>
      <c r="R159" s="26"/>
      <c r="S159" s="2" t="str">
        <f aca="false">IF($O159="","",IF($L159&lt;&gt;"",100,0)+IF($N159="",0,$N159)+ROW()/100000)</f>
        <v/>
      </c>
      <c r="T159" s="2" t="str">
        <f aca="false">IF($S159="","",IF($A159=SEL_MODEL,$S159,""))</f>
        <v/>
      </c>
    </row>
    <row r="160" customFormat="false" ht="15" hidden="false" customHeight="false" outlineLevel="0" collapsed="false">
      <c r="A160" s="19"/>
      <c r="B160" s="20"/>
      <c r="C160" s="21"/>
      <c r="D160" s="20"/>
      <c r="E160" s="19"/>
      <c r="F160" s="20"/>
      <c r="G160" s="20"/>
      <c r="H160" s="20"/>
      <c r="I160" s="22" t="str">
        <f aca="false">IF($E160="","",IFERROR(IF(INDEX(SUPPLIERS!$D$4:$D$63,MATCH($E160,SUPPLIERS!$A$4:$A$63,0))="","",INDEX(SUPPLIERS!$D$4:$D$63,MATCH($E160,SUPPLIERS!$A$4:$A$63,0))),""))</f>
        <v/>
      </c>
      <c r="J160" s="22" t="str">
        <f aca="false">IF($E160="","",IFERROR(IF(INDEX(SUPPLIERS!$E$4:$E$63,MATCH($E160,SUPPLIERS!$A$4:$A$63,0))="","",INDEX(SUPPLIERS!$E$4:$E$63,MATCH($E160,SUPPLIERS!$A$4:$A$63,0))),""))</f>
        <v/>
      </c>
      <c r="K160" s="20"/>
      <c r="L160" s="19"/>
      <c r="M160" s="23" t="str">
        <f aca="false">IF(COUNT($F160:$J160)&lt;5,"",ROUND($F160*W_SRC+$G160*W_QC+$H160*W_CAP+$I160*W_SUP+$J160*W_EXT,1))</f>
        <v/>
      </c>
      <c r="N160" s="24" t="str">
        <f aca="false">IF(OR($M160="",$K160=""),"",ROUND($M160*$K160,1))</f>
        <v/>
      </c>
      <c r="O160" s="25" t="str">
        <f aca="false">IF($E160="","",IF($L160&lt;&gt;"","CRITICAL (FLAG)",IF(OR($M160="",$K160=""),"NOT SCORED",IF($N160&gt;=T_CRIT,"CRITICAL",IF($N160&gt;=T_MON,"MONITOR","LOW")))))</f>
        <v/>
      </c>
      <c r="P160" s="12" t="str">
        <f aca="false">IF($M160="","",INDEX(DriverNames,MATCH(MAX($F160:$J160),$F160:$J160,0)))</f>
        <v/>
      </c>
      <c r="Q160" s="21"/>
      <c r="R160" s="26"/>
      <c r="S160" s="2" t="str">
        <f aca="false">IF($O160="","",IF($L160&lt;&gt;"",100,0)+IF($N160="",0,$N160)+ROW()/100000)</f>
        <v/>
      </c>
      <c r="T160" s="2" t="str">
        <f aca="false">IF($S160="","",IF($A160=SEL_MODEL,$S160,""))</f>
        <v/>
      </c>
    </row>
    <row r="161" customFormat="false" ht="15" hidden="false" customHeight="false" outlineLevel="0" collapsed="false">
      <c r="A161" s="19"/>
      <c r="B161" s="20"/>
      <c r="C161" s="21"/>
      <c r="D161" s="20"/>
      <c r="E161" s="19"/>
      <c r="F161" s="20"/>
      <c r="G161" s="20"/>
      <c r="H161" s="20"/>
      <c r="I161" s="22" t="str">
        <f aca="false">IF($E161="","",IFERROR(IF(INDEX(SUPPLIERS!$D$4:$D$63,MATCH($E161,SUPPLIERS!$A$4:$A$63,0))="","",INDEX(SUPPLIERS!$D$4:$D$63,MATCH($E161,SUPPLIERS!$A$4:$A$63,0))),""))</f>
        <v/>
      </c>
      <c r="J161" s="22" t="str">
        <f aca="false">IF($E161="","",IFERROR(IF(INDEX(SUPPLIERS!$E$4:$E$63,MATCH($E161,SUPPLIERS!$A$4:$A$63,0))="","",INDEX(SUPPLIERS!$E$4:$E$63,MATCH($E161,SUPPLIERS!$A$4:$A$63,0))),""))</f>
        <v/>
      </c>
      <c r="K161" s="20"/>
      <c r="L161" s="19"/>
      <c r="M161" s="23" t="str">
        <f aca="false">IF(COUNT($F161:$J161)&lt;5,"",ROUND($F161*W_SRC+$G161*W_QC+$H161*W_CAP+$I161*W_SUP+$J161*W_EXT,1))</f>
        <v/>
      </c>
      <c r="N161" s="24" t="str">
        <f aca="false">IF(OR($M161="",$K161=""),"",ROUND($M161*$K161,1))</f>
        <v/>
      </c>
      <c r="O161" s="25" t="str">
        <f aca="false">IF($E161="","",IF($L161&lt;&gt;"","CRITICAL (FLAG)",IF(OR($M161="",$K161=""),"NOT SCORED",IF($N161&gt;=T_CRIT,"CRITICAL",IF($N161&gt;=T_MON,"MONITOR","LOW")))))</f>
        <v/>
      </c>
      <c r="P161" s="12" t="str">
        <f aca="false">IF($M161="","",INDEX(DriverNames,MATCH(MAX($F161:$J161),$F161:$J161,0)))</f>
        <v/>
      </c>
      <c r="Q161" s="21"/>
      <c r="R161" s="26"/>
      <c r="S161" s="2" t="str">
        <f aca="false">IF($O161="","",IF($L161&lt;&gt;"",100,0)+IF($N161="",0,$N161)+ROW()/100000)</f>
        <v/>
      </c>
      <c r="T161" s="2" t="str">
        <f aca="false">IF($S161="","",IF($A161=SEL_MODEL,$S161,""))</f>
        <v/>
      </c>
    </row>
    <row r="162" customFormat="false" ht="15" hidden="false" customHeight="false" outlineLevel="0" collapsed="false">
      <c r="A162" s="19"/>
      <c r="B162" s="20"/>
      <c r="C162" s="21"/>
      <c r="D162" s="20"/>
      <c r="E162" s="19"/>
      <c r="F162" s="20"/>
      <c r="G162" s="20"/>
      <c r="H162" s="20"/>
      <c r="I162" s="22" t="str">
        <f aca="false">IF($E162="","",IFERROR(IF(INDEX(SUPPLIERS!$D$4:$D$63,MATCH($E162,SUPPLIERS!$A$4:$A$63,0))="","",INDEX(SUPPLIERS!$D$4:$D$63,MATCH($E162,SUPPLIERS!$A$4:$A$63,0))),""))</f>
        <v/>
      </c>
      <c r="J162" s="22" t="str">
        <f aca="false">IF($E162="","",IFERROR(IF(INDEX(SUPPLIERS!$E$4:$E$63,MATCH($E162,SUPPLIERS!$A$4:$A$63,0))="","",INDEX(SUPPLIERS!$E$4:$E$63,MATCH($E162,SUPPLIERS!$A$4:$A$63,0))),""))</f>
        <v/>
      </c>
      <c r="K162" s="20"/>
      <c r="L162" s="19"/>
      <c r="M162" s="23" t="str">
        <f aca="false">IF(COUNT($F162:$J162)&lt;5,"",ROUND($F162*W_SRC+$G162*W_QC+$H162*W_CAP+$I162*W_SUP+$J162*W_EXT,1))</f>
        <v/>
      </c>
      <c r="N162" s="24" t="str">
        <f aca="false">IF(OR($M162="",$K162=""),"",ROUND($M162*$K162,1))</f>
        <v/>
      </c>
      <c r="O162" s="25" t="str">
        <f aca="false">IF($E162="","",IF($L162&lt;&gt;"","CRITICAL (FLAG)",IF(OR($M162="",$K162=""),"NOT SCORED",IF($N162&gt;=T_CRIT,"CRITICAL",IF($N162&gt;=T_MON,"MONITOR","LOW")))))</f>
        <v/>
      </c>
      <c r="P162" s="12" t="str">
        <f aca="false">IF($M162="","",INDEX(DriverNames,MATCH(MAX($F162:$J162),$F162:$J162,0)))</f>
        <v/>
      </c>
      <c r="Q162" s="21"/>
      <c r="R162" s="26"/>
      <c r="S162" s="2" t="str">
        <f aca="false">IF($O162="","",IF($L162&lt;&gt;"",100,0)+IF($N162="",0,$N162)+ROW()/100000)</f>
        <v/>
      </c>
      <c r="T162" s="2" t="str">
        <f aca="false">IF($S162="","",IF($A162=SEL_MODEL,$S162,""))</f>
        <v/>
      </c>
    </row>
    <row r="163" customFormat="false" ht="15" hidden="false" customHeight="false" outlineLevel="0" collapsed="false">
      <c r="A163" s="19"/>
      <c r="B163" s="20"/>
      <c r="C163" s="21"/>
      <c r="D163" s="20"/>
      <c r="E163" s="19"/>
      <c r="F163" s="20"/>
      <c r="G163" s="20"/>
      <c r="H163" s="20"/>
      <c r="I163" s="22" t="str">
        <f aca="false">IF($E163="","",IFERROR(IF(INDEX(SUPPLIERS!$D$4:$D$63,MATCH($E163,SUPPLIERS!$A$4:$A$63,0))="","",INDEX(SUPPLIERS!$D$4:$D$63,MATCH($E163,SUPPLIERS!$A$4:$A$63,0))),""))</f>
        <v/>
      </c>
      <c r="J163" s="22" t="str">
        <f aca="false">IF($E163="","",IFERROR(IF(INDEX(SUPPLIERS!$E$4:$E$63,MATCH($E163,SUPPLIERS!$A$4:$A$63,0))="","",INDEX(SUPPLIERS!$E$4:$E$63,MATCH($E163,SUPPLIERS!$A$4:$A$63,0))),""))</f>
        <v/>
      </c>
      <c r="K163" s="20"/>
      <c r="L163" s="19"/>
      <c r="M163" s="23" t="str">
        <f aca="false">IF(COUNT($F163:$J163)&lt;5,"",ROUND($F163*W_SRC+$G163*W_QC+$H163*W_CAP+$I163*W_SUP+$J163*W_EXT,1))</f>
        <v/>
      </c>
      <c r="N163" s="24" t="str">
        <f aca="false">IF(OR($M163="",$K163=""),"",ROUND($M163*$K163,1))</f>
        <v/>
      </c>
      <c r="O163" s="25" t="str">
        <f aca="false">IF($E163="","",IF($L163&lt;&gt;"","CRITICAL (FLAG)",IF(OR($M163="",$K163=""),"NOT SCORED",IF($N163&gt;=T_CRIT,"CRITICAL",IF($N163&gt;=T_MON,"MONITOR","LOW")))))</f>
        <v/>
      </c>
      <c r="P163" s="12" t="str">
        <f aca="false">IF($M163="","",INDEX(DriverNames,MATCH(MAX($F163:$J163),$F163:$J163,0)))</f>
        <v/>
      </c>
      <c r="Q163" s="21"/>
      <c r="R163" s="26"/>
      <c r="S163" s="2" t="str">
        <f aca="false">IF($O163="","",IF($L163&lt;&gt;"",100,0)+IF($N163="",0,$N163)+ROW()/100000)</f>
        <v/>
      </c>
      <c r="T163" s="2" t="str">
        <f aca="false">IF($S163="","",IF($A163=SEL_MODEL,$S163,""))</f>
        <v/>
      </c>
    </row>
    <row r="164" customFormat="false" ht="15" hidden="false" customHeight="false" outlineLevel="0" collapsed="false">
      <c r="A164" s="19"/>
      <c r="B164" s="20"/>
      <c r="C164" s="21"/>
      <c r="D164" s="20"/>
      <c r="E164" s="19"/>
      <c r="F164" s="20"/>
      <c r="G164" s="20"/>
      <c r="H164" s="20"/>
      <c r="I164" s="22" t="str">
        <f aca="false">IF($E164="","",IFERROR(IF(INDEX(SUPPLIERS!$D$4:$D$63,MATCH($E164,SUPPLIERS!$A$4:$A$63,0))="","",INDEX(SUPPLIERS!$D$4:$D$63,MATCH($E164,SUPPLIERS!$A$4:$A$63,0))),""))</f>
        <v/>
      </c>
      <c r="J164" s="22" t="str">
        <f aca="false">IF($E164="","",IFERROR(IF(INDEX(SUPPLIERS!$E$4:$E$63,MATCH($E164,SUPPLIERS!$A$4:$A$63,0))="","",INDEX(SUPPLIERS!$E$4:$E$63,MATCH($E164,SUPPLIERS!$A$4:$A$63,0))),""))</f>
        <v/>
      </c>
      <c r="K164" s="20"/>
      <c r="L164" s="19"/>
      <c r="M164" s="23" t="str">
        <f aca="false">IF(COUNT($F164:$J164)&lt;5,"",ROUND($F164*W_SRC+$G164*W_QC+$H164*W_CAP+$I164*W_SUP+$J164*W_EXT,1))</f>
        <v/>
      </c>
      <c r="N164" s="24" t="str">
        <f aca="false">IF(OR($M164="",$K164=""),"",ROUND($M164*$K164,1))</f>
        <v/>
      </c>
      <c r="O164" s="25" t="str">
        <f aca="false">IF($E164="","",IF($L164&lt;&gt;"","CRITICAL (FLAG)",IF(OR($M164="",$K164=""),"NOT SCORED",IF($N164&gt;=T_CRIT,"CRITICAL",IF($N164&gt;=T_MON,"MONITOR","LOW")))))</f>
        <v/>
      </c>
      <c r="P164" s="12" t="str">
        <f aca="false">IF($M164="","",INDEX(DriverNames,MATCH(MAX($F164:$J164),$F164:$J164,0)))</f>
        <v/>
      </c>
      <c r="Q164" s="21"/>
      <c r="R164" s="26"/>
      <c r="S164" s="2" t="str">
        <f aca="false">IF($O164="","",IF($L164&lt;&gt;"",100,0)+IF($N164="",0,$N164)+ROW()/100000)</f>
        <v/>
      </c>
      <c r="T164" s="2" t="str">
        <f aca="false">IF($S164="","",IF($A164=SEL_MODEL,$S164,""))</f>
        <v/>
      </c>
    </row>
    <row r="165" customFormat="false" ht="15" hidden="false" customHeight="false" outlineLevel="0" collapsed="false">
      <c r="A165" s="19"/>
      <c r="B165" s="20"/>
      <c r="C165" s="21"/>
      <c r="D165" s="20"/>
      <c r="E165" s="19"/>
      <c r="F165" s="20"/>
      <c r="G165" s="20"/>
      <c r="H165" s="20"/>
      <c r="I165" s="22" t="str">
        <f aca="false">IF($E165="","",IFERROR(IF(INDEX(SUPPLIERS!$D$4:$D$63,MATCH($E165,SUPPLIERS!$A$4:$A$63,0))="","",INDEX(SUPPLIERS!$D$4:$D$63,MATCH($E165,SUPPLIERS!$A$4:$A$63,0))),""))</f>
        <v/>
      </c>
      <c r="J165" s="22" t="str">
        <f aca="false">IF($E165="","",IFERROR(IF(INDEX(SUPPLIERS!$E$4:$E$63,MATCH($E165,SUPPLIERS!$A$4:$A$63,0))="","",INDEX(SUPPLIERS!$E$4:$E$63,MATCH($E165,SUPPLIERS!$A$4:$A$63,0))),""))</f>
        <v/>
      </c>
      <c r="K165" s="20"/>
      <c r="L165" s="19"/>
      <c r="M165" s="23" t="str">
        <f aca="false">IF(COUNT($F165:$J165)&lt;5,"",ROUND($F165*W_SRC+$G165*W_QC+$H165*W_CAP+$I165*W_SUP+$J165*W_EXT,1))</f>
        <v/>
      </c>
      <c r="N165" s="24" t="str">
        <f aca="false">IF(OR($M165="",$K165=""),"",ROUND($M165*$K165,1))</f>
        <v/>
      </c>
      <c r="O165" s="25" t="str">
        <f aca="false">IF($E165="","",IF($L165&lt;&gt;"","CRITICAL (FLAG)",IF(OR($M165="",$K165=""),"NOT SCORED",IF($N165&gt;=T_CRIT,"CRITICAL",IF($N165&gt;=T_MON,"MONITOR","LOW")))))</f>
        <v/>
      </c>
      <c r="P165" s="12" t="str">
        <f aca="false">IF($M165="","",INDEX(DriverNames,MATCH(MAX($F165:$J165),$F165:$J165,0)))</f>
        <v/>
      </c>
      <c r="Q165" s="21"/>
      <c r="R165" s="26"/>
      <c r="S165" s="2" t="str">
        <f aca="false">IF($O165="","",IF($L165&lt;&gt;"",100,0)+IF($N165="",0,$N165)+ROW()/100000)</f>
        <v/>
      </c>
      <c r="T165" s="2" t="str">
        <f aca="false">IF($S165="","",IF($A165=SEL_MODEL,$S165,""))</f>
        <v/>
      </c>
    </row>
    <row r="166" customFormat="false" ht="15" hidden="false" customHeight="false" outlineLevel="0" collapsed="false">
      <c r="A166" s="19"/>
      <c r="B166" s="20"/>
      <c r="C166" s="21"/>
      <c r="D166" s="20"/>
      <c r="E166" s="19"/>
      <c r="F166" s="20"/>
      <c r="G166" s="20"/>
      <c r="H166" s="20"/>
      <c r="I166" s="22" t="str">
        <f aca="false">IF($E166="","",IFERROR(IF(INDEX(SUPPLIERS!$D$4:$D$63,MATCH($E166,SUPPLIERS!$A$4:$A$63,0))="","",INDEX(SUPPLIERS!$D$4:$D$63,MATCH($E166,SUPPLIERS!$A$4:$A$63,0))),""))</f>
        <v/>
      </c>
      <c r="J166" s="22" t="str">
        <f aca="false">IF($E166="","",IFERROR(IF(INDEX(SUPPLIERS!$E$4:$E$63,MATCH($E166,SUPPLIERS!$A$4:$A$63,0))="","",INDEX(SUPPLIERS!$E$4:$E$63,MATCH($E166,SUPPLIERS!$A$4:$A$63,0))),""))</f>
        <v/>
      </c>
      <c r="K166" s="20"/>
      <c r="L166" s="19"/>
      <c r="M166" s="23" t="str">
        <f aca="false">IF(COUNT($F166:$J166)&lt;5,"",ROUND($F166*W_SRC+$G166*W_QC+$H166*W_CAP+$I166*W_SUP+$J166*W_EXT,1))</f>
        <v/>
      </c>
      <c r="N166" s="24" t="str">
        <f aca="false">IF(OR($M166="",$K166=""),"",ROUND($M166*$K166,1))</f>
        <v/>
      </c>
      <c r="O166" s="25" t="str">
        <f aca="false">IF($E166="","",IF($L166&lt;&gt;"","CRITICAL (FLAG)",IF(OR($M166="",$K166=""),"NOT SCORED",IF($N166&gt;=T_CRIT,"CRITICAL",IF($N166&gt;=T_MON,"MONITOR","LOW")))))</f>
        <v/>
      </c>
      <c r="P166" s="12" t="str">
        <f aca="false">IF($M166="","",INDEX(DriverNames,MATCH(MAX($F166:$J166),$F166:$J166,0)))</f>
        <v/>
      </c>
      <c r="Q166" s="21"/>
      <c r="R166" s="26"/>
      <c r="S166" s="2" t="str">
        <f aca="false">IF($O166="","",IF($L166&lt;&gt;"",100,0)+IF($N166="",0,$N166)+ROW()/100000)</f>
        <v/>
      </c>
      <c r="T166" s="2" t="str">
        <f aca="false">IF($S166="","",IF($A166=SEL_MODEL,$S166,""))</f>
        <v/>
      </c>
    </row>
    <row r="167" customFormat="false" ht="15" hidden="false" customHeight="false" outlineLevel="0" collapsed="false">
      <c r="A167" s="19"/>
      <c r="B167" s="20"/>
      <c r="C167" s="21"/>
      <c r="D167" s="20"/>
      <c r="E167" s="19"/>
      <c r="F167" s="20"/>
      <c r="G167" s="20"/>
      <c r="H167" s="20"/>
      <c r="I167" s="22" t="str">
        <f aca="false">IF($E167="","",IFERROR(IF(INDEX(SUPPLIERS!$D$4:$D$63,MATCH($E167,SUPPLIERS!$A$4:$A$63,0))="","",INDEX(SUPPLIERS!$D$4:$D$63,MATCH($E167,SUPPLIERS!$A$4:$A$63,0))),""))</f>
        <v/>
      </c>
      <c r="J167" s="22" t="str">
        <f aca="false">IF($E167="","",IFERROR(IF(INDEX(SUPPLIERS!$E$4:$E$63,MATCH($E167,SUPPLIERS!$A$4:$A$63,0))="","",INDEX(SUPPLIERS!$E$4:$E$63,MATCH($E167,SUPPLIERS!$A$4:$A$63,0))),""))</f>
        <v/>
      </c>
      <c r="K167" s="20"/>
      <c r="L167" s="19"/>
      <c r="M167" s="23" t="str">
        <f aca="false">IF(COUNT($F167:$J167)&lt;5,"",ROUND($F167*W_SRC+$G167*W_QC+$H167*W_CAP+$I167*W_SUP+$J167*W_EXT,1))</f>
        <v/>
      </c>
      <c r="N167" s="24" t="str">
        <f aca="false">IF(OR($M167="",$K167=""),"",ROUND($M167*$K167,1))</f>
        <v/>
      </c>
      <c r="O167" s="25" t="str">
        <f aca="false">IF($E167="","",IF($L167&lt;&gt;"","CRITICAL (FLAG)",IF(OR($M167="",$K167=""),"NOT SCORED",IF($N167&gt;=T_CRIT,"CRITICAL",IF($N167&gt;=T_MON,"MONITOR","LOW")))))</f>
        <v/>
      </c>
      <c r="P167" s="12" t="str">
        <f aca="false">IF($M167="","",INDEX(DriverNames,MATCH(MAX($F167:$J167),$F167:$J167,0)))</f>
        <v/>
      </c>
      <c r="Q167" s="21"/>
      <c r="R167" s="26"/>
      <c r="S167" s="2" t="str">
        <f aca="false">IF($O167="","",IF($L167&lt;&gt;"",100,0)+IF($N167="",0,$N167)+ROW()/100000)</f>
        <v/>
      </c>
      <c r="T167" s="2" t="str">
        <f aca="false">IF($S167="","",IF($A167=SEL_MODEL,$S167,""))</f>
        <v/>
      </c>
    </row>
    <row r="168" customFormat="false" ht="15" hidden="false" customHeight="false" outlineLevel="0" collapsed="false">
      <c r="A168" s="19"/>
      <c r="B168" s="20"/>
      <c r="C168" s="21"/>
      <c r="D168" s="20"/>
      <c r="E168" s="19"/>
      <c r="F168" s="20"/>
      <c r="G168" s="20"/>
      <c r="H168" s="20"/>
      <c r="I168" s="22" t="str">
        <f aca="false">IF($E168="","",IFERROR(IF(INDEX(SUPPLIERS!$D$4:$D$63,MATCH($E168,SUPPLIERS!$A$4:$A$63,0))="","",INDEX(SUPPLIERS!$D$4:$D$63,MATCH($E168,SUPPLIERS!$A$4:$A$63,0))),""))</f>
        <v/>
      </c>
      <c r="J168" s="22" t="str">
        <f aca="false">IF($E168="","",IFERROR(IF(INDEX(SUPPLIERS!$E$4:$E$63,MATCH($E168,SUPPLIERS!$A$4:$A$63,0))="","",INDEX(SUPPLIERS!$E$4:$E$63,MATCH($E168,SUPPLIERS!$A$4:$A$63,0))),""))</f>
        <v/>
      </c>
      <c r="K168" s="20"/>
      <c r="L168" s="19"/>
      <c r="M168" s="23" t="str">
        <f aca="false">IF(COUNT($F168:$J168)&lt;5,"",ROUND($F168*W_SRC+$G168*W_QC+$H168*W_CAP+$I168*W_SUP+$J168*W_EXT,1))</f>
        <v/>
      </c>
      <c r="N168" s="24" t="str">
        <f aca="false">IF(OR($M168="",$K168=""),"",ROUND($M168*$K168,1))</f>
        <v/>
      </c>
      <c r="O168" s="25" t="str">
        <f aca="false">IF($E168="","",IF($L168&lt;&gt;"","CRITICAL (FLAG)",IF(OR($M168="",$K168=""),"NOT SCORED",IF($N168&gt;=T_CRIT,"CRITICAL",IF($N168&gt;=T_MON,"MONITOR","LOW")))))</f>
        <v/>
      </c>
      <c r="P168" s="12" t="str">
        <f aca="false">IF($M168="","",INDEX(DriverNames,MATCH(MAX($F168:$J168),$F168:$J168,0)))</f>
        <v/>
      </c>
      <c r="Q168" s="21"/>
      <c r="R168" s="26"/>
      <c r="S168" s="2" t="str">
        <f aca="false">IF($O168="","",IF($L168&lt;&gt;"",100,0)+IF($N168="",0,$N168)+ROW()/100000)</f>
        <v/>
      </c>
      <c r="T168" s="2" t="str">
        <f aca="false">IF($S168="","",IF($A168=SEL_MODEL,$S168,""))</f>
        <v/>
      </c>
    </row>
    <row r="169" customFormat="false" ht="15" hidden="false" customHeight="false" outlineLevel="0" collapsed="false">
      <c r="A169" s="19"/>
      <c r="B169" s="20"/>
      <c r="C169" s="21"/>
      <c r="D169" s="20"/>
      <c r="E169" s="19"/>
      <c r="F169" s="20"/>
      <c r="G169" s="20"/>
      <c r="H169" s="20"/>
      <c r="I169" s="22" t="str">
        <f aca="false">IF($E169="","",IFERROR(IF(INDEX(SUPPLIERS!$D$4:$D$63,MATCH($E169,SUPPLIERS!$A$4:$A$63,0))="","",INDEX(SUPPLIERS!$D$4:$D$63,MATCH($E169,SUPPLIERS!$A$4:$A$63,0))),""))</f>
        <v/>
      </c>
      <c r="J169" s="22" t="str">
        <f aca="false">IF($E169="","",IFERROR(IF(INDEX(SUPPLIERS!$E$4:$E$63,MATCH($E169,SUPPLIERS!$A$4:$A$63,0))="","",INDEX(SUPPLIERS!$E$4:$E$63,MATCH($E169,SUPPLIERS!$A$4:$A$63,0))),""))</f>
        <v/>
      </c>
      <c r="K169" s="20"/>
      <c r="L169" s="19"/>
      <c r="M169" s="23" t="str">
        <f aca="false">IF(COUNT($F169:$J169)&lt;5,"",ROUND($F169*W_SRC+$G169*W_QC+$H169*W_CAP+$I169*W_SUP+$J169*W_EXT,1))</f>
        <v/>
      </c>
      <c r="N169" s="24" t="str">
        <f aca="false">IF(OR($M169="",$K169=""),"",ROUND($M169*$K169,1))</f>
        <v/>
      </c>
      <c r="O169" s="25" t="str">
        <f aca="false">IF($E169="","",IF($L169&lt;&gt;"","CRITICAL (FLAG)",IF(OR($M169="",$K169=""),"NOT SCORED",IF($N169&gt;=T_CRIT,"CRITICAL",IF($N169&gt;=T_MON,"MONITOR","LOW")))))</f>
        <v/>
      </c>
      <c r="P169" s="12" t="str">
        <f aca="false">IF($M169="","",INDEX(DriverNames,MATCH(MAX($F169:$J169),$F169:$J169,0)))</f>
        <v/>
      </c>
      <c r="Q169" s="21"/>
      <c r="R169" s="26"/>
      <c r="S169" s="2" t="str">
        <f aca="false">IF($O169="","",IF($L169&lt;&gt;"",100,0)+IF($N169="",0,$N169)+ROW()/100000)</f>
        <v/>
      </c>
      <c r="T169" s="2" t="str">
        <f aca="false">IF($S169="","",IF($A169=SEL_MODEL,$S169,""))</f>
        <v/>
      </c>
    </row>
    <row r="170" customFormat="false" ht="15" hidden="false" customHeight="false" outlineLevel="0" collapsed="false">
      <c r="A170" s="19"/>
      <c r="B170" s="20"/>
      <c r="C170" s="21"/>
      <c r="D170" s="20"/>
      <c r="E170" s="19"/>
      <c r="F170" s="20"/>
      <c r="G170" s="20"/>
      <c r="H170" s="20"/>
      <c r="I170" s="22" t="str">
        <f aca="false">IF($E170="","",IFERROR(IF(INDEX(SUPPLIERS!$D$4:$D$63,MATCH($E170,SUPPLIERS!$A$4:$A$63,0))="","",INDEX(SUPPLIERS!$D$4:$D$63,MATCH($E170,SUPPLIERS!$A$4:$A$63,0))),""))</f>
        <v/>
      </c>
      <c r="J170" s="22" t="str">
        <f aca="false">IF($E170="","",IFERROR(IF(INDEX(SUPPLIERS!$E$4:$E$63,MATCH($E170,SUPPLIERS!$A$4:$A$63,0))="","",INDEX(SUPPLIERS!$E$4:$E$63,MATCH($E170,SUPPLIERS!$A$4:$A$63,0))),""))</f>
        <v/>
      </c>
      <c r="K170" s="20"/>
      <c r="L170" s="19"/>
      <c r="M170" s="23" t="str">
        <f aca="false">IF(COUNT($F170:$J170)&lt;5,"",ROUND($F170*W_SRC+$G170*W_QC+$H170*W_CAP+$I170*W_SUP+$J170*W_EXT,1))</f>
        <v/>
      </c>
      <c r="N170" s="24" t="str">
        <f aca="false">IF(OR($M170="",$K170=""),"",ROUND($M170*$K170,1))</f>
        <v/>
      </c>
      <c r="O170" s="25" t="str">
        <f aca="false">IF($E170="","",IF($L170&lt;&gt;"","CRITICAL (FLAG)",IF(OR($M170="",$K170=""),"NOT SCORED",IF($N170&gt;=T_CRIT,"CRITICAL",IF($N170&gt;=T_MON,"MONITOR","LOW")))))</f>
        <v/>
      </c>
      <c r="P170" s="12" t="str">
        <f aca="false">IF($M170="","",INDEX(DriverNames,MATCH(MAX($F170:$J170),$F170:$J170,0)))</f>
        <v/>
      </c>
      <c r="Q170" s="21"/>
      <c r="R170" s="26"/>
      <c r="S170" s="2" t="str">
        <f aca="false">IF($O170="","",IF($L170&lt;&gt;"",100,0)+IF($N170="",0,$N170)+ROW()/100000)</f>
        <v/>
      </c>
      <c r="T170" s="2" t="str">
        <f aca="false">IF($S170="","",IF($A170=SEL_MODEL,$S170,""))</f>
        <v/>
      </c>
    </row>
    <row r="171" customFormat="false" ht="15" hidden="false" customHeight="false" outlineLevel="0" collapsed="false">
      <c r="A171" s="19"/>
      <c r="B171" s="20"/>
      <c r="C171" s="21"/>
      <c r="D171" s="20"/>
      <c r="E171" s="19"/>
      <c r="F171" s="20"/>
      <c r="G171" s="20"/>
      <c r="H171" s="20"/>
      <c r="I171" s="22" t="str">
        <f aca="false">IF($E171="","",IFERROR(IF(INDEX(SUPPLIERS!$D$4:$D$63,MATCH($E171,SUPPLIERS!$A$4:$A$63,0))="","",INDEX(SUPPLIERS!$D$4:$D$63,MATCH($E171,SUPPLIERS!$A$4:$A$63,0))),""))</f>
        <v/>
      </c>
      <c r="J171" s="22" t="str">
        <f aca="false">IF($E171="","",IFERROR(IF(INDEX(SUPPLIERS!$E$4:$E$63,MATCH($E171,SUPPLIERS!$A$4:$A$63,0))="","",INDEX(SUPPLIERS!$E$4:$E$63,MATCH($E171,SUPPLIERS!$A$4:$A$63,0))),""))</f>
        <v/>
      </c>
      <c r="K171" s="20"/>
      <c r="L171" s="19"/>
      <c r="M171" s="23" t="str">
        <f aca="false">IF(COUNT($F171:$J171)&lt;5,"",ROUND($F171*W_SRC+$G171*W_QC+$H171*W_CAP+$I171*W_SUP+$J171*W_EXT,1))</f>
        <v/>
      </c>
      <c r="N171" s="24" t="str">
        <f aca="false">IF(OR($M171="",$K171=""),"",ROUND($M171*$K171,1))</f>
        <v/>
      </c>
      <c r="O171" s="25" t="str">
        <f aca="false">IF($E171="","",IF($L171&lt;&gt;"","CRITICAL (FLAG)",IF(OR($M171="",$K171=""),"NOT SCORED",IF($N171&gt;=T_CRIT,"CRITICAL",IF($N171&gt;=T_MON,"MONITOR","LOW")))))</f>
        <v/>
      </c>
      <c r="P171" s="12" t="str">
        <f aca="false">IF($M171="","",INDEX(DriverNames,MATCH(MAX($F171:$J171),$F171:$J171,0)))</f>
        <v/>
      </c>
      <c r="Q171" s="21"/>
      <c r="R171" s="26"/>
      <c r="S171" s="2" t="str">
        <f aca="false">IF($O171="","",IF($L171&lt;&gt;"",100,0)+IF($N171="",0,$N171)+ROW()/100000)</f>
        <v/>
      </c>
      <c r="T171" s="2" t="str">
        <f aca="false">IF($S171="","",IF($A171=SEL_MODEL,$S171,""))</f>
        <v/>
      </c>
    </row>
    <row r="172" customFormat="false" ht="15" hidden="false" customHeight="false" outlineLevel="0" collapsed="false">
      <c r="A172" s="19"/>
      <c r="B172" s="20"/>
      <c r="C172" s="21"/>
      <c r="D172" s="20"/>
      <c r="E172" s="19"/>
      <c r="F172" s="20"/>
      <c r="G172" s="20"/>
      <c r="H172" s="20"/>
      <c r="I172" s="22" t="str">
        <f aca="false">IF($E172="","",IFERROR(IF(INDEX(SUPPLIERS!$D$4:$D$63,MATCH($E172,SUPPLIERS!$A$4:$A$63,0))="","",INDEX(SUPPLIERS!$D$4:$D$63,MATCH($E172,SUPPLIERS!$A$4:$A$63,0))),""))</f>
        <v/>
      </c>
      <c r="J172" s="22" t="str">
        <f aca="false">IF($E172="","",IFERROR(IF(INDEX(SUPPLIERS!$E$4:$E$63,MATCH($E172,SUPPLIERS!$A$4:$A$63,0))="","",INDEX(SUPPLIERS!$E$4:$E$63,MATCH($E172,SUPPLIERS!$A$4:$A$63,0))),""))</f>
        <v/>
      </c>
      <c r="K172" s="20"/>
      <c r="L172" s="19"/>
      <c r="M172" s="23" t="str">
        <f aca="false">IF(COUNT($F172:$J172)&lt;5,"",ROUND($F172*W_SRC+$G172*W_QC+$H172*W_CAP+$I172*W_SUP+$J172*W_EXT,1))</f>
        <v/>
      </c>
      <c r="N172" s="24" t="str">
        <f aca="false">IF(OR($M172="",$K172=""),"",ROUND($M172*$K172,1))</f>
        <v/>
      </c>
      <c r="O172" s="25" t="str">
        <f aca="false">IF($E172="","",IF($L172&lt;&gt;"","CRITICAL (FLAG)",IF(OR($M172="",$K172=""),"NOT SCORED",IF($N172&gt;=T_CRIT,"CRITICAL",IF($N172&gt;=T_MON,"MONITOR","LOW")))))</f>
        <v/>
      </c>
      <c r="P172" s="12" t="str">
        <f aca="false">IF($M172="","",INDEX(DriverNames,MATCH(MAX($F172:$J172),$F172:$J172,0)))</f>
        <v/>
      </c>
      <c r="Q172" s="21"/>
      <c r="R172" s="26"/>
      <c r="S172" s="2" t="str">
        <f aca="false">IF($O172="","",IF($L172&lt;&gt;"",100,0)+IF($N172="",0,$N172)+ROW()/100000)</f>
        <v/>
      </c>
      <c r="T172" s="2" t="str">
        <f aca="false">IF($S172="","",IF($A172=SEL_MODEL,$S172,""))</f>
        <v/>
      </c>
    </row>
    <row r="173" customFormat="false" ht="15" hidden="false" customHeight="false" outlineLevel="0" collapsed="false">
      <c r="A173" s="19"/>
      <c r="B173" s="20"/>
      <c r="C173" s="21"/>
      <c r="D173" s="20"/>
      <c r="E173" s="19"/>
      <c r="F173" s="20"/>
      <c r="G173" s="20"/>
      <c r="H173" s="20"/>
      <c r="I173" s="22" t="str">
        <f aca="false">IF($E173="","",IFERROR(IF(INDEX(SUPPLIERS!$D$4:$D$63,MATCH($E173,SUPPLIERS!$A$4:$A$63,0))="","",INDEX(SUPPLIERS!$D$4:$D$63,MATCH($E173,SUPPLIERS!$A$4:$A$63,0))),""))</f>
        <v/>
      </c>
      <c r="J173" s="22" t="str">
        <f aca="false">IF($E173="","",IFERROR(IF(INDEX(SUPPLIERS!$E$4:$E$63,MATCH($E173,SUPPLIERS!$A$4:$A$63,0))="","",INDEX(SUPPLIERS!$E$4:$E$63,MATCH($E173,SUPPLIERS!$A$4:$A$63,0))),""))</f>
        <v/>
      </c>
      <c r="K173" s="20"/>
      <c r="L173" s="19"/>
      <c r="M173" s="23" t="str">
        <f aca="false">IF(COUNT($F173:$J173)&lt;5,"",ROUND($F173*W_SRC+$G173*W_QC+$H173*W_CAP+$I173*W_SUP+$J173*W_EXT,1))</f>
        <v/>
      </c>
      <c r="N173" s="24" t="str">
        <f aca="false">IF(OR($M173="",$K173=""),"",ROUND($M173*$K173,1))</f>
        <v/>
      </c>
      <c r="O173" s="25" t="str">
        <f aca="false">IF($E173="","",IF($L173&lt;&gt;"","CRITICAL (FLAG)",IF(OR($M173="",$K173=""),"NOT SCORED",IF($N173&gt;=T_CRIT,"CRITICAL",IF($N173&gt;=T_MON,"MONITOR","LOW")))))</f>
        <v/>
      </c>
      <c r="P173" s="12" t="str">
        <f aca="false">IF($M173="","",INDEX(DriverNames,MATCH(MAX($F173:$J173),$F173:$J173,0)))</f>
        <v/>
      </c>
      <c r="Q173" s="21"/>
      <c r="R173" s="26"/>
      <c r="S173" s="2" t="str">
        <f aca="false">IF($O173="","",IF($L173&lt;&gt;"",100,0)+IF($N173="",0,$N173)+ROW()/100000)</f>
        <v/>
      </c>
      <c r="T173" s="2" t="str">
        <f aca="false">IF($S173="","",IF($A173=SEL_MODEL,$S173,""))</f>
        <v/>
      </c>
    </row>
    <row r="174" customFormat="false" ht="15" hidden="false" customHeight="false" outlineLevel="0" collapsed="false">
      <c r="A174" s="19"/>
      <c r="B174" s="20"/>
      <c r="C174" s="21"/>
      <c r="D174" s="20"/>
      <c r="E174" s="19"/>
      <c r="F174" s="20"/>
      <c r="G174" s="20"/>
      <c r="H174" s="20"/>
      <c r="I174" s="22" t="str">
        <f aca="false">IF($E174="","",IFERROR(IF(INDEX(SUPPLIERS!$D$4:$D$63,MATCH($E174,SUPPLIERS!$A$4:$A$63,0))="","",INDEX(SUPPLIERS!$D$4:$D$63,MATCH($E174,SUPPLIERS!$A$4:$A$63,0))),""))</f>
        <v/>
      </c>
      <c r="J174" s="22" t="str">
        <f aca="false">IF($E174="","",IFERROR(IF(INDEX(SUPPLIERS!$E$4:$E$63,MATCH($E174,SUPPLIERS!$A$4:$A$63,0))="","",INDEX(SUPPLIERS!$E$4:$E$63,MATCH($E174,SUPPLIERS!$A$4:$A$63,0))),""))</f>
        <v/>
      </c>
      <c r="K174" s="20"/>
      <c r="L174" s="19"/>
      <c r="M174" s="23" t="str">
        <f aca="false">IF(COUNT($F174:$J174)&lt;5,"",ROUND($F174*W_SRC+$G174*W_QC+$H174*W_CAP+$I174*W_SUP+$J174*W_EXT,1))</f>
        <v/>
      </c>
      <c r="N174" s="24" t="str">
        <f aca="false">IF(OR($M174="",$K174=""),"",ROUND($M174*$K174,1))</f>
        <v/>
      </c>
      <c r="O174" s="25" t="str">
        <f aca="false">IF($E174="","",IF($L174&lt;&gt;"","CRITICAL (FLAG)",IF(OR($M174="",$K174=""),"NOT SCORED",IF($N174&gt;=T_CRIT,"CRITICAL",IF($N174&gt;=T_MON,"MONITOR","LOW")))))</f>
        <v/>
      </c>
      <c r="P174" s="12" t="str">
        <f aca="false">IF($M174="","",INDEX(DriverNames,MATCH(MAX($F174:$J174),$F174:$J174,0)))</f>
        <v/>
      </c>
      <c r="Q174" s="21"/>
      <c r="R174" s="26"/>
      <c r="S174" s="2" t="str">
        <f aca="false">IF($O174="","",IF($L174&lt;&gt;"",100,0)+IF($N174="",0,$N174)+ROW()/100000)</f>
        <v/>
      </c>
      <c r="T174" s="2" t="str">
        <f aca="false">IF($S174="","",IF($A174=SEL_MODEL,$S174,""))</f>
        <v/>
      </c>
    </row>
    <row r="175" customFormat="false" ht="15" hidden="false" customHeight="false" outlineLevel="0" collapsed="false">
      <c r="A175" s="19"/>
      <c r="B175" s="20"/>
      <c r="C175" s="21"/>
      <c r="D175" s="20"/>
      <c r="E175" s="19"/>
      <c r="F175" s="20"/>
      <c r="G175" s="20"/>
      <c r="H175" s="20"/>
      <c r="I175" s="22" t="str">
        <f aca="false">IF($E175="","",IFERROR(IF(INDEX(SUPPLIERS!$D$4:$D$63,MATCH($E175,SUPPLIERS!$A$4:$A$63,0))="","",INDEX(SUPPLIERS!$D$4:$D$63,MATCH($E175,SUPPLIERS!$A$4:$A$63,0))),""))</f>
        <v/>
      </c>
      <c r="J175" s="22" t="str">
        <f aca="false">IF($E175="","",IFERROR(IF(INDEX(SUPPLIERS!$E$4:$E$63,MATCH($E175,SUPPLIERS!$A$4:$A$63,0))="","",INDEX(SUPPLIERS!$E$4:$E$63,MATCH($E175,SUPPLIERS!$A$4:$A$63,0))),""))</f>
        <v/>
      </c>
      <c r="K175" s="20"/>
      <c r="L175" s="19"/>
      <c r="M175" s="23" t="str">
        <f aca="false">IF(COUNT($F175:$J175)&lt;5,"",ROUND($F175*W_SRC+$G175*W_QC+$H175*W_CAP+$I175*W_SUP+$J175*W_EXT,1))</f>
        <v/>
      </c>
      <c r="N175" s="24" t="str">
        <f aca="false">IF(OR($M175="",$K175=""),"",ROUND($M175*$K175,1))</f>
        <v/>
      </c>
      <c r="O175" s="25" t="str">
        <f aca="false">IF($E175="","",IF($L175&lt;&gt;"","CRITICAL (FLAG)",IF(OR($M175="",$K175=""),"NOT SCORED",IF($N175&gt;=T_CRIT,"CRITICAL",IF($N175&gt;=T_MON,"MONITOR","LOW")))))</f>
        <v/>
      </c>
      <c r="P175" s="12" t="str">
        <f aca="false">IF($M175="","",INDEX(DriverNames,MATCH(MAX($F175:$J175),$F175:$J175,0)))</f>
        <v/>
      </c>
      <c r="Q175" s="21"/>
      <c r="R175" s="26"/>
      <c r="S175" s="2" t="str">
        <f aca="false">IF($O175="","",IF($L175&lt;&gt;"",100,0)+IF($N175="",0,$N175)+ROW()/100000)</f>
        <v/>
      </c>
      <c r="T175" s="2" t="str">
        <f aca="false">IF($S175="","",IF($A175=SEL_MODEL,$S175,""))</f>
        <v/>
      </c>
    </row>
    <row r="176" customFormat="false" ht="15" hidden="false" customHeight="false" outlineLevel="0" collapsed="false">
      <c r="A176" s="19"/>
      <c r="B176" s="20"/>
      <c r="C176" s="21"/>
      <c r="D176" s="20"/>
      <c r="E176" s="19"/>
      <c r="F176" s="20"/>
      <c r="G176" s="20"/>
      <c r="H176" s="20"/>
      <c r="I176" s="22" t="str">
        <f aca="false">IF($E176="","",IFERROR(IF(INDEX(SUPPLIERS!$D$4:$D$63,MATCH($E176,SUPPLIERS!$A$4:$A$63,0))="","",INDEX(SUPPLIERS!$D$4:$D$63,MATCH($E176,SUPPLIERS!$A$4:$A$63,0))),""))</f>
        <v/>
      </c>
      <c r="J176" s="22" t="str">
        <f aca="false">IF($E176="","",IFERROR(IF(INDEX(SUPPLIERS!$E$4:$E$63,MATCH($E176,SUPPLIERS!$A$4:$A$63,0))="","",INDEX(SUPPLIERS!$E$4:$E$63,MATCH($E176,SUPPLIERS!$A$4:$A$63,0))),""))</f>
        <v/>
      </c>
      <c r="K176" s="20"/>
      <c r="L176" s="19"/>
      <c r="M176" s="23" t="str">
        <f aca="false">IF(COUNT($F176:$J176)&lt;5,"",ROUND($F176*W_SRC+$G176*W_QC+$H176*W_CAP+$I176*W_SUP+$J176*W_EXT,1))</f>
        <v/>
      </c>
      <c r="N176" s="24" t="str">
        <f aca="false">IF(OR($M176="",$K176=""),"",ROUND($M176*$K176,1))</f>
        <v/>
      </c>
      <c r="O176" s="25" t="str">
        <f aca="false">IF($E176="","",IF($L176&lt;&gt;"","CRITICAL (FLAG)",IF(OR($M176="",$K176=""),"NOT SCORED",IF($N176&gt;=T_CRIT,"CRITICAL",IF($N176&gt;=T_MON,"MONITOR","LOW")))))</f>
        <v/>
      </c>
      <c r="P176" s="12" t="str">
        <f aca="false">IF($M176="","",INDEX(DriverNames,MATCH(MAX($F176:$J176),$F176:$J176,0)))</f>
        <v/>
      </c>
      <c r="Q176" s="21"/>
      <c r="R176" s="26"/>
      <c r="S176" s="2" t="str">
        <f aca="false">IF($O176="","",IF($L176&lt;&gt;"",100,0)+IF($N176="",0,$N176)+ROW()/100000)</f>
        <v/>
      </c>
      <c r="T176" s="2" t="str">
        <f aca="false">IF($S176="","",IF($A176=SEL_MODEL,$S176,""))</f>
        <v/>
      </c>
    </row>
    <row r="177" customFormat="false" ht="15" hidden="false" customHeight="false" outlineLevel="0" collapsed="false">
      <c r="A177" s="19"/>
      <c r="B177" s="20"/>
      <c r="C177" s="21"/>
      <c r="D177" s="20"/>
      <c r="E177" s="19"/>
      <c r="F177" s="20"/>
      <c r="G177" s="20"/>
      <c r="H177" s="20"/>
      <c r="I177" s="22" t="str">
        <f aca="false">IF($E177="","",IFERROR(IF(INDEX(SUPPLIERS!$D$4:$D$63,MATCH($E177,SUPPLIERS!$A$4:$A$63,0))="","",INDEX(SUPPLIERS!$D$4:$D$63,MATCH($E177,SUPPLIERS!$A$4:$A$63,0))),""))</f>
        <v/>
      </c>
      <c r="J177" s="22" t="str">
        <f aca="false">IF($E177="","",IFERROR(IF(INDEX(SUPPLIERS!$E$4:$E$63,MATCH($E177,SUPPLIERS!$A$4:$A$63,0))="","",INDEX(SUPPLIERS!$E$4:$E$63,MATCH($E177,SUPPLIERS!$A$4:$A$63,0))),""))</f>
        <v/>
      </c>
      <c r="K177" s="20"/>
      <c r="L177" s="19"/>
      <c r="M177" s="23" t="str">
        <f aca="false">IF(COUNT($F177:$J177)&lt;5,"",ROUND($F177*W_SRC+$G177*W_QC+$H177*W_CAP+$I177*W_SUP+$J177*W_EXT,1))</f>
        <v/>
      </c>
      <c r="N177" s="24" t="str">
        <f aca="false">IF(OR($M177="",$K177=""),"",ROUND($M177*$K177,1))</f>
        <v/>
      </c>
      <c r="O177" s="25" t="str">
        <f aca="false">IF($E177="","",IF($L177&lt;&gt;"","CRITICAL (FLAG)",IF(OR($M177="",$K177=""),"NOT SCORED",IF($N177&gt;=T_CRIT,"CRITICAL",IF($N177&gt;=T_MON,"MONITOR","LOW")))))</f>
        <v/>
      </c>
      <c r="P177" s="12" t="str">
        <f aca="false">IF($M177="","",INDEX(DriverNames,MATCH(MAX($F177:$J177),$F177:$J177,0)))</f>
        <v/>
      </c>
      <c r="Q177" s="21"/>
      <c r="R177" s="26"/>
      <c r="S177" s="2" t="str">
        <f aca="false">IF($O177="","",IF($L177&lt;&gt;"",100,0)+IF($N177="",0,$N177)+ROW()/100000)</f>
        <v/>
      </c>
      <c r="T177" s="2" t="str">
        <f aca="false">IF($S177="","",IF($A177=SEL_MODEL,$S177,""))</f>
        <v/>
      </c>
    </row>
    <row r="178" customFormat="false" ht="15" hidden="false" customHeight="false" outlineLevel="0" collapsed="false">
      <c r="A178" s="19"/>
      <c r="B178" s="20"/>
      <c r="C178" s="21"/>
      <c r="D178" s="20"/>
      <c r="E178" s="19"/>
      <c r="F178" s="20"/>
      <c r="G178" s="20"/>
      <c r="H178" s="20"/>
      <c r="I178" s="22" t="str">
        <f aca="false">IF($E178="","",IFERROR(IF(INDEX(SUPPLIERS!$D$4:$D$63,MATCH($E178,SUPPLIERS!$A$4:$A$63,0))="","",INDEX(SUPPLIERS!$D$4:$D$63,MATCH($E178,SUPPLIERS!$A$4:$A$63,0))),""))</f>
        <v/>
      </c>
      <c r="J178" s="22" t="str">
        <f aca="false">IF($E178="","",IFERROR(IF(INDEX(SUPPLIERS!$E$4:$E$63,MATCH($E178,SUPPLIERS!$A$4:$A$63,0))="","",INDEX(SUPPLIERS!$E$4:$E$63,MATCH($E178,SUPPLIERS!$A$4:$A$63,0))),""))</f>
        <v/>
      </c>
      <c r="K178" s="20"/>
      <c r="L178" s="19"/>
      <c r="M178" s="23" t="str">
        <f aca="false">IF(COUNT($F178:$J178)&lt;5,"",ROUND($F178*W_SRC+$G178*W_QC+$H178*W_CAP+$I178*W_SUP+$J178*W_EXT,1))</f>
        <v/>
      </c>
      <c r="N178" s="24" t="str">
        <f aca="false">IF(OR($M178="",$K178=""),"",ROUND($M178*$K178,1))</f>
        <v/>
      </c>
      <c r="O178" s="25" t="str">
        <f aca="false">IF($E178="","",IF($L178&lt;&gt;"","CRITICAL (FLAG)",IF(OR($M178="",$K178=""),"NOT SCORED",IF($N178&gt;=T_CRIT,"CRITICAL",IF($N178&gt;=T_MON,"MONITOR","LOW")))))</f>
        <v/>
      </c>
      <c r="P178" s="12" t="str">
        <f aca="false">IF($M178="","",INDEX(DriverNames,MATCH(MAX($F178:$J178),$F178:$J178,0)))</f>
        <v/>
      </c>
      <c r="Q178" s="21"/>
      <c r="R178" s="26"/>
      <c r="S178" s="2" t="str">
        <f aca="false">IF($O178="","",IF($L178&lt;&gt;"",100,0)+IF($N178="",0,$N178)+ROW()/100000)</f>
        <v/>
      </c>
      <c r="T178" s="2" t="str">
        <f aca="false">IF($S178="","",IF($A178=SEL_MODEL,$S178,""))</f>
        <v/>
      </c>
    </row>
    <row r="179" customFormat="false" ht="15" hidden="false" customHeight="false" outlineLevel="0" collapsed="false">
      <c r="A179" s="19"/>
      <c r="B179" s="20"/>
      <c r="C179" s="21"/>
      <c r="D179" s="20"/>
      <c r="E179" s="19"/>
      <c r="F179" s="20"/>
      <c r="G179" s="20"/>
      <c r="H179" s="20"/>
      <c r="I179" s="22" t="str">
        <f aca="false">IF($E179="","",IFERROR(IF(INDEX(SUPPLIERS!$D$4:$D$63,MATCH($E179,SUPPLIERS!$A$4:$A$63,0))="","",INDEX(SUPPLIERS!$D$4:$D$63,MATCH($E179,SUPPLIERS!$A$4:$A$63,0))),""))</f>
        <v/>
      </c>
      <c r="J179" s="22" t="str">
        <f aca="false">IF($E179="","",IFERROR(IF(INDEX(SUPPLIERS!$E$4:$E$63,MATCH($E179,SUPPLIERS!$A$4:$A$63,0))="","",INDEX(SUPPLIERS!$E$4:$E$63,MATCH($E179,SUPPLIERS!$A$4:$A$63,0))),""))</f>
        <v/>
      </c>
      <c r="K179" s="20"/>
      <c r="L179" s="19"/>
      <c r="M179" s="23" t="str">
        <f aca="false">IF(COUNT($F179:$J179)&lt;5,"",ROUND($F179*W_SRC+$G179*W_QC+$H179*W_CAP+$I179*W_SUP+$J179*W_EXT,1))</f>
        <v/>
      </c>
      <c r="N179" s="24" t="str">
        <f aca="false">IF(OR($M179="",$K179=""),"",ROUND($M179*$K179,1))</f>
        <v/>
      </c>
      <c r="O179" s="25" t="str">
        <f aca="false">IF($E179="","",IF($L179&lt;&gt;"","CRITICAL (FLAG)",IF(OR($M179="",$K179=""),"NOT SCORED",IF($N179&gt;=T_CRIT,"CRITICAL",IF($N179&gt;=T_MON,"MONITOR","LOW")))))</f>
        <v/>
      </c>
      <c r="P179" s="12" t="str">
        <f aca="false">IF($M179="","",INDEX(DriverNames,MATCH(MAX($F179:$J179),$F179:$J179,0)))</f>
        <v/>
      </c>
      <c r="Q179" s="21"/>
      <c r="R179" s="26"/>
      <c r="S179" s="2" t="str">
        <f aca="false">IF($O179="","",IF($L179&lt;&gt;"",100,0)+IF($N179="",0,$N179)+ROW()/100000)</f>
        <v/>
      </c>
      <c r="T179" s="2" t="str">
        <f aca="false">IF($S179="","",IF($A179=SEL_MODEL,$S179,""))</f>
        <v/>
      </c>
    </row>
    <row r="180" customFormat="false" ht="15" hidden="false" customHeight="false" outlineLevel="0" collapsed="false">
      <c r="A180" s="19"/>
      <c r="B180" s="20"/>
      <c r="C180" s="21"/>
      <c r="D180" s="20"/>
      <c r="E180" s="19"/>
      <c r="F180" s="20"/>
      <c r="G180" s="20"/>
      <c r="H180" s="20"/>
      <c r="I180" s="22" t="str">
        <f aca="false">IF($E180="","",IFERROR(IF(INDEX(SUPPLIERS!$D$4:$D$63,MATCH($E180,SUPPLIERS!$A$4:$A$63,0))="","",INDEX(SUPPLIERS!$D$4:$D$63,MATCH($E180,SUPPLIERS!$A$4:$A$63,0))),""))</f>
        <v/>
      </c>
      <c r="J180" s="22" t="str">
        <f aca="false">IF($E180="","",IFERROR(IF(INDEX(SUPPLIERS!$E$4:$E$63,MATCH($E180,SUPPLIERS!$A$4:$A$63,0))="","",INDEX(SUPPLIERS!$E$4:$E$63,MATCH($E180,SUPPLIERS!$A$4:$A$63,0))),""))</f>
        <v/>
      </c>
      <c r="K180" s="20"/>
      <c r="L180" s="19"/>
      <c r="M180" s="23" t="str">
        <f aca="false">IF(COUNT($F180:$J180)&lt;5,"",ROUND($F180*W_SRC+$G180*W_QC+$H180*W_CAP+$I180*W_SUP+$J180*W_EXT,1))</f>
        <v/>
      </c>
      <c r="N180" s="24" t="str">
        <f aca="false">IF(OR($M180="",$K180=""),"",ROUND($M180*$K180,1))</f>
        <v/>
      </c>
      <c r="O180" s="25" t="str">
        <f aca="false">IF($E180="","",IF($L180&lt;&gt;"","CRITICAL (FLAG)",IF(OR($M180="",$K180=""),"NOT SCORED",IF($N180&gt;=T_CRIT,"CRITICAL",IF($N180&gt;=T_MON,"MONITOR","LOW")))))</f>
        <v/>
      </c>
      <c r="P180" s="12" t="str">
        <f aca="false">IF($M180="","",INDEX(DriverNames,MATCH(MAX($F180:$J180),$F180:$J180,0)))</f>
        <v/>
      </c>
      <c r="Q180" s="21"/>
      <c r="R180" s="26"/>
      <c r="S180" s="2" t="str">
        <f aca="false">IF($O180="","",IF($L180&lt;&gt;"",100,0)+IF($N180="",0,$N180)+ROW()/100000)</f>
        <v/>
      </c>
      <c r="T180" s="2" t="str">
        <f aca="false">IF($S180="","",IF($A180=SEL_MODEL,$S180,""))</f>
        <v/>
      </c>
    </row>
    <row r="181" customFormat="false" ht="15" hidden="false" customHeight="false" outlineLevel="0" collapsed="false">
      <c r="A181" s="19"/>
      <c r="B181" s="20"/>
      <c r="C181" s="21"/>
      <c r="D181" s="20"/>
      <c r="E181" s="19"/>
      <c r="F181" s="20"/>
      <c r="G181" s="20"/>
      <c r="H181" s="20"/>
      <c r="I181" s="22" t="str">
        <f aca="false">IF($E181="","",IFERROR(IF(INDEX(SUPPLIERS!$D$4:$D$63,MATCH($E181,SUPPLIERS!$A$4:$A$63,0))="","",INDEX(SUPPLIERS!$D$4:$D$63,MATCH($E181,SUPPLIERS!$A$4:$A$63,0))),""))</f>
        <v/>
      </c>
      <c r="J181" s="22" t="str">
        <f aca="false">IF($E181="","",IFERROR(IF(INDEX(SUPPLIERS!$E$4:$E$63,MATCH($E181,SUPPLIERS!$A$4:$A$63,0))="","",INDEX(SUPPLIERS!$E$4:$E$63,MATCH($E181,SUPPLIERS!$A$4:$A$63,0))),""))</f>
        <v/>
      </c>
      <c r="K181" s="20"/>
      <c r="L181" s="19"/>
      <c r="M181" s="23" t="str">
        <f aca="false">IF(COUNT($F181:$J181)&lt;5,"",ROUND($F181*W_SRC+$G181*W_QC+$H181*W_CAP+$I181*W_SUP+$J181*W_EXT,1))</f>
        <v/>
      </c>
      <c r="N181" s="24" t="str">
        <f aca="false">IF(OR($M181="",$K181=""),"",ROUND($M181*$K181,1))</f>
        <v/>
      </c>
      <c r="O181" s="25" t="str">
        <f aca="false">IF($E181="","",IF($L181&lt;&gt;"","CRITICAL (FLAG)",IF(OR($M181="",$K181=""),"NOT SCORED",IF($N181&gt;=T_CRIT,"CRITICAL",IF($N181&gt;=T_MON,"MONITOR","LOW")))))</f>
        <v/>
      </c>
      <c r="P181" s="12" t="str">
        <f aca="false">IF($M181="","",INDEX(DriverNames,MATCH(MAX($F181:$J181),$F181:$J181,0)))</f>
        <v/>
      </c>
      <c r="Q181" s="21"/>
      <c r="R181" s="26"/>
      <c r="S181" s="2" t="str">
        <f aca="false">IF($O181="","",IF($L181&lt;&gt;"",100,0)+IF($N181="",0,$N181)+ROW()/100000)</f>
        <v/>
      </c>
      <c r="T181" s="2" t="str">
        <f aca="false">IF($S181="","",IF($A181=SEL_MODEL,$S181,""))</f>
        <v/>
      </c>
    </row>
    <row r="182" customFormat="false" ht="15" hidden="false" customHeight="false" outlineLevel="0" collapsed="false">
      <c r="A182" s="19"/>
      <c r="B182" s="20"/>
      <c r="C182" s="21"/>
      <c r="D182" s="20"/>
      <c r="E182" s="19"/>
      <c r="F182" s="20"/>
      <c r="G182" s="20"/>
      <c r="H182" s="20"/>
      <c r="I182" s="22" t="str">
        <f aca="false">IF($E182="","",IFERROR(IF(INDEX(SUPPLIERS!$D$4:$D$63,MATCH($E182,SUPPLIERS!$A$4:$A$63,0))="","",INDEX(SUPPLIERS!$D$4:$D$63,MATCH($E182,SUPPLIERS!$A$4:$A$63,0))),""))</f>
        <v/>
      </c>
      <c r="J182" s="22" t="str">
        <f aca="false">IF($E182="","",IFERROR(IF(INDEX(SUPPLIERS!$E$4:$E$63,MATCH($E182,SUPPLIERS!$A$4:$A$63,0))="","",INDEX(SUPPLIERS!$E$4:$E$63,MATCH($E182,SUPPLIERS!$A$4:$A$63,0))),""))</f>
        <v/>
      </c>
      <c r="K182" s="20"/>
      <c r="L182" s="19"/>
      <c r="M182" s="23" t="str">
        <f aca="false">IF(COUNT($F182:$J182)&lt;5,"",ROUND($F182*W_SRC+$G182*W_QC+$H182*W_CAP+$I182*W_SUP+$J182*W_EXT,1))</f>
        <v/>
      </c>
      <c r="N182" s="24" t="str">
        <f aca="false">IF(OR($M182="",$K182=""),"",ROUND($M182*$K182,1))</f>
        <v/>
      </c>
      <c r="O182" s="25" t="str">
        <f aca="false">IF($E182="","",IF($L182&lt;&gt;"","CRITICAL (FLAG)",IF(OR($M182="",$K182=""),"NOT SCORED",IF($N182&gt;=T_CRIT,"CRITICAL",IF($N182&gt;=T_MON,"MONITOR","LOW")))))</f>
        <v/>
      </c>
      <c r="P182" s="12" t="str">
        <f aca="false">IF($M182="","",INDEX(DriverNames,MATCH(MAX($F182:$J182),$F182:$J182,0)))</f>
        <v/>
      </c>
      <c r="Q182" s="21"/>
      <c r="R182" s="26"/>
      <c r="S182" s="2" t="str">
        <f aca="false">IF($O182="","",IF($L182&lt;&gt;"",100,0)+IF($N182="",0,$N182)+ROW()/100000)</f>
        <v/>
      </c>
      <c r="T182" s="2" t="str">
        <f aca="false">IF($S182="","",IF($A182=SEL_MODEL,$S182,""))</f>
        <v/>
      </c>
    </row>
    <row r="183" customFormat="false" ht="15" hidden="false" customHeight="false" outlineLevel="0" collapsed="false">
      <c r="A183" s="19"/>
      <c r="B183" s="20"/>
      <c r="C183" s="21"/>
      <c r="D183" s="20"/>
      <c r="E183" s="19"/>
      <c r="F183" s="20"/>
      <c r="G183" s="20"/>
      <c r="H183" s="20"/>
      <c r="I183" s="22" t="str">
        <f aca="false">IF($E183="","",IFERROR(IF(INDEX(SUPPLIERS!$D$4:$D$63,MATCH($E183,SUPPLIERS!$A$4:$A$63,0))="","",INDEX(SUPPLIERS!$D$4:$D$63,MATCH($E183,SUPPLIERS!$A$4:$A$63,0))),""))</f>
        <v/>
      </c>
      <c r="J183" s="22" t="str">
        <f aca="false">IF($E183="","",IFERROR(IF(INDEX(SUPPLIERS!$E$4:$E$63,MATCH($E183,SUPPLIERS!$A$4:$A$63,0))="","",INDEX(SUPPLIERS!$E$4:$E$63,MATCH($E183,SUPPLIERS!$A$4:$A$63,0))),""))</f>
        <v/>
      </c>
      <c r="K183" s="20"/>
      <c r="L183" s="19"/>
      <c r="M183" s="23" t="str">
        <f aca="false">IF(COUNT($F183:$J183)&lt;5,"",ROUND($F183*W_SRC+$G183*W_QC+$H183*W_CAP+$I183*W_SUP+$J183*W_EXT,1))</f>
        <v/>
      </c>
      <c r="N183" s="24" t="str">
        <f aca="false">IF(OR($M183="",$K183=""),"",ROUND($M183*$K183,1))</f>
        <v/>
      </c>
      <c r="O183" s="25" t="str">
        <f aca="false">IF($E183="","",IF($L183&lt;&gt;"","CRITICAL (FLAG)",IF(OR($M183="",$K183=""),"NOT SCORED",IF($N183&gt;=T_CRIT,"CRITICAL",IF($N183&gt;=T_MON,"MONITOR","LOW")))))</f>
        <v/>
      </c>
      <c r="P183" s="12" t="str">
        <f aca="false">IF($M183="","",INDEX(DriverNames,MATCH(MAX($F183:$J183),$F183:$J183,0)))</f>
        <v/>
      </c>
      <c r="Q183" s="21"/>
      <c r="R183" s="26"/>
      <c r="S183" s="2" t="str">
        <f aca="false">IF($O183="","",IF($L183&lt;&gt;"",100,0)+IF($N183="",0,$N183)+ROW()/100000)</f>
        <v/>
      </c>
      <c r="T183" s="2" t="str">
        <f aca="false">IF($S183="","",IF($A183=SEL_MODEL,$S183,""))</f>
        <v/>
      </c>
    </row>
    <row r="184" customFormat="false" ht="15" hidden="false" customHeight="false" outlineLevel="0" collapsed="false">
      <c r="A184" s="19"/>
      <c r="B184" s="20"/>
      <c r="C184" s="21"/>
      <c r="D184" s="20"/>
      <c r="E184" s="19"/>
      <c r="F184" s="20"/>
      <c r="G184" s="20"/>
      <c r="H184" s="20"/>
      <c r="I184" s="22" t="str">
        <f aca="false">IF($E184="","",IFERROR(IF(INDEX(SUPPLIERS!$D$4:$D$63,MATCH($E184,SUPPLIERS!$A$4:$A$63,0))="","",INDEX(SUPPLIERS!$D$4:$D$63,MATCH($E184,SUPPLIERS!$A$4:$A$63,0))),""))</f>
        <v/>
      </c>
      <c r="J184" s="22" t="str">
        <f aca="false">IF($E184="","",IFERROR(IF(INDEX(SUPPLIERS!$E$4:$E$63,MATCH($E184,SUPPLIERS!$A$4:$A$63,0))="","",INDEX(SUPPLIERS!$E$4:$E$63,MATCH($E184,SUPPLIERS!$A$4:$A$63,0))),""))</f>
        <v/>
      </c>
      <c r="K184" s="20"/>
      <c r="L184" s="19"/>
      <c r="M184" s="23" t="str">
        <f aca="false">IF(COUNT($F184:$J184)&lt;5,"",ROUND($F184*W_SRC+$G184*W_QC+$H184*W_CAP+$I184*W_SUP+$J184*W_EXT,1))</f>
        <v/>
      </c>
      <c r="N184" s="24" t="str">
        <f aca="false">IF(OR($M184="",$K184=""),"",ROUND($M184*$K184,1))</f>
        <v/>
      </c>
      <c r="O184" s="25" t="str">
        <f aca="false">IF($E184="","",IF($L184&lt;&gt;"","CRITICAL (FLAG)",IF(OR($M184="",$K184=""),"NOT SCORED",IF($N184&gt;=T_CRIT,"CRITICAL",IF($N184&gt;=T_MON,"MONITOR","LOW")))))</f>
        <v/>
      </c>
      <c r="P184" s="12" t="str">
        <f aca="false">IF($M184="","",INDEX(DriverNames,MATCH(MAX($F184:$J184),$F184:$J184,0)))</f>
        <v/>
      </c>
      <c r="Q184" s="21"/>
      <c r="R184" s="26"/>
      <c r="S184" s="2" t="str">
        <f aca="false">IF($O184="","",IF($L184&lt;&gt;"",100,0)+IF($N184="",0,$N184)+ROW()/100000)</f>
        <v/>
      </c>
      <c r="T184" s="2" t="str">
        <f aca="false">IF($S184="","",IF($A184=SEL_MODEL,$S184,""))</f>
        <v/>
      </c>
    </row>
    <row r="185" customFormat="false" ht="15" hidden="false" customHeight="false" outlineLevel="0" collapsed="false">
      <c r="A185" s="19"/>
      <c r="B185" s="20"/>
      <c r="C185" s="21"/>
      <c r="D185" s="20"/>
      <c r="E185" s="19"/>
      <c r="F185" s="20"/>
      <c r="G185" s="20"/>
      <c r="H185" s="20"/>
      <c r="I185" s="22" t="str">
        <f aca="false">IF($E185="","",IFERROR(IF(INDEX(SUPPLIERS!$D$4:$D$63,MATCH($E185,SUPPLIERS!$A$4:$A$63,0))="","",INDEX(SUPPLIERS!$D$4:$D$63,MATCH($E185,SUPPLIERS!$A$4:$A$63,0))),""))</f>
        <v/>
      </c>
      <c r="J185" s="22" t="str">
        <f aca="false">IF($E185="","",IFERROR(IF(INDEX(SUPPLIERS!$E$4:$E$63,MATCH($E185,SUPPLIERS!$A$4:$A$63,0))="","",INDEX(SUPPLIERS!$E$4:$E$63,MATCH($E185,SUPPLIERS!$A$4:$A$63,0))),""))</f>
        <v/>
      </c>
      <c r="K185" s="20"/>
      <c r="L185" s="19"/>
      <c r="M185" s="23" t="str">
        <f aca="false">IF(COUNT($F185:$J185)&lt;5,"",ROUND($F185*W_SRC+$G185*W_QC+$H185*W_CAP+$I185*W_SUP+$J185*W_EXT,1))</f>
        <v/>
      </c>
      <c r="N185" s="24" t="str">
        <f aca="false">IF(OR($M185="",$K185=""),"",ROUND($M185*$K185,1))</f>
        <v/>
      </c>
      <c r="O185" s="25" t="str">
        <f aca="false">IF($E185="","",IF($L185&lt;&gt;"","CRITICAL (FLAG)",IF(OR($M185="",$K185=""),"NOT SCORED",IF($N185&gt;=T_CRIT,"CRITICAL",IF($N185&gt;=T_MON,"MONITOR","LOW")))))</f>
        <v/>
      </c>
      <c r="P185" s="12" t="str">
        <f aca="false">IF($M185="","",INDEX(DriverNames,MATCH(MAX($F185:$J185),$F185:$J185,0)))</f>
        <v/>
      </c>
      <c r="Q185" s="21"/>
      <c r="R185" s="26"/>
      <c r="S185" s="2" t="str">
        <f aca="false">IF($O185="","",IF($L185&lt;&gt;"",100,0)+IF($N185="",0,$N185)+ROW()/100000)</f>
        <v/>
      </c>
      <c r="T185" s="2" t="str">
        <f aca="false">IF($S185="","",IF($A185=SEL_MODEL,$S185,""))</f>
        <v/>
      </c>
    </row>
    <row r="186" customFormat="false" ht="15" hidden="false" customHeight="false" outlineLevel="0" collapsed="false">
      <c r="A186" s="19"/>
      <c r="B186" s="20"/>
      <c r="C186" s="21"/>
      <c r="D186" s="20"/>
      <c r="E186" s="19"/>
      <c r="F186" s="20"/>
      <c r="G186" s="20"/>
      <c r="H186" s="20"/>
      <c r="I186" s="22" t="str">
        <f aca="false">IF($E186="","",IFERROR(IF(INDEX(SUPPLIERS!$D$4:$D$63,MATCH($E186,SUPPLIERS!$A$4:$A$63,0))="","",INDEX(SUPPLIERS!$D$4:$D$63,MATCH($E186,SUPPLIERS!$A$4:$A$63,0))),""))</f>
        <v/>
      </c>
      <c r="J186" s="22" t="str">
        <f aca="false">IF($E186="","",IFERROR(IF(INDEX(SUPPLIERS!$E$4:$E$63,MATCH($E186,SUPPLIERS!$A$4:$A$63,0))="","",INDEX(SUPPLIERS!$E$4:$E$63,MATCH($E186,SUPPLIERS!$A$4:$A$63,0))),""))</f>
        <v/>
      </c>
      <c r="K186" s="20"/>
      <c r="L186" s="19"/>
      <c r="M186" s="23" t="str">
        <f aca="false">IF(COUNT($F186:$J186)&lt;5,"",ROUND($F186*W_SRC+$G186*W_QC+$H186*W_CAP+$I186*W_SUP+$J186*W_EXT,1))</f>
        <v/>
      </c>
      <c r="N186" s="24" t="str">
        <f aca="false">IF(OR($M186="",$K186=""),"",ROUND($M186*$K186,1))</f>
        <v/>
      </c>
      <c r="O186" s="25" t="str">
        <f aca="false">IF($E186="","",IF($L186&lt;&gt;"","CRITICAL (FLAG)",IF(OR($M186="",$K186=""),"NOT SCORED",IF($N186&gt;=T_CRIT,"CRITICAL",IF($N186&gt;=T_MON,"MONITOR","LOW")))))</f>
        <v/>
      </c>
      <c r="P186" s="12" t="str">
        <f aca="false">IF($M186="","",INDEX(DriverNames,MATCH(MAX($F186:$J186),$F186:$J186,0)))</f>
        <v/>
      </c>
      <c r="Q186" s="21"/>
      <c r="R186" s="26"/>
      <c r="S186" s="2" t="str">
        <f aca="false">IF($O186="","",IF($L186&lt;&gt;"",100,0)+IF($N186="",0,$N186)+ROW()/100000)</f>
        <v/>
      </c>
      <c r="T186" s="2" t="str">
        <f aca="false">IF($S186="","",IF($A186=SEL_MODEL,$S186,""))</f>
        <v/>
      </c>
    </row>
    <row r="187" customFormat="false" ht="15" hidden="false" customHeight="false" outlineLevel="0" collapsed="false">
      <c r="A187" s="19"/>
      <c r="B187" s="20"/>
      <c r="C187" s="21"/>
      <c r="D187" s="20"/>
      <c r="E187" s="19"/>
      <c r="F187" s="20"/>
      <c r="G187" s="20"/>
      <c r="H187" s="20"/>
      <c r="I187" s="22" t="str">
        <f aca="false">IF($E187="","",IFERROR(IF(INDEX(SUPPLIERS!$D$4:$D$63,MATCH($E187,SUPPLIERS!$A$4:$A$63,0))="","",INDEX(SUPPLIERS!$D$4:$D$63,MATCH($E187,SUPPLIERS!$A$4:$A$63,0))),""))</f>
        <v/>
      </c>
      <c r="J187" s="22" t="str">
        <f aca="false">IF($E187="","",IFERROR(IF(INDEX(SUPPLIERS!$E$4:$E$63,MATCH($E187,SUPPLIERS!$A$4:$A$63,0))="","",INDEX(SUPPLIERS!$E$4:$E$63,MATCH($E187,SUPPLIERS!$A$4:$A$63,0))),""))</f>
        <v/>
      </c>
      <c r="K187" s="20"/>
      <c r="L187" s="19"/>
      <c r="M187" s="23" t="str">
        <f aca="false">IF(COUNT($F187:$J187)&lt;5,"",ROUND($F187*W_SRC+$G187*W_QC+$H187*W_CAP+$I187*W_SUP+$J187*W_EXT,1))</f>
        <v/>
      </c>
      <c r="N187" s="24" t="str">
        <f aca="false">IF(OR($M187="",$K187=""),"",ROUND($M187*$K187,1))</f>
        <v/>
      </c>
      <c r="O187" s="25" t="str">
        <f aca="false">IF($E187="","",IF($L187&lt;&gt;"","CRITICAL (FLAG)",IF(OR($M187="",$K187=""),"NOT SCORED",IF($N187&gt;=T_CRIT,"CRITICAL",IF($N187&gt;=T_MON,"MONITOR","LOW")))))</f>
        <v/>
      </c>
      <c r="P187" s="12" t="str">
        <f aca="false">IF($M187="","",INDEX(DriverNames,MATCH(MAX($F187:$J187),$F187:$J187,0)))</f>
        <v/>
      </c>
      <c r="Q187" s="21"/>
      <c r="R187" s="26"/>
      <c r="S187" s="2" t="str">
        <f aca="false">IF($O187="","",IF($L187&lt;&gt;"",100,0)+IF($N187="",0,$N187)+ROW()/100000)</f>
        <v/>
      </c>
      <c r="T187" s="2" t="str">
        <f aca="false">IF($S187="","",IF($A187=SEL_MODEL,$S187,""))</f>
        <v/>
      </c>
    </row>
    <row r="188" customFormat="false" ht="15" hidden="false" customHeight="false" outlineLevel="0" collapsed="false">
      <c r="A188" s="19"/>
      <c r="B188" s="20"/>
      <c r="C188" s="21"/>
      <c r="D188" s="20"/>
      <c r="E188" s="19"/>
      <c r="F188" s="20"/>
      <c r="G188" s="20"/>
      <c r="H188" s="20"/>
      <c r="I188" s="22" t="str">
        <f aca="false">IF($E188="","",IFERROR(IF(INDEX(SUPPLIERS!$D$4:$D$63,MATCH($E188,SUPPLIERS!$A$4:$A$63,0))="","",INDEX(SUPPLIERS!$D$4:$D$63,MATCH($E188,SUPPLIERS!$A$4:$A$63,0))),""))</f>
        <v/>
      </c>
      <c r="J188" s="22" t="str">
        <f aca="false">IF($E188="","",IFERROR(IF(INDEX(SUPPLIERS!$E$4:$E$63,MATCH($E188,SUPPLIERS!$A$4:$A$63,0))="","",INDEX(SUPPLIERS!$E$4:$E$63,MATCH($E188,SUPPLIERS!$A$4:$A$63,0))),""))</f>
        <v/>
      </c>
      <c r="K188" s="20"/>
      <c r="L188" s="19"/>
      <c r="M188" s="23" t="str">
        <f aca="false">IF(COUNT($F188:$J188)&lt;5,"",ROUND($F188*W_SRC+$G188*W_QC+$H188*W_CAP+$I188*W_SUP+$J188*W_EXT,1))</f>
        <v/>
      </c>
      <c r="N188" s="24" t="str">
        <f aca="false">IF(OR($M188="",$K188=""),"",ROUND($M188*$K188,1))</f>
        <v/>
      </c>
      <c r="O188" s="25" t="str">
        <f aca="false">IF($E188="","",IF($L188&lt;&gt;"","CRITICAL (FLAG)",IF(OR($M188="",$K188=""),"NOT SCORED",IF($N188&gt;=T_CRIT,"CRITICAL",IF($N188&gt;=T_MON,"MONITOR","LOW")))))</f>
        <v/>
      </c>
      <c r="P188" s="12" t="str">
        <f aca="false">IF($M188="","",INDEX(DriverNames,MATCH(MAX($F188:$J188),$F188:$J188,0)))</f>
        <v/>
      </c>
      <c r="Q188" s="21"/>
      <c r="R188" s="26"/>
      <c r="S188" s="2" t="str">
        <f aca="false">IF($O188="","",IF($L188&lt;&gt;"",100,0)+IF($N188="",0,$N188)+ROW()/100000)</f>
        <v/>
      </c>
      <c r="T188" s="2" t="str">
        <f aca="false">IF($S188="","",IF($A188=SEL_MODEL,$S188,""))</f>
        <v/>
      </c>
    </row>
    <row r="189" customFormat="false" ht="15" hidden="false" customHeight="false" outlineLevel="0" collapsed="false">
      <c r="A189" s="19"/>
      <c r="B189" s="20"/>
      <c r="C189" s="21"/>
      <c r="D189" s="20"/>
      <c r="E189" s="19"/>
      <c r="F189" s="20"/>
      <c r="G189" s="20"/>
      <c r="H189" s="20"/>
      <c r="I189" s="22" t="str">
        <f aca="false">IF($E189="","",IFERROR(IF(INDEX(SUPPLIERS!$D$4:$D$63,MATCH($E189,SUPPLIERS!$A$4:$A$63,0))="","",INDEX(SUPPLIERS!$D$4:$D$63,MATCH($E189,SUPPLIERS!$A$4:$A$63,0))),""))</f>
        <v/>
      </c>
      <c r="J189" s="22" t="str">
        <f aca="false">IF($E189="","",IFERROR(IF(INDEX(SUPPLIERS!$E$4:$E$63,MATCH($E189,SUPPLIERS!$A$4:$A$63,0))="","",INDEX(SUPPLIERS!$E$4:$E$63,MATCH($E189,SUPPLIERS!$A$4:$A$63,0))),""))</f>
        <v/>
      </c>
      <c r="K189" s="20"/>
      <c r="L189" s="19"/>
      <c r="M189" s="23" t="str">
        <f aca="false">IF(COUNT($F189:$J189)&lt;5,"",ROUND($F189*W_SRC+$G189*W_QC+$H189*W_CAP+$I189*W_SUP+$J189*W_EXT,1))</f>
        <v/>
      </c>
      <c r="N189" s="24" t="str">
        <f aca="false">IF(OR($M189="",$K189=""),"",ROUND($M189*$K189,1))</f>
        <v/>
      </c>
      <c r="O189" s="25" t="str">
        <f aca="false">IF($E189="","",IF($L189&lt;&gt;"","CRITICAL (FLAG)",IF(OR($M189="",$K189=""),"NOT SCORED",IF($N189&gt;=T_CRIT,"CRITICAL",IF($N189&gt;=T_MON,"MONITOR","LOW")))))</f>
        <v/>
      </c>
      <c r="P189" s="12" t="str">
        <f aca="false">IF($M189="","",INDEX(DriverNames,MATCH(MAX($F189:$J189),$F189:$J189,0)))</f>
        <v/>
      </c>
      <c r="Q189" s="21"/>
      <c r="R189" s="26"/>
      <c r="S189" s="2" t="str">
        <f aca="false">IF($O189="","",IF($L189&lt;&gt;"",100,0)+IF($N189="",0,$N189)+ROW()/100000)</f>
        <v/>
      </c>
      <c r="T189" s="2" t="str">
        <f aca="false">IF($S189="","",IF($A189=SEL_MODEL,$S189,""))</f>
        <v/>
      </c>
    </row>
    <row r="190" customFormat="false" ht="15" hidden="false" customHeight="false" outlineLevel="0" collapsed="false">
      <c r="A190" s="19"/>
      <c r="B190" s="20"/>
      <c r="C190" s="21"/>
      <c r="D190" s="20"/>
      <c r="E190" s="19"/>
      <c r="F190" s="20"/>
      <c r="G190" s="20"/>
      <c r="H190" s="20"/>
      <c r="I190" s="22" t="str">
        <f aca="false">IF($E190="","",IFERROR(IF(INDEX(SUPPLIERS!$D$4:$D$63,MATCH($E190,SUPPLIERS!$A$4:$A$63,0))="","",INDEX(SUPPLIERS!$D$4:$D$63,MATCH($E190,SUPPLIERS!$A$4:$A$63,0))),""))</f>
        <v/>
      </c>
      <c r="J190" s="22" t="str">
        <f aca="false">IF($E190="","",IFERROR(IF(INDEX(SUPPLIERS!$E$4:$E$63,MATCH($E190,SUPPLIERS!$A$4:$A$63,0))="","",INDEX(SUPPLIERS!$E$4:$E$63,MATCH($E190,SUPPLIERS!$A$4:$A$63,0))),""))</f>
        <v/>
      </c>
      <c r="K190" s="20"/>
      <c r="L190" s="19"/>
      <c r="M190" s="23" t="str">
        <f aca="false">IF(COUNT($F190:$J190)&lt;5,"",ROUND($F190*W_SRC+$G190*W_QC+$H190*W_CAP+$I190*W_SUP+$J190*W_EXT,1))</f>
        <v/>
      </c>
      <c r="N190" s="24" t="str">
        <f aca="false">IF(OR($M190="",$K190=""),"",ROUND($M190*$K190,1))</f>
        <v/>
      </c>
      <c r="O190" s="25" t="str">
        <f aca="false">IF($E190="","",IF($L190&lt;&gt;"","CRITICAL (FLAG)",IF(OR($M190="",$K190=""),"NOT SCORED",IF($N190&gt;=T_CRIT,"CRITICAL",IF($N190&gt;=T_MON,"MONITOR","LOW")))))</f>
        <v/>
      </c>
      <c r="P190" s="12" t="str">
        <f aca="false">IF($M190="","",INDEX(DriverNames,MATCH(MAX($F190:$J190),$F190:$J190,0)))</f>
        <v/>
      </c>
      <c r="Q190" s="21"/>
      <c r="R190" s="26"/>
      <c r="S190" s="2" t="str">
        <f aca="false">IF($O190="","",IF($L190&lt;&gt;"",100,0)+IF($N190="",0,$N190)+ROW()/100000)</f>
        <v/>
      </c>
      <c r="T190" s="2" t="str">
        <f aca="false">IF($S190="","",IF($A190=SEL_MODEL,$S190,""))</f>
        <v/>
      </c>
    </row>
    <row r="191" customFormat="false" ht="15" hidden="false" customHeight="false" outlineLevel="0" collapsed="false">
      <c r="A191" s="19"/>
      <c r="B191" s="20"/>
      <c r="C191" s="21"/>
      <c r="D191" s="20"/>
      <c r="E191" s="19"/>
      <c r="F191" s="20"/>
      <c r="G191" s="20"/>
      <c r="H191" s="20"/>
      <c r="I191" s="22" t="str">
        <f aca="false">IF($E191="","",IFERROR(IF(INDEX(SUPPLIERS!$D$4:$D$63,MATCH($E191,SUPPLIERS!$A$4:$A$63,0))="","",INDEX(SUPPLIERS!$D$4:$D$63,MATCH($E191,SUPPLIERS!$A$4:$A$63,0))),""))</f>
        <v/>
      </c>
      <c r="J191" s="22" t="str">
        <f aca="false">IF($E191="","",IFERROR(IF(INDEX(SUPPLIERS!$E$4:$E$63,MATCH($E191,SUPPLIERS!$A$4:$A$63,0))="","",INDEX(SUPPLIERS!$E$4:$E$63,MATCH($E191,SUPPLIERS!$A$4:$A$63,0))),""))</f>
        <v/>
      </c>
      <c r="K191" s="20"/>
      <c r="L191" s="19"/>
      <c r="M191" s="23" t="str">
        <f aca="false">IF(COUNT($F191:$J191)&lt;5,"",ROUND($F191*W_SRC+$G191*W_QC+$H191*W_CAP+$I191*W_SUP+$J191*W_EXT,1))</f>
        <v/>
      </c>
      <c r="N191" s="24" t="str">
        <f aca="false">IF(OR($M191="",$K191=""),"",ROUND($M191*$K191,1))</f>
        <v/>
      </c>
      <c r="O191" s="25" t="str">
        <f aca="false">IF($E191="","",IF($L191&lt;&gt;"","CRITICAL (FLAG)",IF(OR($M191="",$K191=""),"NOT SCORED",IF($N191&gt;=T_CRIT,"CRITICAL",IF($N191&gt;=T_MON,"MONITOR","LOW")))))</f>
        <v/>
      </c>
      <c r="P191" s="12" t="str">
        <f aca="false">IF($M191="","",INDEX(DriverNames,MATCH(MAX($F191:$J191),$F191:$J191,0)))</f>
        <v/>
      </c>
      <c r="Q191" s="21"/>
      <c r="R191" s="26"/>
      <c r="S191" s="2" t="str">
        <f aca="false">IF($O191="","",IF($L191&lt;&gt;"",100,0)+IF($N191="",0,$N191)+ROW()/100000)</f>
        <v/>
      </c>
      <c r="T191" s="2" t="str">
        <f aca="false">IF($S191="","",IF($A191=SEL_MODEL,$S191,""))</f>
        <v/>
      </c>
    </row>
    <row r="192" customFormat="false" ht="15" hidden="false" customHeight="false" outlineLevel="0" collapsed="false">
      <c r="A192" s="19"/>
      <c r="B192" s="20"/>
      <c r="C192" s="21"/>
      <c r="D192" s="20"/>
      <c r="E192" s="19"/>
      <c r="F192" s="20"/>
      <c r="G192" s="20"/>
      <c r="H192" s="20"/>
      <c r="I192" s="22" t="str">
        <f aca="false">IF($E192="","",IFERROR(IF(INDEX(SUPPLIERS!$D$4:$D$63,MATCH($E192,SUPPLIERS!$A$4:$A$63,0))="","",INDEX(SUPPLIERS!$D$4:$D$63,MATCH($E192,SUPPLIERS!$A$4:$A$63,0))),""))</f>
        <v/>
      </c>
      <c r="J192" s="22" t="str">
        <f aca="false">IF($E192="","",IFERROR(IF(INDEX(SUPPLIERS!$E$4:$E$63,MATCH($E192,SUPPLIERS!$A$4:$A$63,0))="","",INDEX(SUPPLIERS!$E$4:$E$63,MATCH($E192,SUPPLIERS!$A$4:$A$63,0))),""))</f>
        <v/>
      </c>
      <c r="K192" s="20"/>
      <c r="L192" s="19"/>
      <c r="M192" s="23" t="str">
        <f aca="false">IF(COUNT($F192:$J192)&lt;5,"",ROUND($F192*W_SRC+$G192*W_QC+$H192*W_CAP+$I192*W_SUP+$J192*W_EXT,1))</f>
        <v/>
      </c>
      <c r="N192" s="24" t="str">
        <f aca="false">IF(OR($M192="",$K192=""),"",ROUND($M192*$K192,1))</f>
        <v/>
      </c>
      <c r="O192" s="25" t="str">
        <f aca="false">IF($E192="","",IF($L192&lt;&gt;"","CRITICAL (FLAG)",IF(OR($M192="",$K192=""),"NOT SCORED",IF($N192&gt;=T_CRIT,"CRITICAL",IF($N192&gt;=T_MON,"MONITOR","LOW")))))</f>
        <v/>
      </c>
      <c r="P192" s="12" t="str">
        <f aca="false">IF($M192="","",INDEX(DriverNames,MATCH(MAX($F192:$J192),$F192:$J192,0)))</f>
        <v/>
      </c>
      <c r="Q192" s="21"/>
      <c r="R192" s="26"/>
      <c r="S192" s="2" t="str">
        <f aca="false">IF($O192="","",IF($L192&lt;&gt;"",100,0)+IF($N192="",0,$N192)+ROW()/100000)</f>
        <v/>
      </c>
      <c r="T192" s="2" t="str">
        <f aca="false">IF($S192="","",IF($A192=SEL_MODEL,$S192,""))</f>
        <v/>
      </c>
    </row>
    <row r="193" customFormat="false" ht="15" hidden="false" customHeight="false" outlineLevel="0" collapsed="false">
      <c r="A193" s="19"/>
      <c r="B193" s="20"/>
      <c r="C193" s="21"/>
      <c r="D193" s="20"/>
      <c r="E193" s="19"/>
      <c r="F193" s="20"/>
      <c r="G193" s="20"/>
      <c r="H193" s="20"/>
      <c r="I193" s="22" t="str">
        <f aca="false">IF($E193="","",IFERROR(IF(INDEX(SUPPLIERS!$D$4:$D$63,MATCH($E193,SUPPLIERS!$A$4:$A$63,0))="","",INDEX(SUPPLIERS!$D$4:$D$63,MATCH($E193,SUPPLIERS!$A$4:$A$63,0))),""))</f>
        <v/>
      </c>
      <c r="J193" s="22" t="str">
        <f aca="false">IF($E193="","",IFERROR(IF(INDEX(SUPPLIERS!$E$4:$E$63,MATCH($E193,SUPPLIERS!$A$4:$A$63,0))="","",INDEX(SUPPLIERS!$E$4:$E$63,MATCH($E193,SUPPLIERS!$A$4:$A$63,0))),""))</f>
        <v/>
      </c>
      <c r="K193" s="20"/>
      <c r="L193" s="19"/>
      <c r="M193" s="23" t="str">
        <f aca="false">IF(COUNT($F193:$J193)&lt;5,"",ROUND($F193*W_SRC+$G193*W_QC+$H193*W_CAP+$I193*W_SUP+$J193*W_EXT,1))</f>
        <v/>
      </c>
      <c r="N193" s="24" t="str">
        <f aca="false">IF(OR($M193="",$K193=""),"",ROUND($M193*$K193,1))</f>
        <v/>
      </c>
      <c r="O193" s="25" t="str">
        <f aca="false">IF($E193="","",IF($L193&lt;&gt;"","CRITICAL (FLAG)",IF(OR($M193="",$K193=""),"NOT SCORED",IF($N193&gt;=T_CRIT,"CRITICAL",IF($N193&gt;=T_MON,"MONITOR","LOW")))))</f>
        <v/>
      </c>
      <c r="P193" s="12" t="str">
        <f aca="false">IF($M193="","",INDEX(DriverNames,MATCH(MAX($F193:$J193),$F193:$J193,0)))</f>
        <v/>
      </c>
      <c r="Q193" s="21"/>
      <c r="R193" s="26"/>
      <c r="S193" s="2" t="str">
        <f aca="false">IF($O193="","",IF($L193&lt;&gt;"",100,0)+IF($N193="",0,$N193)+ROW()/100000)</f>
        <v/>
      </c>
      <c r="T193" s="2" t="str">
        <f aca="false">IF($S193="","",IF($A193=SEL_MODEL,$S193,""))</f>
        <v/>
      </c>
    </row>
    <row r="194" customFormat="false" ht="15" hidden="false" customHeight="false" outlineLevel="0" collapsed="false">
      <c r="A194" s="19"/>
      <c r="B194" s="20"/>
      <c r="C194" s="21"/>
      <c r="D194" s="20"/>
      <c r="E194" s="19"/>
      <c r="F194" s="20"/>
      <c r="G194" s="20"/>
      <c r="H194" s="20"/>
      <c r="I194" s="22" t="str">
        <f aca="false">IF($E194="","",IFERROR(IF(INDEX(SUPPLIERS!$D$4:$D$63,MATCH($E194,SUPPLIERS!$A$4:$A$63,0))="","",INDEX(SUPPLIERS!$D$4:$D$63,MATCH($E194,SUPPLIERS!$A$4:$A$63,0))),""))</f>
        <v/>
      </c>
      <c r="J194" s="22" t="str">
        <f aca="false">IF($E194="","",IFERROR(IF(INDEX(SUPPLIERS!$E$4:$E$63,MATCH($E194,SUPPLIERS!$A$4:$A$63,0))="","",INDEX(SUPPLIERS!$E$4:$E$63,MATCH($E194,SUPPLIERS!$A$4:$A$63,0))),""))</f>
        <v/>
      </c>
      <c r="K194" s="20"/>
      <c r="L194" s="19"/>
      <c r="M194" s="23" t="str">
        <f aca="false">IF(COUNT($F194:$J194)&lt;5,"",ROUND($F194*W_SRC+$G194*W_QC+$H194*W_CAP+$I194*W_SUP+$J194*W_EXT,1))</f>
        <v/>
      </c>
      <c r="N194" s="24" t="str">
        <f aca="false">IF(OR($M194="",$K194=""),"",ROUND($M194*$K194,1))</f>
        <v/>
      </c>
      <c r="O194" s="25" t="str">
        <f aca="false">IF($E194="","",IF($L194&lt;&gt;"","CRITICAL (FLAG)",IF(OR($M194="",$K194=""),"NOT SCORED",IF($N194&gt;=T_CRIT,"CRITICAL",IF($N194&gt;=T_MON,"MONITOR","LOW")))))</f>
        <v/>
      </c>
      <c r="P194" s="12" t="str">
        <f aca="false">IF($M194="","",INDEX(DriverNames,MATCH(MAX($F194:$J194),$F194:$J194,0)))</f>
        <v/>
      </c>
      <c r="Q194" s="21"/>
      <c r="R194" s="26"/>
      <c r="S194" s="2" t="str">
        <f aca="false">IF($O194="","",IF($L194&lt;&gt;"",100,0)+IF($N194="",0,$N194)+ROW()/100000)</f>
        <v/>
      </c>
      <c r="T194" s="2" t="str">
        <f aca="false">IF($S194="","",IF($A194=SEL_MODEL,$S194,""))</f>
        <v/>
      </c>
    </row>
    <row r="195" customFormat="false" ht="15" hidden="false" customHeight="false" outlineLevel="0" collapsed="false">
      <c r="A195" s="19"/>
      <c r="B195" s="20"/>
      <c r="C195" s="21"/>
      <c r="D195" s="20"/>
      <c r="E195" s="19"/>
      <c r="F195" s="20"/>
      <c r="G195" s="20"/>
      <c r="H195" s="20"/>
      <c r="I195" s="22" t="str">
        <f aca="false">IF($E195="","",IFERROR(IF(INDEX(SUPPLIERS!$D$4:$D$63,MATCH($E195,SUPPLIERS!$A$4:$A$63,0))="","",INDEX(SUPPLIERS!$D$4:$D$63,MATCH($E195,SUPPLIERS!$A$4:$A$63,0))),""))</f>
        <v/>
      </c>
      <c r="J195" s="22" t="str">
        <f aca="false">IF($E195="","",IFERROR(IF(INDEX(SUPPLIERS!$E$4:$E$63,MATCH($E195,SUPPLIERS!$A$4:$A$63,0))="","",INDEX(SUPPLIERS!$E$4:$E$63,MATCH($E195,SUPPLIERS!$A$4:$A$63,0))),""))</f>
        <v/>
      </c>
      <c r="K195" s="20"/>
      <c r="L195" s="19"/>
      <c r="M195" s="23" t="str">
        <f aca="false">IF(COUNT($F195:$J195)&lt;5,"",ROUND($F195*W_SRC+$G195*W_QC+$H195*W_CAP+$I195*W_SUP+$J195*W_EXT,1))</f>
        <v/>
      </c>
      <c r="N195" s="24" t="str">
        <f aca="false">IF(OR($M195="",$K195=""),"",ROUND($M195*$K195,1))</f>
        <v/>
      </c>
      <c r="O195" s="25" t="str">
        <f aca="false">IF($E195="","",IF($L195&lt;&gt;"","CRITICAL (FLAG)",IF(OR($M195="",$K195=""),"NOT SCORED",IF($N195&gt;=T_CRIT,"CRITICAL",IF($N195&gt;=T_MON,"MONITOR","LOW")))))</f>
        <v/>
      </c>
      <c r="P195" s="12" t="str">
        <f aca="false">IF($M195="","",INDEX(DriverNames,MATCH(MAX($F195:$J195),$F195:$J195,0)))</f>
        <v/>
      </c>
      <c r="Q195" s="21"/>
      <c r="R195" s="26"/>
      <c r="S195" s="2" t="str">
        <f aca="false">IF($O195="","",IF($L195&lt;&gt;"",100,0)+IF($N195="",0,$N195)+ROW()/100000)</f>
        <v/>
      </c>
      <c r="T195" s="2" t="str">
        <f aca="false">IF($S195="","",IF($A195=SEL_MODEL,$S195,""))</f>
        <v/>
      </c>
    </row>
    <row r="196" customFormat="false" ht="15" hidden="false" customHeight="false" outlineLevel="0" collapsed="false">
      <c r="A196" s="19"/>
      <c r="B196" s="20"/>
      <c r="C196" s="21"/>
      <c r="D196" s="20"/>
      <c r="E196" s="19"/>
      <c r="F196" s="20"/>
      <c r="G196" s="20"/>
      <c r="H196" s="20"/>
      <c r="I196" s="22" t="str">
        <f aca="false">IF($E196="","",IFERROR(IF(INDEX(SUPPLIERS!$D$4:$D$63,MATCH($E196,SUPPLIERS!$A$4:$A$63,0))="","",INDEX(SUPPLIERS!$D$4:$D$63,MATCH($E196,SUPPLIERS!$A$4:$A$63,0))),""))</f>
        <v/>
      </c>
      <c r="J196" s="22" t="str">
        <f aca="false">IF($E196="","",IFERROR(IF(INDEX(SUPPLIERS!$E$4:$E$63,MATCH($E196,SUPPLIERS!$A$4:$A$63,0))="","",INDEX(SUPPLIERS!$E$4:$E$63,MATCH($E196,SUPPLIERS!$A$4:$A$63,0))),""))</f>
        <v/>
      </c>
      <c r="K196" s="20"/>
      <c r="L196" s="19"/>
      <c r="M196" s="23" t="str">
        <f aca="false">IF(COUNT($F196:$J196)&lt;5,"",ROUND($F196*W_SRC+$G196*W_QC+$H196*W_CAP+$I196*W_SUP+$J196*W_EXT,1))</f>
        <v/>
      </c>
      <c r="N196" s="24" t="str">
        <f aca="false">IF(OR($M196="",$K196=""),"",ROUND($M196*$K196,1))</f>
        <v/>
      </c>
      <c r="O196" s="25" t="str">
        <f aca="false">IF($E196="","",IF($L196&lt;&gt;"","CRITICAL (FLAG)",IF(OR($M196="",$K196=""),"NOT SCORED",IF($N196&gt;=T_CRIT,"CRITICAL",IF($N196&gt;=T_MON,"MONITOR","LOW")))))</f>
        <v/>
      </c>
      <c r="P196" s="12" t="str">
        <f aca="false">IF($M196="","",INDEX(DriverNames,MATCH(MAX($F196:$J196),$F196:$J196,0)))</f>
        <v/>
      </c>
      <c r="Q196" s="21"/>
      <c r="R196" s="26"/>
      <c r="S196" s="2" t="str">
        <f aca="false">IF($O196="","",IF($L196&lt;&gt;"",100,0)+IF($N196="",0,$N196)+ROW()/100000)</f>
        <v/>
      </c>
      <c r="T196" s="2" t="str">
        <f aca="false">IF($S196="","",IF($A196=SEL_MODEL,$S196,""))</f>
        <v/>
      </c>
    </row>
    <row r="197" customFormat="false" ht="15" hidden="false" customHeight="false" outlineLevel="0" collapsed="false">
      <c r="A197" s="19"/>
      <c r="B197" s="20"/>
      <c r="C197" s="21"/>
      <c r="D197" s="20"/>
      <c r="E197" s="19"/>
      <c r="F197" s="20"/>
      <c r="G197" s="20"/>
      <c r="H197" s="20"/>
      <c r="I197" s="22" t="str">
        <f aca="false">IF($E197="","",IFERROR(IF(INDEX(SUPPLIERS!$D$4:$D$63,MATCH($E197,SUPPLIERS!$A$4:$A$63,0))="","",INDEX(SUPPLIERS!$D$4:$D$63,MATCH($E197,SUPPLIERS!$A$4:$A$63,0))),""))</f>
        <v/>
      </c>
      <c r="J197" s="22" t="str">
        <f aca="false">IF($E197="","",IFERROR(IF(INDEX(SUPPLIERS!$E$4:$E$63,MATCH($E197,SUPPLIERS!$A$4:$A$63,0))="","",INDEX(SUPPLIERS!$E$4:$E$63,MATCH($E197,SUPPLIERS!$A$4:$A$63,0))),""))</f>
        <v/>
      </c>
      <c r="K197" s="20"/>
      <c r="L197" s="19"/>
      <c r="M197" s="23" t="str">
        <f aca="false">IF(COUNT($F197:$J197)&lt;5,"",ROUND($F197*W_SRC+$G197*W_QC+$H197*W_CAP+$I197*W_SUP+$J197*W_EXT,1))</f>
        <v/>
      </c>
      <c r="N197" s="24" t="str">
        <f aca="false">IF(OR($M197="",$K197=""),"",ROUND($M197*$K197,1))</f>
        <v/>
      </c>
      <c r="O197" s="25" t="str">
        <f aca="false">IF($E197="","",IF($L197&lt;&gt;"","CRITICAL (FLAG)",IF(OR($M197="",$K197=""),"NOT SCORED",IF($N197&gt;=T_CRIT,"CRITICAL",IF($N197&gt;=T_MON,"MONITOR","LOW")))))</f>
        <v/>
      </c>
      <c r="P197" s="12" t="str">
        <f aca="false">IF($M197="","",INDEX(DriverNames,MATCH(MAX($F197:$J197),$F197:$J197,0)))</f>
        <v/>
      </c>
      <c r="Q197" s="21"/>
      <c r="R197" s="26"/>
      <c r="S197" s="2" t="str">
        <f aca="false">IF($O197="","",IF($L197&lt;&gt;"",100,0)+IF($N197="",0,$N197)+ROW()/100000)</f>
        <v/>
      </c>
      <c r="T197" s="2" t="str">
        <f aca="false">IF($S197="","",IF($A197=SEL_MODEL,$S197,""))</f>
        <v/>
      </c>
    </row>
    <row r="198" customFormat="false" ht="15" hidden="false" customHeight="false" outlineLevel="0" collapsed="false">
      <c r="A198" s="19"/>
      <c r="B198" s="20"/>
      <c r="C198" s="21"/>
      <c r="D198" s="20"/>
      <c r="E198" s="19"/>
      <c r="F198" s="20"/>
      <c r="G198" s="20"/>
      <c r="H198" s="20"/>
      <c r="I198" s="22" t="str">
        <f aca="false">IF($E198="","",IFERROR(IF(INDEX(SUPPLIERS!$D$4:$D$63,MATCH($E198,SUPPLIERS!$A$4:$A$63,0))="","",INDEX(SUPPLIERS!$D$4:$D$63,MATCH($E198,SUPPLIERS!$A$4:$A$63,0))),""))</f>
        <v/>
      </c>
      <c r="J198" s="22" t="str">
        <f aca="false">IF($E198="","",IFERROR(IF(INDEX(SUPPLIERS!$E$4:$E$63,MATCH($E198,SUPPLIERS!$A$4:$A$63,0))="","",INDEX(SUPPLIERS!$E$4:$E$63,MATCH($E198,SUPPLIERS!$A$4:$A$63,0))),""))</f>
        <v/>
      </c>
      <c r="K198" s="20"/>
      <c r="L198" s="19"/>
      <c r="M198" s="23" t="str">
        <f aca="false">IF(COUNT($F198:$J198)&lt;5,"",ROUND($F198*W_SRC+$G198*W_QC+$H198*W_CAP+$I198*W_SUP+$J198*W_EXT,1))</f>
        <v/>
      </c>
      <c r="N198" s="24" t="str">
        <f aca="false">IF(OR($M198="",$K198=""),"",ROUND($M198*$K198,1))</f>
        <v/>
      </c>
      <c r="O198" s="25" t="str">
        <f aca="false">IF($E198="","",IF($L198&lt;&gt;"","CRITICAL (FLAG)",IF(OR($M198="",$K198=""),"NOT SCORED",IF($N198&gt;=T_CRIT,"CRITICAL",IF($N198&gt;=T_MON,"MONITOR","LOW")))))</f>
        <v/>
      </c>
      <c r="P198" s="12" t="str">
        <f aca="false">IF($M198="","",INDEX(DriverNames,MATCH(MAX($F198:$J198),$F198:$J198,0)))</f>
        <v/>
      </c>
      <c r="Q198" s="21"/>
      <c r="R198" s="26"/>
      <c r="S198" s="2" t="str">
        <f aca="false">IF($O198="","",IF($L198&lt;&gt;"",100,0)+IF($N198="",0,$N198)+ROW()/100000)</f>
        <v/>
      </c>
      <c r="T198" s="2" t="str">
        <f aca="false">IF($S198="","",IF($A198=SEL_MODEL,$S198,""))</f>
        <v/>
      </c>
    </row>
    <row r="199" customFormat="false" ht="15" hidden="false" customHeight="false" outlineLevel="0" collapsed="false">
      <c r="A199" s="19"/>
      <c r="B199" s="20"/>
      <c r="C199" s="21"/>
      <c r="D199" s="20"/>
      <c r="E199" s="19"/>
      <c r="F199" s="20"/>
      <c r="G199" s="20"/>
      <c r="H199" s="20"/>
      <c r="I199" s="22" t="str">
        <f aca="false">IF($E199="","",IFERROR(IF(INDEX(SUPPLIERS!$D$4:$D$63,MATCH($E199,SUPPLIERS!$A$4:$A$63,0))="","",INDEX(SUPPLIERS!$D$4:$D$63,MATCH($E199,SUPPLIERS!$A$4:$A$63,0))),""))</f>
        <v/>
      </c>
      <c r="J199" s="22" t="str">
        <f aca="false">IF($E199="","",IFERROR(IF(INDEX(SUPPLIERS!$E$4:$E$63,MATCH($E199,SUPPLIERS!$A$4:$A$63,0))="","",INDEX(SUPPLIERS!$E$4:$E$63,MATCH($E199,SUPPLIERS!$A$4:$A$63,0))),""))</f>
        <v/>
      </c>
      <c r="K199" s="20"/>
      <c r="L199" s="19"/>
      <c r="M199" s="23" t="str">
        <f aca="false">IF(COUNT($F199:$J199)&lt;5,"",ROUND($F199*W_SRC+$G199*W_QC+$H199*W_CAP+$I199*W_SUP+$J199*W_EXT,1))</f>
        <v/>
      </c>
      <c r="N199" s="24" t="str">
        <f aca="false">IF(OR($M199="",$K199=""),"",ROUND($M199*$K199,1))</f>
        <v/>
      </c>
      <c r="O199" s="25" t="str">
        <f aca="false">IF($E199="","",IF($L199&lt;&gt;"","CRITICAL (FLAG)",IF(OR($M199="",$K199=""),"NOT SCORED",IF($N199&gt;=T_CRIT,"CRITICAL",IF($N199&gt;=T_MON,"MONITOR","LOW")))))</f>
        <v/>
      </c>
      <c r="P199" s="12" t="str">
        <f aca="false">IF($M199="","",INDEX(DriverNames,MATCH(MAX($F199:$J199),$F199:$J199,0)))</f>
        <v/>
      </c>
      <c r="Q199" s="21"/>
      <c r="R199" s="26"/>
      <c r="S199" s="2" t="str">
        <f aca="false">IF($O199="","",IF($L199&lt;&gt;"",100,0)+IF($N199="",0,$N199)+ROW()/100000)</f>
        <v/>
      </c>
      <c r="T199" s="2" t="str">
        <f aca="false">IF($S199="","",IF($A199=SEL_MODEL,$S199,""))</f>
        <v/>
      </c>
    </row>
    <row r="200" customFormat="false" ht="15" hidden="false" customHeight="false" outlineLevel="0" collapsed="false">
      <c r="A200" s="19"/>
      <c r="B200" s="20"/>
      <c r="C200" s="21"/>
      <c r="D200" s="20"/>
      <c r="E200" s="19"/>
      <c r="F200" s="20"/>
      <c r="G200" s="20"/>
      <c r="H200" s="20"/>
      <c r="I200" s="22" t="str">
        <f aca="false">IF($E200="","",IFERROR(IF(INDEX(SUPPLIERS!$D$4:$D$63,MATCH($E200,SUPPLIERS!$A$4:$A$63,0))="","",INDEX(SUPPLIERS!$D$4:$D$63,MATCH($E200,SUPPLIERS!$A$4:$A$63,0))),""))</f>
        <v/>
      </c>
      <c r="J200" s="22" t="str">
        <f aca="false">IF($E200="","",IFERROR(IF(INDEX(SUPPLIERS!$E$4:$E$63,MATCH($E200,SUPPLIERS!$A$4:$A$63,0))="","",INDEX(SUPPLIERS!$E$4:$E$63,MATCH($E200,SUPPLIERS!$A$4:$A$63,0))),""))</f>
        <v/>
      </c>
      <c r="K200" s="20"/>
      <c r="L200" s="19"/>
      <c r="M200" s="23" t="str">
        <f aca="false">IF(COUNT($F200:$J200)&lt;5,"",ROUND($F200*W_SRC+$G200*W_QC+$H200*W_CAP+$I200*W_SUP+$J200*W_EXT,1))</f>
        <v/>
      </c>
      <c r="N200" s="24" t="str">
        <f aca="false">IF(OR($M200="",$K200=""),"",ROUND($M200*$K200,1))</f>
        <v/>
      </c>
      <c r="O200" s="25" t="str">
        <f aca="false">IF($E200="","",IF($L200&lt;&gt;"","CRITICAL (FLAG)",IF(OR($M200="",$K200=""),"NOT SCORED",IF($N200&gt;=T_CRIT,"CRITICAL",IF($N200&gt;=T_MON,"MONITOR","LOW")))))</f>
        <v/>
      </c>
      <c r="P200" s="12" t="str">
        <f aca="false">IF($M200="","",INDEX(DriverNames,MATCH(MAX($F200:$J200),$F200:$J200,0)))</f>
        <v/>
      </c>
      <c r="Q200" s="21"/>
      <c r="R200" s="26"/>
      <c r="S200" s="2" t="str">
        <f aca="false">IF($O200="","",IF($L200&lt;&gt;"",100,0)+IF($N200="",0,$N200)+ROW()/100000)</f>
        <v/>
      </c>
      <c r="T200" s="2" t="str">
        <f aca="false">IF($S200="","",IF($A200=SEL_MODEL,$S200,""))</f>
        <v/>
      </c>
    </row>
    <row r="201" customFormat="false" ht="15" hidden="false" customHeight="false" outlineLevel="0" collapsed="false">
      <c r="A201" s="19"/>
      <c r="B201" s="20"/>
      <c r="C201" s="21"/>
      <c r="D201" s="20"/>
      <c r="E201" s="19"/>
      <c r="F201" s="20"/>
      <c r="G201" s="20"/>
      <c r="H201" s="20"/>
      <c r="I201" s="22" t="str">
        <f aca="false">IF($E201="","",IFERROR(IF(INDEX(SUPPLIERS!$D$4:$D$63,MATCH($E201,SUPPLIERS!$A$4:$A$63,0))="","",INDEX(SUPPLIERS!$D$4:$D$63,MATCH($E201,SUPPLIERS!$A$4:$A$63,0))),""))</f>
        <v/>
      </c>
      <c r="J201" s="22" t="str">
        <f aca="false">IF($E201="","",IFERROR(IF(INDEX(SUPPLIERS!$E$4:$E$63,MATCH($E201,SUPPLIERS!$A$4:$A$63,0))="","",INDEX(SUPPLIERS!$E$4:$E$63,MATCH($E201,SUPPLIERS!$A$4:$A$63,0))),""))</f>
        <v/>
      </c>
      <c r="K201" s="20"/>
      <c r="L201" s="19"/>
      <c r="M201" s="23" t="str">
        <f aca="false">IF(COUNT($F201:$J201)&lt;5,"",ROUND($F201*W_SRC+$G201*W_QC+$H201*W_CAP+$I201*W_SUP+$J201*W_EXT,1))</f>
        <v/>
      </c>
      <c r="N201" s="24" t="str">
        <f aca="false">IF(OR($M201="",$K201=""),"",ROUND($M201*$K201,1))</f>
        <v/>
      </c>
      <c r="O201" s="25" t="str">
        <f aca="false">IF($E201="","",IF($L201&lt;&gt;"","CRITICAL (FLAG)",IF(OR($M201="",$K201=""),"NOT SCORED",IF($N201&gt;=T_CRIT,"CRITICAL",IF($N201&gt;=T_MON,"MONITOR","LOW")))))</f>
        <v/>
      </c>
      <c r="P201" s="12" t="str">
        <f aca="false">IF($M201="","",INDEX(DriverNames,MATCH(MAX($F201:$J201),$F201:$J201,0)))</f>
        <v/>
      </c>
      <c r="Q201" s="21"/>
      <c r="R201" s="26"/>
      <c r="S201" s="2" t="str">
        <f aca="false">IF($O201="","",IF($L201&lt;&gt;"",100,0)+IF($N201="",0,$N201)+ROW()/100000)</f>
        <v/>
      </c>
      <c r="T201" s="2" t="str">
        <f aca="false">IF($S201="","",IF($A201=SEL_MODEL,$S201,""))</f>
        <v/>
      </c>
    </row>
    <row r="202" customFormat="false" ht="15" hidden="false" customHeight="false" outlineLevel="0" collapsed="false">
      <c r="A202" s="19"/>
      <c r="B202" s="20"/>
      <c r="C202" s="21"/>
      <c r="D202" s="20"/>
      <c r="E202" s="19"/>
      <c r="F202" s="20"/>
      <c r="G202" s="20"/>
      <c r="H202" s="20"/>
      <c r="I202" s="22" t="str">
        <f aca="false">IF($E202="","",IFERROR(IF(INDEX(SUPPLIERS!$D$4:$D$63,MATCH($E202,SUPPLIERS!$A$4:$A$63,0))="","",INDEX(SUPPLIERS!$D$4:$D$63,MATCH($E202,SUPPLIERS!$A$4:$A$63,0))),""))</f>
        <v/>
      </c>
      <c r="J202" s="22" t="str">
        <f aca="false">IF($E202="","",IFERROR(IF(INDEX(SUPPLIERS!$E$4:$E$63,MATCH($E202,SUPPLIERS!$A$4:$A$63,0))="","",INDEX(SUPPLIERS!$E$4:$E$63,MATCH($E202,SUPPLIERS!$A$4:$A$63,0))),""))</f>
        <v/>
      </c>
      <c r="K202" s="20"/>
      <c r="L202" s="19"/>
      <c r="M202" s="23" t="str">
        <f aca="false">IF(COUNT($F202:$J202)&lt;5,"",ROUND($F202*W_SRC+$G202*W_QC+$H202*W_CAP+$I202*W_SUP+$J202*W_EXT,1))</f>
        <v/>
      </c>
      <c r="N202" s="24" t="str">
        <f aca="false">IF(OR($M202="",$K202=""),"",ROUND($M202*$K202,1))</f>
        <v/>
      </c>
      <c r="O202" s="25" t="str">
        <f aca="false">IF($E202="","",IF($L202&lt;&gt;"","CRITICAL (FLAG)",IF(OR($M202="",$K202=""),"NOT SCORED",IF($N202&gt;=T_CRIT,"CRITICAL",IF($N202&gt;=T_MON,"MONITOR","LOW")))))</f>
        <v/>
      </c>
      <c r="P202" s="12" t="str">
        <f aca="false">IF($M202="","",INDEX(DriverNames,MATCH(MAX($F202:$J202),$F202:$J202,0)))</f>
        <v/>
      </c>
      <c r="Q202" s="21"/>
      <c r="R202" s="26"/>
      <c r="S202" s="2" t="str">
        <f aca="false">IF($O202="","",IF($L202&lt;&gt;"",100,0)+IF($N202="",0,$N202)+ROW()/100000)</f>
        <v/>
      </c>
      <c r="T202" s="2" t="str">
        <f aca="false">IF($S202="","",IF($A202=SEL_MODEL,$S202,""))</f>
        <v/>
      </c>
    </row>
    <row r="203" customFormat="false" ht="15" hidden="false" customHeight="false" outlineLevel="0" collapsed="false">
      <c r="A203" s="19"/>
      <c r="B203" s="20"/>
      <c r="C203" s="21"/>
      <c r="D203" s="20"/>
      <c r="E203" s="19"/>
      <c r="F203" s="20"/>
      <c r="G203" s="20"/>
      <c r="H203" s="20"/>
      <c r="I203" s="22" t="str">
        <f aca="false">IF($E203="","",IFERROR(IF(INDEX(SUPPLIERS!$D$4:$D$63,MATCH($E203,SUPPLIERS!$A$4:$A$63,0))="","",INDEX(SUPPLIERS!$D$4:$D$63,MATCH($E203,SUPPLIERS!$A$4:$A$63,0))),""))</f>
        <v/>
      </c>
      <c r="J203" s="22" t="str">
        <f aca="false">IF($E203="","",IFERROR(IF(INDEX(SUPPLIERS!$E$4:$E$63,MATCH($E203,SUPPLIERS!$A$4:$A$63,0))="","",INDEX(SUPPLIERS!$E$4:$E$63,MATCH($E203,SUPPLIERS!$A$4:$A$63,0))),""))</f>
        <v/>
      </c>
      <c r="K203" s="20"/>
      <c r="L203" s="19"/>
      <c r="M203" s="23" t="str">
        <f aca="false">IF(COUNT($F203:$J203)&lt;5,"",ROUND($F203*W_SRC+$G203*W_QC+$H203*W_CAP+$I203*W_SUP+$J203*W_EXT,1))</f>
        <v/>
      </c>
      <c r="N203" s="24" t="str">
        <f aca="false">IF(OR($M203="",$K203=""),"",ROUND($M203*$K203,1))</f>
        <v/>
      </c>
      <c r="O203" s="25" t="str">
        <f aca="false">IF($E203="","",IF($L203&lt;&gt;"","CRITICAL (FLAG)",IF(OR($M203="",$K203=""),"NOT SCORED",IF($N203&gt;=T_CRIT,"CRITICAL",IF($N203&gt;=T_MON,"MONITOR","LOW")))))</f>
        <v/>
      </c>
      <c r="P203" s="12" t="str">
        <f aca="false">IF($M203="","",INDEX(DriverNames,MATCH(MAX($F203:$J203),$F203:$J203,0)))</f>
        <v/>
      </c>
      <c r="Q203" s="21"/>
      <c r="R203" s="26"/>
      <c r="S203" s="2" t="str">
        <f aca="false">IF($O203="","",IF($L203&lt;&gt;"",100,0)+IF($N203="",0,$N203)+ROW()/100000)</f>
        <v/>
      </c>
      <c r="T203" s="2" t="str">
        <f aca="false">IF($S203="","",IF($A203=SEL_MODEL,$S203,""))</f>
        <v/>
      </c>
    </row>
    <row r="204" customFormat="false" ht="15" hidden="false" customHeight="false" outlineLevel="0" collapsed="false">
      <c r="A204" s="19"/>
      <c r="B204" s="20"/>
      <c r="C204" s="21"/>
      <c r="D204" s="20"/>
      <c r="E204" s="19"/>
      <c r="F204" s="20"/>
      <c r="G204" s="20"/>
      <c r="H204" s="20"/>
      <c r="I204" s="22" t="str">
        <f aca="false">IF($E204="","",IFERROR(IF(INDEX(SUPPLIERS!$D$4:$D$63,MATCH($E204,SUPPLIERS!$A$4:$A$63,0))="","",INDEX(SUPPLIERS!$D$4:$D$63,MATCH($E204,SUPPLIERS!$A$4:$A$63,0))),""))</f>
        <v/>
      </c>
      <c r="J204" s="22" t="str">
        <f aca="false">IF($E204="","",IFERROR(IF(INDEX(SUPPLIERS!$E$4:$E$63,MATCH($E204,SUPPLIERS!$A$4:$A$63,0))="","",INDEX(SUPPLIERS!$E$4:$E$63,MATCH($E204,SUPPLIERS!$A$4:$A$63,0))),""))</f>
        <v/>
      </c>
      <c r="K204" s="20"/>
      <c r="L204" s="19"/>
      <c r="M204" s="23" t="str">
        <f aca="false">IF(COUNT($F204:$J204)&lt;5,"",ROUND($F204*W_SRC+$G204*W_QC+$H204*W_CAP+$I204*W_SUP+$J204*W_EXT,1))</f>
        <v/>
      </c>
      <c r="N204" s="24" t="str">
        <f aca="false">IF(OR($M204="",$K204=""),"",ROUND($M204*$K204,1))</f>
        <v/>
      </c>
      <c r="O204" s="25" t="str">
        <f aca="false">IF($E204="","",IF($L204&lt;&gt;"","CRITICAL (FLAG)",IF(OR($M204="",$K204=""),"NOT SCORED",IF($N204&gt;=T_CRIT,"CRITICAL",IF($N204&gt;=T_MON,"MONITOR","LOW")))))</f>
        <v/>
      </c>
      <c r="P204" s="12" t="str">
        <f aca="false">IF($M204="","",INDEX(DriverNames,MATCH(MAX($F204:$J204),$F204:$J204,0)))</f>
        <v/>
      </c>
      <c r="Q204" s="21"/>
      <c r="R204" s="26"/>
      <c r="S204" s="2" t="str">
        <f aca="false">IF($O204="","",IF($L204&lt;&gt;"",100,0)+IF($N204="",0,$N204)+ROW()/100000)</f>
        <v/>
      </c>
      <c r="T204" s="2" t="str">
        <f aca="false">IF($S204="","",IF($A204=SEL_MODEL,$S204,""))</f>
        <v/>
      </c>
    </row>
    <row r="205" customFormat="false" ht="15" hidden="false" customHeight="false" outlineLevel="0" collapsed="false">
      <c r="A205" s="19"/>
      <c r="B205" s="20"/>
      <c r="C205" s="21"/>
      <c r="D205" s="20"/>
      <c r="E205" s="19"/>
      <c r="F205" s="20"/>
      <c r="G205" s="20"/>
      <c r="H205" s="20"/>
      <c r="I205" s="22" t="str">
        <f aca="false">IF($E205="","",IFERROR(IF(INDEX(SUPPLIERS!$D$4:$D$63,MATCH($E205,SUPPLIERS!$A$4:$A$63,0))="","",INDEX(SUPPLIERS!$D$4:$D$63,MATCH($E205,SUPPLIERS!$A$4:$A$63,0))),""))</f>
        <v/>
      </c>
      <c r="J205" s="22" t="str">
        <f aca="false">IF($E205="","",IFERROR(IF(INDEX(SUPPLIERS!$E$4:$E$63,MATCH($E205,SUPPLIERS!$A$4:$A$63,0))="","",INDEX(SUPPLIERS!$E$4:$E$63,MATCH($E205,SUPPLIERS!$A$4:$A$63,0))),""))</f>
        <v/>
      </c>
      <c r="K205" s="20"/>
      <c r="L205" s="19"/>
      <c r="M205" s="23" t="str">
        <f aca="false">IF(COUNT($F205:$J205)&lt;5,"",ROUND($F205*W_SRC+$G205*W_QC+$H205*W_CAP+$I205*W_SUP+$J205*W_EXT,1))</f>
        <v/>
      </c>
      <c r="N205" s="24" t="str">
        <f aca="false">IF(OR($M205="",$K205=""),"",ROUND($M205*$K205,1))</f>
        <v/>
      </c>
      <c r="O205" s="25" t="str">
        <f aca="false">IF($E205="","",IF($L205&lt;&gt;"","CRITICAL (FLAG)",IF(OR($M205="",$K205=""),"NOT SCORED",IF($N205&gt;=T_CRIT,"CRITICAL",IF($N205&gt;=T_MON,"MONITOR","LOW")))))</f>
        <v/>
      </c>
      <c r="P205" s="12" t="str">
        <f aca="false">IF($M205="","",INDEX(DriverNames,MATCH(MAX($F205:$J205),$F205:$J205,0)))</f>
        <v/>
      </c>
      <c r="Q205" s="21"/>
      <c r="R205" s="26"/>
      <c r="S205" s="2" t="str">
        <f aca="false">IF($O205="","",IF($L205&lt;&gt;"",100,0)+IF($N205="",0,$N205)+ROW()/100000)</f>
        <v/>
      </c>
      <c r="T205" s="2" t="str">
        <f aca="false">IF($S205="","",IF($A205=SEL_MODEL,$S205,""))</f>
        <v/>
      </c>
    </row>
    <row r="206" customFormat="false" ht="15" hidden="false" customHeight="false" outlineLevel="0" collapsed="false">
      <c r="A206" s="19"/>
      <c r="B206" s="20"/>
      <c r="C206" s="21"/>
      <c r="D206" s="20"/>
      <c r="E206" s="19"/>
      <c r="F206" s="20"/>
      <c r="G206" s="20"/>
      <c r="H206" s="20"/>
      <c r="I206" s="22" t="str">
        <f aca="false">IF($E206="","",IFERROR(IF(INDEX(SUPPLIERS!$D$4:$D$63,MATCH($E206,SUPPLIERS!$A$4:$A$63,0))="","",INDEX(SUPPLIERS!$D$4:$D$63,MATCH($E206,SUPPLIERS!$A$4:$A$63,0))),""))</f>
        <v/>
      </c>
      <c r="J206" s="22" t="str">
        <f aca="false">IF($E206="","",IFERROR(IF(INDEX(SUPPLIERS!$E$4:$E$63,MATCH($E206,SUPPLIERS!$A$4:$A$63,0))="","",INDEX(SUPPLIERS!$E$4:$E$63,MATCH($E206,SUPPLIERS!$A$4:$A$63,0))),""))</f>
        <v/>
      </c>
      <c r="K206" s="20"/>
      <c r="L206" s="19"/>
      <c r="M206" s="23" t="str">
        <f aca="false">IF(COUNT($F206:$J206)&lt;5,"",ROUND($F206*W_SRC+$G206*W_QC+$H206*W_CAP+$I206*W_SUP+$J206*W_EXT,1))</f>
        <v/>
      </c>
      <c r="N206" s="24" t="str">
        <f aca="false">IF(OR($M206="",$K206=""),"",ROUND($M206*$K206,1))</f>
        <v/>
      </c>
      <c r="O206" s="25" t="str">
        <f aca="false">IF($E206="","",IF($L206&lt;&gt;"","CRITICAL (FLAG)",IF(OR($M206="",$K206=""),"NOT SCORED",IF($N206&gt;=T_CRIT,"CRITICAL",IF($N206&gt;=T_MON,"MONITOR","LOW")))))</f>
        <v/>
      </c>
      <c r="P206" s="12" t="str">
        <f aca="false">IF($M206="","",INDEX(DriverNames,MATCH(MAX($F206:$J206),$F206:$J206,0)))</f>
        <v/>
      </c>
      <c r="Q206" s="21"/>
      <c r="R206" s="26"/>
      <c r="S206" s="2" t="str">
        <f aca="false">IF($O206="","",IF($L206&lt;&gt;"",100,0)+IF($N206="",0,$N206)+ROW()/100000)</f>
        <v/>
      </c>
      <c r="T206" s="2" t="str">
        <f aca="false">IF($S206="","",IF($A206=SEL_MODEL,$S206,""))</f>
        <v/>
      </c>
    </row>
    <row r="207" customFormat="false" ht="15" hidden="false" customHeight="false" outlineLevel="0" collapsed="false">
      <c r="A207" s="19"/>
      <c r="B207" s="20"/>
      <c r="C207" s="21"/>
      <c r="D207" s="20"/>
      <c r="E207" s="19"/>
      <c r="F207" s="20"/>
      <c r="G207" s="20"/>
      <c r="H207" s="20"/>
      <c r="I207" s="22" t="str">
        <f aca="false">IF($E207="","",IFERROR(IF(INDEX(SUPPLIERS!$D$4:$D$63,MATCH($E207,SUPPLIERS!$A$4:$A$63,0))="","",INDEX(SUPPLIERS!$D$4:$D$63,MATCH($E207,SUPPLIERS!$A$4:$A$63,0))),""))</f>
        <v/>
      </c>
      <c r="J207" s="22" t="str">
        <f aca="false">IF($E207="","",IFERROR(IF(INDEX(SUPPLIERS!$E$4:$E$63,MATCH($E207,SUPPLIERS!$A$4:$A$63,0))="","",INDEX(SUPPLIERS!$E$4:$E$63,MATCH($E207,SUPPLIERS!$A$4:$A$63,0))),""))</f>
        <v/>
      </c>
      <c r="K207" s="20"/>
      <c r="L207" s="19"/>
      <c r="M207" s="23" t="str">
        <f aca="false">IF(COUNT($F207:$J207)&lt;5,"",ROUND($F207*W_SRC+$G207*W_QC+$H207*W_CAP+$I207*W_SUP+$J207*W_EXT,1))</f>
        <v/>
      </c>
      <c r="N207" s="24" t="str">
        <f aca="false">IF(OR($M207="",$K207=""),"",ROUND($M207*$K207,1))</f>
        <v/>
      </c>
      <c r="O207" s="25" t="str">
        <f aca="false">IF($E207="","",IF($L207&lt;&gt;"","CRITICAL (FLAG)",IF(OR($M207="",$K207=""),"NOT SCORED",IF($N207&gt;=T_CRIT,"CRITICAL",IF($N207&gt;=T_MON,"MONITOR","LOW")))))</f>
        <v/>
      </c>
      <c r="P207" s="12" t="str">
        <f aca="false">IF($M207="","",INDEX(DriverNames,MATCH(MAX($F207:$J207),$F207:$J207,0)))</f>
        <v/>
      </c>
      <c r="Q207" s="21"/>
      <c r="R207" s="26"/>
      <c r="S207" s="2" t="str">
        <f aca="false">IF($O207="","",IF($L207&lt;&gt;"",100,0)+IF($N207="",0,$N207)+ROW()/100000)</f>
        <v/>
      </c>
      <c r="T207" s="2" t="str">
        <f aca="false">IF($S207="","",IF($A207=SEL_MODEL,$S207,""))</f>
        <v/>
      </c>
    </row>
    <row r="208" customFormat="false" ht="15" hidden="false" customHeight="false" outlineLevel="0" collapsed="false">
      <c r="A208" s="19"/>
      <c r="B208" s="20"/>
      <c r="C208" s="21"/>
      <c r="D208" s="20"/>
      <c r="E208" s="19"/>
      <c r="F208" s="20"/>
      <c r="G208" s="20"/>
      <c r="H208" s="20"/>
      <c r="I208" s="22" t="str">
        <f aca="false">IF($E208="","",IFERROR(IF(INDEX(SUPPLIERS!$D$4:$D$63,MATCH($E208,SUPPLIERS!$A$4:$A$63,0))="","",INDEX(SUPPLIERS!$D$4:$D$63,MATCH($E208,SUPPLIERS!$A$4:$A$63,0))),""))</f>
        <v/>
      </c>
      <c r="J208" s="22" t="str">
        <f aca="false">IF($E208="","",IFERROR(IF(INDEX(SUPPLIERS!$E$4:$E$63,MATCH($E208,SUPPLIERS!$A$4:$A$63,0))="","",INDEX(SUPPLIERS!$E$4:$E$63,MATCH($E208,SUPPLIERS!$A$4:$A$63,0))),""))</f>
        <v/>
      </c>
      <c r="K208" s="20"/>
      <c r="L208" s="19"/>
      <c r="M208" s="23" t="str">
        <f aca="false">IF(COUNT($F208:$J208)&lt;5,"",ROUND($F208*W_SRC+$G208*W_QC+$H208*W_CAP+$I208*W_SUP+$J208*W_EXT,1))</f>
        <v/>
      </c>
      <c r="N208" s="24" t="str">
        <f aca="false">IF(OR($M208="",$K208=""),"",ROUND($M208*$K208,1))</f>
        <v/>
      </c>
      <c r="O208" s="25" t="str">
        <f aca="false">IF($E208="","",IF($L208&lt;&gt;"","CRITICAL (FLAG)",IF(OR($M208="",$K208=""),"NOT SCORED",IF($N208&gt;=T_CRIT,"CRITICAL",IF($N208&gt;=T_MON,"MONITOR","LOW")))))</f>
        <v/>
      </c>
      <c r="P208" s="12" t="str">
        <f aca="false">IF($M208="","",INDEX(DriverNames,MATCH(MAX($F208:$J208),$F208:$J208,0)))</f>
        <v/>
      </c>
      <c r="Q208" s="21"/>
      <c r="R208" s="26"/>
      <c r="S208" s="2" t="str">
        <f aca="false">IF($O208="","",IF($L208&lt;&gt;"",100,0)+IF($N208="",0,$N208)+ROW()/100000)</f>
        <v/>
      </c>
      <c r="T208" s="2" t="str">
        <f aca="false">IF($S208="","",IF($A208=SEL_MODEL,$S208,""))</f>
        <v/>
      </c>
    </row>
    <row r="209" customFormat="false" ht="15" hidden="false" customHeight="false" outlineLevel="0" collapsed="false">
      <c r="A209" s="19"/>
      <c r="B209" s="20"/>
      <c r="C209" s="21"/>
      <c r="D209" s="20"/>
      <c r="E209" s="19"/>
      <c r="F209" s="20"/>
      <c r="G209" s="20"/>
      <c r="H209" s="20"/>
      <c r="I209" s="22" t="str">
        <f aca="false">IF($E209="","",IFERROR(IF(INDEX(SUPPLIERS!$D$4:$D$63,MATCH($E209,SUPPLIERS!$A$4:$A$63,0))="","",INDEX(SUPPLIERS!$D$4:$D$63,MATCH($E209,SUPPLIERS!$A$4:$A$63,0))),""))</f>
        <v/>
      </c>
      <c r="J209" s="22" t="str">
        <f aca="false">IF($E209="","",IFERROR(IF(INDEX(SUPPLIERS!$E$4:$E$63,MATCH($E209,SUPPLIERS!$A$4:$A$63,0))="","",INDEX(SUPPLIERS!$E$4:$E$63,MATCH($E209,SUPPLIERS!$A$4:$A$63,0))),""))</f>
        <v/>
      </c>
      <c r="K209" s="20"/>
      <c r="L209" s="19"/>
      <c r="M209" s="23" t="str">
        <f aca="false">IF(COUNT($F209:$J209)&lt;5,"",ROUND($F209*W_SRC+$G209*W_QC+$H209*W_CAP+$I209*W_SUP+$J209*W_EXT,1))</f>
        <v/>
      </c>
      <c r="N209" s="24" t="str">
        <f aca="false">IF(OR($M209="",$K209=""),"",ROUND($M209*$K209,1))</f>
        <v/>
      </c>
      <c r="O209" s="25" t="str">
        <f aca="false">IF($E209="","",IF($L209&lt;&gt;"","CRITICAL (FLAG)",IF(OR($M209="",$K209=""),"NOT SCORED",IF($N209&gt;=T_CRIT,"CRITICAL",IF($N209&gt;=T_MON,"MONITOR","LOW")))))</f>
        <v/>
      </c>
      <c r="P209" s="12" t="str">
        <f aca="false">IF($M209="","",INDEX(DriverNames,MATCH(MAX($F209:$J209),$F209:$J209,0)))</f>
        <v/>
      </c>
      <c r="Q209" s="21"/>
      <c r="R209" s="26"/>
      <c r="S209" s="2" t="str">
        <f aca="false">IF($O209="","",IF($L209&lt;&gt;"",100,0)+IF($N209="",0,$N209)+ROW()/100000)</f>
        <v/>
      </c>
      <c r="T209" s="2" t="str">
        <f aca="false">IF($S209="","",IF($A209=SEL_MODEL,$S209,""))</f>
        <v/>
      </c>
    </row>
    <row r="210" customFormat="false" ht="15" hidden="false" customHeight="false" outlineLevel="0" collapsed="false">
      <c r="A210" s="19"/>
      <c r="B210" s="20"/>
      <c r="C210" s="21"/>
      <c r="D210" s="20"/>
      <c r="E210" s="19"/>
      <c r="F210" s="20"/>
      <c r="G210" s="20"/>
      <c r="H210" s="20"/>
      <c r="I210" s="22" t="str">
        <f aca="false">IF($E210="","",IFERROR(IF(INDEX(SUPPLIERS!$D$4:$D$63,MATCH($E210,SUPPLIERS!$A$4:$A$63,0))="","",INDEX(SUPPLIERS!$D$4:$D$63,MATCH($E210,SUPPLIERS!$A$4:$A$63,0))),""))</f>
        <v/>
      </c>
      <c r="J210" s="22" t="str">
        <f aca="false">IF($E210="","",IFERROR(IF(INDEX(SUPPLIERS!$E$4:$E$63,MATCH($E210,SUPPLIERS!$A$4:$A$63,0))="","",INDEX(SUPPLIERS!$E$4:$E$63,MATCH($E210,SUPPLIERS!$A$4:$A$63,0))),""))</f>
        <v/>
      </c>
      <c r="K210" s="20"/>
      <c r="L210" s="19"/>
      <c r="M210" s="23" t="str">
        <f aca="false">IF(COUNT($F210:$J210)&lt;5,"",ROUND($F210*W_SRC+$G210*W_QC+$H210*W_CAP+$I210*W_SUP+$J210*W_EXT,1))</f>
        <v/>
      </c>
      <c r="N210" s="24" t="str">
        <f aca="false">IF(OR($M210="",$K210=""),"",ROUND($M210*$K210,1))</f>
        <v/>
      </c>
      <c r="O210" s="25" t="str">
        <f aca="false">IF($E210="","",IF($L210&lt;&gt;"","CRITICAL (FLAG)",IF(OR($M210="",$K210=""),"NOT SCORED",IF($N210&gt;=T_CRIT,"CRITICAL",IF($N210&gt;=T_MON,"MONITOR","LOW")))))</f>
        <v/>
      </c>
      <c r="P210" s="12" t="str">
        <f aca="false">IF($M210="","",INDEX(DriverNames,MATCH(MAX($F210:$J210),$F210:$J210,0)))</f>
        <v/>
      </c>
      <c r="Q210" s="21"/>
      <c r="R210" s="26"/>
      <c r="S210" s="2" t="str">
        <f aca="false">IF($O210="","",IF($L210&lt;&gt;"",100,0)+IF($N210="",0,$N210)+ROW()/100000)</f>
        <v/>
      </c>
      <c r="T210" s="2" t="str">
        <f aca="false">IF($S210="","",IF($A210=SEL_MODEL,$S210,""))</f>
        <v/>
      </c>
    </row>
    <row r="211" customFormat="false" ht="15" hidden="false" customHeight="false" outlineLevel="0" collapsed="false">
      <c r="A211" s="19"/>
      <c r="B211" s="20"/>
      <c r="C211" s="21"/>
      <c r="D211" s="20"/>
      <c r="E211" s="19"/>
      <c r="F211" s="20"/>
      <c r="G211" s="20"/>
      <c r="H211" s="20"/>
      <c r="I211" s="22" t="str">
        <f aca="false">IF($E211="","",IFERROR(IF(INDEX(SUPPLIERS!$D$4:$D$63,MATCH($E211,SUPPLIERS!$A$4:$A$63,0))="","",INDEX(SUPPLIERS!$D$4:$D$63,MATCH($E211,SUPPLIERS!$A$4:$A$63,0))),""))</f>
        <v/>
      </c>
      <c r="J211" s="22" t="str">
        <f aca="false">IF($E211="","",IFERROR(IF(INDEX(SUPPLIERS!$E$4:$E$63,MATCH($E211,SUPPLIERS!$A$4:$A$63,0))="","",INDEX(SUPPLIERS!$E$4:$E$63,MATCH($E211,SUPPLIERS!$A$4:$A$63,0))),""))</f>
        <v/>
      </c>
      <c r="K211" s="20"/>
      <c r="L211" s="19"/>
      <c r="M211" s="23" t="str">
        <f aca="false">IF(COUNT($F211:$J211)&lt;5,"",ROUND($F211*W_SRC+$G211*W_QC+$H211*W_CAP+$I211*W_SUP+$J211*W_EXT,1))</f>
        <v/>
      </c>
      <c r="N211" s="24" t="str">
        <f aca="false">IF(OR($M211="",$K211=""),"",ROUND($M211*$K211,1))</f>
        <v/>
      </c>
      <c r="O211" s="25" t="str">
        <f aca="false">IF($E211="","",IF($L211&lt;&gt;"","CRITICAL (FLAG)",IF(OR($M211="",$K211=""),"NOT SCORED",IF($N211&gt;=T_CRIT,"CRITICAL",IF($N211&gt;=T_MON,"MONITOR","LOW")))))</f>
        <v/>
      </c>
      <c r="P211" s="12" t="str">
        <f aca="false">IF($M211="","",INDEX(DriverNames,MATCH(MAX($F211:$J211),$F211:$J211,0)))</f>
        <v/>
      </c>
      <c r="Q211" s="21"/>
      <c r="R211" s="26"/>
      <c r="S211" s="2" t="str">
        <f aca="false">IF($O211="","",IF($L211&lt;&gt;"",100,0)+IF($N211="",0,$N211)+ROW()/100000)</f>
        <v/>
      </c>
      <c r="T211" s="2" t="str">
        <f aca="false">IF($S211="","",IF($A211=SEL_MODEL,$S211,""))</f>
        <v/>
      </c>
    </row>
    <row r="212" customFormat="false" ht="15" hidden="false" customHeight="false" outlineLevel="0" collapsed="false">
      <c r="A212" s="19"/>
      <c r="B212" s="20"/>
      <c r="C212" s="21"/>
      <c r="D212" s="20"/>
      <c r="E212" s="19"/>
      <c r="F212" s="20"/>
      <c r="G212" s="20"/>
      <c r="H212" s="20"/>
      <c r="I212" s="22" t="str">
        <f aca="false">IF($E212="","",IFERROR(IF(INDEX(SUPPLIERS!$D$4:$D$63,MATCH($E212,SUPPLIERS!$A$4:$A$63,0))="","",INDEX(SUPPLIERS!$D$4:$D$63,MATCH($E212,SUPPLIERS!$A$4:$A$63,0))),""))</f>
        <v/>
      </c>
      <c r="J212" s="22" t="str">
        <f aca="false">IF($E212="","",IFERROR(IF(INDEX(SUPPLIERS!$E$4:$E$63,MATCH($E212,SUPPLIERS!$A$4:$A$63,0))="","",INDEX(SUPPLIERS!$E$4:$E$63,MATCH($E212,SUPPLIERS!$A$4:$A$63,0))),""))</f>
        <v/>
      </c>
      <c r="K212" s="20"/>
      <c r="L212" s="19"/>
      <c r="M212" s="23" t="str">
        <f aca="false">IF(COUNT($F212:$J212)&lt;5,"",ROUND($F212*W_SRC+$G212*W_QC+$H212*W_CAP+$I212*W_SUP+$J212*W_EXT,1))</f>
        <v/>
      </c>
      <c r="N212" s="24" t="str">
        <f aca="false">IF(OR($M212="",$K212=""),"",ROUND($M212*$K212,1))</f>
        <v/>
      </c>
      <c r="O212" s="25" t="str">
        <f aca="false">IF($E212="","",IF($L212&lt;&gt;"","CRITICAL (FLAG)",IF(OR($M212="",$K212=""),"NOT SCORED",IF($N212&gt;=T_CRIT,"CRITICAL",IF($N212&gt;=T_MON,"MONITOR","LOW")))))</f>
        <v/>
      </c>
      <c r="P212" s="12" t="str">
        <f aca="false">IF($M212="","",INDEX(DriverNames,MATCH(MAX($F212:$J212),$F212:$J212,0)))</f>
        <v/>
      </c>
      <c r="Q212" s="21"/>
      <c r="R212" s="26"/>
      <c r="S212" s="2" t="str">
        <f aca="false">IF($O212="","",IF($L212&lt;&gt;"",100,0)+IF($N212="",0,$N212)+ROW()/100000)</f>
        <v/>
      </c>
      <c r="T212" s="2" t="str">
        <f aca="false">IF($S212="","",IF($A212=SEL_MODEL,$S212,""))</f>
        <v/>
      </c>
    </row>
    <row r="213" customFormat="false" ht="15" hidden="false" customHeight="false" outlineLevel="0" collapsed="false">
      <c r="A213" s="19"/>
      <c r="B213" s="20"/>
      <c r="C213" s="21"/>
      <c r="D213" s="20"/>
      <c r="E213" s="19"/>
      <c r="F213" s="20"/>
      <c r="G213" s="20"/>
      <c r="H213" s="20"/>
      <c r="I213" s="22" t="str">
        <f aca="false">IF($E213="","",IFERROR(IF(INDEX(SUPPLIERS!$D$4:$D$63,MATCH($E213,SUPPLIERS!$A$4:$A$63,0))="","",INDEX(SUPPLIERS!$D$4:$D$63,MATCH($E213,SUPPLIERS!$A$4:$A$63,0))),""))</f>
        <v/>
      </c>
      <c r="J213" s="22" t="str">
        <f aca="false">IF($E213="","",IFERROR(IF(INDEX(SUPPLIERS!$E$4:$E$63,MATCH($E213,SUPPLIERS!$A$4:$A$63,0))="","",INDEX(SUPPLIERS!$E$4:$E$63,MATCH($E213,SUPPLIERS!$A$4:$A$63,0))),""))</f>
        <v/>
      </c>
      <c r="K213" s="20"/>
      <c r="L213" s="19"/>
      <c r="M213" s="23" t="str">
        <f aca="false">IF(COUNT($F213:$J213)&lt;5,"",ROUND($F213*W_SRC+$G213*W_QC+$H213*W_CAP+$I213*W_SUP+$J213*W_EXT,1))</f>
        <v/>
      </c>
      <c r="N213" s="24" t="str">
        <f aca="false">IF(OR($M213="",$K213=""),"",ROUND($M213*$K213,1))</f>
        <v/>
      </c>
      <c r="O213" s="25" t="str">
        <f aca="false">IF($E213="","",IF($L213&lt;&gt;"","CRITICAL (FLAG)",IF(OR($M213="",$K213=""),"NOT SCORED",IF($N213&gt;=T_CRIT,"CRITICAL",IF($N213&gt;=T_MON,"MONITOR","LOW")))))</f>
        <v/>
      </c>
      <c r="P213" s="12" t="str">
        <f aca="false">IF($M213="","",INDEX(DriverNames,MATCH(MAX($F213:$J213),$F213:$J213,0)))</f>
        <v/>
      </c>
      <c r="Q213" s="21"/>
      <c r="R213" s="26"/>
      <c r="S213" s="2" t="str">
        <f aca="false">IF($O213="","",IF($L213&lt;&gt;"",100,0)+IF($N213="",0,$N213)+ROW()/100000)</f>
        <v/>
      </c>
      <c r="T213" s="2" t="str">
        <f aca="false">IF($S213="","",IF($A213=SEL_MODEL,$S213,""))</f>
        <v/>
      </c>
    </row>
    <row r="214" customFormat="false" ht="15" hidden="false" customHeight="false" outlineLevel="0" collapsed="false">
      <c r="A214" s="19"/>
      <c r="B214" s="20"/>
      <c r="C214" s="21"/>
      <c r="D214" s="20"/>
      <c r="E214" s="19"/>
      <c r="F214" s="20"/>
      <c r="G214" s="20"/>
      <c r="H214" s="20"/>
      <c r="I214" s="22" t="str">
        <f aca="false">IF($E214="","",IFERROR(IF(INDEX(SUPPLIERS!$D$4:$D$63,MATCH($E214,SUPPLIERS!$A$4:$A$63,0))="","",INDEX(SUPPLIERS!$D$4:$D$63,MATCH($E214,SUPPLIERS!$A$4:$A$63,0))),""))</f>
        <v/>
      </c>
      <c r="J214" s="22" t="str">
        <f aca="false">IF($E214="","",IFERROR(IF(INDEX(SUPPLIERS!$E$4:$E$63,MATCH($E214,SUPPLIERS!$A$4:$A$63,0))="","",INDEX(SUPPLIERS!$E$4:$E$63,MATCH($E214,SUPPLIERS!$A$4:$A$63,0))),""))</f>
        <v/>
      </c>
      <c r="K214" s="20"/>
      <c r="L214" s="19"/>
      <c r="M214" s="23" t="str">
        <f aca="false">IF(COUNT($F214:$J214)&lt;5,"",ROUND($F214*W_SRC+$G214*W_QC+$H214*W_CAP+$I214*W_SUP+$J214*W_EXT,1))</f>
        <v/>
      </c>
      <c r="N214" s="24" t="str">
        <f aca="false">IF(OR($M214="",$K214=""),"",ROUND($M214*$K214,1))</f>
        <v/>
      </c>
      <c r="O214" s="25" t="str">
        <f aca="false">IF($E214="","",IF($L214&lt;&gt;"","CRITICAL (FLAG)",IF(OR($M214="",$K214=""),"NOT SCORED",IF($N214&gt;=T_CRIT,"CRITICAL",IF($N214&gt;=T_MON,"MONITOR","LOW")))))</f>
        <v/>
      </c>
      <c r="P214" s="12" t="str">
        <f aca="false">IF($M214="","",INDEX(DriverNames,MATCH(MAX($F214:$J214),$F214:$J214,0)))</f>
        <v/>
      </c>
      <c r="Q214" s="21"/>
      <c r="R214" s="26"/>
      <c r="S214" s="2" t="str">
        <f aca="false">IF($O214="","",IF($L214&lt;&gt;"",100,0)+IF($N214="",0,$N214)+ROW()/100000)</f>
        <v/>
      </c>
      <c r="T214" s="2" t="str">
        <f aca="false">IF($S214="","",IF($A214=SEL_MODEL,$S214,""))</f>
        <v/>
      </c>
    </row>
    <row r="215" customFormat="false" ht="15" hidden="false" customHeight="false" outlineLevel="0" collapsed="false">
      <c r="A215" s="19"/>
      <c r="B215" s="20"/>
      <c r="C215" s="21"/>
      <c r="D215" s="20"/>
      <c r="E215" s="19"/>
      <c r="F215" s="20"/>
      <c r="G215" s="20"/>
      <c r="H215" s="20"/>
      <c r="I215" s="22" t="str">
        <f aca="false">IF($E215="","",IFERROR(IF(INDEX(SUPPLIERS!$D$4:$D$63,MATCH($E215,SUPPLIERS!$A$4:$A$63,0))="","",INDEX(SUPPLIERS!$D$4:$D$63,MATCH($E215,SUPPLIERS!$A$4:$A$63,0))),""))</f>
        <v/>
      </c>
      <c r="J215" s="22" t="str">
        <f aca="false">IF($E215="","",IFERROR(IF(INDEX(SUPPLIERS!$E$4:$E$63,MATCH($E215,SUPPLIERS!$A$4:$A$63,0))="","",INDEX(SUPPLIERS!$E$4:$E$63,MATCH($E215,SUPPLIERS!$A$4:$A$63,0))),""))</f>
        <v/>
      </c>
      <c r="K215" s="20"/>
      <c r="L215" s="19"/>
      <c r="M215" s="23" t="str">
        <f aca="false">IF(COUNT($F215:$J215)&lt;5,"",ROUND($F215*W_SRC+$G215*W_QC+$H215*W_CAP+$I215*W_SUP+$J215*W_EXT,1))</f>
        <v/>
      </c>
      <c r="N215" s="24" t="str">
        <f aca="false">IF(OR($M215="",$K215=""),"",ROUND($M215*$K215,1))</f>
        <v/>
      </c>
      <c r="O215" s="25" t="str">
        <f aca="false">IF($E215="","",IF($L215&lt;&gt;"","CRITICAL (FLAG)",IF(OR($M215="",$K215=""),"NOT SCORED",IF($N215&gt;=T_CRIT,"CRITICAL",IF($N215&gt;=T_MON,"MONITOR","LOW")))))</f>
        <v/>
      </c>
      <c r="P215" s="12" t="str">
        <f aca="false">IF($M215="","",INDEX(DriverNames,MATCH(MAX($F215:$J215),$F215:$J215,0)))</f>
        <v/>
      </c>
      <c r="Q215" s="21"/>
      <c r="R215" s="26"/>
      <c r="S215" s="2" t="str">
        <f aca="false">IF($O215="","",IF($L215&lt;&gt;"",100,0)+IF($N215="",0,$N215)+ROW()/100000)</f>
        <v/>
      </c>
      <c r="T215" s="2" t="str">
        <f aca="false">IF($S215="","",IF($A215=SEL_MODEL,$S215,""))</f>
        <v/>
      </c>
    </row>
    <row r="216" customFormat="false" ht="15" hidden="false" customHeight="false" outlineLevel="0" collapsed="false">
      <c r="A216" s="19"/>
      <c r="B216" s="20"/>
      <c r="C216" s="21"/>
      <c r="D216" s="20"/>
      <c r="E216" s="19"/>
      <c r="F216" s="20"/>
      <c r="G216" s="20"/>
      <c r="H216" s="20"/>
      <c r="I216" s="22" t="str">
        <f aca="false">IF($E216="","",IFERROR(IF(INDEX(SUPPLIERS!$D$4:$D$63,MATCH($E216,SUPPLIERS!$A$4:$A$63,0))="","",INDEX(SUPPLIERS!$D$4:$D$63,MATCH($E216,SUPPLIERS!$A$4:$A$63,0))),""))</f>
        <v/>
      </c>
      <c r="J216" s="22" t="str">
        <f aca="false">IF($E216="","",IFERROR(IF(INDEX(SUPPLIERS!$E$4:$E$63,MATCH($E216,SUPPLIERS!$A$4:$A$63,0))="","",INDEX(SUPPLIERS!$E$4:$E$63,MATCH($E216,SUPPLIERS!$A$4:$A$63,0))),""))</f>
        <v/>
      </c>
      <c r="K216" s="20"/>
      <c r="L216" s="19"/>
      <c r="M216" s="23" t="str">
        <f aca="false">IF(COUNT($F216:$J216)&lt;5,"",ROUND($F216*W_SRC+$G216*W_QC+$H216*W_CAP+$I216*W_SUP+$J216*W_EXT,1))</f>
        <v/>
      </c>
      <c r="N216" s="24" t="str">
        <f aca="false">IF(OR($M216="",$K216=""),"",ROUND($M216*$K216,1))</f>
        <v/>
      </c>
      <c r="O216" s="25" t="str">
        <f aca="false">IF($E216="","",IF($L216&lt;&gt;"","CRITICAL (FLAG)",IF(OR($M216="",$K216=""),"NOT SCORED",IF($N216&gt;=T_CRIT,"CRITICAL",IF($N216&gt;=T_MON,"MONITOR","LOW")))))</f>
        <v/>
      </c>
      <c r="P216" s="12" t="str">
        <f aca="false">IF($M216="","",INDEX(DriverNames,MATCH(MAX($F216:$J216),$F216:$J216,0)))</f>
        <v/>
      </c>
      <c r="Q216" s="21"/>
      <c r="R216" s="26"/>
      <c r="S216" s="2" t="str">
        <f aca="false">IF($O216="","",IF($L216&lt;&gt;"",100,0)+IF($N216="",0,$N216)+ROW()/100000)</f>
        <v/>
      </c>
      <c r="T216" s="2" t="str">
        <f aca="false">IF($S216="","",IF($A216=SEL_MODEL,$S216,""))</f>
        <v/>
      </c>
    </row>
    <row r="217" customFormat="false" ht="15" hidden="false" customHeight="false" outlineLevel="0" collapsed="false">
      <c r="A217" s="19"/>
      <c r="B217" s="20"/>
      <c r="C217" s="21"/>
      <c r="D217" s="20"/>
      <c r="E217" s="19"/>
      <c r="F217" s="20"/>
      <c r="G217" s="20"/>
      <c r="H217" s="20"/>
      <c r="I217" s="22" t="str">
        <f aca="false">IF($E217="","",IFERROR(IF(INDEX(SUPPLIERS!$D$4:$D$63,MATCH($E217,SUPPLIERS!$A$4:$A$63,0))="","",INDEX(SUPPLIERS!$D$4:$D$63,MATCH($E217,SUPPLIERS!$A$4:$A$63,0))),""))</f>
        <v/>
      </c>
      <c r="J217" s="22" t="str">
        <f aca="false">IF($E217="","",IFERROR(IF(INDEX(SUPPLIERS!$E$4:$E$63,MATCH($E217,SUPPLIERS!$A$4:$A$63,0))="","",INDEX(SUPPLIERS!$E$4:$E$63,MATCH($E217,SUPPLIERS!$A$4:$A$63,0))),""))</f>
        <v/>
      </c>
      <c r="K217" s="20"/>
      <c r="L217" s="19"/>
      <c r="M217" s="23" t="str">
        <f aca="false">IF(COUNT($F217:$J217)&lt;5,"",ROUND($F217*W_SRC+$G217*W_QC+$H217*W_CAP+$I217*W_SUP+$J217*W_EXT,1))</f>
        <v/>
      </c>
      <c r="N217" s="24" t="str">
        <f aca="false">IF(OR($M217="",$K217=""),"",ROUND($M217*$K217,1))</f>
        <v/>
      </c>
      <c r="O217" s="25" t="str">
        <f aca="false">IF($E217="","",IF($L217&lt;&gt;"","CRITICAL (FLAG)",IF(OR($M217="",$K217=""),"NOT SCORED",IF($N217&gt;=T_CRIT,"CRITICAL",IF($N217&gt;=T_MON,"MONITOR","LOW")))))</f>
        <v/>
      </c>
      <c r="P217" s="12" t="str">
        <f aca="false">IF($M217="","",INDEX(DriverNames,MATCH(MAX($F217:$J217),$F217:$J217,0)))</f>
        <v/>
      </c>
      <c r="Q217" s="21"/>
      <c r="R217" s="26"/>
      <c r="S217" s="2" t="str">
        <f aca="false">IF($O217="","",IF($L217&lt;&gt;"",100,0)+IF($N217="",0,$N217)+ROW()/100000)</f>
        <v/>
      </c>
      <c r="T217" s="2" t="str">
        <f aca="false">IF($S217="","",IF($A217=SEL_MODEL,$S217,""))</f>
        <v/>
      </c>
    </row>
    <row r="218" customFormat="false" ht="15" hidden="false" customHeight="false" outlineLevel="0" collapsed="false">
      <c r="A218" s="19"/>
      <c r="B218" s="20"/>
      <c r="C218" s="21"/>
      <c r="D218" s="20"/>
      <c r="E218" s="19"/>
      <c r="F218" s="20"/>
      <c r="G218" s="20"/>
      <c r="H218" s="20"/>
      <c r="I218" s="22" t="str">
        <f aca="false">IF($E218="","",IFERROR(IF(INDEX(SUPPLIERS!$D$4:$D$63,MATCH($E218,SUPPLIERS!$A$4:$A$63,0))="","",INDEX(SUPPLIERS!$D$4:$D$63,MATCH($E218,SUPPLIERS!$A$4:$A$63,0))),""))</f>
        <v/>
      </c>
      <c r="J218" s="22" t="str">
        <f aca="false">IF($E218="","",IFERROR(IF(INDEX(SUPPLIERS!$E$4:$E$63,MATCH($E218,SUPPLIERS!$A$4:$A$63,0))="","",INDEX(SUPPLIERS!$E$4:$E$63,MATCH($E218,SUPPLIERS!$A$4:$A$63,0))),""))</f>
        <v/>
      </c>
      <c r="K218" s="20"/>
      <c r="L218" s="19"/>
      <c r="M218" s="23" t="str">
        <f aca="false">IF(COUNT($F218:$J218)&lt;5,"",ROUND($F218*W_SRC+$G218*W_QC+$H218*W_CAP+$I218*W_SUP+$J218*W_EXT,1))</f>
        <v/>
      </c>
      <c r="N218" s="24" t="str">
        <f aca="false">IF(OR($M218="",$K218=""),"",ROUND($M218*$K218,1))</f>
        <v/>
      </c>
      <c r="O218" s="25" t="str">
        <f aca="false">IF($E218="","",IF($L218&lt;&gt;"","CRITICAL (FLAG)",IF(OR($M218="",$K218=""),"NOT SCORED",IF($N218&gt;=T_CRIT,"CRITICAL",IF($N218&gt;=T_MON,"MONITOR","LOW")))))</f>
        <v/>
      </c>
      <c r="P218" s="12" t="str">
        <f aca="false">IF($M218="","",INDEX(DriverNames,MATCH(MAX($F218:$J218),$F218:$J218,0)))</f>
        <v/>
      </c>
      <c r="Q218" s="21"/>
      <c r="R218" s="26"/>
      <c r="S218" s="2" t="str">
        <f aca="false">IF($O218="","",IF($L218&lt;&gt;"",100,0)+IF($N218="",0,$N218)+ROW()/100000)</f>
        <v/>
      </c>
      <c r="T218" s="2" t="str">
        <f aca="false">IF($S218="","",IF($A218=SEL_MODEL,$S218,""))</f>
        <v/>
      </c>
    </row>
    <row r="219" customFormat="false" ht="15" hidden="false" customHeight="false" outlineLevel="0" collapsed="false">
      <c r="A219" s="19"/>
      <c r="B219" s="20"/>
      <c r="C219" s="21"/>
      <c r="D219" s="20"/>
      <c r="E219" s="19"/>
      <c r="F219" s="20"/>
      <c r="G219" s="20"/>
      <c r="H219" s="20"/>
      <c r="I219" s="22" t="str">
        <f aca="false">IF($E219="","",IFERROR(IF(INDEX(SUPPLIERS!$D$4:$D$63,MATCH($E219,SUPPLIERS!$A$4:$A$63,0))="","",INDEX(SUPPLIERS!$D$4:$D$63,MATCH($E219,SUPPLIERS!$A$4:$A$63,0))),""))</f>
        <v/>
      </c>
      <c r="J219" s="22" t="str">
        <f aca="false">IF($E219="","",IFERROR(IF(INDEX(SUPPLIERS!$E$4:$E$63,MATCH($E219,SUPPLIERS!$A$4:$A$63,0))="","",INDEX(SUPPLIERS!$E$4:$E$63,MATCH($E219,SUPPLIERS!$A$4:$A$63,0))),""))</f>
        <v/>
      </c>
      <c r="K219" s="20"/>
      <c r="L219" s="19"/>
      <c r="M219" s="23" t="str">
        <f aca="false">IF(COUNT($F219:$J219)&lt;5,"",ROUND($F219*W_SRC+$G219*W_QC+$H219*W_CAP+$I219*W_SUP+$J219*W_EXT,1))</f>
        <v/>
      </c>
      <c r="N219" s="24" t="str">
        <f aca="false">IF(OR($M219="",$K219=""),"",ROUND($M219*$K219,1))</f>
        <v/>
      </c>
      <c r="O219" s="25" t="str">
        <f aca="false">IF($E219="","",IF($L219&lt;&gt;"","CRITICAL (FLAG)",IF(OR($M219="",$K219=""),"NOT SCORED",IF($N219&gt;=T_CRIT,"CRITICAL",IF($N219&gt;=T_MON,"MONITOR","LOW")))))</f>
        <v/>
      </c>
      <c r="P219" s="12" t="str">
        <f aca="false">IF($M219="","",INDEX(DriverNames,MATCH(MAX($F219:$J219),$F219:$J219,0)))</f>
        <v/>
      </c>
      <c r="Q219" s="21"/>
      <c r="R219" s="26"/>
      <c r="S219" s="2" t="str">
        <f aca="false">IF($O219="","",IF($L219&lt;&gt;"",100,0)+IF($N219="",0,$N219)+ROW()/100000)</f>
        <v/>
      </c>
      <c r="T219" s="2" t="str">
        <f aca="false">IF($S219="","",IF($A219=SEL_MODEL,$S219,""))</f>
        <v/>
      </c>
    </row>
    <row r="220" customFormat="false" ht="15" hidden="false" customHeight="false" outlineLevel="0" collapsed="false">
      <c r="A220" s="19"/>
      <c r="B220" s="20"/>
      <c r="C220" s="21"/>
      <c r="D220" s="20"/>
      <c r="E220" s="19"/>
      <c r="F220" s="20"/>
      <c r="G220" s="20"/>
      <c r="H220" s="20"/>
      <c r="I220" s="22" t="str">
        <f aca="false">IF($E220="","",IFERROR(IF(INDEX(SUPPLIERS!$D$4:$D$63,MATCH($E220,SUPPLIERS!$A$4:$A$63,0))="","",INDEX(SUPPLIERS!$D$4:$D$63,MATCH($E220,SUPPLIERS!$A$4:$A$63,0))),""))</f>
        <v/>
      </c>
      <c r="J220" s="22" t="str">
        <f aca="false">IF($E220="","",IFERROR(IF(INDEX(SUPPLIERS!$E$4:$E$63,MATCH($E220,SUPPLIERS!$A$4:$A$63,0))="","",INDEX(SUPPLIERS!$E$4:$E$63,MATCH($E220,SUPPLIERS!$A$4:$A$63,0))),""))</f>
        <v/>
      </c>
      <c r="K220" s="20"/>
      <c r="L220" s="19"/>
      <c r="M220" s="23" t="str">
        <f aca="false">IF(COUNT($F220:$J220)&lt;5,"",ROUND($F220*W_SRC+$G220*W_QC+$H220*W_CAP+$I220*W_SUP+$J220*W_EXT,1))</f>
        <v/>
      </c>
      <c r="N220" s="24" t="str">
        <f aca="false">IF(OR($M220="",$K220=""),"",ROUND($M220*$K220,1))</f>
        <v/>
      </c>
      <c r="O220" s="25" t="str">
        <f aca="false">IF($E220="","",IF($L220&lt;&gt;"","CRITICAL (FLAG)",IF(OR($M220="",$K220=""),"NOT SCORED",IF($N220&gt;=T_CRIT,"CRITICAL",IF($N220&gt;=T_MON,"MONITOR","LOW")))))</f>
        <v/>
      </c>
      <c r="P220" s="12" t="str">
        <f aca="false">IF($M220="","",INDEX(DriverNames,MATCH(MAX($F220:$J220),$F220:$J220,0)))</f>
        <v/>
      </c>
      <c r="Q220" s="21"/>
      <c r="R220" s="26"/>
      <c r="S220" s="2" t="str">
        <f aca="false">IF($O220="","",IF($L220&lt;&gt;"",100,0)+IF($N220="",0,$N220)+ROW()/100000)</f>
        <v/>
      </c>
      <c r="T220" s="2" t="str">
        <f aca="false">IF($S220="","",IF($A220=SEL_MODEL,$S220,""))</f>
        <v/>
      </c>
    </row>
    <row r="221" customFormat="false" ht="15" hidden="false" customHeight="false" outlineLevel="0" collapsed="false">
      <c r="A221" s="19"/>
      <c r="B221" s="20"/>
      <c r="C221" s="21"/>
      <c r="D221" s="20"/>
      <c r="E221" s="19"/>
      <c r="F221" s="20"/>
      <c r="G221" s="20"/>
      <c r="H221" s="20"/>
      <c r="I221" s="22" t="str">
        <f aca="false">IF($E221="","",IFERROR(IF(INDEX(SUPPLIERS!$D$4:$D$63,MATCH($E221,SUPPLIERS!$A$4:$A$63,0))="","",INDEX(SUPPLIERS!$D$4:$D$63,MATCH($E221,SUPPLIERS!$A$4:$A$63,0))),""))</f>
        <v/>
      </c>
      <c r="J221" s="22" t="str">
        <f aca="false">IF($E221="","",IFERROR(IF(INDEX(SUPPLIERS!$E$4:$E$63,MATCH($E221,SUPPLIERS!$A$4:$A$63,0))="","",INDEX(SUPPLIERS!$E$4:$E$63,MATCH($E221,SUPPLIERS!$A$4:$A$63,0))),""))</f>
        <v/>
      </c>
      <c r="K221" s="20"/>
      <c r="L221" s="19"/>
      <c r="M221" s="23" t="str">
        <f aca="false">IF(COUNT($F221:$J221)&lt;5,"",ROUND($F221*W_SRC+$G221*W_QC+$H221*W_CAP+$I221*W_SUP+$J221*W_EXT,1))</f>
        <v/>
      </c>
      <c r="N221" s="24" t="str">
        <f aca="false">IF(OR($M221="",$K221=""),"",ROUND($M221*$K221,1))</f>
        <v/>
      </c>
      <c r="O221" s="25" t="str">
        <f aca="false">IF($E221="","",IF($L221&lt;&gt;"","CRITICAL (FLAG)",IF(OR($M221="",$K221=""),"NOT SCORED",IF($N221&gt;=T_CRIT,"CRITICAL",IF($N221&gt;=T_MON,"MONITOR","LOW")))))</f>
        <v/>
      </c>
      <c r="P221" s="12" t="str">
        <f aca="false">IF($M221="","",INDEX(DriverNames,MATCH(MAX($F221:$J221),$F221:$J221,0)))</f>
        <v/>
      </c>
      <c r="Q221" s="21"/>
      <c r="R221" s="26"/>
      <c r="S221" s="2" t="str">
        <f aca="false">IF($O221="","",IF($L221&lt;&gt;"",100,0)+IF($N221="",0,$N221)+ROW()/100000)</f>
        <v/>
      </c>
      <c r="T221" s="2" t="str">
        <f aca="false">IF($S221="","",IF($A221=SEL_MODEL,$S221,""))</f>
        <v/>
      </c>
    </row>
    <row r="222" customFormat="false" ht="15" hidden="false" customHeight="false" outlineLevel="0" collapsed="false">
      <c r="A222" s="19"/>
      <c r="B222" s="20"/>
      <c r="C222" s="21"/>
      <c r="D222" s="20"/>
      <c r="E222" s="19"/>
      <c r="F222" s="20"/>
      <c r="G222" s="20"/>
      <c r="H222" s="20"/>
      <c r="I222" s="22" t="str">
        <f aca="false">IF($E222="","",IFERROR(IF(INDEX(SUPPLIERS!$D$4:$D$63,MATCH($E222,SUPPLIERS!$A$4:$A$63,0))="","",INDEX(SUPPLIERS!$D$4:$D$63,MATCH($E222,SUPPLIERS!$A$4:$A$63,0))),""))</f>
        <v/>
      </c>
      <c r="J222" s="22" t="str">
        <f aca="false">IF($E222="","",IFERROR(IF(INDEX(SUPPLIERS!$E$4:$E$63,MATCH($E222,SUPPLIERS!$A$4:$A$63,0))="","",INDEX(SUPPLIERS!$E$4:$E$63,MATCH($E222,SUPPLIERS!$A$4:$A$63,0))),""))</f>
        <v/>
      </c>
      <c r="K222" s="20"/>
      <c r="L222" s="19"/>
      <c r="M222" s="23" t="str">
        <f aca="false">IF(COUNT($F222:$J222)&lt;5,"",ROUND($F222*W_SRC+$G222*W_QC+$H222*W_CAP+$I222*W_SUP+$J222*W_EXT,1))</f>
        <v/>
      </c>
      <c r="N222" s="24" t="str">
        <f aca="false">IF(OR($M222="",$K222=""),"",ROUND($M222*$K222,1))</f>
        <v/>
      </c>
      <c r="O222" s="25" t="str">
        <f aca="false">IF($E222="","",IF($L222&lt;&gt;"","CRITICAL (FLAG)",IF(OR($M222="",$K222=""),"NOT SCORED",IF($N222&gt;=T_CRIT,"CRITICAL",IF($N222&gt;=T_MON,"MONITOR","LOW")))))</f>
        <v/>
      </c>
      <c r="P222" s="12" t="str">
        <f aca="false">IF($M222="","",INDEX(DriverNames,MATCH(MAX($F222:$J222),$F222:$J222,0)))</f>
        <v/>
      </c>
      <c r="Q222" s="21"/>
      <c r="R222" s="26"/>
      <c r="S222" s="2" t="str">
        <f aca="false">IF($O222="","",IF($L222&lt;&gt;"",100,0)+IF($N222="",0,$N222)+ROW()/100000)</f>
        <v/>
      </c>
      <c r="T222" s="2" t="str">
        <f aca="false">IF($S222="","",IF($A222=SEL_MODEL,$S222,""))</f>
        <v/>
      </c>
    </row>
    <row r="223" customFormat="false" ht="15" hidden="false" customHeight="false" outlineLevel="0" collapsed="false">
      <c r="A223" s="19"/>
      <c r="B223" s="20"/>
      <c r="C223" s="21"/>
      <c r="D223" s="20"/>
      <c r="E223" s="19"/>
      <c r="F223" s="20"/>
      <c r="G223" s="20"/>
      <c r="H223" s="20"/>
      <c r="I223" s="22" t="str">
        <f aca="false">IF($E223="","",IFERROR(IF(INDEX(SUPPLIERS!$D$4:$D$63,MATCH($E223,SUPPLIERS!$A$4:$A$63,0))="","",INDEX(SUPPLIERS!$D$4:$D$63,MATCH($E223,SUPPLIERS!$A$4:$A$63,0))),""))</f>
        <v/>
      </c>
      <c r="J223" s="22" t="str">
        <f aca="false">IF($E223="","",IFERROR(IF(INDEX(SUPPLIERS!$E$4:$E$63,MATCH($E223,SUPPLIERS!$A$4:$A$63,0))="","",INDEX(SUPPLIERS!$E$4:$E$63,MATCH($E223,SUPPLIERS!$A$4:$A$63,0))),""))</f>
        <v/>
      </c>
      <c r="K223" s="20"/>
      <c r="L223" s="19"/>
      <c r="M223" s="23" t="str">
        <f aca="false">IF(COUNT($F223:$J223)&lt;5,"",ROUND($F223*W_SRC+$G223*W_QC+$H223*W_CAP+$I223*W_SUP+$J223*W_EXT,1))</f>
        <v/>
      </c>
      <c r="N223" s="24" t="str">
        <f aca="false">IF(OR($M223="",$K223=""),"",ROUND($M223*$K223,1))</f>
        <v/>
      </c>
      <c r="O223" s="25" t="str">
        <f aca="false">IF($E223="","",IF($L223&lt;&gt;"","CRITICAL (FLAG)",IF(OR($M223="",$K223=""),"NOT SCORED",IF($N223&gt;=T_CRIT,"CRITICAL",IF($N223&gt;=T_MON,"MONITOR","LOW")))))</f>
        <v/>
      </c>
      <c r="P223" s="12" t="str">
        <f aca="false">IF($M223="","",INDEX(DriverNames,MATCH(MAX($F223:$J223),$F223:$J223,0)))</f>
        <v/>
      </c>
      <c r="Q223" s="21"/>
      <c r="R223" s="26"/>
      <c r="S223" s="2" t="str">
        <f aca="false">IF($O223="","",IF($L223&lt;&gt;"",100,0)+IF($N223="",0,$N223)+ROW()/100000)</f>
        <v/>
      </c>
      <c r="T223" s="2" t="str">
        <f aca="false">IF($S223="","",IF($A223=SEL_MODEL,$S223,""))</f>
        <v/>
      </c>
    </row>
    <row r="224" customFormat="false" ht="15" hidden="false" customHeight="false" outlineLevel="0" collapsed="false">
      <c r="A224" s="19"/>
      <c r="B224" s="20"/>
      <c r="C224" s="21"/>
      <c r="D224" s="20"/>
      <c r="E224" s="19"/>
      <c r="F224" s="20"/>
      <c r="G224" s="20"/>
      <c r="H224" s="20"/>
      <c r="I224" s="22" t="str">
        <f aca="false">IF($E224="","",IFERROR(IF(INDEX(SUPPLIERS!$D$4:$D$63,MATCH($E224,SUPPLIERS!$A$4:$A$63,0))="","",INDEX(SUPPLIERS!$D$4:$D$63,MATCH($E224,SUPPLIERS!$A$4:$A$63,0))),""))</f>
        <v/>
      </c>
      <c r="J224" s="22" t="str">
        <f aca="false">IF($E224="","",IFERROR(IF(INDEX(SUPPLIERS!$E$4:$E$63,MATCH($E224,SUPPLIERS!$A$4:$A$63,0))="","",INDEX(SUPPLIERS!$E$4:$E$63,MATCH($E224,SUPPLIERS!$A$4:$A$63,0))),""))</f>
        <v/>
      </c>
      <c r="K224" s="20"/>
      <c r="L224" s="19"/>
      <c r="M224" s="23" t="str">
        <f aca="false">IF(COUNT($F224:$J224)&lt;5,"",ROUND($F224*W_SRC+$G224*W_QC+$H224*W_CAP+$I224*W_SUP+$J224*W_EXT,1))</f>
        <v/>
      </c>
      <c r="N224" s="24" t="str">
        <f aca="false">IF(OR($M224="",$K224=""),"",ROUND($M224*$K224,1))</f>
        <v/>
      </c>
      <c r="O224" s="25" t="str">
        <f aca="false">IF($E224="","",IF($L224&lt;&gt;"","CRITICAL (FLAG)",IF(OR($M224="",$K224=""),"NOT SCORED",IF($N224&gt;=T_CRIT,"CRITICAL",IF($N224&gt;=T_MON,"MONITOR","LOW")))))</f>
        <v/>
      </c>
      <c r="P224" s="12" t="str">
        <f aca="false">IF($M224="","",INDEX(DriverNames,MATCH(MAX($F224:$J224),$F224:$J224,0)))</f>
        <v/>
      </c>
      <c r="Q224" s="21"/>
      <c r="R224" s="26"/>
      <c r="S224" s="2" t="str">
        <f aca="false">IF($O224="","",IF($L224&lt;&gt;"",100,0)+IF($N224="",0,$N224)+ROW()/100000)</f>
        <v/>
      </c>
      <c r="T224" s="2" t="str">
        <f aca="false">IF($S224="","",IF($A224=SEL_MODEL,$S224,""))</f>
        <v/>
      </c>
    </row>
    <row r="225" customFormat="false" ht="15" hidden="false" customHeight="false" outlineLevel="0" collapsed="false">
      <c r="A225" s="19"/>
      <c r="B225" s="20"/>
      <c r="C225" s="21"/>
      <c r="D225" s="20"/>
      <c r="E225" s="19"/>
      <c r="F225" s="20"/>
      <c r="G225" s="20"/>
      <c r="H225" s="20"/>
      <c r="I225" s="22" t="str">
        <f aca="false">IF($E225="","",IFERROR(IF(INDEX(SUPPLIERS!$D$4:$D$63,MATCH($E225,SUPPLIERS!$A$4:$A$63,0))="","",INDEX(SUPPLIERS!$D$4:$D$63,MATCH($E225,SUPPLIERS!$A$4:$A$63,0))),""))</f>
        <v/>
      </c>
      <c r="J225" s="22" t="str">
        <f aca="false">IF($E225="","",IFERROR(IF(INDEX(SUPPLIERS!$E$4:$E$63,MATCH($E225,SUPPLIERS!$A$4:$A$63,0))="","",INDEX(SUPPLIERS!$E$4:$E$63,MATCH($E225,SUPPLIERS!$A$4:$A$63,0))),""))</f>
        <v/>
      </c>
      <c r="K225" s="20"/>
      <c r="L225" s="19"/>
      <c r="M225" s="23" t="str">
        <f aca="false">IF(COUNT($F225:$J225)&lt;5,"",ROUND($F225*W_SRC+$G225*W_QC+$H225*W_CAP+$I225*W_SUP+$J225*W_EXT,1))</f>
        <v/>
      </c>
      <c r="N225" s="24" t="str">
        <f aca="false">IF(OR($M225="",$K225=""),"",ROUND($M225*$K225,1))</f>
        <v/>
      </c>
      <c r="O225" s="25" t="str">
        <f aca="false">IF($E225="","",IF($L225&lt;&gt;"","CRITICAL (FLAG)",IF(OR($M225="",$K225=""),"NOT SCORED",IF($N225&gt;=T_CRIT,"CRITICAL",IF($N225&gt;=T_MON,"MONITOR","LOW")))))</f>
        <v/>
      </c>
      <c r="P225" s="12" t="str">
        <f aca="false">IF($M225="","",INDEX(DriverNames,MATCH(MAX($F225:$J225),$F225:$J225,0)))</f>
        <v/>
      </c>
      <c r="Q225" s="21"/>
      <c r="R225" s="26"/>
      <c r="S225" s="2" t="str">
        <f aca="false">IF($O225="","",IF($L225&lt;&gt;"",100,0)+IF($N225="",0,$N225)+ROW()/100000)</f>
        <v/>
      </c>
      <c r="T225" s="2" t="str">
        <f aca="false">IF($S225="","",IF($A225=SEL_MODEL,$S225,""))</f>
        <v/>
      </c>
    </row>
    <row r="226" customFormat="false" ht="15" hidden="false" customHeight="false" outlineLevel="0" collapsed="false">
      <c r="A226" s="19"/>
      <c r="B226" s="20"/>
      <c r="C226" s="21"/>
      <c r="D226" s="20"/>
      <c r="E226" s="19"/>
      <c r="F226" s="20"/>
      <c r="G226" s="20"/>
      <c r="H226" s="20"/>
      <c r="I226" s="22" t="str">
        <f aca="false">IF($E226="","",IFERROR(IF(INDEX(SUPPLIERS!$D$4:$D$63,MATCH($E226,SUPPLIERS!$A$4:$A$63,0))="","",INDEX(SUPPLIERS!$D$4:$D$63,MATCH($E226,SUPPLIERS!$A$4:$A$63,0))),""))</f>
        <v/>
      </c>
      <c r="J226" s="22" t="str">
        <f aca="false">IF($E226="","",IFERROR(IF(INDEX(SUPPLIERS!$E$4:$E$63,MATCH($E226,SUPPLIERS!$A$4:$A$63,0))="","",INDEX(SUPPLIERS!$E$4:$E$63,MATCH($E226,SUPPLIERS!$A$4:$A$63,0))),""))</f>
        <v/>
      </c>
      <c r="K226" s="20"/>
      <c r="L226" s="19"/>
      <c r="M226" s="23" t="str">
        <f aca="false">IF(COUNT($F226:$J226)&lt;5,"",ROUND($F226*W_SRC+$G226*W_QC+$H226*W_CAP+$I226*W_SUP+$J226*W_EXT,1))</f>
        <v/>
      </c>
      <c r="N226" s="24" t="str">
        <f aca="false">IF(OR($M226="",$K226=""),"",ROUND($M226*$K226,1))</f>
        <v/>
      </c>
      <c r="O226" s="25" t="str">
        <f aca="false">IF($E226="","",IF($L226&lt;&gt;"","CRITICAL (FLAG)",IF(OR($M226="",$K226=""),"NOT SCORED",IF($N226&gt;=T_CRIT,"CRITICAL",IF($N226&gt;=T_MON,"MONITOR","LOW")))))</f>
        <v/>
      </c>
      <c r="P226" s="12" t="str">
        <f aca="false">IF($M226="","",INDEX(DriverNames,MATCH(MAX($F226:$J226),$F226:$J226,0)))</f>
        <v/>
      </c>
      <c r="Q226" s="21"/>
      <c r="R226" s="26"/>
      <c r="S226" s="2" t="str">
        <f aca="false">IF($O226="","",IF($L226&lt;&gt;"",100,0)+IF($N226="",0,$N226)+ROW()/100000)</f>
        <v/>
      </c>
      <c r="T226" s="2" t="str">
        <f aca="false">IF($S226="","",IF($A226=SEL_MODEL,$S226,""))</f>
        <v/>
      </c>
    </row>
    <row r="227" customFormat="false" ht="15" hidden="false" customHeight="false" outlineLevel="0" collapsed="false">
      <c r="A227" s="19"/>
      <c r="B227" s="20"/>
      <c r="C227" s="21"/>
      <c r="D227" s="20"/>
      <c r="E227" s="19"/>
      <c r="F227" s="20"/>
      <c r="G227" s="20"/>
      <c r="H227" s="20"/>
      <c r="I227" s="22" t="str">
        <f aca="false">IF($E227="","",IFERROR(IF(INDEX(SUPPLIERS!$D$4:$D$63,MATCH($E227,SUPPLIERS!$A$4:$A$63,0))="","",INDEX(SUPPLIERS!$D$4:$D$63,MATCH($E227,SUPPLIERS!$A$4:$A$63,0))),""))</f>
        <v/>
      </c>
      <c r="J227" s="22" t="str">
        <f aca="false">IF($E227="","",IFERROR(IF(INDEX(SUPPLIERS!$E$4:$E$63,MATCH($E227,SUPPLIERS!$A$4:$A$63,0))="","",INDEX(SUPPLIERS!$E$4:$E$63,MATCH($E227,SUPPLIERS!$A$4:$A$63,0))),""))</f>
        <v/>
      </c>
      <c r="K227" s="20"/>
      <c r="L227" s="19"/>
      <c r="M227" s="23" t="str">
        <f aca="false">IF(COUNT($F227:$J227)&lt;5,"",ROUND($F227*W_SRC+$G227*W_QC+$H227*W_CAP+$I227*W_SUP+$J227*W_EXT,1))</f>
        <v/>
      </c>
      <c r="N227" s="24" t="str">
        <f aca="false">IF(OR($M227="",$K227=""),"",ROUND($M227*$K227,1))</f>
        <v/>
      </c>
      <c r="O227" s="25" t="str">
        <f aca="false">IF($E227="","",IF($L227&lt;&gt;"","CRITICAL (FLAG)",IF(OR($M227="",$K227=""),"NOT SCORED",IF($N227&gt;=T_CRIT,"CRITICAL",IF($N227&gt;=T_MON,"MONITOR","LOW")))))</f>
        <v/>
      </c>
      <c r="P227" s="12" t="str">
        <f aca="false">IF($M227="","",INDEX(DriverNames,MATCH(MAX($F227:$J227),$F227:$J227,0)))</f>
        <v/>
      </c>
      <c r="Q227" s="21"/>
      <c r="R227" s="26"/>
      <c r="S227" s="2" t="str">
        <f aca="false">IF($O227="","",IF($L227&lt;&gt;"",100,0)+IF($N227="",0,$N227)+ROW()/100000)</f>
        <v/>
      </c>
      <c r="T227" s="2" t="str">
        <f aca="false">IF($S227="","",IF($A227=SEL_MODEL,$S227,""))</f>
        <v/>
      </c>
    </row>
    <row r="228" customFormat="false" ht="15" hidden="false" customHeight="false" outlineLevel="0" collapsed="false">
      <c r="A228" s="19"/>
      <c r="B228" s="20"/>
      <c r="C228" s="21"/>
      <c r="D228" s="20"/>
      <c r="E228" s="19"/>
      <c r="F228" s="20"/>
      <c r="G228" s="20"/>
      <c r="H228" s="20"/>
      <c r="I228" s="22" t="str">
        <f aca="false">IF($E228="","",IFERROR(IF(INDEX(SUPPLIERS!$D$4:$D$63,MATCH($E228,SUPPLIERS!$A$4:$A$63,0))="","",INDEX(SUPPLIERS!$D$4:$D$63,MATCH($E228,SUPPLIERS!$A$4:$A$63,0))),""))</f>
        <v/>
      </c>
      <c r="J228" s="22" t="str">
        <f aca="false">IF($E228="","",IFERROR(IF(INDEX(SUPPLIERS!$E$4:$E$63,MATCH($E228,SUPPLIERS!$A$4:$A$63,0))="","",INDEX(SUPPLIERS!$E$4:$E$63,MATCH($E228,SUPPLIERS!$A$4:$A$63,0))),""))</f>
        <v/>
      </c>
      <c r="K228" s="20"/>
      <c r="L228" s="19"/>
      <c r="M228" s="23" t="str">
        <f aca="false">IF(COUNT($F228:$J228)&lt;5,"",ROUND($F228*W_SRC+$G228*W_QC+$H228*W_CAP+$I228*W_SUP+$J228*W_EXT,1))</f>
        <v/>
      </c>
      <c r="N228" s="24" t="str">
        <f aca="false">IF(OR($M228="",$K228=""),"",ROUND($M228*$K228,1))</f>
        <v/>
      </c>
      <c r="O228" s="25" t="str">
        <f aca="false">IF($E228="","",IF($L228&lt;&gt;"","CRITICAL (FLAG)",IF(OR($M228="",$K228=""),"NOT SCORED",IF($N228&gt;=T_CRIT,"CRITICAL",IF($N228&gt;=T_MON,"MONITOR","LOW")))))</f>
        <v/>
      </c>
      <c r="P228" s="12" t="str">
        <f aca="false">IF($M228="","",INDEX(DriverNames,MATCH(MAX($F228:$J228),$F228:$J228,0)))</f>
        <v/>
      </c>
      <c r="Q228" s="21"/>
      <c r="R228" s="26"/>
      <c r="S228" s="2" t="str">
        <f aca="false">IF($O228="","",IF($L228&lt;&gt;"",100,0)+IF($N228="",0,$N228)+ROW()/100000)</f>
        <v/>
      </c>
      <c r="T228" s="2" t="str">
        <f aca="false">IF($S228="","",IF($A228=SEL_MODEL,$S228,""))</f>
        <v/>
      </c>
    </row>
    <row r="229" customFormat="false" ht="15" hidden="false" customHeight="false" outlineLevel="0" collapsed="false">
      <c r="A229" s="19"/>
      <c r="B229" s="20"/>
      <c r="C229" s="21"/>
      <c r="D229" s="20"/>
      <c r="E229" s="19"/>
      <c r="F229" s="20"/>
      <c r="G229" s="20"/>
      <c r="H229" s="20"/>
      <c r="I229" s="22" t="str">
        <f aca="false">IF($E229="","",IFERROR(IF(INDEX(SUPPLIERS!$D$4:$D$63,MATCH($E229,SUPPLIERS!$A$4:$A$63,0))="","",INDEX(SUPPLIERS!$D$4:$D$63,MATCH($E229,SUPPLIERS!$A$4:$A$63,0))),""))</f>
        <v/>
      </c>
      <c r="J229" s="22" t="str">
        <f aca="false">IF($E229="","",IFERROR(IF(INDEX(SUPPLIERS!$E$4:$E$63,MATCH($E229,SUPPLIERS!$A$4:$A$63,0))="","",INDEX(SUPPLIERS!$E$4:$E$63,MATCH($E229,SUPPLIERS!$A$4:$A$63,0))),""))</f>
        <v/>
      </c>
      <c r="K229" s="20"/>
      <c r="L229" s="19"/>
      <c r="M229" s="23" t="str">
        <f aca="false">IF(COUNT($F229:$J229)&lt;5,"",ROUND($F229*W_SRC+$G229*W_QC+$H229*W_CAP+$I229*W_SUP+$J229*W_EXT,1))</f>
        <v/>
      </c>
      <c r="N229" s="24" t="str">
        <f aca="false">IF(OR($M229="",$K229=""),"",ROUND($M229*$K229,1))</f>
        <v/>
      </c>
      <c r="O229" s="25" t="str">
        <f aca="false">IF($E229="","",IF($L229&lt;&gt;"","CRITICAL (FLAG)",IF(OR($M229="",$K229=""),"NOT SCORED",IF($N229&gt;=T_CRIT,"CRITICAL",IF($N229&gt;=T_MON,"MONITOR","LOW")))))</f>
        <v/>
      </c>
      <c r="P229" s="12" t="str">
        <f aca="false">IF($M229="","",INDEX(DriverNames,MATCH(MAX($F229:$J229),$F229:$J229,0)))</f>
        <v/>
      </c>
      <c r="Q229" s="21"/>
      <c r="R229" s="26"/>
      <c r="S229" s="2" t="str">
        <f aca="false">IF($O229="","",IF($L229&lt;&gt;"",100,0)+IF($N229="",0,$N229)+ROW()/100000)</f>
        <v/>
      </c>
      <c r="T229" s="2" t="str">
        <f aca="false">IF($S229="","",IF($A229=SEL_MODEL,$S229,""))</f>
        <v/>
      </c>
    </row>
    <row r="230" customFormat="false" ht="15" hidden="false" customHeight="false" outlineLevel="0" collapsed="false">
      <c r="A230" s="19"/>
      <c r="B230" s="20"/>
      <c r="C230" s="21"/>
      <c r="D230" s="20"/>
      <c r="E230" s="19"/>
      <c r="F230" s="20"/>
      <c r="G230" s="20"/>
      <c r="H230" s="20"/>
      <c r="I230" s="22" t="str">
        <f aca="false">IF($E230="","",IFERROR(IF(INDEX(SUPPLIERS!$D$4:$D$63,MATCH($E230,SUPPLIERS!$A$4:$A$63,0))="","",INDEX(SUPPLIERS!$D$4:$D$63,MATCH($E230,SUPPLIERS!$A$4:$A$63,0))),""))</f>
        <v/>
      </c>
      <c r="J230" s="22" t="str">
        <f aca="false">IF($E230="","",IFERROR(IF(INDEX(SUPPLIERS!$E$4:$E$63,MATCH($E230,SUPPLIERS!$A$4:$A$63,0))="","",INDEX(SUPPLIERS!$E$4:$E$63,MATCH($E230,SUPPLIERS!$A$4:$A$63,0))),""))</f>
        <v/>
      </c>
      <c r="K230" s="20"/>
      <c r="L230" s="19"/>
      <c r="M230" s="23" t="str">
        <f aca="false">IF(COUNT($F230:$J230)&lt;5,"",ROUND($F230*W_SRC+$G230*W_QC+$H230*W_CAP+$I230*W_SUP+$J230*W_EXT,1))</f>
        <v/>
      </c>
      <c r="N230" s="24" t="str">
        <f aca="false">IF(OR($M230="",$K230=""),"",ROUND($M230*$K230,1))</f>
        <v/>
      </c>
      <c r="O230" s="25" t="str">
        <f aca="false">IF($E230="","",IF($L230&lt;&gt;"","CRITICAL (FLAG)",IF(OR($M230="",$K230=""),"NOT SCORED",IF($N230&gt;=T_CRIT,"CRITICAL",IF($N230&gt;=T_MON,"MONITOR","LOW")))))</f>
        <v/>
      </c>
      <c r="P230" s="12" t="str">
        <f aca="false">IF($M230="","",INDEX(DriverNames,MATCH(MAX($F230:$J230),$F230:$J230,0)))</f>
        <v/>
      </c>
      <c r="Q230" s="21"/>
      <c r="R230" s="26"/>
      <c r="S230" s="2" t="str">
        <f aca="false">IF($O230="","",IF($L230&lt;&gt;"",100,0)+IF($N230="",0,$N230)+ROW()/100000)</f>
        <v/>
      </c>
      <c r="T230" s="2" t="str">
        <f aca="false">IF($S230="","",IF($A230=SEL_MODEL,$S230,""))</f>
        <v/>
      </c>
    </row>
    <row r="231" customFormat="false" ht="15" hidden="false" customHeight="false" outlineLevel="0" collapsed="false">
      <c r="A231" s="19"/>
      <c r="B231" s="20"/>
      <c r="C231" s="21"/>
      <c r="D231" s="20"/>
      <c r="E231" s="19"/>
      <c r="F231" s="20"/>
      <c r="G231" s="20"/>
      <c r="H231" s="20"/>
      <c r="I231" s="22" t="str">
        <f aca="false">IF($E231="","",IFERROR(IF(INDEX(SUPPLIERS!$D$4:$D$63,MATCH($E231,SUPPLIERS!$A$4:$A$63,0))="","",INDEX(SUPPLIERS!$D$4:$D$63,MATCH($E231,SUPPLIERS!$A$4:$A$63,0))),""))</f>
        <v/>
      </c>
      <c r="J231" s="22" t="str">
        <f aca="false">IF($E231="","",IFERROR(IF(INDEX(SUPPLIERS!$E$4:$E$63,MATCH($E231,SUPPLIERS!$A$4:$A$63,0))="","",INDEX(SUPPLIERS!$E$4:$E$63,MATCH($E231,SUPPLIERS!$A$4:$A$63,0))),""))</f>
        <v/>
      </c>
      <c r="K231" s="20"/>
      <c r="L231" s="19"/>
      <c r="M231" s="23" t="str">
        <f aca="false">IF(COUNT($F231:$J231)&lt;5,"",ROUND($F231*W_SRC+$G231*W_QC+$H231*W_CAP+$I231*W_SUP+$J231*W_EXT,1))</f>
        <v/>
      </c>
      <c r="N231" s="24" t="str">
        <f aca="false">IF(OR($M231="",$K231=""),"",ROUND($M231*$K231,1))</f>
        <v/>
      </c>
      <c r="O231" s="25" t="str">
        <f aca="false">IF($E231="","",IF($L231&lt;&gt;"","CRITICAL (FLAG)",IF(OR($M231="",$K231=""),"NOT SCORED",IF($N231&gt;=T_CRIT,"CRITICAL",IF($N231&gt;=T_MON,"MONITOR","LOW")))))</f>
        <v/>
      </c>
      <c r="P231" s="12" t="str">
        <f aca="false">IF($M231="","",INDEX(DriverNames,MATCH(MAX($F231:$J231),$F231:$J231,0)))</f>
        <v/>
      </c>
      <c r="Q231" s="21"/>
      <c r="R231" s="26"/>
      <c r="S231" s="2" t="str">
        <f aca="false">IF($O231="","",IF($L231&lt;&gt;"",100,0)+IF($N231="",0,$N231)+ROW()/100000)</f>
        <v/>
      </c>
      <c r="T231" s="2" t="str">
        <f aca="false">IF($S231="","",IF($A231=SEL_MODEL,$S231,""))</f>
        <v/>
      </c>
    </row>
    <row r="232" customFormat="false" ht="15" hidden="false" customHeight="false" outlineLevel="0" collapsed="false">
      <c r="A232" s="19"/>
      <c r="B232" s="20"/>
      <c r="C232" s="21"/>
      <c r="D232" s="20"/>
      <c r="E232" s="19"/>
      <c r="F232" s="20"/>
      <c r="G232" s="20"/>
      <c r="H232" s="20"/>
      <c r="I232" s="22" t="str">
        <f aca="false">IF($E232="","",IFERROR(IF(INDEX(SUPPLIERS!$D$4:$D$63,MATCH($E232,SUPPLIERS!$A$4:$A$63,0))="","",INDEX(SUPPLIERS!$D$4:$D$63,MATCH($E232,SUPPLIERS!$A$4:$A$63,0))),""))</f>
        <v/>
      </c>
      <c r="J232" s="22" t="str">
        <f aca="false">IF($E232="","",IFERROR(IF(INDEX(SUPPLIERS!$E$4:$E$63,MATCH($E232,SUPPLIERS!$A$4:$A$63,0))="","",INDEX(SUPPLIERS!$E$4:$E$63,MATCH($E232,SUPPLIERS!$A$4:$A$63,0))),""))</f>
        <v/>
      </c>
      <c r="K232" s="20"/>
      <c r="L232" s="19"/>
      <c r="M232" s="23" t="str">
        <f aca="false">IF(COUNT($F232:$J232)&lt;5,"",ROUND($F232*W_SRC+$G232*W_QC+$H232*W_CAP+$I232*W_SUP+$J232*W_EXT,1))</f>
        <v/>
      </c>
      <c r="N232" s="24" t="str">
        <f aca="false">IF(OR($M232="",$K232=""),"",ROUND($M232*$K232,1))</f>
        <v/>
      </c>
      <c r="O232" s="25" t="str">
        <f aca="false">IF($E232="","",IF($L232&lt;&gt;"","CRITICAL (FLAG)",IF(OR($M232="",$K232=""),"NOT SCORED",IF($N232&gt;=T_CRIT,"CRITICAL",IF($N232&gt;=T_MON,"MONITOR","LOW")))))</f>
        <v/>
      </c>
      <c r="P232" s="12" t="str">
        <f aca="false">IF($M232="","",INDEX(DriverNames,MATCH(MAX($F232:$J232),$F232:$J232,0)))</f>
        <v/>
      </c>
      <c r="Q232" s="21"/>
      <c r="R232" s="26"/>
      <c r="S232" s="2" t="str">
        <f aca="false">IF($O232="","",IF($L232&lt;&gt;"",100,0)+IF($N232="",0,$N232)+ROW()/100000)</f>
        <v/>
      </c>
      <c r="T232" s="2" t="str">
        <f aca="false">IF($S232="","",IF($A232=SEL_MODEL,$S232,""))</f>
        <v/>
      </c>
    </row>
    <row r="233" customFormat="false" ht="15" hidden="false" customHeight="false" outlineLevel="0" collapsed="false">
      <c r="A233" s="19"/>
      <c r="B233" s="20"/>
      <c r="C233" s="21"/>
      <c r="D233" s="20"/>
      <c r="E233" s="19"/>
      <c r="F233" s="20"/>
      <c r="G233" s="20"/>
      <c r="H233" s="20"/>
      <c r="I233" s="22" t="str">
        <f aca="false">IF($E233="","",IFERROR(IF(INDEX(SUPPLIERS!$D$4:$D$63,MATCH($E233,SUPPLIERS!$A$4:$A$63,0))="","",INDEX(SUPPLIERS!$D$4:$D$63,MATCH($E233,SUPPLIERS!$A$4:$A$63,0))),""))</f>
        <v/>
      </c>
      <c r="J233" s="22" t="str">
        <f aca="false">IF($E233="","",IFERROR(IF(INDEX(SUPPLIERS!$E$4:$E$63,MATCH($E233,SUPPLIERS!$A$4:$A$63,0))="","",INDEX(SUPPLIERS!$E$4:$E$63,MATCH($E233,SUPPLIERS!$A$4:$A$63,0))),""))</f>
        <v/>
      </c>
      <c r="K233" s="20"/>
      <c r="L233" s="19"/>
      <c r="M233" s="23" t="str">
        <f aca="false">IF(COUNT($F233:$J233)&lt;5,"",ROUND($F233*W_SRC+$G233*W_QC+$H233*W_CAP+$I233*W_SUP+$J233*W_EXT,1))</f>
        <v/>
      </c>
      <c r="N233" s="24" t="str">
        <f aca="false">IF(OR($M233="",$K233=""),"",ROUND($M233*$K233,1))</f>
        <v/>
      </c>
      <c r="O233" s="25" t="str">
        <f aca="false">IF($E233="","",IF($L233&lt;&gt;"","CRITICAL (FLAG)",IF(OR($M233="",$K233=""),"NOT SCORED",IF($N233&gt;=T_CRIT,"CRITICAL",IF($N233&gt;=T_MON,"MONITOR","LOW")))))</f>
        <v/>
      </c>
      <c r="P233" s="12" t="str">
        <f aca="false">IF($M233="","",INDEX(DriverNames,MATCH(MAX($F233:$J233),$F233:$J233,0)))</f>
        <v/>
      </c>
      <c r="Q233" s="21"/>
      <c r="R233" s="26"/>
      <c r="S233" s="2" t="str">
        <f aca="false">IF($O233="","",IF($L233&lt;&gt;"",100,0)+IF($N233="",0,$N233)+ROW()/100000)</f>
        <v/>
      </c>
      <c r="T233" s="2" t="str">
        <f aca="false">IF($S233="","",IF($A233=SEL_MODEL,$S233,""))</f>
        <v/>
      </c>
    </row>
    <row r="234" customFormat="false" ht="15" hidden="false" customHeight="false" outlineLevel="0" collapsed="false">
      <c r="A234" s="19"/>
      <c r="B234" s="20"/>
      <c r="C234" s="21"/>
      <c r="D234" s="20"/>
      <c r="E234" s="19"/>
      <c r="F234" s="20"/>
      <c r="G234" s="20"/>
      <c r="H234" s="20"/>
      <c r="I234" s="22" t="str">
        <f aca="false">IF($E234="","",IFERROR(IF(INDEX(SUPPLIERS!$D$4:$D$63,MATCH($E234,SUPPLIERS!$A$4:$A$63,0))="","",INDEX(SUPPLIERS!$D$4:$D$63,MATCH($E234,SUPPLIERS!$A$4:$A$63,0))),""))</f>
        <v/>
      </c>
      <c r="J234" s="22" t="str">
        <f aca="false">IF($E234="","",IFERROR(IF(INDEX(SUPPLIERS!$E$4:$E$63,MATCH($E234,SUPPLIERS!$A$4:$A$63,0))="","",INDEX(SUPPLIERS!$E$4:$E$63,MATCH($E234,SUPPLIERS!$A$4:$A$63,0))),""))</f>
        <v/>
      </c>
      <c r="K234" s="20"/>
      <c r="L234" s="19"/>
      <c r="M234" s="23" t="str">
        <f aca="false">IF(COUNT($F234:$J234)&lt;5,"",ROUND($F234*W_SRC+$G234*W_QC+$H234*W_CAP+$I234*W_SUP+$J234*W_EXT,1))</f>
        <v/>
      </c>
      <c r="N234" s="24" t="str">
        <f aca="false">IF(OR($M234="",$K234=""),"",ROUND($M234*$K234,1))</f>
        <v/>
      </c>
      <c r="O234" s="25" t="str">
        <f aca="false">IF($E234="","",IF($L234&lt;&gt;"","CRITICAL (FLAG)",IF(OR($M234="",$K234=""),"NOT SCORED",IF($N234&gt;=T_CRIT,"CRITICAL",IF($N234&gt;=T_MON,"MONITOR","LOW")))))</f>
        <v/>
      </c>
      <c r="P234" s="12" t="str">
        <f aca="false">IF($M234="","",INDEX(DriverNames,MATCH(MAX($F234:$J234),$F234:$J234,0)))</f>
        <v/>
      </c>
      <c r="Q234" s="21"/>
      <c r="R234" s="26"/>
      <c r="S234" s="2" t="str">
        <f aca="false">IF($O234="","",IF($L234&lt;&gt;"",100,0)+IF($N234="",0,$N234)+ROW()/100000)</f>
        <v/>
      </c>
      <c r="T234" s="2" t="str">
        <f aca="false">IF($S234="","",IF($A234=SEL_MODEL,$S234,""))</f>
        <v/>
      </c>
    </row>
    <row r="235" customFormat="false" ht="15" hidden="false" customHeight="false" outlineLevel="0" collapsed="false">
      <c r="A235" s="19"/>
      <c r="B235" s="20"/>
      <c r="C235" s="21"/>
      <c r="D235" s="20"/>
      <c r="E235" s="19"/>
      <c r="F235" s="20"/>
      <c r="G235" s="20"/>
      <c r="H235" s="20"/>
      <c r="I235" s="22" t="str">
        <f aca="false">IF($E235="","",IFERROR(IF(INDEX(SUPPLIERS!$D$4:$D$63,MATCH($E235,SUPPLIERS!$A$4:$A$63,0))="","",INDEX(SUPPLIERS!$D$4:$D$63,MATCH($E235,SUPPLIERS!$A$4:$A$63,0))),""))</f>
        <v/>
      </c>
      <c r="J235" s="22" t="str">
        <f aca="false">IF($E235="","",IFERROR(IF(INDEX(SUPPLIERS!$E$4:$E$63,MATCH($E235,SUPPLIERS!$A$4:$A$63,0))="","",INDEX(SUPPLIERS!$E$4:$E$63,MATCH($E235,SUPPLIERS!$A$4:$A$63,0))),""))</f>
        <v/>
      </c>
      <c r="K235" s="20"/>
      <c r="L235" s="19"/>
      <c r="M235" s="23" t="str">
        <f aca="false">IF(COUNT($F235:$J235)&lt;5,"",ROUND($F235*W_SRC+$G235*W_QC+$H235*W_CAP+$I235*W_SUP+$J235*W_EXT,1))</f>
        <v/>
      </c>
      <c r="N235" s="24" t="str">
        <f aca="false">IF(OR($M235="",$K235=""),"",ROUND($M235*$K235,1))</f>
        <v/>
      </c>
      <c r="O235" s="25" t="str">
        <f aca="false">IF($E235="","",IF($L235&lt;&gt;"","CRITICAL (FLAG)",IF(OR($M235="",$K235=""),"NOT SCORED",IF($N235&gt;=T_CRIT,"CRITICAL",IF($N235&gt;=T_MON,"MONITOR","LOW")))))</f>
        <v/>
      </c>
      <c r="P235" s="12" t="str">
        <f aca="false">IF($M235="","",INDEX(DriverNames,MATCH(MAX($F235:$J235),$F235:$J235,0)))</f>
        <v/>
      </c>
      <c r="Q235" s="21"/>
      <c r="R235" s="26"/>
      <c r="S235" s="2" t="str">
        <f aca="false">IF($O235="","",IF($L235&lt;&gt;"",100,0)+IF($N235="",0,$N235)+ROW()/100000)</f>
        <v/>
      </c>
      <c r="T235" s="2" t="str">
        <f aca="false">IF($S235="","",IF($A235=SEL_MODEL,$S235,""))</f>
        <v/>
      </c>
    </row>
    <row r="236" customFormat="false" ht="15" hidden="false" customHeight="false" outlineLevel="0" collapsed="false">
      <c r="A236" s="19"/>
      <c r="B236" s="20"/>
      <c r="C236" s="21"/>
      <c r="D236" s="20"/>
      <c r="E236" s="19"/>
      <c r="F236" s="20"/>
      <c r="G236" s="20"/>
      <c r="H236" s="20"/>
      <c r="I236" s="22" t="str">
        <f aca="false">IF($E236="","",IFERROR(IF(INDEX(SUPPLIERS!$D$4:$D$63,MATCH($E236,SUPPLIERS!$A$4:$A$63,0))="","",INDEX(SUPPLIERS!$D$4:$D$63,MATCH($E236,SUPPLIERS!$A$4:$A$63,0))),""))</f>
        <v/>
      </c>
      <c r="J236" s="22" t="str">
        <f aca="false">IF($E236="","",IFERROR(IF(INDEX(SUPPLIERS!$E$4:$E$63,MATCH($E236,SUPPLIERS!$A$4:$A$63,0))="","",INDEX(SUPPLIERS!$E$4:$E$63,MATCH($E236,SUPPLIERS!$A$4:$A$63,0))),""))</f>
        <v/>
      </c>
      <c r="K236" s="20"/>
      <c r="L236" s="19"/>
      <c r="M236" s="23" t="str">
        <f aca="false">IF(COUNT($F236:$J236)&lt;5,"",ROUND($F236*W_SRC+$G236*W_QC+$H236*W_CAP+$I236*W_SUP+$J236*W_EXT,1))</f>
        <v/>
      </c>
      <c r="N236" s="24" t="str">
        <f aca="false">IF(OR($M236="",$K236=""),"",ROUND($M236*$K236,1))</f>
        <v/>
      </c>
      <c r="O236" s="25" t="str">
        <f aca="false">IF($E236="","",IF($L236&lt;&gt;"","CRITICAL (FLAG)",IF(OR($M236="",$K236=""),"NOT SCORED",IF($N236&gt;=T_CRIT,"CRITICAL",IF($N236&gt;=T_MON,"MONITOR","LOW")))))</f>
        <v/>
      </c>
      <c r="P236" s="12" t="str">
        <f aca="false">IF($M236="","",INDEX(DriverNames,MATCH(MAX($F236:$J236),$F236:$J236,0)))</f>
        <v/>
      </c>
      <c r="Q236" s="21"/>
      <c r="R236" s="26"/>
      <c r="S236" s="2" t="str">
        <f aca="false">IF($O236="","",IF($L236&lt;&gt;"",100,0)+IF($N236="",0,$N236)+ROW()/100000)</f>
        <v/>
      </c>
      <c r="T236" s="2" t="str">
        <f aca="false">IF($S236="","",IF($A236=SEL_MODEL,$S236,""))</f>
        <v/>
      </c>
    </row>
    <row r="237" customFormat="false" ht="15" hidden="false" customHeight="false" outlineLevel="0" collapsed="false">
      <c r="A237" s="19"/>
      <c r="B237" s="20"/>
      <c r="C237" s="21"/>
      <c r="D237" s="20"/>
      <c r="E237" s="19"/>
      <c r="F237" s="20"/>
      <c r="G237" s="20"/>
      <c r="H237" s="20"/>
      <c r="I237" s="22" t="str">
        <f aca="false">IF($E237="","",IFERROR(IF(INDEX(SUPPLIERS!$D$4:$D$63,MATCH($E237,SUPPLIERS!$A$4:$A$63,0))="","",INDEX(SUPPLIERS!$D$4:$D$63,MATCH($E237,SUPPLIERS!$A$4:$A$63,0))),""))</f>
        <v/>
      </c>
      <c r="J237" s="22" t="str">
        <f aca="false">IF($E237="","",IFERROR(IF(INDEX(SUPPLIERS!$E$4:$E$63,MATCH($E237,SUPPLIERS!$A$4:$A$63,0))="","",INDEX(SUPPLIERS!$E$4:$E$63,MATCH($E237,SUPPLIERS!$A$4:$A$63,0))),""))</f>
        <v/>
      </c>
      <c r="K237" s="20"/>
      <c r="L237" s="19"/>
      <c r="M237" s="23" t="str">
        <f aca="false">IF(COUNT($F237:$J237)&lt;5,"",ROUND($F237*W_SRC+$G237*W_QC+$H237*W_CAP+$I237*W_SUP+$J237*W_EXT,1))</f>
        <v/>
      </c>
      <c r="N237" s="24" t="str">
        <f aca="false">IF(OR($M237="",$K237=""),"",ROUND($M237*$K237,1))</f>
        <v/>
      </c>
      <c r="O237" s="25" t="str">
        <f aca="false">IF($E237="","",IF($L237&lt;&gt;"","CRITICAL (FLAG)",IF(OR($M237="",$K237=""),"NOT SCORED",IF($N237&gt;=T_CRIT,"CRITICAL",IF($N237&gt;=T_MON,"MONITOR","LOW")))))</f>
        <v/>
      </c>
      <c r="P237" s="12" t="str">
        <f aca="false">IF($M237="","",INDEX(DriverNames,MATCH(MAX($F237:$J237),$F237:$J237,0)))</f>
        <v/>
      </c>
      <c r="Q237" s="21"/>
      <c r="R237" s="26"/>
      <c r="S237" s="2" t="str">
        <f aca="false">IF($O237="","",IF($L237&lt;&gt;"",100,0)+IF($N237="",0,$N237)+ROW()/100000)</f>
        <v/>
      </c>
      <c r="T237" s="2" t="str">
        <f aca="false">IF($S237="","",IF($A237=SEL_MODEL,$S237,""))</f>
        <v/>
      </c>
    </row>
    <row r="238" customFormat="false" ht="15" hidden="false" customHeight="false" outlineLevel="0" collapsed="false">
      <c r="A238" s="19"/>
      <c r="B238" s="20"/>
      <c r="C238" s="21"/>
      <c r="D238" s="20"/>
      <c r="E238" s="19"/>
      <c r="F238" s="20"/>
      <c r="G238" s="20"/>
      <c r="H238" s="20"/>
      <c r="I238" s="22" t="str">
        <f aca="false">IF($E238="","",IFERROR(IF(INDEX(SUPPLIERS!$D$4:$D$63,MATCH($E238,SUPPLIERS!$A$4:$A$63,0))="","",INDEX(SUPPLIERS!$D$4:$D$63,MATCH($E238,SUPPLIERS!$A$4:$A$63,0))),""))</f>
        <v/>
      </c>
      <c r="J238" s="22" t="str">
        <f aca="false">IF($E238="","",IFERROR(IF(INDEX(SUPPLIERS!$E$4:$E$63,MATCH($E238,SUPPLIERS!$A$4:$A$63,0))="","",INDEX(SUPPLIERS!$E$4:$E$63,MATCH($E238,SUPPLIERS!$A$4:$A$63,0))),""))</f>
        <v/>
      </c>
      <c r="K238" s="20"/>
      <c r="L238" s="19"/>
      <c r="M238" s="23" t="str">
        <f aca="false">IF(COUNT($F238:$J238)&lt;5,"",ROUND($F238*W_SRC+$G238*W_QC+$H238*W_CAP+$I238*W_SUP+$J238*W_EXT,1))</f>
        <v/>
      </c>
      <c r="N238" s="24" t="str">
        <f aca="false">IF(OR($M238="",$K238=""),"",ROUND($M238*$K238,1))</f>
        <v/>
      </c>
      <c r="O238" s="25" t="str">
        <f aca="false">IF($E238="","",IF($L238&lt;&gt;"","CRITICAL (FLAG)",IF(OR($M238="",$K238=""),"NOT SCORED",IF($N238&gt;=T_CRIT,"CRITICAL",IF($N238&gt;=T_MON,"MONITOR","LOW")))))</f>
        <v/>
      </c>
      <c r="P238" s="12" t="str">
        <f aca="false">IF($M238="","",INDEX(DriverNames,MATCH(MAX($F238:$J238),$F238:$J238,0)))</f>
        <v/>
      </c>
      <c r="Q238" s="21"/>
      <c r="R238" s="26"/>
      <c r="S238" s="2" t="str">
        <f aca="false">IF($O238="","",IF($L238&lt;&gt;"",100,0)+IF($N238="",0,$N238)+ROW()/100000)</f>
        <v/>
      </c>
      <c r="T238" s="2" t="str">
        <f aca="false">IF($S238="","",IF($A238=SEL_MODEL,$S238,""))</f>
        <v/>
      </c>
    </row>
    <row r="239" customFormat="false" ht="15" hidden="false" customHeight="false" outlineLevel="0" collapsed="false">
      <c r="A239" s="19"/>
      <c r="B239" s="20"/>
      <c r="C239" s="21"/>
      <c r="D239" s="20"/>
      <c r="E239" s="19"/>
      <c r="F239" s="20"/>
      <c r="G239" s="20"/>
      <c r="H239" s="20"/>
      <c r="I239" s="22" t="str">
        <f aca="false">IF($E239="","",IFERROR(IF(INDEX(SUPPLIERS!$D$4:$D$63,MATCH($E239,SUPPLIERS!$A$4:$A$63,0))="","",INDEX(SUPPLIERS!$D$4:$D$63,MATCH($E239,SUPPLIERS!$A$4:$A$63,0))),""))</f>
        <v/>
      </c>
      <c r="J239" s="22" t="str">
        <f aca="false">IF($E239="","",IFERROR(IF(INDEX(SUPPLIERS!$E$4:$E$63,MATCH($E239,SUPPLIERS!$A$4:$A$63,0))="","",INDEX(SUPPLIERS!$E$4:$E$63,MATCH($E239,SUPPLIERS!$A$4:$A$63,0))),""))</f>
        <v/>
      </c>
      <c r="K239" s="20"/>
      <c r="L239" s="19"/>
      <c r="M239" s="23" t="str">
        <f aca="false">IF(COUNT($F239:$J239)&lt;5,"",ROUND($F239*W_SRC+$G239*W_QC+$H239*W_CAP+$I239*W_SUP+$J239*W_EXT,1))</f>
        <v/>
      </c>
      <c r="N239" s="24" t="str">
        <f aca="false">IF(OR($M239="",$K239=""),"",ROUND($M239*$K239,1))</f>
        <v/>
      </c>
      <c r="O239" s="25" t="str">
        <f aca="false">IF($E239="","",IF($L239&lt;&gt;"","CRITICAL (FLAG)",IF(OR($M239="",$K239=""),"NOT SCORED",IF($N239&gt;=T_CRIT,"CRITICAL",IF($N239&gt;=T_MON,"MONITOR","LOW")))))</f>
        <v/>
      </c>
      <c r="P239" s="12" t="str">
        <f aca="false">IF($M239="","",INDEX(DriverNames,MATCH(MAX($F239:$J239),$F239:$J239,0)))</f>
        <v/>
      </c>
      <c r="Q239" s="21"/>
      <c r="R239" s="26"/>
      <c r="S239" s="2" t="str">
        <f aca="false">IF($O239="","",IF($L239&lt;&gt;"",100,0)+IF($N239="",0,$N239)+ROW()/100000)</f>
        <v/>
      </c>
      <c r="T239" s="2" t="str">
        <f aca="false">IF($S239="","",IF($A239=SEL_MODEL,$S239,""))</f>
        <v/>
      </c>
    </row>
    <row r="240" customFormat="false" ht="15" hidden="false" customHeight="false" outlineLevel="0" collapsed="false">
      <c r="A240" s="19"/>
      <c r="B240" s="20"/>
      <c r="C240" s="21"/>
      <c r="D240" s="20"/>
      <c r="E240" s="19"/>
      <c r="F240" s="20"/>
      <c r="G240" s="20"/>
      <c r="H240" s="20"/>
      <c r="I240" s="22" t="str">
        <f aca="false">IF($E240="","",IFERROR(IF(INDEX(SUPPLIERS!$D$4:$D$63,MATCH($E240,SUPPLIERS!$A$4:$A$63,0))="","",INDEX(SUPPLIERS!$D$4:$D$63,MATCH($E240,SUPPLIERS!$A$4:$A$63,0))),""))</f>
        <v/>
      </c>
      <c r="J240" s="22" t="str">
        <f aca="false">IF($E240="","",IFERROR(IF(INDEX(SUPPLIERS!$E$4:$E$63,MATCH($E240,SUPPLIERS!$A$4:$A$63,0))="","",INDEX(SUPPLIERS!$E$4:$E$63,MATCH($E240,SUPPLIERS!$A$4:$A$63,0))),""))</f>
        <v/>
      </c>
      <c r="K240" s="20"/>
      <c r="L240" s="19"/>
      <c r="M240" s="23" t="str">
        <f aca="false">IF(COUNT($F240:$J240)&lt;5,"",ROUND($F240*W_SRC+$G240*W_QC+$H240*W_CAP+$I240*W_SUP+$J240*W_EXT,1))</f>
        <v/>
      </c>
      <c r="N240" s="24" t="str">
        <f aca="false">IF(OR($M240="",$K240=""),"",ROUND($M240*$K240,1))</f>
        <v/>
      </c>
      <c r="O240" s="25" t="str">
        <f aca="false">IF($E240="","",IF($L240&lt;&gt;"","CRITICAL (FLAG)",IF(OR($M240="",$K240=""),"NOT SCORED",IF($N240&gt;=T_CRIT,"CRITICAL",IF($N240&gt;=T_MON,"MONITOR","LOW")))))</f>
        <v/>
      </c>
      <c r="P240" s="12" t="str">
        <f aca="false">IF($M240="","",INDEX(DriverNames,MATCH(MAX($F240:$J240),$F240:$J240,0)))</f>
        <v/>
      </c>
      <c r="Q240" s="21"/>
      <c r="R240" s="26"/>
      <c r="S240" s="2" t="str">
        <f aca="false">IF($O240="","",IF($L240&lt;&gt;"",100,0)+IF($N240="",0,$N240)+ROW()/100000)</f>
        <v/>
      </c>
      <c r="T240" s="2" t="str">
        <f aca="false">IF($S240="","",IF($A240=SEL_MODEL,$S240,""))</f>
        <v/>
      </c>
    </row>
    <row r="241" customFormat="false" ht="15" hidden="false" customHeight="false" outlineLevel="0" collapsed="false">
      <c r="A241" s="19"/>
      <c r="B241" s="20"/>
      <c r="C241" s="21"/>
      <c r="D241" s="20"/>
      <c r="E241" s="19"/>
      <c r="F241" s="20"/>
      <c r="G241" s="20"/>
      <c r="H241" s="20"/>
      <c r="I241" s="22" t="str">
        <f aca="false">IF($E241="","",IFERROR(IF(INDEX(SUPPLIERS!$D$4:$D$63,MATCH($E241,SUPPLIERS!$A$4:$A$63,0))="","",INDEX(SUPPLIERS!$D$4:$D$63,MATCH($E241,SUPPLIERS!$A$4:$A$63,0))),""))</f>
        <v/>
      </c>
      <c r="J241" s="22" t="str">
        <f aca="false">IF($E241="","",IFERROR(IF(INDEX(SUPPLIERS!$E$4:$E$63,MATCH($E241,SUPPLIERS!$A$4:$A$63,0))="","",INDEX(SUPPLIERS!$E$4:$E$63,MATCH($E241,SUPPLIERS!$A$4:$A$63,0))),""))</f>
        <v/>
      </c>
      <c r="K241" s="20"/>
      <c r="L241" s="19"/>
      <c r="M241" s="23" t="str">
        <f aca="false">IF(COUNT($F241:$J241)&lt;5,"",ROUND($F241*W_SRC+$G241*W_QC+$H241*W_CAP+$I241*W_SUP+$J241*W_EXT,1))</f>
        <v/>
      </c>
      <c r="N241" s="24" t="str">
        <f aca="false">IF(OR($M241="",$K241=""),"",ROUND($M241*$K241,1))</f>
        <v/>
      </c>
      <c r="O241" s="25" t="str">
        <f aca="false">IF($E241="","",IF($L241&lt;&gt;"","CRITICAL (FLAG)",IF(OR($M241="",$K241=""),"NOT SCORED",IF($N241&gt;=T_CRIT,"CRITICAL",IF($N241&gt;=T_MON,"MONITOR","LOW")))))</f>
        <v/>
      </c>
      <c r="P241" s="12" t="str">
        <f aca="false">IF($M241="","",INDEX(DriverNames,MATCH(MAX($F241:$J241),$F241:$J241,0)))</f>
        <v/>
      </c>
      <c r="Q241" s="21"/>
      <c r="R241" s="26"/>
      <c r="S241" s="2" t="str">
        <f aca="false">IF($O241="","",IF($L241&lt;&gt;"",100,0)+IF($N241="",0,$N241)+ROW()/100000)</f>
        <v/>
      </c>
      <c r="T241" s="2" t="str">
        <f aca="false">IF($S241="","",IF($A241=SEL_MODEL,$S241,""))</f>
        <v/>
      </c>
    </row>
    <row r="242" customFormat="false" ht="15" hidden="false" customHeight="false" outlineLevel="0" collapsed="false">
      <c r="A242" s="19"/>
      <c r="B242" s="20"/>
      <c r="C242" s="21"/>
      <c r="D242" s="20"/>
      <c r="E242" s="19"/>
      <c r="F242" s="20"/>
      <c r="G242" s="20"/>
      <c r="H242" s="20"/>
      <c r="I242" s="22" t="str">
        <f aca="false">IF($E242="","",IFERROR(IF(INDEX(SUPPLIERS!$D$4:$D$63,MATCH($E242,SUPPLIERS!$A$4:$A$63,0))="","",INDEX(SUPPLIERS!$D$4:$D$63,MATCH($E242,SUPPLIERS!$A$4:$A$63,0))),""))</f>
        <v/>
      </c>
      <c r="J242" s="22" t="str">
        <f aca="false">IF($E242="","",IFERROR(IF(INDEX(SUPPLIERS!$E$4:$E$63,MATCH($E242,SUPPLIERS!$A$4:$A$63,0))="","",INDEX(SUPPLIERS!$E$4:$E$63,MATCH($E242,SUPPLIERS!$A$4:$A$63,0))),""))</f>
        <v/>
      </c>
      <c r="K242" s="20"/>
      <c r="L242" s="19"/>
      <c r="M242" s="23" t="str">
        <f aca="false">IF(COUNT($F242:$J242)&lt;5,"",ROUND($F242*W_SRC+$G242*W_QC+$H242*W_CAP+$I242*W_SUP+$J242*W_EXT,1))</f>
        <v/>
      </c>
      <c r="N242" s="24" t="str">
        <f aca="false">IF(OR($M242="",$K242=""),"",ROUND($M242*$K242,1))</f>
        <v/>
      </c>
      <c r="O242" s="25" t="str">
        <f aca="false">IF($E242="","",IF($L242&lt;&gt;"","CRITICAL (FLAG)",IF(OR($M242="",$K242=""),"NOT SCORED",IF($N242&gt;=T_CRIT,"CRITICAL",IF($N242&gt;=T_MON,"MONITOR","LOW")))))</f>
        <v/>
      </c>
      <c r="P242" s="12" t="str">
        <f aca="false">IF($M242="","",INDEX(DriverNames,MATCH(MAX($F242:$J242),$F242:$J242,0)))</f>
        <v/>
      </c>
      <c r="Q242" s="21"/>
      <c r="R242" s="26"/>
      <c r="S242" s="2" t="str">
        <f aca="false">IF($O242="","",IF($L242&lt;&gt;"",100,0)+IF($N242="",0,$N242)+ROW()/100000)</f>
        <v/>
      </c>
      <c r="T242" s="2" t="str">
        <f aca="false">IF($S242="","",IF($A242=SEL_MODEL,$S242,""))</f>
        <v/>
      </c>
    </row>
    <row r="243" customFormat="false" ht="15" hidden="false" customHeight="false" outlineLevel="0" collapsed="false">
      <c r="A243" s="19"/>
      <c r="B243" s="20"/>
      <c r="C243" s="21"/>
      <c r="D243" s="20"/>
      <c r="E243" s="19"/>
      <c r="F243" s="20"/>
      <c r="G243" s="20"/>
      <c r="H243" s="20"/>
      <c r="I243" s="22" t="str">
        <f aca="false">IF($E243="","",IFERROR(IF(INDEX(SUPPLIERS!$D$4:$D$63,MATCH($E243,SUPPLIERS!$A$4:$A$63,0))="","",INDEX(SUPPLIERS!$D$4:$D$63,MATCH($E243,SUPPLIERS!$A$4:$A$63,0))),""))</f>
        <v/>
      </c>
      <c r="J243" s="22" t="str">
        <f aca="false">IF($E243="","",IFERROR(IF(INDEX(SUPPLIERS!$E$4:$E$63,MATCH($E243,SUPPLIERS!$A$4:$A$63,0))="","",INDEX(SUPPLIERS!$E$4:$E$63,MATCH($E243,SUPPLIERS!$A$4:$A$63,0))),""))</f>
        <v/>
      </c>
      <c r="K243" s="20"/>
      <c r="L243" s="19"/>
      <c r="M243" s="23" t="str">
        <f aca="false">IF(COUNT($F243:$J243)&lt;5,"",ROUND($F243*W_SRC+$G243*W_QC+$H243*W_CAP+$I243*W_SUP+$J243*W_EXT,1))</f>
        <v/>
      </c>
      <c r="N243" s="24" t="str">
        <f aca="false">IF(OR($M243="",$K243=""),"",ROUND($M243*$K243,1))</f>
        <v/>
      </c>
      <c r="O243" s="25" t="str">
        <f aca="false">IF($E243="","",IF($L243&lt;&gt;"","CRITICAL (FLAG)",IF(OR($M243="",$K243=""),"NOT SCORED",IF($N243&gt;=T_CRIT,"CRITICAL",IF($N243&gt;=T_MON,"MONITOR","LOW")))))</f>
        <v/>
      </c>
      <c r="P243" s="12" t="str">
        <f aca="false">IF($M243="","",INDEX(DriverNames,MATCH(MAX($F243:$J243),$F243:$J243,0)))</f>
        <v/>
      </c>
      <c r="Q243" s="21"/>
      <c r="R243" s="26"/>
      <c r="S243" s="2" t="str">
        <f aca="false">IF($O243="","",IF($L243&lt;&gt;"",100,0)+IF($N243="",0,$N243)+ROW()/100000)</f>
        <v/>
      </c>
      <c r="T243" s="2" t="str">
        <f aca="false">IF($S243="","",IF($A243=SEL_MODEL,$S243,""))</f>
        <v/>
      </c>
    </row>
    <row r="244" customFormat="false" ht="15" hidden="false" customHeight="false" outlineLevel="0" collapsed="false">
      <c r="A244" s="19"/>
      <c r="B244" s="20"/>
      <c r="C244" s="21"/>
      <c r="D244" s="20"/>
      <c r="E244" s="19"/>
      <c r="F244" s="20"/>
      <c r="G244" s="20"/>
      <c r="H244" s="20"/>
      <c r="I244" s="22" t="str">
        <f aca="false">IF($E244="","",IFERROR(IF(INDEX(SUPPLIERS!$D$4:$D$63,MATCH($E244,SUPPLIERS!$A$4:$A$63,0))="","",INDEX(SUPPLIERS!$D$4:$D$63,MATCH($E244,SUPPLIERS!$A$4:$A$63,0))),""))</f>
        <v/>
      </c>
      <c r="J244" s="22" t="str">
        <f aca="false">IF($E244="","",IFERROR(IF(INDEX(SUPPLIERS!$E$4:$E$63,MATCH($E244,SUPPLIERS!$A$4:$A$63,0))="","",INDEX(SUPPLIERS!$E$4:$E$63,MATCH($E244,SUPPLIERS!$A$4:$A$63,0))),""))</f>
        <v/>
      </c>
      <c r="K244" s="20"/>
      <c r="L244" s="19"/>
      <c r="M244" s="23" t="str">
        <f aca="false">IF(COUNT($F244:$J244)&lt;5,"",ROUND($F244*W_SRC+$G244*W_QC+$H244*W_CAP+$I244*W_SUP+$J244*W_EXT,1))</f>
        <v/>
      </c>
      <c r="N244" s="24" t="str">
        <f aca="false">IF(OR($M244="",$K244=""),"",ROUND($M244*$K244,1))</f>
        <v/>
      </c>
      <c r="O244" s="25" t="str">
        <f aca="false">IF($E244="","",IF($L244&lt;&gt;"","CRITICAL (FLAG)",IF(OR($M244="",$K244=""),"NOT SCORED",IF($N244&gt;=T_CRIT,"CRITICAL",IF($N244&gt;=T_MON,"MONITOR","LOW")))))</f>
        <v/>
      </c>
      <c r="P244" s="12" t="str">
        <f aca="false">IF($M244="","",INDEX(DriverNames,MATCH(MAX($F244:$J244),$F244:$J244,0)))</f>
        <v/>
      </c>
      <c r="Q244" s="21"/>
      <c r="R244" s="26"/>
      <c r="S244" s="2" t="str">
        <f aca="false">IF($O244="","",IF($L244&lt;&gt;"",100,0)+IF($N244="",0,$N244)+ROW()/100000)</f>
        <v/>
      </c>
      <c r="T244" s="2" t="str">
        <f aca="false">IF($S244="","",IF($A244=SEL_MODEL,$S244,""))</f>
        <v/>
      </c>
    </row>
    <row r="245" customFormat="false" ht="15" hidden="false" customHeight="false" outlineLevel="0" collapsed="false">
      <c r="A245" s="19"/>
      <c r="B245" s="20"/>
      <c r="C245" s="21"/>
      <c r="D245" s="20"/>
      <c r="E245" s="19"/>
      <c r="F245" s="20"/>
      <c r="G245" s="20"/>
      <c r="H245" s="20"/>
      <c r="I245" s="22" t="str">
        <f aca="false">IF($E245="","",IFERROR(IF(INDEX(SUPPLIERS!$D$4:$D$63,MATCH($E245,SUPPLIERS!$A$4:$A$63,0))="","",INDEX(SUPPLIERS!$D$4:$D$63,MATCH($E245,SUPPLIERS!$A$4:$A$63,0))),""))</f>
        <v/>
      </c>
      <c r="J245" s="22" t="str">
        <f aca="false">IF($E245="","",IFERROR(IF(INDEX(SUPPLIERS!$E$4:$E$63,MATCH($E245,SUPPLIERS!$A$4:$A$63,0))="","",INDEX(SUPPLIERS!$E$4:$E$63,MATCH($E245,SUPPLIERS!$A$4:$A$63,0))),""))</f>
        <v/>
      </c>
      <c r="K245" s="20"/>
      <c r="L245" s="19"/>
      <c r="M245" s="23" t="str">
        <f aca="false">IF(COUNT($F245:$J245)&lt;5,"",ROUND($F245*W_SRC+$G245*W_QC+$H245*W_CAP+$I245*W_SUP+$J245*W_EXT,1))</f>
        <v/>
      </c>
      <c r="N245" s="24" t="str">
        <f aca="false">IF(OR($M245="",$K245=""),"",ROUND($M245*$K245,1))</f>
        <v/>
      </c>
      <c r="O245" s="25" t="str">
        <f aca="false">IF($E245="","",IF($L245&lt;&gt;"","CRITICAL (FLAG)",IF(OR($M245="",$K245=""),"NOT SCORED",IF($N245&gt;=T_CRIT,"CRITICAL",IF($N245&gt;=T_MON,"MONITOR","LOW")))))</f>
        <v/>
      </c>
      <c r="P245" s="12" t="str">
        <f aca="false">IF($M245="","",INDEX(DriverNames,MATCH(MAX($F245:$J245),$F245:$J245,0)))</f>
        <v/>
      </c>
      <c r="Q245" s="21"/>
      <c r="R245" s="26"/>
      <c r="S245" s="2" t="str">
        <f aca="false">IF($O245="","",IF($L245&lt;&gt;"",100,0)+IF($N245="",0,$N245)+ROW()/100000)</f>
        <v/>
      </c>
      <c r="T245" s="2" t="str">
        <f aca="false">IF($S245="","",IF($A245=SEL_MODEL,$S245,""))</f>
        <v/>
      </c>
    </row>
    <row r="246" customFormat="false" ht="15" hidden="false" customHeight="false" outlineLevel="0" collapsed="false">
      <c r="A246" s="19"/>
      <c r="B246" s="20"/>
      <c r="C246" s="21"/>
      <c r="D246" s="20"/>
      <c r="E246" s="19"/>
      <c r="F246" s="20"/>
      <c r="G246" s="20"/>
      <c r="H246" s="20"/>
      <c r="I246" s="22" t="str">
        <f aca="false">IF($E246="","",IFERROR(IF(INDEX(SUPPLIERS!$D$4:$D$63,MATCH($E246,SUPPLIERS!$A$4:$A$63,0))="","",INDEX(SUPPLIERS!$D$4:$D$63,MATCH($E246,SUPPLIERS!$A$4:$A$63,0))),""))</f>
        <v/>
      </c>
      <c r="J246" s="22" t="str">
        <f aca="false">IF($E246="","",IFERROR(IF(INDEX(SUPPLIERS!$E$4:$E$63,MATCH($E246,SUPPLIERS!$A$4:$A$63,0))="","",INDEX(SUPPLIERS!$E$4:$E$63,MATCH($E246,SUPPLIERS!$A$4:$A$63,0))),""))</f>
        <v/>
      </c>
      <c r="K246" s="20"/>
      <c r="L246" s="19"/>
      <c r="M246" s="23" t="str">
        <f aca="false">IF(COUNT($F246:$J246)&lt;5,"",ROUND($F246*W_SRC+$G246*W_QC+$H246*W_CAP+$I246*W_SUP+$J246*W_EXT,1))</f>
        <v/>
      </c>
      <c r="N246" s="24" t="str">
        <f aca="false">IF(OR($M246="",$K246=""),"",ROUND($M246*$K246,1))</f>
        <v/>
      </c>
      <c r="O246" s="25" t="str">
        <f aca="false">IF($E246="","",IF($L246&lt;&gt;"","CRITICAL (FLAG)",IF(OR($M246="",$K246=""),"NOT SCORED",IF($N246&gt;=T_CRIT,"CRITICAL",IF($N246&gt;=T_MON,"MONITOR","LOW")))))</f>
        <v/>
      </c>
      <c r="P246" s="12" t="str">
        <f aca="false">IF($M246="","",INDEX(DriverNames,MATCH(MAX($F246:$J246),$F246:$J246,0)))</f>
        <v/>
      </c>
      <c r="Q246" s="21"/>
      <c r="R246" s="26"/>
      <c r="S246" s="2" t="str">
        <f aca="false">IF($O246="","",IF($L246&lt;&gt;"",100,0)+IF($N246="",0,$N246)+ROW()/100000)</f>
        <v/>
      </c>
      <c r="T246" s="2" t="str">
        <f aca="false">IF($S246="","",IF($A246=SEL_MODEL,$S246,""))</f>
        <v/>
      </c>
    </row>
    <row r="247" customFormat="false" ht="15" hidden="false" customHeight="false" outlineLevel="0" collapsed="false">
      <c r="A247" s="19"/>
      <c r="B247" s="20"/>
      <c r="C247" s="21"/>
      <c r="D247" s="20"/>
      <c r="E247" s="19"/>
      <c r="F247" s="20"/>
      <c r="G247" s="20"/>
      <c r="H247" s="20"/>
      <c r="I247" s="22" t="str">
        <f aca="false">IF($E247="","",IFERROR(IF(INDEX(SUPPLIERS!$D$4:$D$63,MATCH($E247,SUPPLIERS!$A$4:$A$63,0))="","",INDEX(SUPPLIERS!$D$4:$D$63,MATCH($E247,SUPPLIERS!$A$4:$A$63,0))),""))</f>
        <v/>
      </c>
      <c r="J247" s="22" t="str">
        <f aca="false">IF($E247="","",IFERROR(IF(INDEX(SUPPLIERS!$E$4:$E$63,MATCH($E247,SUPPLIERS!$A$4:$A$63,0))="","",INDEX(SUPPLIERS!$E$4:$E$63,MATCH($E247,SUPPLIERS!$A$4:$A$63,0))),""))</f>
        <v/>
      </c>
      <c r="K247" s="20"/>
      <c r="L247" s="19"/>
      <c r="M247" s="23" t="str">
        <f aca="false">IF(COUNT($F247:$J247)&lt;5,"",ROUND($F247*W_SRC+$G247*W_QC+$H247*W_CAP+$I247*W_SUP+$J247*W_EXT,1))</f>
        <v/>
      </c>
      <c r="N247" s="24" t="str">
        <f aca="false">IF(OR($M247="",$K247=""),"",ROUND($M247*$K247,1))</f>
        <v/>
      </c>
      <c r="O247" s="25" t="str">
        <f aca="false">IF($E247="","",IF($L247&lt;&gt;"","CRITICAL (FLAG)",IF(OR($M247="",$K247=""),"NOT SCORED",IF($N247&gt;=T_CRIT,"CRITICAL",IF($N247&gt;=T_MON,"MONITOR","LOW")))))</f>
        <v/>
      </c>
      <c r="P247" s="12" t="str">
        <f aca="false">IF($M247="","",INDEX(DriverNames,MATCH(MAX($F247:$J247),$F247:$J247,0)))</f>
        <v/>
      </c>
      <c r="Q247" s="21"/>
      <c r="R247" s="26"/>
      <c r="S247" s="2" t="str">
        <f aca="false">IF($O247="","",IF($L247&lt;&gt;"",100,0)+IF($N247="",0,$N247)+ROW()/100000)</f>
        <v/>
      </c>
      <c r="T247" s="2" t="str">
        <f aca="false">IF($S247="","",IF($A247=SEL_MODEL,$S247,""))</f>
        <v/>
      </c>
    </row>
    <row r="248" customFormat="false" ht="15" hidden="false" customHeight="false" outlineLevel="0" collapsed="false">
      <c r="A248" s="19"/>
      <c r="B248" s="20"/>
      <c r="C248" s="21"/>
      <c r="D248" s="20"/>
      <c r="E248" s="19"/>
      <c r="F248" s="20"/>
      <c r="G248" s="20"/>
      <c r="H248" s="20"/>
      <c r="I248" s="22" t="str">
        <f aca="false">IF($E248="","",IFERROR(IF(INDEX(SUPPLIERS!$D$4:$D$63,MATCH($E248,SUPPLIERS!$A$4:$A$63,0))="","",INDEX(SUPPLIERS!$D$4:$D$63,MATCH($E248,SUPPLIERS!$A$4:$A$63,0))),""))</f>
        <v/>
      </c>
      <c r="J248" s="22" t="str">
        <f aca="false">IF($E248="","",IFERROR(IF(INDEX(SUPPLIERS!$E$4:$E$63,MATCH($E248,SUPPLIERS!$A$4:$A$63,0))="","",INDEX(SUPPLIERS!$E$4:$E$63,MATCH($E248,SUPPLIERS!$A$4:$A$63,0))),""))</f>
        <v/>
      </c>
      <c r="K248" s="20"/>
      <c r="L248" s="19"/>
      <c r="M248" s="23" t="str">
        <f aca="false">IF(COUNT($F248:$J248)&lt;5,"",ROUND($F248*W_SRC+$G248*W_QC+$H248*W_CAP+$I248*W_SUP+$J248*W_EXT,1))</f>
        <v/>
      </c>
      <c r="N248" s="24" t="str">
        <f aca="false">IF(OR($M248="",$K248=""),"",ROUND($M248*$K248,1))</f>
        <v/>
      </c>
      <c r="O248" s="25" t="str">
        <f aca="false">IF($E248="","",IF($L248&lt;&gt;"","CRITICAL (FLAG)",IF(OR($M248="",$K248=""),"NOT SCORED",IF($N248&gt;=T_CRIT,"CRITICAL",IF($N248&gt;=T_MON,"MONITOR","LOW")))))</f>
        <v/>
      </c>
      <c r="P248" s="12" t="str">
        <f aca="false">IF($M248="","",INDEX(DriverNames,MATCH(MAX($F248:$J248),$F248:$J248,0)))</f>
        <v/>
      </c>
      <c r="Q248" s="21"/>
      <c r="R248" s="26"/>
      <c r="S248" s="2" t="str">
        <f aca="false">IF($O248="","",IF($L248&lt;&gt;"",100,0)+IF($N248="",0,$N248)+ROW()/100000)</f>
        <v/>
      </c>
      <c r="T248" s="2" t="str">
        <f aca="false">IF($S248="","",IF($A248=SEL_MODEL,$S248,""))</f>
        <v/>
      </c>
    </row>
    <row r="249" customFormat="false" ht="15" hidden="false" customHeight="false" outlineLevel="0" collapsed="false">
      <c r="A249" s="19"/>
      <c r="B249" s="20"/>
      <c r="C249" s="21"/>
      <c r="D249" s="20"/>
      <c r="E249" s="19"/>
      <c r="F249" s="20"/>
      <c r="G249" s="20"/>
      <c r="H249" s="20"/>
      <c r="I249" s="22" t="str">
        <f aca="false">IF($E249="","",IFERROR(IF(INDEX(SUPPLIERS!$D$4:$D$63,MATCH($E249,SUPPLIERS!$A$4:$A$63,0))="","",INDEX(SUPPLIERS!$D$4:$D$63,MATCH($E249,SUPPLIERS!$A$4:$A$63,0))),""))</f>
        <v/>
      </c>
      <c r="J249" s="22" t="str">
        <f aca="false">IF($E249="","",IFERROR(IF(INDEX(SUPPLIERS!$E$4:$E$63,MATCH($E249,SUPPLIERS!$A$4:$A$63,0))="","",INDEX(SUPPLIERS!$E$4:$E$63,MATCH($E249,SUPPLIERS!$A$4:$A$63,0))),""))</f>
        <v/>
      </c>
      <c r="K249" s="20"/>
      <c r="L249" s="19"/>
      <c r="M249" s="23" t="str">
        <f aca="false">IF(COUNT($F249:$J249)&lt;5,"",ROUND($F249*W_SRC+$G249*W_QC+$H249*W_CAP+$I249*W_SUP+$J249*W_EXT,1))</f>
        <v/>
      </c>
      <c r="N249" s="24" t="str">
        <f aca="false">IF(OR($M249="",$K249=""),"",ROUND($M249*$K249,1))</f>
        <v/>
      </c>
      <c r="O249" s="25" t="str">
        <f aca="false">IF($E249="","",IF($L249&lt;&gt;"","CRITICAL (FLAG)",IF(OR($M249="",$K249=""),"NOT SCORED",IF($N249&gt;=T_CRIT,"CRITICAL",IF($N249&gt;=T_MON,"MONITOR","LOW")))))</f>
        <v/>
      </c>
      <c r="P249" s="12" t="str">
        <f aca="false">IF($M249="","",INDEX(DriverNames,MATCH(MAX($F249:$J249),$F249:$J249,0)))</f>
        <v/>
      </c>
      <c r="Q249" s="21"/>
      <c r="R249" s="26"/>
      <c r="S249" s="2" t="str">
        <f aca="false">IF($O249="","",IF($L249&lt;&gt;"",100,0)+IF($N249="",0,$N249)+ROW()/100000)</f>
        <v/>
      </c>
      <c r="T249" s="2" t="str">
        <f aca="false">IF($S249="","",IF($A249=SEL_MODEL,$S249,""))</f>
        <v/>
      </c>
    </row>
    <row r="250" customFormat="false" ht="15" hidden="false" customHeight="false" outlineLevel="0" collapsed="false">
      <c r="A250" s="19"/>
      <c r="B250" s="20"/>
      <c r="C250" s="21"/>
      <c r="D250" s="20"/>
      <c r="E250" s="19"/>
      <c r="F250" s="20"/>
      <c r="G250" s="20"/>
      <c r="H250" s="20"/>
      <c r="I250" s="22" t="str">
        <f aca="false">IF($E250="","",IFERROR(IF(INDEX(SUPPLIERS!$D$4:$D$63,MATCH($E250,SUPPLIERS!$A$4:$A$63,0))="","",INDEX(SUPPLIERS!$D$4:$D$63,MATCH($E250,SUPPLIERS!$A$4:$A$63,0))),""))</f>
        <v/>
      </c>
      <c r="J250" s="22" t="str">
        <f aca="false">IF($E250="","",IFERROR(IF(INDEX(SUPPLIERS!$E$4:$E$63,MATCH($E250,SUPPLIERS!$A$4:$A$63,0))="","",INDEX(SUPPLIERS!$E$4:$E$63,MATCH($E250,SUPPLIERS!$A$4:$A$63,0))),""))</f>
        <v/>
      </c>
      <c r="K250" s="20"/>
      <c r="L250" s="19"/>
      <c r="M250" s="23" t="str">
        <f aca="false">IF(COUNT($F250:$J250)&lt;5,"",ROUND($F250*W_SRC+$G250*W_QC+$H250*W_CAP+$I250*W_SUP+$J250*W_EXT,1))</f>
        <v/>
      </c>
      <c r="N250" s="24" t="str">
        <f aca="false">IF(OR($M250="",$K250=""),"",ROUND($M250*$K250,1))</f>
        <v/>
      </c>
      <c r="O250" s="25" t="str">
        <f aca="false">IF($E250="","",IF($L250&lt;&gt;"","CRITICAL (FLAG)",IF(OR($M250="",$K250=""),"NOT SCORED",IF($N250&gt;=T_CRIT,"CRITICAL",IF($N250&gt;=T_MON,"MONITOR","LOW")))))</f>
        <v/>
      </c>
      <c r="P250" s="12" t="str">
        <f aca="false">IF($M250="","",INDEX(DriverNames,MATCH(MAX($F250:$J250),$F250:$J250,0)))</f>
        <v/>
      </c>
      <c r="Q250" s="21"/>
      <c r="R250" s="26"/>
      <c r="S250" s="2" t="str">
        <f aca="false">IF($O250="","",IF($L250&lt;&gt;"",100,0)+IF($N250="",0,$N250)+ROW()/100000)</f>
        <v/>
      </c>
      <c r="T250" s="2" t="str">
        <f aca="false">IF($S250="","",IF($A250=SEL_MODEL,$S250,""))</f>
        <v/>
      </c>
    </row>
    <row r="251" customFormat="false" ht="15" hidden="false" customHeight="false" outlineLevel="0" collapsed="false">
      <c r="A251" s="19"/>
      <c r="B251" s="20"/>
      <c r="C251" s="21"/>
      <c r="D251" s="20"/>
      <c r="E251" s="19"/>
      <c r="F251" s="20"/>
      <c r="G251" s="20"/>
      <c r="H251" s="20"/>
      <c r="I251" s="22" t="str">
        <f aca="false">IF($E251="","",IFERROR(IF(INDEX(SUPPLIERS!$D$4:$D$63,MATCH($E251,SUPPLIERS!$A$4:$A$63,0))="","",INDEX(SUPPLIERS!$D$4:$D$63,MATCH($E251,SUPPLIERS!$A$4:$A$63,0))),""))</f>
        <v/>
      </c>
      <c r="J251" s="22" t="str">
        <f aca="false">IF($E251="","",IFERROR(IF(INDEX(SUPPLIERS!$E$4:$E$63,MATCH($E251,SUPPLIERS!$A$4:$A$63,0))="","",INDEX(SUPPLIERS!$E$4:$E$63,MATCH($E251,SUPPLIERS!$A$4:$A$63,0))),""))</f>
        <v/>
      </c>
      <c r="K251" s="20"/>
      <c r="L251" s="19"/>
      <c r="M251" s="23" t="str">
        <f aca="false">IF(COUNT($F251:$J251)&lt;5,"",ROUND($F251*W_SRC+$G251*W_QC+$H251*W_CAP+$I251*W_SUP+$J251*W_EXT,1))</f>
        <v/>
      </c>
      <c r="N251" s="24" t="str">
        <f aca="false">IF(OR($M251="",$K251=""),"",ROUND($M251*$K251,1))</f>
        <v/>
      </c>
      <c r="O251" s="25" t="str">
        <f aca="false">IF($E251="","",IF($L251&lt;&gt;"","CRITICAL (FLAG)",IF(OR($M251="",$K251=""),"NOT SCORED",IF($N251&gt;=T_CRIT,"CRITICAL",IF($N251&gt;=T_MON,"MONITOR","LOW")))))</f>
        <v/>
      </c>
      <c r="P251" s="12" t="str">
        <f aca="false">IF($M251="","",INDEX(DriverNames,MATCH(MAX($F251:$J251),$F251:$J251,0)))</f>
        <v/>
      </c>
      <c r="Q251" s="21"/>
      <c r="R251" s="26"/>
      <c r="S251" s="2" t="str">
        <f aca="false">IF($O251="","",IF($L251&lt;&gt;"",100,0)+IF($N251="",0,$N251)+ROW()/100000)</f>
        <v/>
      </c>
      <c r="T251" s="2" t="str">
        <f aca="false">IF($S251="","",IF($A251=SEL_MODEL,$S251,""))</f>
        <v/>
      </c>
    </row>
    <row r="252" customFormat="false" ht="15" hidden="false" customHeight="false" outlineLevel="0" collapsed="false">
      <c r="A252" s="19"/>
      <c r="B252" s="20"/>
      <c r="C252" s="21"/>
      <c r="D252" s="20"/>
      <c r="E252" s="19"/>
      <c r="F252" s="20"/>
      <c r="G252" s="20"/>
      <c r="H252" s="20"/>
      <c r="I252" s="22" t="str">
        <f aca="false">IF($E252="","",IFERROR(IF(INDEX(SUPPLIERS!$D$4:$D$63,MATCH($E252,SUPPLIERS!$A$4:$A$63,0))="","",INDEX(SUPPLIERS!$D$4:$D$63,MATCH($E252,SUPPLIERS!$A$4:$A$63,0))),""))</f>
        <v/>
      </c>
      <c r="J252" s="22" t="str">
        <f aca="false">IF($E252="","",IFERROR(IF(INDEX(SUPPLIERS!$E$4:$E$63,MATCH($E252,SUPPLIERS!$A$4:$A$63,0))="","",INDEX(SUPPLIERS!$E$4:$E$63,MATCH($E252,SUPPLIERS!$A$4:$A$63,0))),""))</f>
        <v/>
      </c>
      <c r="K252" s="20"/>
      <c r="L252" s="19"/>
      <c r="M252" s="23" t="str">
        <f aca="false">IF(COUNT($F252:$J252)&lt;5,"",ROUND($F252*W_SRC+$G252*W_QC+$H252*W_CAP+$I252*W_SUP+$J252*W_EXT,1))</f>
        <v/>
      </c>
      <c r="N252" s="24" t="str">
        <f aca="false">IF(OR($M252="",$K252=""),"",ROUND($M252*$K252,1))</f>
        <v/>
      </c>
      <c r="O252" s="25" t="str">
        <f aca="false">IF($E252="","",IF($L252&lt;&gt;"","CRITICAL (FLAG)",IF(OR($M252="",$K252=""),"NOT SCORED",IF($N252&gt;=T_CRIT,"CRITICAL",IF($N252&gt;=T_MON,"MONITOR","LOW")))))</f>
        <v/>
      </c>
      <c r="P252" s="12" t="str">
        <f aca="false">IF($M252="","",INDEX(DriverNames,MATCH(MAX($F252:$J252),$F252:$J252,0)))</f>
        <v/>
      </c>
      <c r="Q252" s="21"/>
      <c r="R252" s="26"/>
      <c r="S252" s="2" t="str">
        <f aca="false">IF($O252="","",IF($L252&lt;&gt;"",100,0)+IF($N252="",0,$N252)+ROW()/100000)</f>
        <v/>
      </c>
      <c r="T252" s="2" t="str">
        <f aca="false">IF($S252="","",IF($A252=SEL_MODEL,$S252,""))</f>
        <v/>
      </c>
    </row>
    <row r="253" customFormat="false" ht="15" hidden="false" customHeight="false" outlineLevel="0" collapsed="false">
      <c r="A253" s="19"/>
      <c r="B253" s="20"/>
      <c r="C253" s="21"/>
      <c r="D253" s="20"/>
      <c r="E253" s="19"/>
      <c r="F253" s="20"/>
      <c r="G253" s="20"/>
      <c r="H253" s="20"/>
      <c r="I253" s="22" t="str">
        <f aca="false">IF($E253="","",IFERROR(IF(INDEX(SUPPLIERS!$D$4:$D$63,MATCH($E253,SUPPLIERS!$A$4:$A$63,0))="","",INDEX(SUPPLIERS!$D$4:$D$63,MATCH($E253,SUPPLIERS!$A$4:$A$63,0))),""))</f>
        <v/>
      </c>
      <c r="J253" s="22" t="str">
        <f aca="false">IF($E253="","",IFERROR(IF(INDEX(SUPPLIERS!$E$4:$E$63,MATCH($E253,SUPPLIERS!$A$4:$A$63,0))="","",INDEX(SUPPLIERS!$E$4:$E$63,MATCH($E253,SUPPLIERS!$A$4:$A$63,0))),""))</f>
        <v/>
      </c>
      <c r="K253" s="20"/>
      <c r="L253" s="19"/>
      <c r="M253" s="23" t="str">
        <f aca="false">IF(COUNT($F253:$J253)&lt;5,"",ROUND($F253*W_SRC+$G253*W_QC+$H253*W_CAP+$I253*W_SUP+$J253*W_EXT,1))</f>
        <v/>
      </c>
      <c r="N253" s="24" t="str">
        <f aca="false">IF(OR($M253="",$K253=""),"",ROUND($M253*$K253,1))</f>
        <v/>
      </c>
      <c r="O253" s="25" t="str">
        <f aca="false">IF($E253="","",IF($L253&lt;&gt;"","CRITICAL (FLAG)",IF(OR($M253="",$K253=""),"NOT SCORED",IF($N253&gt;=T_CRIT,"CRITICAL",IF($N253&gt;=T_MON,"MONITOR","LOW")))))</f>
        <v/>
      </c>
      <c r="P253" s="12" t="str">
        <f aca="false">IF($M253="","",INDEX(DriverNames,MATCH(MAX($F253:$J253),$F253:$J253,0)))</f>
        <v/>
      </c>
      <c r="Q253" s="21"/>
      <c r="R253" s="26"/>
      <c r="S253" s="2" t="str">
        <f aca="false">IF($O253="","",IF($L253&lt;&gt;"",100,0)+IF($N253="",0,$N253)+ROW()/100000)</f>
        <v/>
      </c>
      <c r="T253" s="2" t="str">
        <f aca="false">IF($S253="","",IF($A253=SEL_MODEL,$S253,""))</f>
        <v/>
      </c>
    </row>
    <row r="254" customFormat="false" ht="15" hidden="false" customHeight="false" outlineLevel="0" collapsed="false">
      <c r="A254" s="19"/>
      <c r="B254" s="20"/>
      <c r="C254" s="21"/>
      <c r="D254" s="20"/>
      <c r="E254" s="19"/>
      <c r="F254" s="20"/>
      <c r="G254" s="20"/>
      <c r="H254" s="20"/>
      <c r="I254" s="22" t="str">
        <f aca="false">IF($E254="","",IFERROR(IF(INDEX(SUPPLIERS!$D$4:$D$63,MATCH($E254,SUPPLIERS!$A$4:$A$63,0))="","",INDEX(SUPPLIERS!$D$4:$D$63,MATCH($E254,SUPPLIERS!$A$4:$A$63,0))),""))</f>
        <v/>
      </c>
      <c r="J254" s="22" t="str">
        <f aca="false">IF($E254="","",IFERROR(IF(INDEX(SUPPLIERS!$E$4:$E$63,MATCH($E254,SUPPLIERS!$A$4:$A$63,0))="","",INDEX(SUPPLIERS!$E$4:$E$63,MATCH($E254,SUPPLIERS!$A$4:$A$63,0))),""))</f>
        <v/>
      </c>
      <c r="K254" s="20"/>
      <c r="L254" s="19"/>
      <c r="M254" s="23" t="str">
        <f aca="false">IF(COUNT($F254:$J254)&lt;5,"",ROUND($F254*W_SRC+$G254*W_QC+$H254*W_CAP+$I254*W_SUP+$J254*W_EXT,1))</f>
        <v/>
      </c>
      <c r="N254" s="24" t="str">
        <f aca="false">IF(OR($M254="",$K254=""),"",ROUND($M254*$K254,1))</f>
        <v/>
      </c>
      <c r="O254" s="25" t="str">
        <f aca="false">IF($E254="","",IF($L254&lt;&gt;"","CRITICAL (FLAG)",IF(OR($M254="",$K254=""),"NOT SCORED",IF($N254&gt;=T_CRIT,"CRITICAL",IF($N254&gt;=T_MON,"MONITOR","LOW")))))</f>
        <v/>
      </c>
      <c r="P254" s="12" t="str">
        <f aca="false">IF($M254="","",INDEX(DriverNames,MATCH(MAX($F254:$J254),$F254:$J254,0)))</f>
        <v/>
      </c>
      <c r="Q254" s="21"/>
      <c r="R254" s="26"/>
      <c r="S254" s="2" t="str">
        <f aca="false">IF($O254="","",IF($L254&lt;&gt;"",100,0)+IF($N254="",0,$N254)+ROW()/100000)</f>
        <v/>
      </c>
      <c r="T254" s="2" t="str">
        <f aca="false">IF($S254="","",IF($A254=SEL_MODEL,$S254,""))</f>
        <v/>
      </c>
    </row>
    <row r="255" customFormat="false" ht="15" hidden="false" customHeight="false" outlineLevel="0" collapsed="false">
      <c r="A255" s="19"/>
      <c r="B255" s="20"/>
      <c r="C255" s="21"/>
      <c r="D255" s="20"/>
      <c r="E255" s="19"/>
      <c r="F255" s="20"/>
      <c r="G255" s="20"/>
      <c r="H255" s="20"/>
      <c r="I255" s="22" t="str">
        <f aca="false">IF($E255="","",IFERROR(IF(INDEX(SUPPLIERS!$D$4:$D$63,MATCH($E255,SUPPLIERS!$A$4:$A$63,0))="","",INDEX(SUPPLIERS!$D$4:$D$63,MATCH($E255,SUPPLIERS!$A$4:$A$63,0))),""))</f>
        <v/>
      </c>
      <c r="J255" s="22" t="str">
        <f aca="false">IF($E255="","",IFERROR(IF(INDEX(SUPPLIERS!$E$4:$E$63,MATCH($E255,SUPPLIERS!$A$4:$A$63,0))="","",INDEX(SUPPLIERS!$E$4:$E$63,MATCH($E255,SUPPLIERS!$A$4:$A$63,0))),""))</f>
        <v/>
      </c>
      <c r="K255" s="20"/>
      <c r="L255" s="19"/>
      <c r="M255" s="23" t="str">
        <f aca="false">IF(COUNT($F255:$J255)&lt;5,"",ROUND($F255*W_SRC+$G255*W_QC+$H255*W_CAP+$I255*W_SUP+$J255*W_EXT,1))</f>
        <v/>
      </c>
      <c r="N255" s="24" t="str">
        <f aca="false">IF(OR($M255="",$K255=""),"",ROUND($M255*$K255,1))</f>
        <v/>
      </c>
      <c r="O255" s="25" t="str">
        <f aca="false">IF($E255="","",IF($L255&lt;&gt;"","CRITICAL (FLAG)",IF(OR($M255="",$K255=""),"NOT SCORED",IF($N255&gt;=T_CRIT,"CRITICAL",IF($N255&gt;=T_MON,"MONITOR","LOW")))))</f>
        <v/>
      </c>
      <c r="P255" s="12" t="str">
        <f aca="false">IF($M255="","",INDEX(DriverNames,MATCH(MAX($F255:$J255),$F255:$J255,0)))</f>
        <v/>
      </c>
      <c r="Q255" s="21"/>
      <c r="R255" s="26"/>
      <c r="S255" s="2" t="str">
        <f aca="false">IF($O255="","",IF($L255&lt;&gt;"",100,0)+IF($N255="",0,$N255)+ROW()/100000)</f>
        <v/>
      </c>
      <c r="T255" s="2" t="str">
        <f aca="false">IF($S255="","",IF($A255=SEL_MODEL,$S255,""))</f>
        <v/>
      </c>
    </row>
    <row r="256" customFormat="false" ht="15" hidden="false" customHeight="false" outlineLevel="0" collapsed="false">
      <c r="A256" s="19"/>
      <c r="B256" s="20"/>
      <c r="C256" s="21"/>
      <c r="D256" s="20"/>
      <c r="E256" s="19"/>
      <c r="F256" s="20"/>
      <c r="G256" s="20"/>
      <c r="H256" s="20"/>
      <c r="I256" s="22" t="str">
        <f aca="false">IF($E256="","",IFERROR(IF(INDEX(SUPPLIERS!$D$4:$D$63,MATCH($E256,SUPPLIERS!$A$4:$A$63,0))="","",INDEX(SUPPLIERS!$D$4:$D$63,MATCH($E256,SUPPLIERS!$A$4:$A$63,0))),""))</f>
        <v/>
      </c>
      <c r="J256" s="22" t="str">
        <f aca="false">IF($E256="","",IFERROR(IF(INDEX(SUPPLIERS!$E$4:$E$63,MATCH($E256,SUPPLIERS!$A$4:$A$63,0))="","",INDEX(SUPPLIERS!$E$4:$E$63,MATCH($E256,SUPPLIERS!$A$4:$A$63,0))),""))</f>
        <v/>
      </c>
      <c r="K256" s="20"/>
      <c r="L256" s="19"/>
      <c r="M256" s="23" t="str">
        <f aca="false">IF(COUNT($F256:$J256)&lt;5,"",ROUND($F256*W_SRC+$G256*W_QC+$H256*W_CAP+$I256*W_SUP+$J256*W_EXT,1))</f>
        <v/>
      </c>
      <c r="N256" s="24" t="str">
        <f aca="false">IF(OR($M256="",$K256=""),"",ROUND($M256*$K256,1))</f>
        <v/>
      </c>
      <c r="O256" s="25" t="str">
        <f aca="false">IF($E256="","",IF($L256&lt;&gt;"","CRITICAL (FLAG)",IF(OR($M256="",$K256=""),"NOT SCORED",IF($N256&gt;=T_CRIT,"CRITICAL",IF($N256&gt;=T_MON,"MONITOR","LOW")))))</f>
        <v/>
      </c>
      <c r="P256" s="12" t="str">
        <f aca="false">IF($M256="","",INDEX(DriverNames,MATCH(MAX($F256:$J256),$F256:$J256,0)))</f>
        <v/>
      </c>
      <c r="Q256" s="21"/>
      <c r="R256" s="26"/>
      <c r="S256" s="2" t="str">
        <f aca="false">IF($O256="","",IF($L256&lt;&gt;"",100,0)+IF($N256="",0,$N256)+ROW()/100000)</f>
        <v/>
      </c>
      <c r="T256" s="2" t="str">
        <f aca="false">IF($S256="","",IF($A256=SEL_MODEL,$S256,""))</f>
        <v/>
      </c>
    </row>
    <row r="257" customFormat="false" ht="15" hidden="false" customHeight="false" outlineLevel="0" collapsed="false">
      <c r="A257" s="19"/>
      <c r="B257" s="20"/>
      <c r="C257" s="21"/>
      <c r="D257" s="20"/>
      <c r="E257" s="19"/>
      <c r="F257" s="20"/>
      <c r="G257" s="20"/>
      <c r="H257" s="20"/>
      <c r="I257" s="22" t="str">
        <f aca="false">IF($E257="","",IFERROR(IF(INDEX(SUPPLIERS!$D$4:$D$63,MATCH($E257,SUPPLIERS!$A$4:$A$63,0))="","",INDEX(SUPPLIERS!$D$4:$D$63,MATCH($E257,SUPPLIERS!$A$4:$A$63,0))),""))</f>
        <v/>
      </c>
      <c r="J257" s="22" t="str">
        <f aca="false">IF($E257="","",IFERROR(IF(INDEX(SUPPLIERS!$E$4:$E$63,MATCH($E257,SUPPLIERS!$A$4:$A$63,0))="","",INDEX(SUPPLIERS!$E$4:$E$63,MATCH($E257,SUPPLIERS!$A$4:$A$63,0))),""))</f>
        <v/>
      </c>
      <c r="K257" s="20"/>
      <c r="L257" s="19"/>
      <c r="M257" s="23" t="str">
        <f aca="false">IF(COUNT($F257:$J257)&lt;5,"",ROUND($F257*W_SRC+$G257*W_QC+$H257*W_CAP+$I257*W_SUP+$J257*W_EXT,1))</f>
        <v/>
      </c>
      <c r="N257" s="24" t="str">
        <f aca="false">IF(OR($M257="",$K257=""),"",ROUND($M257*$K257,1))</f>
        <v/>
      </c>
      <c r="O257" s="25" t="str">
        <f aca="false">IF($E257="","",IF($L257&lt;&gt;"","CRITICAL (FLAG)",IF(OR($M257="",$K257=""),"NOT SCORED",IF($N257&gt;=T_CRIT,"CRITICAL",IF($N257&gt;=T_MON,"MONITOR","LOW")))))</f>
        <v/>
      </c>
      <c r="P257" s="12" t="str">
        <f aca="false">IF($M257="","",INDEX(DriverNames,MATCH(MAX($F257:$J257),$F257:$J257,0)))</f>
        <v/>
      </c>
      <c r="Q257" s="21"/>
      <c r="R257" s="26"/>
      <c r="S257" s="2" t="str">
        <f aca="false">IF($O257="","",IF($L257&lt;&gt;"",100,0)+IF($N257="",0,$N257)+ROW()/100000)</f>
        <v/>
      </c>
      <c r="T257" s="2" t="str">
        <f aca="false">IF($S257="","",IF($A257=SEL_MODEL,$S257,""))</f>
        <v/>
      </c>
    </row>
    <row r="258" customFormat="false" ht="15" hidden="false" customHeight="false" outlineLevel="0" collapsed="false">
      <c r="A258" s="19"/>
      <c r="B258" s="20"/>
      <c r="C258" s="21"/>
      <c r="D258" s="20"/>
      <c r="E258" s="19"/>
      <c r="F258" s="20"/>
      <c r="G258" s="20"/>
      <c r="H258" s="20"/>
      <c r="I258" s="22" t="str">
        <f aca="false">IF($E258="","",IFERROR(IF(INDEX(SUPPLIERS!$D$4:$D$63,MATCH($E258,SUPPLIERS!$A$4:$A$63,0))="","",INDEX(SUPPLIERS!$D$4:$D$63,MATCH($E258,SUPPLIERS!$A$4:$A$63,0))),""))</f>
        <v/>
      </c>
      <c r="J258" s="22" t="str">
        <f aca="false">IF($E258="","",IFERROR(IF(INDEX(SUPPLIERS!$E$4:$E$63,MATCH($E258,SUPPLIERS!$A$4:$A$63,0))="","",INDEX(SUPPLIERS!$E$4:$E$63,MATCH($E258,SUPPLIERS!$A$4:$A$63,0))),""))</f>
        <v/>
      </c>
      <c r="K258" s="20"/>
      <c r="L258" s="19"/>
      <c r="M258" s="23" t="str">
        <f aca="false">IF(COUNT($F258:$J258)&lt;5,"",ROUND($F258*W_SRC+$G258*W_QC+$H258*W_CAP+$I258*W_SUP+$J258*W_EXT,1))</f>
        <v/>
      </c>
      <c r="N258" s="24" t="str">
        <f aca="false">IF(OR($M258="",$K258=""),"",ROUND($M258*$K258,1))</f>
        <v/>
      </c>
      <c r="O258" s="25" t="str">
        <f aca="false">IF($E258="","",IF($L258&lt;&gt;"","CRITICAL (FLAG)",IF(OR($M258="",$K258=""),"NOT SCORED",IF($N258&gt;=T_CRIT,"CRITICAL",IF($N258&gt;=T_MON,"MONITOR","LOW")))))</f>
        <v/>
      </c>
      <c r="P258" s="12" t="str">
        <f aca="false">IF($M258="","",INDEX(DriverNames,MATCH(MAX($F258:$J258),$F258:$J258,0)))</f>
        <v/>
      </c>
      <c r="Q258" s="21"/>
      <c r="R258" s="26"/>
      <c r="S258" s="2" t="str">
        <f aca="false">IF($O258="","",IF($L258&lt;&gt;"",100,0)+IF($N258="",0,$N258)+ROW()/100000)</f>
        <v/>
      </c>
      <c r="T258" s="2" t="str">
        <f aca="false">IF($S258="","",IF($A258=SEL_MODEL,$S258,""))</f>
        <v/>
      </c>
    </row>
    <row r="259" customFormat="false" ht="15" hidden="false" customHeight="false" outlineLevel="0" collapsed="false">
      <c r="A259" s="19"/>
      <c r="B259" s="20"/>
      <c r="C259" s="21"/>
      <c r="D259" s="20"/>
      <c r="E259" s="19"/>
      <c r="F259" s="20"/>
      <c r="G259" s="20"/>
      <c r="H259" s="20"/>
      <c r="I259" s="22" t="str">
        <f aca="false">IF($E259="","",IFERROR(IF(INDEX(SUPPLIERS!$D$4:$D$63,MATCH($E259,SUPPLIERS!$A$4:$A$63,0))="","",INDEX(SUPPLIERS!$D$4:$D$63,MATCH($E259,SUPPLIERS!$A$4:$A$63,0))),""))</f>
        <v/>
      </c>
      <c r="J259" s="22" t="str">
        <f aca="false">IF($E259="","",IFERROR(IF(INDEX(SUPPLIERS!$E$4:$E$63,MATCH($E259,SUPPLIERS!$A$4:$A$63,0))="","",INDEX(SUPPLIERS!$E$4:$E$63,MATCH($E259,SUPPLIERS!$A$4:$A$63,0))),""))</f>
        <v/>
      </c>
      <c r="K259" s="20"/>
      <c r="L259" s="19"/>
      <c r="M259" s="23" t="str">
        <f aca="false">IF(COUNT($F259:$J259)&lt;5,"",ROUND($F259*W_SRC+$G259*W_QC+$H259*W_CAP+$I259*W_SUP+$J259*W_EXT,1))</f>
        <v/>
      </c>
      <c r="N259" s="24" t="str">
        <f aca="false">IF(OR($M259="",$K259=""),"",ROUND($M259*$K259,1))</f>
        <v/>
      </c>
      <c r="O259" s="25" t="str">
        <f aca="false">IF($E259="","",IF($L259&lt;&gt;"","CRITICAL (FLAG)",IF(OR($M259="",$K259=""),"NOT SCORED",IF($N259&gt;=T_CRIT,"CRITICAL",IF($N259&gt;=T_MON,"MONITOR","LOW")))))</f>
        <v/>
      </c>
      <c r="P259" s="12" t="str">
        <f aca="false">IF($M259="","",INDEX(DriverNames,MATCH(MAX($F259:$J259),$F259:$J259,0)))</f>
        <v/>
      </c>
      <c r="Q259" s="21"/>
      <c r="R259" s="26"/>
      <c r="S259" s="2" t="str">
        <f aca="false">IF($O259="","",IF($L259&lt;&gt;"",100,0)+IF($N259="",0,$N259)+ROW()/100000)</f>
        <v/>
      </c>
      <c r="T259" s="2" t="str">
        <f aca="false">IF($S259="","",IF($A259=SEL_MODEL,$S259,""))</f>
        <v/>
      </c>
    </row>
    <row r="260" customFormat="false" ht="15" hidden="false" customHeight="false" outlineLevel="0" collapsed="false">
      <c r="A260" s="19"/>
      <c r="B260" s="20"/>
      <c r="C260" s="21"/>
      <c r="D260" s="20"/>
      <c r="E260" s="19"/>
      <c r="F260" s="20"/>
      <c r="G260" s="20"/>
      <c r="H260" s="20"/>
      <c r="I260" s="22" t="str">
        <f aca="false">IF($E260="","",IFERROR(IF(INDEX(SUPPLIERS!$D$4:$D$63,MATCH($E260,SUPPLIERS!$A$4:$A$63,0))="","",INDEX(SUPPLIERS!$D$4:$D$63,MATCH($E260,SUPPLIERS!$A$4:$A$63,0))),""))</f>
        <v/>
      </c>
      <c r="J260" s="22" t="str">
        <f aca="false">IF($E260="","",IFERROR(IF(INDEX(SUPPLIERS!$E$4:$E$63,MATCH($E260,SUPPLIERS!$A$4:$A$63,0))="","",INDEX(SUPPLIERS!$E$4:$E$63,MATCH($E260,SUPPLIERS!$A$4:$A$63,0))),""))</f>
        <v/>
      </c>
      <c r="K260" s="20"/>
      <c r="L260" s="19"/>
      <c r="M260" s="23" t="str">
        <f aca="false">IF(COUNT($F260:$J260)&lt;5,"",ROUND($F260*W_SRC+$G260*W_QC+$H260*W_CAP+$I260*W_SUP+$J260*W_EXT,1))</f>
        <v/>
      </c>
      <c r="N260" s="24" t="str">
        <f aca="false">IF(OR($M260="",$K260=""),"",ROUND($M260*$K260,1))</f>
        <v/>
      </c>
      <c r="O260" s="25" t="str">
        <f aca="false">IF($E260="","",IF($L260&lt;&gt;"","CRITICAL (FLAG)",IF(OR($M260="",$K260=""),"NOT SCORED",IF($N260&gt;=T_CRIT,"CRITICAL",IF($N260&gt;=T_MON,"MONITOR","LOW")))))</f>
        <v/>
      </c>
      <c r="P260" s="12" t="str">
        <f aca="false">IF($M260="","",INDEX(DriverNames,MATCH(MAX($F260:$J260),$F260:$J260,0)))</f>
        <v/>
      </c>
      <c r="Q260" s="21"/>
      <c r="R260" s="26"/>
      <c r="S260" s="2" t="str">
        <f aca="false">IF($O260="","",IF($L260&lt;&gt;"",100,0)+IF($N260="",0,$N260)+ROW()/100000)</f>
        <v/>
      </c>
      <c r="T260" s="2" t="str">
        <f aca="false">IF($S260="","",IF($A260=SEL_MODEL,$S260,""))</f>
        <v/>
      </c>
    </row>
    <row r="261" customFormat="false" ht="15" hidden="false" customHeight="false" outlineLevel="0" collapsed="false">
      <c r="A261" s="19"/>
      <c r="B261" s="20"/>
      <c r="C261" s="21"/>
      <c r="D261" s="20"/>
      <c r="E261" s="19"/>
      <c r="F261" s="20"/>
      <c r="G261" s="20"/>
      <c r="H261" s="20"/>
      <c r="I261" s="22" t="str">
        <f aca="false">IF($E261="","",IFERROR(IF(INDEX(SUPPLIERS!$D$4:$D$63,MATCH($E261,SUPPLIERS!$A$4:$A$63,0))="","",INDEX(SUPPLIERS!$D$4:$D$63,MATCH($E261,SUPPLIERS!$A$4:$A$63,0))),""))</f>
        <v/>
      </c>
      <c r="J261" s="22" t="str">
        <f aca="false">IF($E261="","",IFERROR(IF(INDEX(SUPPLIERS!$E$4:$E$63,MATCH($E261,SUPPLIERS!$A$4:$A$63,0))="","",INDEX(SUPPLIERS!$E$4:$E$63,MATCH($E261,SUPPLIERS!$A$4:$A$63,0))),""))</f>
        <v/>
      </c>
      <c r="K261" s="20"/>
      <c r="L261" s="19"/>
      <c r="M261" s="23" t="str">
        <f aca="false">IF(COUNT($F261:$J261)&lt;5,"",ROUND($F261*W_SRC+$G261*W_QC+$H261*W_CAP+$I261*W_SUP+$J261*W_EXT,1))</f>
        <v/>
      </c>
      <c r="N261" s="24" t="str">
        <f aca="false">IF(OR($M261="",$K261=""),"",ROUND($M261*$K261,1))</f>
        <v/>
      </c>
      <c r="O261" s="25" t="str">
        <f aca="false">IF($E261="","",IF($L261&lt;&gt;"","CRITICAL (FLAG)",IF(OR($M261="",$K261=""),"NOT SCORED",IF($N261&gt;=T_CRIT,"CRITICAL",IF($N261&gt;=T_MON,"MONITOR","LOW")))))</f>
        <v/>
      </c>
      <c r="P261" s="12" t="str">
        <f aca="false">IF($M261="","",INDEX(DriverNames,MATCH(MAX($F261:$J261),$F261:$J261,0)))</f>
        <v/>
      </c>
      <c r="Q261" s="21"/>
      <c r="R261" s="26"/>
      <c r="S261" s="2" t="str">
        <f aca="false">IF($O261="","",IF($L261&lt;&gt;"",100,0)+IF($N261="",0,$N261)+ROW()/100000)</f>
        <v/>
      </c>
      <c r="T261" s="2" t="str">
        <f aca="false">IF($S261="","",IF($A261=SEL_MODEL,$S261,""))</f>
        <v/>
      </c>
    </row>
    <row r="262" customFormat="false" ht="15" hidden="false" customHeight="false" outlineLevel="0" collapsed="false">
      <c r="A262" s="19"/>
      <c r="B262" s="20"/>
      <c r="C262" s="21"/>
      <c r="D262" s="20"/>
      <c r="E262" s="19"/>
      <c r="F262" s="20"/>
      <c r="G262" s="20"/>
      <c r="H262" s="20"/>
      <c r="I262" s="22" t="str">
        <f aca="false">IF($E262="","",IFERROR(IF(INDEX(SUPPLIERS!$D$4:$D$63,MATCH($E262,SUPPLIERS!$A$4:$A$63,0))="","",INDEX(SUPPLIERS!$D$4:$D$63,MATCH($E262,SUPPLIERS!$A$4:$A$63,0))),""))</f>
        <v/>
      </c>
      <c r="J262" s="22" t="str">
        <f aca="false">IF($E262="","",IFERROR(IF(INDEX(SUPPLIERS!$E$4:$E$63,MATCH($E262,SUPPLIERS!$A$4:$A$63,0))="","",INDEX(SUPPLIERS!$E$4:$E$63,MATCH($E262,SUPPLIERS!$A$4:$A$63,0))),""))</f>
        <v/>
      </c>
      <c r="K262" s="20"/>
      <c r="L262" s="19"/>
      <c r="M262" s="23" t="str">
        <f aca="false">IF(COUNT($F262:$J262)&lt;5,"",ROUND($F262*W_SRC+$G262*W_QC+$H262*W_CAP+$I262*W_SUP+$J262*W_EXT,1))</f>
        <v/>
      </c>
      <c r="N262" s="24" t="str">
        <f aca="false">IF(OR($M262="",$K262=""),"",ROUND($M262*$K262,1))</f>
        <v/>
      </c>
      <c r="O262" s="25" t="str">
        <f aca="false">IF($E262="","",IF($L262&lt;&gt;"","CRITICAL (FLAG)",IF(OR($M262="",$K262=""),"NOT SCORED",IF($N262&gt;=T_CRIT,"CRITICAL",IF($N262&gt;=T_MON,"MONITOR","LOW")))))</f>
        <v/>
      </c>
      <c r="P262" s="12" t="str">
        <f aca="false">IF($M262="","",INDEX(DriverNames,MATCH(MAX($F262:$J262),$F262:$J262,0)))</f>
        <v/>
      </c>
      <c r="Q262" s="21"/>
      <c r="R262" s="26"/>
      <c r="S262" s="2" t="str">
        <f aca="false">IF($O262="","",IF($L262&lt;&gt;"",100,0)+IF($N262="",0,$N262)+ROW()/100000)</f>
        <v/>
      </c>
      <c r="T262" s="2" t="str">
        <f aca="false">IF($S262="","",IF($A262=SEL_MODEL,$S262,""))</f>
        <v/>
      </c>
    </row>
    <row r="263" customFormat="false" ht="15" hidden="false" customHeight="false" outlineLevel="0" collapsed="false">
      <c r="A263" s="19"/>
      <c r="B263" s="20"/>
      <c r="C263" s="21"/>
      <c r="D263" s="20"/>
      <c r="E263" s="19"/>
      <c r="F263" s="20"/>
      <c r="G263" s="20"/>
      <c r="H263" s="20"/>
      <c r="I263" s="22" t="str">
        <f aca="false">IF($E263="","",IFERROR(IF(INDEX(SUPPLIERS!$D$4:$D$63,MATCH($E263,SUPPLIERS!$A$4:$A$63,0))="","",INDEX(SUPPLIERS!$D$4:$D$63,MATCH($E263,SUPPLIERS!$A$4:$A$63,0))),""))</f>
        <v/>
      </c>
      <c r="J263" s="22" t="str">
        <f aca="false">IF($E263="","",IFERROR(IF(INDEX(SUPPLIERS!$E$4:$E$63,MATCH($E263,SUPPLIERS!$A$4:$A$63,0))="","",INDEX(SUPPLIERS!$E$4:$E$63,MATCH($E263,SUPPLIERS!$A$4:$A$63,0))),""))</f>
        <v/>
      </c>
      <c r="K263" s="20"/>
      <c r="L263" s="19"/>
      <c r="M263" s="23" t="str">
        <f aca="false">IF(COUNT($F263:$J263)&lt;5,"",ROUND($F263*W_SRC+$G263*W_QC+$H263*W_CAP+$I263*W_SUP+$J263*W_EXT,1))</f>
        <v/>
      </c>
      <c r="N263" s="24" t="str">
        <f aca="false">IF(OR($M263="",$K263=""),"",ROUND($M263*$K263,1))</f>
        <v/>
      </c>
      <c r="O263" s="25" t="str">
        <f aca="false">IF($E263="","",IF($L263&lt;&gt;"","CRITICAL (FLAG)",IF(OR($M263="",$K263=""),"NOT SCORED",IF($N263&gt;=T_CRIT,"CRITICAL",IF($N263&gt;=T_MON,"MONITOR","LOW")))))</f>
        <v/>
      </c>
      <c r="P263" s="12" t="str">
        <f aca="false">IF($M263="","",INDEX(DriverNames,MATCH(MAX($F263:$J263),$F263:$J263,0)))</f>
        <v/>
      </c>
      <c r="Q263" s="21"/>
      <c r="R263" s="26"/>
      <c r="S263" s="2" t="str">
        <f aca="false">IF($O263="","",IF($L263&lt;&gt;"",100,0)+IF($N263="",0,$N263)+ROW()/100000)</f>
        <v/>
      </c>
      <c r="T263" s="2" t="str">
        <f aca="false">IF($S263="","",IF($A263=SEL_MODEL,$S263,""))</f>
        <v/>
      </c>
    </row>
    <row r="264" customFormat="false" ht="15" hidden="false" customHeight="false" outlineLevel="0" collapsed="false">
      <c r="A264" s="19"/>
      <c r="B264" s="20"/>
      <c r="C264" s="21"/>
      <c r="D264" s="20"/>
      <c r="E264" s="19"/>
      <c r="F264" s="20"/>
      <c r="G264" s="20"/>
      <c r="H264" s="20"/>
      <c r="I264" s="22" t="str">
        <f aca="false">IF($E264="","",IFERROR(IF(INDEX(SUPPLIERS!$D$4:$D$63,MATCH($E264,SUPPLIERS!$A$4:$A$63,0))="","",INDEX(SUPPLIERS!$D$4:$D$63,MATCH($E264,SUPPLIERS!$A$4:$A$63,0))),""))</f>
        <v/>
      </c>
      <c r="J264" s="22" t="str">
        <f aca="false">IF($E264="","",IFERROR(IF(INDEX(SUPPLIERS!$E$4:$E$63,MATCH($E264,SUPPLIERS!$A$4:$A$63,0))="","",INDEX(SUPPLIERS!$E$4:$E$63,MATCH($E264,SUPPLIERS!$A$4:$A$63,0))),""))</f>
        <v/>
      </c>
      <c r="K264" s="20"/>
      <c r="L264" s="19"/>
      <c r="M264" s="23" t="str">
        <f aca="false">IF(COUNT($F264:$J264)&lt;5,"",ROUND($F264*W_SRC+$G264*W_QC+$H264*W_CAP+$I264*W_SUP+$J264*W_EXT,1))</f>
        <v/>
      </c>
      <c r="N264" s="24" t="str">
        <f aca="false">IF(OR($M264="",$K264=""),"",ROUND($M264*$K264,1))</f>
        <v/>
      </c>
      <c r="O264" s="25" t="str">
        <f aca="false">IF($E264="","",IF($L264&lt;&gt;"","CRITICAL (FLAG)",IF(OR($M264="",$K264=""),"NOT SCORED",IF($N264&gt;=T_CRIT,"CRITICAL",IF($N264&gt;=T_MON,"MONITOR","LOW")))))</f>
        <v/>
      </c>
      <c r="P264" s="12" t="str">
        <f aca="false">IF($M264="","",INDEX(DriverNames,MATCH(MAX($F264:$J264),$F264:$J264,0)))</f>
        <v/>
      </c>
      <c r="Q264" s="21"/>
      <c r="R264" s="26"/>
      <c r="S264" s="2" t="str">
        <f aca="false">IF($O264="","",IF($L264&lt;&gt;"",100,0)+IF($N264="",0,$N264)+ROW()/100000)</f>
        <v/>
      </c>
      <c r="T264" s="2" t="str">
        <f aca="false">IF($S264="","",IF($A264=SEL_MODEL,$S264,""))</f>
        <v/>
      </c>
    </row>
    <row r="265" customFormat="false" ht="15" hidden="false" customHeight="false" outlineLevel="0" collapsed="false">
      <c r="A265" s="19"/>
      <c r="B265" s="20"/>
      <c r="C265" s="21"/>
      <c r="D265" s="20"/>
      <c r="E265" s="19"/>
      <c r="F265" s="20"/>
      <c r="G265" s="20"/>
      <c r="H265" s="20"/>
      <c r="I265" s="22" t="str">
        <f aca="false">IF($E265="","",IFERROR(IF(INDEX(SUPPLIERS!$D$4:$D$63,MATCH($E265,SUPPLIERS!$A$4:$A$63,0))="","",INDEX(SUPPLIERS!$D$4:$D$63,MATCH($E265,SUPPLIERS!$A$4:$A$63,0))),""))</f>
        <v/>
      </c>
      <c r="J265" s="22" t="str">
        <f aca="false">IF($E265="","",IFERROR(IF(INDEX(SUPPLIERS!$E$4:$E$63,MATCH($E265,SUPPLIERS!$A$4:$A$63,0))="","",INDEX(SUPPLIERS!$E$4:$E$63,MATCH($E265,SUPPLIERS!$A$4:$A$63,0))),""))</f>
        <v/>
      </c>
      <c r="K265" s="20"/>
      <c r="L265" s="19"/>
      <c r="M265" s="23" t="str">
        <f aca="false">IF(COUNT($F265:$J265)&lt;5,"",ROUND($F265*W_SRC+$G265*W_QC+$H265*W_CAP+$I265*W_SUP+$J265*W_EXT,1))</f>
        <v/>
      </c>
      <c r="N265" s="24" t="str">
        <f aca="false">IF(OR($M265="",$K265=""),"",ROUND($M265*$K265,1))</f>
        <v/>
      </c>
      <c r="O265" s="25" t="str">
        <f aca="false">IF($E265="","",IF($L265&lt;&gt;"","CRITICAL (FLAG)",IF(OR($M265="",$K265=""),"NOT SCORED",IF($N265&gt;=T_CRIT,"CRITICAL",IF($N265&gt;=T_MON,"MONITOR","LOW")))))</f>
        <v/>
      </c>
      <c r="P265" s="12" t="str">
        <f aca="false">IF($M265="","",INDEX(DriverNames,MATCH(MAX($F265:$J265),$F265:$J265,0)))</f>
        <v/>
      </c>
      <c r="Q265" s="21"/>
      <c r="R265" s="26"/>
      <c r="S265" s="2" t="str">
        <f aca="false">IF($O265="","",IF($L265&lt;&gt;"",100,0)+IF($N265="",0,$N265)+ROW()/100000)</f>
        <v/>
      </c>
      <c r="T265" s="2" t="str">
        <f aca="false">IF($S265="","",IF($A265=SEL_MODEL,$S265,""))</f>
        <v/>
      </c>
    </row>
    <row r="266" customFormat="false" ht="15" hidden="false" customHeight="false" outlineLevel="0" collapsed="false">
      <c r="A266" s="19"/>
      <c r="B266" s="20"/>
      <c r="C266" s="21"/>
      <c r="D266" s="20"/>
      <c r="E266" s="19"/>
      <c r="F266" s="20"/>
      <c r="G266" s="20"/>
      <c r="H266" s="20"/>
      <c r="I266" s="22" t="str">
        <f aca="false">IF($E266="","",IFERROR(IF(INDEX(SUPPLIERS!$D$4:$D$63,MATCH($E266,SUPPLIERS!$A$4:$A$63,0))="","",INDEX(SUPPLIERS!$D$4:$D$63,MATCH($E266,SUPPLIERS!$A$4:$A$63,0))),""))</f>
        <v/>
      </c>
      <c r="J266" s="22" t="str">
        <f aca="false">IF($E266="","",IFERROR(IF(INDEX(SUPPLIERS!$E$4:$E$63,MATCH($E266,SUPPLIERS!$A$4:$A$63,0))="","",INDEX(SUPPLIERS!$E$4:$E$63,MATCH($E266,SUPPLIERS!$A$4:$A$63,0))),""))</f>
        <v/>
      </c>
      <c r="K266" s="20"/>
      <c r="L266" s="19"/>
      <c r="M266" s="23" t="str">
        <f aca="false">IF(COUNT($F266:$J266)&lt;5,"",ROUND($F266*W_SRC+$G266*W_QC+$H266*W_CAP+$I266*W_SUP+$J266*W_EXT,1))</f>
        <v/>
      </c>
      <c r="N266" s="24" t="str">
        <f aca="false">IF(OR($M266="",$K266=""),"",ROUND($M266*$K266,1))</f>
        <v/>
      </c>
      <c r="O266" s="25" t="str">
        <f aca="false">IF($E266="","",IF($L266&lt;&gt;"","CRITICAL (FLAG)",IF(OR($M266="",$K266=""),"NOT SCORED",IF($N266&gt;=T_CRIT,"CRITICAL",IF($N266&gt;=T_MON,"MONITOR","LOW")))))</f>
        <v/>
      </c>
      <c r="P266" s="12" t="str">
        <f aca="false">IF($M266="","",INDEX(DriverNames,MATCH(MAX($F266:$J266),$F266:$J266,0)))</f>
        <v/>
      </c>
      <c r="Q266" s="21"/>
      <c r="R266" s="26"/>
      <c r="S266" s="2" t="str">
        <f aca="false">IF($O266="","",IF($L266&lt;&gt;"",100,0)+IF($N266="",0,$N266)+ROW()/100000)</f>
        <v/>
      </c>
      <c r="T266" s="2" t="str">
        <f aca="false">IF($S266="","",IF($A266=SEL_MODEL,$S266,""))</f>
        <v/>
      </c>
    </row>
    <row r="267" customFormat="false" ht="15" hidden="false" customHeight="false" outlineLevel="0" collapsed="false">
      <c r="A267" s="19"/>
      <c r="B267" s="20"/>
      <c r="C267" s="21"/>
      <c r="D267" s="20"/>
      <c r="E267" s="19"/>
      <c r="F267" s="20"/>
      <c r="G267" s="20"/>
      <c r="H267" s="20"/>
      <c r="I267" s="22" t="str">
        <f aca="false">IF($E267="","",IFERROR(IF(INDEX(SUPPLIERS!$D$4:$D$63,MATCH($E267,SUPPLIERS!$A$4:$A$63,0))="","",INDEX(SUPPLIERS!$D$4:$D$63,MATCH($E267,SUPPLIERS!$A$4:$A$63,0))),""))</f>
        <v/>
      </c>
      <c r="J267" s="22" t="str">
        <f aca="false">IF($E267="","",IFERROR(IF(INDEX(SUPPLIERS!$E$4:$E$63,MATCH($E267,SUPPLIERS!$A$4:$A$63,0))="","",INDEX(SUPPLIERS!$E$4:$E$63,MATCH($E267,SUPPLIERS!$A$4:$A$63,0))),""))</f>
        <v/>
      </c>
      <c r="K267" s="20"/>
      <c r="L267" s="19"/>
      <c r="M267" s="23" t="str">
        <f aca="false">IF(COUNT($F267:$J267)&lt;5,"",ROUND($F267*W_SRC+$G267*W_QC+$H267*W_CAP+$I267*W_SUP+$J267*W_EXT,1))</f>
        <v/>
      </c>
      <c r="N267" s="24" t="str">
        <f aca="false">IF(OR($M267="",$K267=""),"",ROUND($M267*$K267,1))</f>
        <v/>
      </c>
      <c r="O267" s="25" t="str">
        <f aca="false">IF($E267="","",IF($L267&lt;&gt;"","CRITICAL (FLAG)",IF(OR($M267="",$K267=""),"NOT SCORED",IF($N267&gt;=T_CRIT,"CRITICAL",IF($N267&gt;=T_MON,"MONITOR","LOW")))))</f>
        <v/>
      </c>
      <c r="P267" s="12" t="str">
        <f aca="false">IF($M267="","",INDEX(DriverNames,MATCH(MAX($F267:$J267),$F267:$J267,0)))</f>
        <v/>
      </c>
      <c r="Q267" s="21"/>
      <c r="R267" s="26"/>
      <c r="S267" s="2" t="str">
        <f aca="false">IF($O267="","",IF($L267&lt;&gt;"",100,0)+IF($N267="",0,$N267)+ROW()/100000)</f>
        <v/>
      </c>
      <c r="T267" s="2" t="str">
        <f aca="false">IF($S267="","",IF($A267=SEL_MODEL,$S267,""))</f>
        <v/>
      </c>
    </row>
    <row r="268" customFormat="false" ht="15" hidden="false" customHeight="false" outlineLevel="0" collapsed="false">
      <c r="A268" s="19"/>
      <c r="B268" s="20"/>
      <c r="C268" s="21"/>
      <c r="D268" s="20"/>
      <c r="E268" s="19"/>
      <c r="F268" s="20"/>
      <c r="G268" s="20"/>
      <c r="H268" s="20"/>
      <c r="I268" s="22" t="str">
        <f aca="false">IF($E268="","",IFERROR(IF(INDEX(SUPPLIERS!$D$4:$D$63,MATCH($E268,SUPPLIERS!$A$4:$A$63,0))="","",INDEX(SUPPLIERS!$D$4:$D$63,MATCH($E268,SUPPLIERS!$A$4:$A$63,0))),""))</f>
        <v/>
      </c>
      <c r="J268" s="22" t="str">
        <f aca="false">IF($E268="","",IFERROR(IF(INDEX(SUPPLIERS!$E$4:$E$63,MATCH($E268,SUPPLIERS!$A$4:$A$63,0))="","",INDEX(SUPPLIERS!$E$4:$E$63,MATCH($E268,SUPPLIERS!$A$4:$A$63,0))),""))</f>
        <v/>
      </c>
      <c r="K268" s="20"/>
      <c r="L268" s="19"/>
      <c r="M268" s="23" t="str">
        <f aca="false">IF(COUNT($F268:$J268)&lt;5,"",ROUND($F268*W_SRC+$G268*W_QC+$H268*W_CAP+$I268*W_SUP+$J268*W_EXT,1))</f>
        <v/>
      </c>
      <c r="N268" s="24" t="str">
        <f aca="false">IF(OR($M268="",$K268=""),"",ROUND($M268*$K268,1))</f>
        <v/>
      </c>
      <c r="O268" s="25" t="str">
        <f aca="false">IF($E268="","",IF($L268&lt;&gt;"","CRITICAL (FLAG)",IF(OR($M268="",$K268=""),"NOT SCORED",IF($N268&gt;=T_CRIT,"CRITICAL",IF($N268&gt;=T_MON,"MONITOR","LOW")))))</f>
        <v/>
      </c>
      <c r="P268" s="12" t="str">
        <f aca="false">IF($M268="","",INDEX(DriverNames,MATCH(MAX($F268:$J268),$F268:$J268,0)))</f>
        <v/>
      </c>
      <c r="Q268" s="21"/>
      <c r="R268" s="26"/>
      <c r="S268" s="2" t="str">
        <f aca="false">IF($O268="","",IF($L268&lt;&gt;"",100,0)+IF($N268="",0,$N268)+ROW()/100000)</f>
        <v/>
      </c>
      <c r="T268" s="2" t="str">
        <f aca="false">IF($S268="","",IF($A268=SEL_MODEL,$S268,""))</f>
        <v/>
      </c>
    </row>
    <row r="269" customFormat="false" ht="15" hidden="false" customHeight="false" outlineLevel="0" collapsed="false">
      <c r="A269" s="19"/>
      <c r="B269" s="20"/>
      <c r="C269" s="21"/>
      <c r="D269" s="20"/>
      <c r="E269" s="19"/>
      <c r="F269" s="20"/>
      <c r="G269" s="20"/>
      <c r="H269" s="20"/>
      <c r="I269" s="22" t="str">
        <f aca="false">IF($E269="","",IFERROR(IF(INDEX(SUPPLIERS!$D$4:$D$63,MATCH($E269,SUPPLIERS!$A$4:$A$63,0))="","",INDEX(SUPPLIERS!$D$4:$D$63,MATCH($E269,SUPPLIERS!$A$4:$A$63,0))),""))</f>
        <v/>
      </c>
      <c r="J269" s="22" t="str">
        <f aca="false">IF($E269="","",IFERROR(IF(INDEX(SUPPLIERS!$E$4:$E$63,MATCH($E269,SUPPLIERS!$A$4:$A$63,0))="","",INDEX(SUPPLIERS!$E$4:$E$63,MATCH($E269,SUPPLIERS!$A$4:$A$63,0))),""))</f>
        <v/>
      </c>
      <c r="K269" s="20"/>
      <c r="L269" s="19"/>
      <c r="M269" s="23" t="str">
        <f aca="false">IF(COUNT($F269:$J269)&lt;5,"",ROUND($F269*W_SRC+$G269*W_QC+$H269*W_CAP+$I269*W_SUP+$J269*W_EXT,1))</f>
        <v/>
      </c>
      <c r="N269" s="24" t="str">
        <f aca="false">IF(OR($M269="",$K269=""),"",ROUND($M269*$K269,1))</f>
        <v/>
      </c>
      <c r="O269" s="25" t="str">
        <f aca="false">IF($E269="","",IF($L269&lt;&gt;"","CRITICAL (FLAG)",IF(OR($M269="",$K269=""),"NOT SCORED",IF($N269&gt;=T_CRIT,"CRITICAL",IF($N269&gt;=T_MON,"MONITOR","LOW")))))</f>
        <v/>
      </c>
      <c r="P269" s="12" t="str">
        <f aca="false">IF($M269="","",INDEX(DriverNames,MATCH(MAX($F269:$J269),$F269:$J269,0)))</f>
        <v/>
      </c>
      <c r="Q269" s="21"/>
      <c r="R269" s="26"/>
      <c r="S269" s="2" t="str">
        <f aca="false">IF($O269="","",IF($L269&lt;&gt;"",100,0)+IF($N269="",0,$N269)+ROW()/100000)</f>
        <v/>
      </c>
      <c r="T269" s="2" t="str">
        <f aca="false">IF($S269="","",IF($A269=SEL_MODEL,$S269,""))</f>
        <v/>
      </c>
    </row>
    <row r="270" customFormat="false" ht="15" hidden="false" customHeight="false" outlineLevel="0" collapsed="false">
      <c r="A270" s="19"/>
      <c r="B270" s="20"/>
      <c r="C270" s="21"/>
      <c r="D270" s="20"/>
      <c r="E270" s="19"/>
      <c r="F270" s="20"/>
      <c r="G270" s="20"/>
      <c r="H270" s="20"/>
      <c r="I270" s="22" t="str">
        <f aca="false">IF($E270="","",IFERROR(IF(INDEX(SUPPLIERS!$D$4:$D$63,MATCH($E270,SUPPLIERS!$A$4:$A$63,0))="","",INDEX(SUPPLIERS!$D$4:$D$63,MATCH($E270,SUPPLIERS!$A$4:$A$63,0))),""))</f>
        <v/>
      </c>
      <c r="J270" s="22" t="str">
        <f aca="false">IF($E270="","",IFERROR(IF(INDEX(SUPPLIERS!$E$4:$E$63,MATCH($E270,SUPPLIERS!$A$4:$A$63,0))="","",INDEX(SUPPLIERS!$E$4:$E$63,MATCH($E270,SUPPLIERS!$A$4:$A$63,0))),""))</f>
        <v/>
      </c>
      <c r="K270" s="20"/>
      <c r="L270" s="19"/>
      <c r="M270" s="23" t="str">
        <f aca="false">IF(COUNT($F270:$J270)&lt;5,"",ROUND($F270*W_SRC+$G270*W_QC+$H270*W_CAP+$I270*W_SUP+$J270*W_EXT,1))</f>
        <v/>
      </c>
      <c r="N270" s="24" t="str">
        <f aca="false">IF(OR($M270="",$K270=""),"",ROUND($M270*$K270,1))</f>
        <v/>
      </c>
      <c r="O270" s="25" t="str">
        <f aca="false">IF($E270="","",IF($L270&lt;&gt;"","CRITICAL (FLAG)",IF(OR($M270="",$K270=""),"NOT SCORED",IF($N270&gt;=T_CRIT,"CRITICAL",IF($N270&gt;=T_MON,"MONITOR","LOW")))))</f>
        <v/>
      </c>
      <c r="P270" s="12" t="str">
        <f aca="false">IF($M270="","",INDEX(DriverNames,MATCH(MAX($F270:$J270),$F270:$J270,0)))</f>
        <v/>
      </c>
      <c r="Q270" s="21"/>
      <c r="R270" s="26"/>
      <c r="S270" s="2" t="str">
        <f aca="false">IF($O270="","",IF($L270&lt;&gt;"",100,0)+IF($N270="",0,$N270)+ROW()/100000)</f>
        <v/>
      </c>
      <c r="T270" s="2" t="str">
        <f aca="false">IF($S270="","",IF($A270=SEL_MODEL,$S270,""))</f>
        <v/>
      </c>
    </row>
    <row r="271" customFormat="false" ht="15" hidden="false" customHeight="false" outlineLevel="0" collapsed="false">
      <c r="A271" s="19"/>
      <c r="B271" s="20"/>
      <c r="C271" s="21"/>
      <c r="D271" s="20"/>
      <c r="E271" s="19"/>
      <c r="F271" s="20"/>
      <c r="G271" s="20"/>
      <c r="H271" s="20"/>
      <c r="I271" s="22" t="str">
        <f aca="false">IF($E271="","",IFERROR(IF(INDEX(SUPPLIERS!$D$4:$D$63,MATCH($E271,SUPPLIERS!$A$4:$A$63,0))="","",INDEX(SUPPLIERS!$D$4:$D$63,MATCH($E271,SUPPLIERS!$A$4:$A$63,0))),""))</f>
        <v/>
      </c>
      <c r="J271" s="22" t="str">
        <f aca="false">IF($E271="","",IFERROR(IF(INDEX(SUPPLIERS!$E$4:$E$63,MATCH($E271,SUPPLIERS!$A$4:$A$63,0))="","",INDEX(SUPPLIERS!$E$4:$E$63,MATCH($E271,SUPPLIERS!$A$4:$A$63,0))),""))</f>
        <v/>
      </c>
      <c r="K271" s="20"/>
      <c r="L271" s="19"/>
      <c r="M271" s="23" t="str">
        <f aca="false">IF(COUNT($F271:$J271)&lt;5,"",ROUND($F271*W_SRC+$G271*W_QC+$H271*W_CAP+$I271*W_SUP+$J271*W_EXT,1))</f>
        <v/>
      </c>
      <c r="N271" s="24" t="str">
        <f aca="false">IF(OR($M271="",$K271=""),"",ROUND($M271*$K271,1))</f>
        <v/>
      </c>
      <c r="O271" s="25" t="str">
        <f aca="false">IF($E271="","",IF($L271&lt;&gt;"","CRITICAL (FLAG)",IF(OR($M271="",$K271=""),"NOT SCORED",IF($N271&gt;=T_CRIT,"CRITICAL",IF($N271&gt;=T_MON,"MONITOR","LOW")))))</f>
        <v/>
      </c>
      <c r="P271" s="12" t="str">
        <f aca="false">IF($M271="","",INDEX(DriverNames,MATCH(MAX($F271:$J271),$F271:$J271,0)))</f>
        <v/>
      </c>
      <c r="Q271" s="21"/>
      <c r="R271" s="26"/>
      <c r="S271" s="2" t="str">
        <f aca="false">IF($O271="","",IF($L271&lt;&gt;"",100,0)+IF($N271="",0,$N271)+ROW()/100000)</f>
        <v/>
      </c>
      <c r="T271" s="2" t="str">
        <f aca="false">IF($S271="","",IF($A271=SEL_MODEL,$S271,""))</f>
        <v/>
      </c>
    </row>
    <row r="272" customFormat="false" ht="15" hidden="false" customHeight="false" outlineLevel="0" collapsed="false">
      <c r="A272" s="19"/>
      <c r="B272" s="20"/>
      <c r="C272" s="21"/>
      <c r="D272" s="20"/>
      <c r="E272" s="19"/>
      <c r="F272" s="20"/>
      <c r="G272" s="20"/>
      <c r="H272" s="20"/>
      <c r="I272" s="22" t="str">
        <f aca="false">IF($E272="","",IFERROR(IF(INDEX(SUPPLIERS!$D$4:$D$63,MATCH($E272,SUPPLIERS!$A$4:$A$63,0))="","",INDEX(SUPPLIERS!$D$4:$D$63,MATCH($E272,SUPPLIERS!$A$4:$A$63,0))),""))</f>
        <v/>
      </c>
      <c r="J272" s="22" t="str">
        <f aca="false">IF($E272="","",IFERROR(IF(INDEX(SUPPLIERS!$E$4:$E$63,MATCH($E272,SUPPLIERS!$A$4:$A$63,0))="","",INDEX(SUPPLIERS!$E$4:$E$63,MATCH($E272,SUPPLIERS!$A$4:$A$63,0))),""))</f>
        <v/>
      </c>
      <c r="K272" s="20"/>
      <c r="L272" s="19"/>
      <c r="M272" s="23" t="str">
        <f aca="false">IF(COUNT($F272:$J272)&lt;5,"",ROUND($F272*W_SRC+$G272*W_QC+$H272*W_CAP+$I272*W_SUP+$J272*W_EXT,1))</f>
        <v/>
      </c>
      <c r="N272" s="24" t="str">
        <f aca="false">IF(OR($M272="",$K272=""),"",ROUND($M272*$K272,1))</f>
        <v/>
      </c>
      <c r="O272" s="25" t="str">
        <f aca="false">IF($E272="","",IF($L272&lt;&gt;"","CRITICAL (FLAG)",IF(OR($M272="",$K272=""),"NOT SCORED",IF($N272&gt;=T_CRIT,"CRITICAL",IF($N272&gt;=T_MON,"MONITOR","LOW")))))</f>
        <v/>
      </c>
      <c r="P272" s="12" t="str">
        <f aca="false">IF($M272="","",INDEX(DriverNames,MATCH(MAX($F272:$J272),$F272:$J272,0)))</f>
        <v/>
      </c>
      <c r="Q272" s="21"/>
      <c r="R272" s="26"/>
      <c r="S272" s="2" t="str">
        <f aca="false">IF($O272="","",IF($L272&lt;&gt;"",100,0)+IF($N272="",0,$N272)+ROW()/100000)</f>
        <v/>
      </c>
      <c r="T272" s="2" t="str">
        <f aca="false">IF($S272="","",IF($A272=SEL_MODEL,$S272,""))</f>
        <v/>
      </c>
    </row>
    <row r="273" customFormat="false" ht="15" hidden="false" customHeight="false" outlineLevel="0" collapsed="false">
      <c r="A273" s="19"/>
      <c r="B273" s="20"/>
      <c r="C273" s="21"/>
      <c r="D273" s="20"/>
      <c r="E273" s="19"/>
      <c r="F273" s="20"/>
      <c r="G273" s="20"/>
      <c r="H273" s="20"/>
      <c r="I273" s="22" t="str">
        <f aca="false">IF($E273="","",IFERROR(IF(INDEX(SUPPLIERS!$D$4:$D$63,MATCH($E273,SUPPLIERS!$A$4:$A$63,0))="","",INDEX(SUPPLIERS!$D$4:$D$63,MATCH($E273,SUPPLIERS!$A$4:$A$63,0))),""))</f>
        <v/>
      </c>
      <c r="J273" s="22" t="str">
        <f aca="false">IF($E273="","",IFERROR(IF(INDEX(SUPPLIERS!$E$4:$E$63,MATCH($E273,SUPPLIERS!$A$4:$A$63,0))="","",INDEX(SUPPLIERS!$E$4:$E$63,MATCH($E273,SUPPLIERS!$A$4:$A$63,0))),""))</f>
        <v/>
      </c>
      <c r="K273" s="20"/>
      <c r="L273" s="19"/>
      <c r="M273" s="23" t="str">
        <f aca="false">IF(COUNT($F273:$J273)&lt;5,"",ROUND($F273*W_SRC+$G273*W_QC+$H273*W_CAP+$I273*W_SUP+$J273*W_EXT,1))</f>
        <v/>
      </c>
      <c r="N273" s="24" t="str">
        <f aca="false">IF(OR($M273="",$K273=""),"",ROUND($M273*$K273,1))</f>
        <v/>
      </c>
      <c r="O273" s="25" t="str">
        <f aca="false">IF($E273="","",IF($L273&lt;&gt;"","CRITICAL (FLAG)",IF(OR($M273="",$K273=""),"NOT SCORED",IF($N273&gt;=T_CRIT,"CRITICAL",IF($N273&gt;=T_MON,"MONITOR","LOW")))))</f>
        <v/>
      </c>
      <c r="P273" s="12" t="str">
        <f aca="false">IF($M273="","",INDEX(DriverNames,MATCH(MAX($F273:$J273),$F273:$J273,0)))</f>
        <v/>
      </c>
      <c r="Q273" s="21"/>
      <c r="R273" s="26"/>
      <c r="S273" s="2" t="str">
        <f aca="false">IF($O273="","",IF($L273&lt;&gt;"",100,0)+IF($N273="",0,$N273)+ROW()/100000)</f>
        <v/>
      </c>
      <c r="T273" s="2" t="str">
        <f aca="false">IF($S273="","",IF($A273=SEL_MODEL,$S273,""))</f>
        <v/>
      </c>
    </row>
    <row r="274" customFormat="false" ht="15" hidden="false" customHeight="false" outlineLevel="0" collapsed="false">
      <c r="A274" s="19"/>
      <c r="B274" s="20"/>
      <c r="C274" s="21"/>
      <c r="D274" s="20"/>
      <c r="E274" s="19"/>
      <c r="F274" s="20"/>
      <c r="G274" s="20"/>
      <c r="H274" s="20"/>
      <c r="I274" s="22" t="str">
        <f aca="false">IF($E274="","",IFERROR(IF(INDEX(SUPPLIERS!$D$4:$D$63,MATCH($E274,SUPPLIERS!$A$4:$A$63,0))="","",INDEX(SUPPLIERS!$D$4:$D$63,MATCH($E274,SUPPLIERS!$A$4:$A$63,0))),""))</f>
        <v/>
      </c>
      <c r="J274" s="22" t="str">
        <f aca="false">IF($E274="","",IFERROR(IF(INDEX(SUPPLIERS!$E$4:$E$63,MATCH($E274,SUPPLIERS!$A$4:$A$63,0))="","",INDEX(SUPPLIERS!$E$4:$E$63,MATCH($E274,SUPPLIERS!$A$4:$A$63,0))),""))</f>
        <v/>
      </c>
      <c r="K274" s="20"/>
      <c r="L274" s="19"/>
      <c r="M274" s="23" t="str">
        <f aca="false">IF(COUNT($F274:$J274)&lt;5,"",ROUND($F274*W_SRC+$G274*W_QC+$H274*W_CAP+$I274*W_SUP+$J274*W_EXT,1))</f>
        <v/>
      </c>
      <c r="N274" s="24" t="str">
        <f aca="false">IF(OR($M274="",$K274=""),"",ROUND($M274*$K274,1))</f>
        <v/>
      </c>
      <c r="O274" s="25" t="str">
        <f aca="false">IF($E274="","",IF($L274&lt;&gt;"","CRITICAL (FLAG)",IF(OR($M274="",$K274=""),"NOT SCORED",IF($N274&gt;=T_CRIT,"CRITICAL",IF($N274&gt;=T_MON,"MONITOR","LOW")))))</f>
        <v/>
      </c>
      <c r="P274" s="12" t="str">
        <f aca="false">IF($M274="","",INDEX(DriverNames,MATCH(MAX($F274:$J274),$F274:$J274,0)))</f>
        <v/>
      </c>
      <c r="Q274" s="21"/>
      <c r="R274" s="26"/>
      <c r="S274" s="2" t="str">
        <f aca="false">IF($O274="","",IF($L274&lt;&gt;"",100,0)+IF($N274="",0,$N274)+ROW()/100000)</f>
        <v/>
      </c>
      <c r="T274" s="2" t="str">
        <f aca="false">IF($S274="","",IF($A274=SEL_MODEL,$S274,""))</f>
        <v/>
      </c>
    </row>
    <row r="275" customFormat="false" ht="15" hidden="false" customHeight="false" outlineLevel="0" collapsed="false">
      <c r="A275" s="19"/>
      <c r="B275" s="20"/>
      <c r="C275" s="21"/>
      <c r="D275" s="20"/>
      <c r="E275" s="19"/>
      <c r="F275" s="20"/>
      <c r="G275" s="20"/>
      <c r="H275" s="20"/>
      <c r="I275" s="22" t="str">
        <f aca="false">IF($E275="","",IFERROR(IF(INDEX(SUPPLIERS!$D$4:$D$63,MATCH($E275,SUPPLIERS!$A$4:$A$63,0))="","",INDEX(SUPPLIERS!$D$4:$D$63,MATCH($E275,SUPPLIERS!$A$4:$A$63,0))),""))</f>
        <v/>
      </c>
      <c r="J275" s="22" t="str">
        <f aca="false">IF($E275="","",IFERROR(IF(INDEX(SUPPLIERS!$E$4:$E$63,MATCH($E275,SUPPLIERS!$A$4:$A$63,0))="","",INDEX(SUPPLIERS!$E$4:$E$63,MATCH($E275,SUPPLIERS!$A$4:$A$63,0))),""))</f>
        <v/>
      </c>
      <c r="K275" s="20"/>
      <c r="L275" s="19"/>
      <c r="M275" s="23" t="str">
        <f aca="false">IF(COUNT($F275:$J275)&lt;5,"",ROUND($F275*W_SRC+$G275*W_QC+$H275*W_CAP+$I275*W_SUP+$J275*W_EXT,1))</f>
        <v/>
      </c>
      <c r="N275" s="24" t="str">
        <f aca="false">IF(OR($M275="",$K275=""),"",ROUND($M275*$K275,1))</f>
        <v/>
      </c>
      <c r="O275" s="25" t="str">
        <f aca="false">IF($E275="","",IF($L275&lt;&gt;"","CRITICAL (FLAG)",IF(OR($M275="",$K275=""),"NOT SCORED",IF($N275&gt;=T_CRIT,"CRITICAL",IF($N275&gt;=T_MON,"MONITOR","LOW")))))</f>
        <v/>
      </c>
      <c r="P275" s="12" t="str">
        <f aca="false">IF($M275="","",INDEX(DriverNames,MATCH(MAX($F275:$J275),$F275:$J275,0)))</f>
        <v/>
      </c>
      <c r="Q275" s="21"/>
      <c r="R275" s="26"/>
      <c r="S275" s="2" t="str">
        <f aca="false">IF($O275="","",IF($L275&lt;&gt;"",100,0)+IF($N275="",0,$N275)+ROW()/100000)</f>
        <v/>
      </c>
      <c r="T275" s="2" t="str">
        <f aca="false">IF($S275="","",IF($A275=SEL_MODEL,$S275,""))</f>
        <v/>
      </c>
    </row>
    <row r="276" customFormat="false" ht="15" hidden="false" customHeight="false" outlineLevel="0" collapsed="false">
      <c r="A276" s="19"/>
      <c r="B276" s="20"/>
      <c r="C276" s="21"/>
      <c r="D276" s="20"/>
      <c r="E276" s="19"/>
      <c r="F276" s="20"/>
      <c r="G276" s="20"/>
      <c r="H276" s="20"/>
      <c r="I276" s="22" t="str">
        <f aca="false">IF($E276="","",IFERROR(IF(INDEX(SUPPLIERS!$D$4:$D$63,MATCH($E276,SUPPLIERS!$A$4:$A$63,0))="","",INDEX(SUPPLIERS!$D$4:$D$63,MATCH($E276,SUPPLIERS!$A$4:$A$63,0))),""))</f>
        <v/>
      </c>
      <c r="J276" s="22" t="str">
        <f aca="false">IF($E276="","",IFERROR(IF(INDEX(SUPPLIERS!$E$4:$E$63,MATCH($E276,SUPPLIERS!$A$4:$A$63,0))="","",INDEX(SUPPLIERS!$E$4:$E$63,MATCH($E276,SUPPLIERS!$A$4:$A$63,0))),""))</f>
        <v/>
      </c>
      <c r="K276" s="20"/>
      <c r="L276" s="19"/>
      <c r="M276" s="23" t="str">
        <f aca="false">IF(COUNT($F276:$J276)&lt;5,"",ROUND($F276*W_SRC+$G276*W_QC+$H276*W_CAP+$I276*W_SUP+$J276*W_EXT,1))</f>
        <v/>
      </c>
      <c r="N276" s="24" t="str">
        <f aca="false">IF(OR($M276="",$K276=""),"",ROUND($M276*$K276,1))</f>
        <v/>
      </c>
      <c r="O276" s="25" t="str">
        <f aca="false">IF($E276="","",IF($L276&lt;&gt;"","CRITICAL (FLAG)",IF(OR($M276="",$K276=""),"NOT SCORED",IF($N276&gt;=T_CRIT,"CRITICAL",IF($N276&gt;=T_MON,"MONITOR","LOW")))))</f>
        <v/>
      </c>
      <c r="P276" s="12" t="str">
        <f aca="false">IF($M276="","",INDEX(DriverNames,MATCH(MAX($F276:$J276),$F276:$J276,0)))</f>
        <v/>
      </c>
      <c r="Q276" s="21"/>
      <c r="R276" s="26"/>
      <c r="S276" s="2" t="str">
        <f aca="false">IF($O276="","",IF($L276&lt;&gt;"",100,0)+IF($N276="",0,$N276)+ROW()/100000)</f>
        <v/>
      </c>
      <c r="T276" s="2" t="str">
        <f aca="false">IF($S276="","",IF($A276=SEL_MODEL,$S276,""))</f>
        <v/>
      </c>
    </row>
    <row r="277" customFormat="false" ht="15" hidden="false" customHeight="false" outlineLevel="0" collapsed="false">
      <c r="A277" s="19"/>
      <c r="B277" s="20"/>
      <c r="C277" s="21"/>
      <c r="D277" s="20"/>
      <c r="E277" s="19"/>
      <c r="F277" s="20"/>
      <c r="G277" s="20"/>
      <c r="H277" s="20"/>
      <c r="I277" s="22" t="str">
        <f aca="false">IF($E277="","",IFERROR(IF(INDEX(SUPPLIERS!$D$4:$D$63,MATCH($E277,SUPPLIERS!$A$4:$A$63,0))="","",INDEX(SUPPLIERS!$D$4:$D$63,MATCH($E277,SUPPLIERS!$A$4:$A$63,0))),""))</f>
        <v/>
      </c>
      <c r="J277" s="22" t="str">
        <f aca="false">IF($E277="","",IFERROR(IF(INDEX(SUPPLIERS!$E$4:$E$63,MATCH($E277,SUPPLIERS!$A$4:$A$63,0))="","",INDEX(SUPPLIERS!$E$4:$E$63,MATCH($E277,SUPPLIERS!$A$4:$A$63,0))),""))</f>
        <v/>
      </c>
      <c r="K277" s="20"/>
      <c r="L277" s="19"/>
      <c r="M277" s="23" t="str">
        <f aca="false">IF(COUNT($F277:$J277)&lt;5,"",ROUND($F277*W_SRC+$G277*W_QC+$H277*W_CAP+$I277*W_SUP+$J277*W_EXT,1))</f>
        <v/>
      </c>
      <c r="N277" s="24" t="str">
        <f aca="false">IF(OR($M277="",$K277=""),"",ROUND($M277*$K277,1))</f>
        <v/>
      </c>
      <c r="O277" s="25" t="str">
        <f aca="false">IF($E277="","",IF($L277&lt;&gt;"","CRITICAL (FLAG)",IF(OR($M277="",$K277=""),"NOT SCORED",IF($N277&gt;=T_CRIT,"CRITICAL",IF($N277&gt;=T_MON,"MONITOR","LOW")))))</f>
        <v/>
      </c>
      <c r="P277" s="12" t="str">
        <f aca="false">IF($M277="","",INDEX(DriverNames,MATCH(MAX($F277:$J277),$F277:$J277,0)))</f>
        <v/>
      </c>
      <c r="Q277" s="21"/>
      <c r="R277" s="26"/>
      <c r="S277" s="2" t="str">
        <f aca="false">IF($O277="","",IF($L277&lt;&gt;"",100,0)+IF($N277="",0,$N277)+ROW()/100000)</f>
        <v/>
      </c>
      <c r="T277" s="2" t="str">
        <f aca="false">IF($S277="","",IF($A277=SEL_MODEL,$S277,""))</f>
        <v/>
      </c>
    </row>
    <row r="278" customFormat="false" ht="15" hidden="false" customHeight="false" outlineLevel="0" collapsed="false">
      <c r="A278" s="19"/>
      <c r="B278" s="20"/>
      <c r="C278" s="21"/>
      <c r="D278" s="20"/>
      <c r="E278" s="19"/>
      <c r="F278" s="20"/>
      <c r="G278" s="20"/>
      <c r="H278" s="20"/>
      <c r="I278" s="22" t="str">
        <f aca="false">IF($E278="","",IFERROR(IF(INDEX(SUPPLIERS!$D$4:$D$63,MATCH($E278,SUPPLIERS!$A$4:$A$63,0))="","",INDEX(SUPPLIERS!$D$4:$D$63,MATCH($E278,SUPPLIERS!$A$4:$A$63,0))),""))</f>
        <v/>
      </c>
      <c r="J278" s="22" t="str">
        <f aca="false">IF($E278="","",IFERROR(IF(INDEX(SUPPLIERS!$E$4:$E$63,MATCH($E278,SUPPLIERS!$A$4:$A$63,0))="","",INDEX(SUPPLIERS!$E$4:$E$63,MATCH($E278,SUPPLIERS!$A$4:$A$63,0))),""))</f>
        <v/>
      </c>
      <c r="K278" s="20"/>
      <c r="L278" s="19"/>
      <c r="M278" s="23" t="str">
        <f aca="false">IF(COUNT($F278:$J278)&lt;5,"",ROUND($F278*W_SRC+$G278*W_QC+$H278*W_CAP+$I278*W_SUP+$J278*W_EXT,1))</f>
        <v/>
      </c>
      <c r="N278" s="24" t="str">
        <f aca="false">IF(OR($M278="",$K278=""),"",ROUND($M278*$K278,1))</f>
        <v/>
      </c>
      <c r="O278" s="25" t="str">
        <f aca="false">IF($E278="","",IF($L278&lt;&gt;"","CRITICAL (FLAG)",IF(OR($M278="",$K278=""),"NOT SCORED",IF($N278&gt;=T_CRIT,"CRITICAL",IF($N278&gt;=T_MON,"MONITOR","LOW")))))</f>
        <v/>
      </c>
      <c r="P278" s="12" t="str">
        <f aca="false">IF($M278="","",INDEX(DriverNames,MATCH(MAX($F278:$J278),$F278:$J278,0)))</f>
        <v/>
      </c>
      <c r="Q278" s="21"/>
      <c r="R278" s="26"/>
      <c r="S278" s="2" t="str">
        <f aca="false">IF($O278="","",IF($L278&lt;&gt;"",100,0)+IF($N278="",0,$N278)+ROW()/100000)</f>
        <v/>
      </c>
      <c r="T278" s="2" t="str">
        <f aca="false">IF($S278="","",IF($A278=SEL_MODEL,$S278,""))</f>
        <v/>
      </c>
    </row>
    <row r="279" customFormat="false" ht="15" hidden="false" customHeight="false" outlineLevel="0" collapsed="false">
      <c r="A279" s="19"/>
      <c r="B279" s="20"/>
      <c r="C279" s="21"/>
      <c r="D279" s="20"/>
      <c r="E279" s="19"/>
      <c r="F279" s="20"/>
      <c r="G279" s="20"/>
      <c r="H279" s="20"/>
      <c r="I279" s="22" t="str">
        <f aca="false">IF($E279="","",IFERROR(IF(INDEX(SUPPLIERS!$D$4:$D$63,MATCH($E279,SUPPLIERS!$A$4:$A$63,0))="","",INDEX(SUPPLIERS!$D$4:$D$63,MATCH($E279,SUPPLIERS!$A$4:$A$63,0))),""))</f>
        <v/>
      </c>
      <c r="J279" s="22" t="str">
        <f aca="false">IF($E279="","",IFERROR(IF(INDEX(SUPPLIERS!$E$4:$E$63,MATCH($E279,SUPPLIERS!$A$4:$A$63,0))="","",INDEX(SUPPLIERS!$E$4:$E$63,MATCH($E279,SUPPLIERS!$A$4:$A$63,0))),""))</f>
        <v/>
      </c>
      <c r="K279" s="20"/>
      <c r="L279" s="19"/>
      <c r="M279" s="23" t="str">
        <f aca="false">IF(COUNT($F279:$J279)&lt;5,"",ROUND($F279*W_SRC+$G279*W_QC+$H279*W_CAP+$I279*W_SUP+$J279*W_EXT,1))</f>
        <v/>
      </c>
      <c r="N279" s="24" t="str">
        <f aca="false">IF(OR($M279="",$K279=""),"",ROUND($M279*$K279,1))</f>
        <v/>
      </c>
      <c r="O279" s="25" t="str">
        <f aca="false">IF($E279="","",IF($L279&lt;&gt;"","CRITICAL (FLAG)",IF(OR($M279="",$K279=""),"NOT SCORED",IF($N279&gt;=T_CRIT,"CRITICAL",IF($N279&gt;=T_MON,"MONITOR","LOW")))))</f>
        <v/>
      </c>
      <c r="P279" s="12" t="str">
        <f aca="false">IF($M279="","",INDEX(DriverNames,MATCH(MAX($F279:$J279),$F279:$J279,0)))</f>
        <v/>
      </c>
      <c r="Q279" s="21"/>
      <c r="R279" s="26"/>
      <c r="S279" s="2" t="str">
        <f aca="false">IF($O279="","",IF($L279&lt;&gt;"",100,0)+IF($N279="",0,$N279)+ROW()/100000)</f>
        <v/>
      </c>
      <c r="T279" s="2" t="str">
        <f aca="false">IF($S279="","",IF($A279=SEL_MODEL,$S279,""))</f>
        <v/>
      </c>
    </row>
    <row r="280" customFormat="false" ht="15" hidden="false" customHeight="false" outlineLevel="0" collapsed="false">
      <c r="A280" s="19"/>
      <c r="B280" s="20"/>
      <c r="C280" s="21"/>
      <c r="D280" s="20"/>
      <c r="E280" s="19"/>
      <c r="F280" s="20"/>
      <c r="G280" s="20"/>
      <c r="H280" s="20"/>
      <c r="I280" s="22" t="str">
        <f aca="false">IF($E280="","",IFERROR(IF(INDEX(SUPPLIERS!$D$4:$D$63,MATCH($E280,SUPPLIERS!$A$4:$A$63,0))="","",INDEX(SUPPLIERS!$D$4:$D$63,MATCH($E280,SUPPLIERS!$A$4:$A$63,0))),""))</f>
        <v/>
      </c>
      <c r="J280" s="22" t="str">
        <f aca="false">IF($E280="","",IFERROR(IF(INDEX(SUPPLIERS!$E$4:$E$63,MATCH($E280,SUPPLIERS!$A$4:$A$63,0))="","",INDEX(SUPPLIERS!$E$4:$E$63,MATCH($E280,SUPPLIERS!$A$4:$A$63,0))),""))</f>
        <v/>
      </c>
      <c r="K280" s="20"/>
      <c r="L280" s="19"/>
      <c r="M280" s="23" t="str">
        <f aca="false">IF(COUNT($F280:$J280)&lt;5,"",ROUND($F280*W_SRC+$G280*W_QC+$H280*W_CAP+$I280*W_SUP+$J280*W_EXT,1))</f>
        <v/>
      </c>
      <c r="N280" s="24" t="str">
        <f aca="false">IF(OR($M280="",$K280=""),"",ROUND($M280*$K280,1))</f>
        <v/>
      </c>
      <c r="O280" s="25" t="str">
        <f aca="false">IF($E280="","",IF($L280&lt;&gt;"","CRITICAL (FLAG)",IF(OR($M280="",$K280=""),"NOT SCORED",IF($N280&gt;=T_CRIT,"CRITICAL",IF($N280&gt;=T_MON,"MONITOR","LOW")))))</f>
        <v/>
      </c>
      <c r="P280" s="12" t="str">
        <f aca="false">IF($M280="","",INDEX(DriverNames,MATCH(MAX($F280:$J280),$F280:$J280,0)))</f>
        <v/>
      </c>
      <c r="Q280" s="21"/>
      <c r="R280" s="26"/>
      <c r="S280" s="2" t="str">
        <f aca="false">IF($O280="","",IF($L280&lt;&gt;"",100,0)+IF($N280="",0,$N280)+ROW()/100000)</f>
        <v/>
      </c>
      <c r="T280" s="2" t="str">
        <f aca="false">IF($S280="","",IF($A280=SEL_MODEL,$S280,""))</f>
        <v/>
      </c>
    </row>
    <row r="281" customFormat="false" ht="15" hidden="false" customHeight="false" outlineLevel="0" collapsed="false">
      <c r="A281" s="19"/>
      <c r="B281" s="20"/>
      <c r="C281" s="21"/>
      <c r="D281" s="20"/>
      <c r="E281" s="19"/>
      <c r="F281" s="20"/>
      <c r="G281" s="20"/>
      <c r="H281" s="20"/>
      <c r="I281" s="22" t="str">
        <f aca="false">IF($E281="","",IFERROR(IF(INDEX(SUPPLIERS!$D$4:$D$63,MATCH($E281,SUPPLIERS!$A$4:$A$63,0))="","",INDEX(SUPPLIERS!$D$4:$D$63,MATCH($E281,SUPPLIERS!$A$4:$A$63,0))),""))</f>
        <v/>
      </c>
      <c r="J281" s="22" t="str">
        <f aca="false">IF($E281="","",IFERROR(IF(INDEX(SUPPLIERS!$E$4:$E$63,MATCH($E281,SUPPLIERS!$A$4:$A$63,0))="","",INDEX(SUPPLIERS!$E$4:$E$63,MATCH($E281,SUPPLIERS!$A$4:$A$63,0))),""))</f>
        <v/>
      </c>
      <c r="K281" s="20"/>
      <c r="L281" s="19"/>
      <c r="M281" s="23" t="str">
        <f aca="false">IF(COUNT($F281:$J281)&lt;5,"",ROUND($F281*W_SRC+$G281*W_QC+$H281*W_CAP+$I281*W_SUP+$J281*W_EXT,1))</f>
        <v/>
      </c>
      <c r="N281" s="24" t="str">
        <f aca="false">IF(OR($M281="",$K281=""),"",ROUND($M281*$K281,1))</f>
        <v/>
      </c>
      <c r="O281" s="25" t="str">
        <f aca="false">IF($E281="","",IF($L281&lt;&gt;"","CRITICAL (FLAG)",IF(OR($M281="",$K281=""),"NOT SCORED",IF($N281&gt;=T_CRIT,"CRITICAL",IF($N281&gt;=T_MON,"MONITOR","LOW")))))</f>
        <v/>
      </c>
      <c r="P281" s="12" t="str">
        <f aca="false">IF($M281="","",INDEX(DriverNames,MATCH(MAX($F281:$J281),$F281:$J281,0)))</f>
        <v/>
      </c>
      <c r="Q281" s="21"/>
      <c r="R281" s="26"/>
      <c r="S281" s="2" t="str">
        <f aca="false">IF($O281="","",IF($L281&lt;&gt;"",100,0)+IF($N281="",0,$N281)+ROW()/100000)</f>
        <v/>
      </c>
      <c r="T281" s="2" t="str">
        <f aca="false">IF($S281="","",IF($A281=SEL_MODEL,$S281,""))</f>
        <v/>
      </c>
    </row>
    <row r="282" customFormat="false" ht="15" hidden="false" customHeight="false" outlineLevel="0" collapsed="false">
      <c r="A282" s="19"/>
      <c r="B282" s="20"/>
      <c r="C282" s="21"/>
      <c r="D282" s="20"/>
      <c r="E282" s="19"/>
      <c r="F282" s="20"/>
      <c r="G282" s="20"/>
      <c r="H282" s="20"/>
      <c r="I282" s="22" t="str">
        <f aca="false">IF($E282="","",IFERROR(IF(INDEX(SUPPLIERS!$D$4:$D$63,MATCH($E282,SUPPLIERS!$A$4:$A$63,0))="","",INDEX(SUPPLIERS!$D$4:$D$63,MATCH($E282,SUPPLIERS!$A$4:$A$63,0))),""))</f>
        <v/>
      </c>
      <c r="J282" s="22" t="str">
        <f aca="false">IF($E282="","",IFERROR(IF(INDEX(SUPPLIERS!$E$4:$E$63,MATCH($E282,SUPPLIERS!$A$4:$A$63,0))="","",INDEX(SUPPLIERS!$E$4:$E$63,MATCH($E282,SUPPLIERS!$A$4:$A$63,0))),""))</f>
        <v/>
      </c>
      <c r="K282" s="20"/>
      <c r="L282" s="19"/>
      <c r="M282" s="23" t="str">
        <f aca="false">IF(COUNT($F282:$J282)&lt;5,"",ROUND($F282*W_SRC+$G282*W_QC+$H282*W_CAP+$I282*W_SUP+$J282*W_EXT,1))</f>
        <v/>
      </c>
      <c r="N282" s="24" t="str">
        <f aca="false">IF(OR($M282="",$K282=""),"",ROUND($M282*$K282,1))</f>
        <v/>
      </c>
      <c r="O282" s="25" t="str">
        <f aca="false">IF($E282="","",IF($L282&lt;&gt;"","CRITICAL (FLAG)",IF(OR($M282="",$K282=""),"NOT SCORED",IF($N282&gt;=T_CRIT,"CRITICAL",IF($N282&gt;=T_MON,"MONITOR","LOW")))))</f>
        <v/>
      </c>
      <c r="P282" s="12" t="str">
        <f aca="false">IF($M282="","",INDEX(DriverNames,MATCH(MAX($F282:$J282),$F282:$J282,0)))</f>
        <v/>
      </c>
      <c r="Q282" s="21"/>
      <c r="R282" s="26"/>
      <c r="S282" s="2" t="str">
        <f aca="false">IF($O282="","",IF($L282&lt;&gt;"",100,0)+IF($N282="",0,$N282)+ROW()/100000)</f>
        <v/>
      </c>
      <c r="T282" s="2" t="str">
        <f aca="false">IF($S282="","",IF($A282=SEL_MODEL,$S282,""))</f>
        <v/>
      </c>
    </row>
    <row r="283" customFormat="false" ht="15" hidden="false" customHeight="false" outlineLevel="0" collapsed="false">
      <c r="A283" s="19"/>
      <c r="B283" s="20"/>
      <c r="C283" s="21"/>
      <c r="D283" s="20"/>
      <c r="E283" s="19"/>
      <c r="F283" s="20"/>
      <c r="G283" s="20"/>
      <c r="H283" s="20"/>
      <c r="I283" s="22" t="str">
        <f aca="false">IF($E283="","",IFERROR(IF(INDEX(SUPPLIERS!$D$4:$D$63,MATCH($E283,SUPPLIERS!$A$4:$A$63,0))="","",INDEX(SUPPLIERS!$D$4:$D$63,MATCH($E283,SUPPLIERS!$A$4:$A$63,0))),""))</f>
        <v/>
      </c>
      <c r="J283" s="22" t="str">
        <f aca="false">IF($E283="","",IFERROR(IF(INDEX(SUPPLIERS!$E$4:$E$63,MATCH($E283,SUPPLIERS!$A$4:$A$63,0))="","",INDEX(SUPPLIERS!$E$4:$E$63,MATCH($E283,SUPPLIERS!$A$4:$A$63,0))),""))</f>
        <v/>
      </c>
      <c r="K283" s="20"/>
      <c r="L283" s="19"/>
      <c r="M283" s="23" t="str">
        <f aca="false">IF(COUNT($F283:$J283)&lt;5,"",ROUND($F283*W_SRC+$G283*W_QC+$H283*W_CAP+$I283*W_SUP+$J283*W_EXT,1))</f>
        <v/>
      </c>
      <c r="N283" s="24" t="str">
        <f aca="false">IF(OR($M283="",$K283=""),"",ROUND($M283*$K283,1))</f>
        <v/>
      </c>
      <c r="O283" s="25" t="str">
        <f aca="false">IF($E283="","",IF($L283&lt;&gt;"","CRITICAL (FLAG)",IF(OR($M283="",$K283=""),"NOT SCORED",IF($N283&gt;=T_CRIT,"CRITICAL",IF($N283&gt;=T_MON,"MONITOR","LOW")))))</f>
        <v/>
      </c>
      <c r="P283" s="12" t="str">
        <f aca="false">IF($M283="","",INDEX(DriverNames,MATCH(MAX($F283:$J283),$F283:$J283,0)))</f>
        <v/>
      </c>
      <c r="Q283" s="21"/>
      <c r="R283" s="26"/>
      <c r="S283" s="2" t="str">
        <f aca="false">IF($O283="","",IF($L283&lt;&gt;"",100,0)+IF($N283="",0,$N283)+ROW()/100000)</f>
        <v/>
      </c>
      <c r="T283" s="2" t="str">
        <f aca="false">IF($S283="","",IF($A283=SEL_MODEL,$S283,""))</f>
        <v/>
      </c>
    </row>
    <row r="284" customFormat="false" ht="15" hidden="false" customHeight="false" outlineLevel="0" collapsed="false">
      <c r="A284" s="19"/>
      <c r="B284" s="20"/>
      <c r="C284" s="21"/>
      <c r="D284" s="20"/>
      <c r="E284" s="19"/>
      <c r="F284" s="20"/>
      <c r="G284" s="20"/>
      <c r="H284" s="20"/>
      <c r="I284" s="22" t="str">
        <f aca="false">IF($E284="","",IFERROR(IF(INDEX(SUPPLIERS!$D$4:$D$63,MATCH($E284,SUPPLIERS!$A$4:$A$63,0))="","",INDEX(SUPPLIERS!$D$4:$D$63,MATCH($E284,SUPPLIERS!$A$4:$A$63,0))),""))</f>
        <v/>
      </c>
      <c r="J284" s="22" t="str">
        <f aca="false">IF($E284="","",IFERROR(IF(INDEX(SUPPLIERS!$E$4:$E$63,MATCH($E284,SUPPLIERS!$A$4:$A$63,0))="","",INDEX(SUPPLIERS!$E$4:$E$63,MATCH($E284,SUPPLIERS!$A$4:$A$63,0))),""))</f>
        <v/>
      </c>
      <c r="K284" s="20"/>
      <c r="L284" s="19"/>
      <c r="M284" s="23" t="str">
        <f aca="false">IF(COUNT($F284:$J284)&lt;5,"",ROUND($F284*W_SRC+$G284*W_QC+$H284*W_CAP+$I284*W_SUP+$J284*W_EXT,1))</f>
        <v/>
      </c>
      <c r="N284" s="24" t="str">
        <f aca="false">IF(OR($M284="",$K284=""),"",ROUND($M284*$K284,1))</f>
        <v/>
      </c>
      <c r="O284" s="25" t="str">
        <f aca="false">IF($E284="","",IF($L284&lt;&gt;"","CRITICAL (FLAG)",IF(OR($M284="",$K284=""),"NOT SCORED",IF($N284&gt;=T_CRIT,"CRITICAL",IF($N284&gt;=T_MON,"MONITOR","LOW")))))</f>
        <v/>
      </c>
      <c r="P284" s="12" t="str">
        <f aca="false">IF($M284="","",INDEX(DriverNames,MATCH(MAX($F284:$J284),$F284:$J284,0)))</f>
        <v/>
      </c>
      <c r="Q284" s="21"/>
      <c r="R284" s="26"/>
      <c r="S284" s="2" t="str">
        <f aca="false">IF($O284="","",IF($L284&lt;&gt;"",100,0)+IF($N284="",0,$N284)+ROW()/100000)</f>
        <v/>
      </c>
      <c r="T284" s="2" t="str">
        <f aca="false">IF($S284="","",IF($A284=SEL_MODEL,$S284,""))</f>
        <v/>
      </c>
    </row>
    <row r="285" customFormat="false" ht="15" hidden="false" customHeight="false" outlineLevel="0" collapsed="false">
      <c r="A285" s="19"/>
      <c r="B285" s="20"/>
      <c r="C285" s="21"/>
      <c r="D285" s="20"/>
      <c r="E285" s="19"/>
      <c r="F285" s="20"/>
      <c r="G285" s="20"/>
      <c r="H285" s="20"/>
      <c r="I285" s="22" t="str">
        <f aca="false">IF($E285="","",IFERROR(IF(INDEX(SUPPLIERS!$D$4:$D$63,MATCH($E285,SUPPLIERS!$A$4:$A$63,0))="","",INDEX(SUPPLIERS!$D$4:$D$63,MATCH($E285,SUPPLIERS!$A$4:$A$63,0))),""))</f>
        <v/>
      </c>
      <c r="J285" s="22" t="str">
        <f aca="false">IF($E285="","",IFERROR(IF(INDEX(SUPPLIERS!$E$4:$E$63,MATCH($E285,SUPPLIERS!$A$4:$A$63,0))="","",INDEX(SUPPLIERS!$E$4:$E$63,MATCH($E285,SUPPLIERS!$A$4:$A$63,0))),""))</f>
        <v/>
      </c>
      <c r="K285" s="20"/>
      <c r="L285" s="19"/>
      <c r="M285" s="23" t="str">
        <f aca="false">IF(COUNT($F285:$J285)&lt;5,"",ROUND($F285*W_SRC+$G285*W_QC+$H285*W_CAP+$I285*W_SUP+$J285*W_EXT,1))</f>
        <v/>
      </c>
      <c r="N285" s="24" t="str">
        <f aca="false">IF(OR($M285="",$K285=""),"",ROUND($M285*$K285,1))</f>
        <v/>
      </c>
      <c r="O285" s="25" t="str">
        <f aca="false">IF($E285="","",IF($L285&lt;&gt;"","CRITICAL (FLAG)",IF(OR($M285="",$K285=""),"NOT SCORED",IF($N285&gt;=T_CRIT,"CRITICAL",IF($N285&gt;=T_MON,"MONITOR","LOW")))))</f>
        <v/>
      </c>
      <c r="P285" s="12" t="str">
        <f aca="false">IF($M285="","",INDEX(DriverNames,MATCH(MAX($F285:$J285),$F285:$J285,0)))</f>
        <v/>
      </c>
      <c r="Q285" s="21"/>
      <c r="R285" s="26"/>
      <c r="S285" s="2" t="str">
        <f aca="false">IF($O285="","",IF($L285&lt;&gt;"",100,0)+IF($N285="",0,$N285)+ROW()/100000)</f>
        <v/>
      </c>
      <c r="T285" s="2" t="str">
        <f aca="false">IF($S285="","",IF($A285=SEL_MODEL,$S285,""))</f>
        <v/>
      </c>
    </row>
    <row r="286" customFormat="false" ht="15" hidden="false" customHeight="false" outlineLevel="0" collapsed="false">
      <c r="A286" s="19"/>
      <c r="B286" s="20"/>
      <c r="C286" s="21"/>
      <c r="D286" s="20"/>
      <c r="E286" s="19"/>
      <c r="F286" s="20"/>
      <c r="G286" s="20"/>
      <c r="H286" s="20"/>
      <c r="I286" s="22" t="str">
        <f aca="false">IF($E286="","",IFERROR(IF(INDEX(SUPPLIERS!$D$4:$D$63,MATCH($E286,SUPPLIERS!$A$4:$A$63,0))="","",INDEX(SUPPLIERS!$D$4:$D$63,MATCH($E286,SUPPLIERS!$A$4:$A$63,0))),""))</f>
        <v/>
      </c>
      <c r="J286" s="22" t="str">
        <f aca="false">IF($E286="","",IFERROR(IF(INDEX(SUPPLIERS!$E$4:$E$63,MATCH($E286,SUPPLIERS!$A$4:$A$63,0))="","",INDEX(SUPPLIERS!$E$4:$E$63,MATCH($E286,SUPPLIERS!$A$4:$A$63,0))),""))</f>
        <v/>
      </c>
      <c r="K286" s="20"/>
      <c r="L286" s="19"/>
      <c r="M286" s="23" t="str">
        <f aca="false">IF(COUNT($F286:$J286)&lt;5,"",ROUND($F286*W_SRC+$G286*W_QC+$H286*W_CAP+$I286*W_SUP+$J286*W_EXT,1))</f>
        <v/>
      </c>
      <c r="N286" s="24" t="str">
        <f aca="false">IF(OR($M286="",$K286=""),"",ROUND($M286*$K286,1))</f>
        <v/>
      </c>
      <c r="O286" s="25" t="str">
        <f aca="false">IF($E286="","",IF($L286&lt;&gt;"","CRITICAL (FLAG)",IF(OR($M286="",$K286=""),"NOT SCORED",IF($N286&gt;=T_CRIT,"CRITICAL",IF($N286&gt;=T_MON,"MONITOR","LOW")))))</f>
        <v/>
      </c>
      <c r="P286" s="12" t="str">
        <f aca="false">IF($M286="","",INDEX(DriverNames,MATCH(MAX($F286:$J286),$F286:$J286,0)))</f>
        <v/>
      </c>
      <c r="Q286" s="21"/>
      <c r="R286" s="26"/>
      <c r="S286" s="2" t="str">
        <f aca="false">IF($O286="","",IF($L286&lt;&gt;"",100,0)+IF($N286="",0,$N286)+ROW()/100000)</f>
        <v/>
      </c>
      <c r="T286" s="2" t="str">
        <f aca="false">IF($S286="","",IF($A286=SEL_MODEL,$S286,""))</f>
        <v/>
      </c>
    </row>
    <row r="287" customFormat="false" ht="15" hidden="false" customHeight="false" outlineLevel="0" collapsed="false">
      <c r="A287" s="19"/>
      <c r="B287" s="20"/>
      <c r="C287" s="21"/>
      <c r="D287" s="20"/>
      <c r="E287" s="19"/>
      <c r="F287" s="20"/>
      <c r="G287" s="20"/>
      <c r="H287" s="20"/>
      <c r="I287" s="22" t="str">
        <f aca="false">IF($E287="","",IFERROR(IF(INDEX(SUPPLIERS!$D$4:$D$63,MATCH($E287,SUPPLIERS!$A$4:$A$63,0))="","",INDEX(SUPPLIERS!$D$4:$D$63,MATCH($E287,SUPPLIERS!$A$4:$A$63,0))),""))</f>
        <v/>
      </c>
      <c r="J287" s="22" t="str">
        <f aca="false">IF($E287="","",IFERROR(IF(INDEX(SUPPLIERS!$E$4:$E$63,MATCH($E287,SUPPLIERS!$A$4:$A$63,0))="","",INDEX(SUPPLIERS!$E$4:$E$63,MATCH($E287,SUPPLIERS!$A$4:$A$63,0))),""))</f>
        <v/>
      </c>
      <c r="K287" s="20"/>
      <c r="L287" s="19"/>
      <c r="M287" s="23" t="str">
        <f aca="false">IF(COUNT($F287:$J287)&lt;5,"",ROUND($F287*W_SRC+$G287*W_QC+$H287*W_CAP+$I287*W_SUP+$J287*W_EXT,1))</f>
        <v/>
      </c>
      <c r="N287" s="24" t="str">
        <f aca="false">IF(OR($M287="",$K287=""),"",ROUND($M287*$K287,1))</f>
        <v/>
      </c>
      <c r="O287" s="25" t="str">
        <f aca="false">IF($E287="","",IF($L287&lt;&gt;"","CRITICAL (FLAG)",IF(OR($M287="",$K287=""),"NOT SCORED",IF($N287&gt;=T_CRIT,"CRITICAL",IF($N287&gt;=T_MON,"MONITOR","LOW")))))</f>
        <v/>
      </c>
      <c r="P287" s="12" t="str">
        <f aca="false">IF($M287="","",INDEX(DriverNames,MATCH(MAX($F287:$J287),$F287:$J287,0)))</f>
        <v/>
      </c>
      <c r="Q287" s="21"/>
      <c r="R287" s="26"/>
      <c r="S287" s="2" t="str">
        <f aca="false">IF($O287="","",IF($L287&lt;&gt;"",100,0)+IF($N287="",0,$N287)+ROW()/100000)</f>
        <v/>
      </c>
      <c r="T287" s="2" t="str">
        <f aca="false">IF($S287="","",IF($A287=SEL_MODEL,$S287,""))</f>
        <v/>
      </c>
    </row>
    <row r="288" customFormat="false" ht="15" hidden="false" customHeight="false" outlineLevel="0" collapsed="false">
      <c r="A288" s="19"/>
      <c r="B288" s="20"/>
      <c r="C288" s="21"/>
      <c r="D288" s="20"/>
      <c r="E288" s="19"/>
      <c r="F288" s="20"/>
      <c r="G288" s="20"/>
      <c r="H288" s="20"/>
      <c r="I288" s="22" t="str">
        <f aca="false">IF($E288="","",IFERROR(IF(INDEX(SUPPLIERS!$D$4:$D$63,MATCH($E288,SUPPLIERS!$A$4:$A$63,0))="","",INDEX(SUPPLIERS!$D$4:$D$63,MATCH($E288,SUPPLIERS!$A$4:$A$63,0))),""))</f>
        <v/>
      </c>
      <c r="J288" s="22" t="str">
        <f aca="false">IF($E288="","",IFERROR(IF(INDEX(SUPPLIERS!$E$4:$E$63,MATCH($E288,SUPPLIERS!$A$4:$A$63,0))="","",INDEX(SUPPLIERS!$E$4:$E$63,MATCH($E288,SUPPLIERS!$A$4:$A$63,0))),""))</f>
        <v/>
      </c>
      <c r="K288" s="20"/>
      <c r="L288" s="19"/>
      <c r="M288" s="23" t="str">
        <f aca="false">IF(COUNT($F288:$J288)&lt;5,"",ROUND($F288*W_SRC+$G288*W_QC+$H288*W_CAP+$I288*W_SUP+$J288*W_EXT,1))</f>
        <v/>
      </c>
      <c r="N288" s="24" t="str">
        <f aca="false">IF(OR($M288="",$K288=""),"",ROUND($M288*$K288,1))</f>
        <v/>
      </c>
      <c r="O288" s="25" t="str">
        <f aca="false">IF($E288="","",IF($L288&lt;&gt;"","CRITICAL (FLAG)",IF(OR($M288="",$K288=""),"NOT SCORED",IF($N288&gt;=T_CRIT,"CRITICAL",IF($N288&gt;=T_MON,"MONITOR","LOW")))))</f>
        <v/>
      </c>
      <c r="P288" s="12" t="str">
        <f aca="false">IF($M288="","",INDEX(DriverNames,MATCH(MAX($F288:$J288),$F288:$J288,0)))</f>
        <v/>
      </c>
      <c r="Q288" s="21"/>
      <c r="R288" s="26"/>
      <c r="S288" s="2" t="str">
        <f aca="false">IF($O288="","",IF($L288&lt;&gt;"",100,0)+IF($N288="",0,$N288)+ROW()/100000)</f>
        <v/>
      </c>
      <c r="T288" s="2" t="str">
        <f aca="false">IF($S288="","",IF($A288=SEL_MODEL,$S288,""))</f>
        <v/>
      </c>
    </row>
    <row r="289" customFormat="false" ht="15" hidden="false" customHeight="false" outlineLevel="0" collapsed="false">
      <c r="A289" s="19"/>
      <c r="B289" s="20"/>
      <c r="C289" s="21"/>
      <c r="D289" s="20"/>
      <c r="E289" s="19"/>
      <c r="F289" s="20"/>
      <c r="G289" s="20"/>
      <c r="H289" s="20"/>
      <c r="I289" s="22" t="str">
        <f aca="false">IF($E289="","",IFERROR(IF(INDEX(SUPPLIERS!$D$4:$D$63,MATCH($E289,SUPPLIERS!$A$4:$A$63,0))="","",INDEX(SUPPLIERS!$D$4:$D$63,MATCH($E289,SUPPLIERS!$A$4:$A$63,0))),""))</f>
        <v/>
      </c>
      <c r="J289" s="22" t="str">
        <f aca="false">IF($E289="","",IFERROR(IF(INDEX(SUPPLIERS!$E$4:$E$63,MATCH($E289,SUPPLIERS!$A$4:$A$63,0))="","",INDEX(SUPPLIERS!$E$4:$E$63,MATCH($E289,SUPPLIERS!$A$4:$A$63,0))),""))</f>
        <v/>
      </c>
      <c r="K289" s="20"/>
      <c r="L289" s="19"/>
      <c r="M289" s="23" t="str">
        <f aca="false">IF(COUNT($F289:$J289)&lt;5,"",ROUND($F289*W_SRC+$G289*W_QC+$H289*W_CAP+$I289*W_SUP+$J289*W_EXT,1))</f>
        <v/>
      </c>
      <c r="N289" s="24" t="str">
        <f aca="false">IF(OR($M289="",$K289=""),"",ROUND($M289*$K289,1))</f>
        <v/>
      </c>
      <c r="O289" s="25" t="str">
        <f aca="false">IF($E289="","",IF($L289&lt;&gt;"","CRITICAL (FLAG)",IF(OR($M289="",$K289=""),"NOT SCORED",IF($N289&gt;=T_CRIT,"CRITICAL",IF($N289&gt;=T_MON,"MONITOR","LOW")))))</f>
        <v/>
      </c>
      <c r="P289" s="12" t="str">
        <f aca="false">IF($M289="","",INDEX(DriverNames,MATCH(MAX($F289:$J289),$F289:$J289,0)))</f>
        <v/>
      </c>
      <c r="Q289" s="21"/>
      <c r="R289" s="26"/>
      <c r="S289" s="2" t="str">
        <f aca="false">IF($O289="","",IF($L289&lt;&gt;"",100,0)+IF($N289="",0,$N289)+ROW()/100000)</f>
        <v/>
      </c>
      <c r="T289" s="2" t="str">
        <f aca="false">IF($S289="","",IF($A289=SEL_MODEL,$S289,""))</f>
        <v/>
      </c>
    </row>
    <row r="290" customFormat="false" ht="15" hidden="false" customHeight="false" outlineLevel="0" collapsed="false">
      <c r="A290" s="19"/>
      <c r="B290" s="20"/>
      <c r="C290" s="21"/>
      <c r="D290" s="20"/>
      <c r="E290" s="19"/>
      <c r="F290" s="20"/>
      <c r="G290" s="20"/>
      <c r="H290" s="20"/>
      <c r="I290" s="22" t="str">
        <f aca="false">IF($E290="","",IFERROR(IF(INDEX(SUPPLIERS!$D$4:$D$63,MATCH($E290,SUPPLIERS!$A$4:$A$63,0))="","",INDEX(SUPPLIERS!$D$4:$D$63,MATCH($E290,SUPPLIERS!$A$4:$A$63,0))),""))</f>
        <v/>
      </c>
      <c r="J290" s="22" t="str">
        <f aca="false">IF($E290="","",IFERROR(IF(INDEX(SUPPLIERS!$E$4:$E$63,MATCH($E290,SUPPLIERS!$A$4:$A$63,0))="","",INDEX(SUPPLIERS!$E$4:$E$63,MATCH($E290,SUPPLIERS!$A$4:$A$63,0))),""))</f>
        <v/>
      </c>
      <c r="K290" s="20"/>
      <c r="L290" s="19"/>
      <c r="M290" s="23" t="str">
        <f aca="false">IF(COUNT($F290:$J290)&lt;5,"",ROUND($F290*W_SRC+$G290*W_QC+$H290*W_CAP+$I290*W_SUP+$J290*W_EXT,1))</f>
        <v/>
      </c>
      <c r="N290" s="24" t="str">
        <f aca="false">IF(OR($M290="",$K290=""),"",ROUND($M290*$K290,1))</f>
        <v/>
      </c>
      <c r="O290" s="25" t="str">
        <f aca="false">IF($E290="","",IF($L290&lt;&gt;"","CRITICAL (FLAG)",IF(OR($M290="",$K290=""),"NOT SCORED",IF($N290&gt;=T_CRIT,"CRITICAL",IF($N290&gt;=T_MON,"MONITOR","LOW")))))</f>
        <v/>
      </c>
      <c r="P290" s="12" t="str">
        <f aca="false">IF($M290="","",INDEX(DriverNames,MATCH(MAX($F290:$J290),$F290:$J290,0)))</f>
        <v/>
      </c>
      <c r="Q290" s="21"/>
      <c r="R290" s="26"/>
      <c r="S290" s="2" t="str">
        <f aca="false">IF($O290="","",IF($L290&lt;&gt;"",100,0)+IF($N290="",0,$N290)+ROW()/100000)</f>
        <v/>
      </c>
      <c r="T290" s="2" t="str">
        <f aca="false">IF($S290="","",IF($A290=SEL_MODEL,$S290,""))</f>
        <v/>
      </c>
    </row>
    <row r="291" customFormat="false" ht="15" hidden="false" customHeight="false" outlineLevel="0" collapsed="false">
      <c r="A291" s="19"/>
      <c r="B291" s="20"/>
      <c r="C291" s="21"/>
      <c r="D291" s="20"/>
      <c r="E291" s="19"/>
      <c r="F291" s="20"/>
      <c r="G291" s="20"/>
      <c r="H291" s="20"/>
      <c r="I291" s="22" t="str">
        <f aca="false">IF($E291="","",IFERROR(IF(INDEX(SUPPLIERS!$D$4:$D$63,MATCH($E291,SUPPLIERS!$A$4:$A$63,0))="","",INDEX(SUPPLIERS!$D$4:$D$63,MATCH($E291,SUPPLIERS!$A$4:$A$63,0))),""))</f>
        <v/>
      </c>
      <c r="J291" s="22" t="str">
        <f aca="false">IF($E291="","",IFERROR(IF(INDEX(SUPPLIERS!$E$4:$E$63,MATCH($E291,SUPPLIERS!$A$4:$A$63,0))="","",INDEX(SUPPLIERS!$E$4:$E$63,MATCH($E291,SUPPLIERS!$A$4:$A$63,0))),""))</f>
        <v/>
      </c>
      <c r="K291" s="20"/>
      <c r="L291" s="19"/>
      <c r="M291" s="23" t="str">
        <f aca="false">IF(COUNT($F291:$J291)&lt;5,"",ROUND($F291*W_SRC+$G291*W_QC+$H291*W_CAP+$I291*W_SUP+$J291*W_EXT,1))</f>
        <v/>
      </c>
      <c r="N291" s="24" t="str">
        <f aca="false">IF(OR($M291="",$K291=""),"",ROUND($M291*$K291,1))</f>
        <v/>
      </c>
      <c r="O291" s="25" t="str">
        <f aca="false">IF($E291="","",IF($L291&lt;&gt;"","CRITICAL (FLAG)",IF(OR($M291="",$K291=""),"NOT SCORED",IF($N291&gt;=T_CRIT,"CRITICAL",IF($N291&gt;=T_MON,"MONITOR","LOW")))))</f>
        <v/>
      </c>
      <c r="P291" s="12" t="str">
        <f aca="false">IF($M291="","",INDEX(DriverNames,MATCH(MAX($F291:$J291),$F291:$J291,0)))</f>
        <v/>
      </c>
      <c r="Q291" s="21"/>
      <c r="R291" s="26"/>
      <c r="S291" s="2" t="str">
        <f aca="false">IF($O291="","",IF($L291&lt;&gt;"",100,0)+IF($N291="",0,$N291)+ROW()/100000)</f>
        <v/>
      </c>
      <c r="T291" s="2" t="str">
        <f aca="false">IF($S291="","",IF($A291=SEL_MODEL,$S291,""))</f>
        <v/>
      </c>
    </row>
    <row r="292" customFormat="false" ht="15" hidden="false" customHeight="false" outlineLevel="0" collapsed="false">
      <c r="A292" s="19"/>
      <c r="B292" s="20"/>
      <c r="C292" s="21"/>
      <c r="D292" s="20"/>
      <c r="E292" s="19"/>
      <c r="F292" s="20"/>
      <c r="G292" s="20"/>
      <c r="H292" s="20"/>
      <c r="I292" s="22" t="str">
        <f aca="false">IF($E292="","",IFERROR(IF(INDEX(SUPPLIERS!$D$4:$D$63,MATCH($E292,SUPPLIERS!$A$4:$A$63,0))="","",INDEX(SUPPLIERS!$D$4:$D$63,MATCH($E292,SUPPLIERS!$A$4:$A$63,0))),""))</f>
        <v/>
      </c>
      <c r="J292" s="22" t="str">
        <f aca="false">IF($E292="","",IFERROR(IF(INDEX(SUPPLIERS!$E$4:$E$63,MATCH($E292,SUPPLIERS!$A$4:$A$63,0))="","",INDEX(SUPPLIERS!$E$4:$E$63,MATCH($E292,SUPPLIERS!$A$4:$A$63,0))),""))</f>
        <v/>
      </c>
      <c r="K292" s="20"/>
      <c r="L292" s="19"/>
      <c r="M292" s="23" t="str">
        <f aca="false">IF(COUNT($F292:$J292)&lt;5,"",ROUND($F292*W_SRC+$G292*W_QC+$H292*W_CAP+$I292*W_SUP+$J292*W_EXT,1))</f>
        <v/>
      </c>
      <c r="N292" s="24" t="str">
        <f aca="false">IF(OR($M292="",$K292=""),"",ROUND($M292*$K292,1))</f>
        <v/>
      </c>
      <c r="O292" s="25" t="str">
        <f aca="false">IF($E292="","",IF($L292&lt;&gt;"","CRITICAL (FLAG)",IF(OR($M292="",$K292=""),"NOT SCORED",IF($N292&gt;=T_CRIT,"CRITICAL",IF($N292&gt;=T_MON,"MONITOR","LOW")))))</f>
        <v/>
      </c>
      <c r="P292" s="12" t="str">
        <f aca="false">IF($M292="","",INDEX(DriverNames,MATCH(MAX($F292:$J292),$F292:$J292,0)))</f>
        <v/>
      </c>
      <c r="Q292" s="21"/>
      <c r="R292" s="26"/>
      <c r="S292" s="2" t="str">
        <f aca="false">IF($O292="","",IF($L292&lt;&gt;"",100,0)+IF($N292="",0,$N292)+ROW()/100000)</f>
        <v/>
      </c>
      <c r="T292" s="2" t="str">
        <f aca="false">IF($S292="","",IF($A292=SEL_MODEL,$S292,""))</f>
        <v/>
      </c>
    </row>
    <row r="293" customFormat="false" ht="15" hidden="false" customHeight="false" outlineLevel="0" collapsed="false">
      <c r="A293" s="19"/>
      <c r="B293" s="20"/>
      <c r="C293" s="21"/>
      <c r="D293" s="20"/>
      <c r="E293" s="19"/>
      <c r="F293" s="20"/>
      <c r="G293" s="20"/>
      <c r="H293" s="20"/>
      <c r="I293" s="22" t="str">
        <f aca="false">IF($E293="","",IFERROR(IF(INDEX(SUPPLIERS!$D$4:$D$63,MATCH($E293,SUPPLIERS!$A$4:$A$63,0))="","",INDEX(SUPPLIERS!$D$4:$D$63,MATCH($E293,SUPPLIERS!$A$4:$A$63,0))),""))</f>
        <v/>
      </c>
      <c r="J293" s="22" t="str">
        <f aca="false">IF($E293="","",IFERROR(IF(INDEX(SUPPLIERS!$E$4:$E$63,MATCH($E293,SUPPLIERS!$A$4:$A$63,0))="","",INDEX(SUPPLIERS!$E$4:$E$63,MATCH($E293,SUPPLIERS!$A$4:$A$63,0))),""))</f>
        <v/>
      </c>
      <c r="K293" s="20"/>
      <c r="L293" s="19"/>
      <c r="M293" s="23" t="str">
        <f aca="false">IF(COUNT($F293:$J293)&lt;5,"",ROUND($F293*W_SRC+$G293*W_QC+$H293*W_CAP+$I293*W_SUP+$J293*W_EXT,1))</f>
        <v/>
      </c>
      <c r="N293" s="24" t="str">
        <f aca="false">IF(OR($M293="",$K293=""),"",ROUND($M293*$K293,1))</f>
        <v/>
      </c>
      <c r="O293" s="25" t="str">
        <f aca="false">IF($E293="","",IF($L293&lt;&gt;"","CRITICAL (FLAG)",IF(OR($M293="",$K293=""),"NOT SCORED",IF($N293&gt;=T_CRIT,"CRITICAL",IF($N293&gt;=T_MON,"MONITOR","LOW")))))</f>
        <v/>
      </c>
      <c r="P293" s="12" t="str">
        <f aca="false">IF($M293="","",INDEX(DriverNames,MATCH(MAX($F293:$J293),$F293:$J293,0)))</f>
        <v/>
      </c>
      <c r="Q293" s="21"/>
      <c r="R293" s="26"/>
      <c r="S293" s="2" t="str">
        <f aca="false">IF($O293="","",IF($L293&lt;&gt;"",100,0)+IF($N293="",0,$N293)+ROW()/100000)</f>
        <v/>
      </c>
      <c r="T293" s="2" t="str">
        <f aca="false">IF($S293="","",IF($A293=SEL_MODEL,$S293,""))</f>
        <v/>
      </c>
    </row>
    <row r="294" customFormat="false" ht="15" hidden="false" customHeight="false" outlineLevel="0" collapsed="false">
      <c r="A294" s="19"/>
      <c r="B294" s="20"/>
      <c r="C294" s="21"/>
      <c r="D294" s="20"/>
      <c r="E294" s="19"/>
      <c r="F294" s="20"/>
      <c r="G294" s="20"/>
      <c r="H294" s="20"/>
      <c r="I294" s="22" t="str">
        <f aca="false">IF($E294="","",IFERROR(IF(INDEX(SUPPLIERS!$D$4:$D$63,MATCH($E294,SUPPLIERS!$A$4:$A$63,0))="","",INDEX(SUPPLIERS!$D$4:$D$63,MATCH($E294,SUPPLIERS!$A$4:$A$63,0))),""))</f>
        <v/>
      </c>
      <c r="J294" s="22" t="str">
        <f aca="false">IF($E294="","",IFERROR(IF(INDEX(SUPPLIERS!$E$4:$E$63,MATCH($E294,SUPPLIERS!$A$4:$A$63,0))="","",INDEX(SUPPLIERS!$E$4:$E$63,MATCH($E294,SUPPLIERS!$A$4:$A$63,0))),""))</f>
        <v/>
      </c>
      <c r="K294" s="20"/>
      <c r="L294" s="19"/>
      <c r="M294" s="23" t="str">
        <f aca="false">IF(COUNT($F294:$J294)&lt;5,"",ROUND($F294*W_SRC+$G294*W_QC+$H294*W_CAP+$I294*W_SUP+$J294*W_EXT,1))</f>
        <v/>
      </c>
      <c r="N294" s="24" t="str">
        <f aca="false">IF(OR($M294="",$K294=""),"",ROUND($M294*$K294,1))</f>
        <v/>
      </c>
      <c r="O294" s="25" t="str">
        <f aca="false">IF($E294="","",IF($L294&lt;&gt;"","CRITICAL (FLAG)",IF(OR($M294="",$K294=""),"NOT SCORED",IF($N294&gt;=T_CRIT,"CRITICAL",IF($N294&gt;=T_MON,"MONITOR","LOW")))))</f>
        <v/>
      </c>
      <c r="P294" s="12" t="str">
        <f aca="false">IF($M294="","",INDEX(DriverNames,MATCH(MAX($F294:$J294),$F294:$J294,0)))</f>
        <v/>
      </c>
      <c r="Q294" s="21"/>
      <c r="R294" s="26"/>
      <c r="S294" s="2" t="str">
        <f aca="false">IF($O294="","",IF($L294&lt;&gt;"",100,0)+IF($N294="",0,$N294)+ROW()/100000)</f>
        <v/>
      </c>
      <c r="T294" s="2" t="str">
        <f aca="false">IF($S294="","",IF($A294=SEL_MODEL,$S294,""))</f>
        <v/>
      </c>
    </row>
    <row r="295" customFormat="false" ht="15" hidden="false" customHeight="false" outlineLevel="0" collapsed="false">
      <c r="A295" s="19"/>
      <c r="B295" s="20"/>
      <c r="C295" s="21"/>
      <c r="D295" s="20"/>
      <c r="E295" s="19"/>
      <c r="F295" s="20"/>
      <c r="G295" s="20"/>
      <c r="H295" s="20"/>
      <c r="I295" s="22" t="str">
        <f aca="false">IF($E295="","",IFERROR(IF(INDEX(SUPPLIERS!$D$4:$D$63,MATCH($E295,SUPPLIERS!$A$4:$A$63,0))="","",INDEX(SUPPLIERS!$D$4:$D$63,MATCH($E295,SUPPLIERS!$A$4:$A$63,0))),""))</f>
        <v/>
      </c>
      <c r="J295" s="22" t="str">
        <f aca="false">IF($E295="","",IFERROR(IF(INDEX(SUPPLIERS!$E$4:$E$63,MATCH($E295,SUPPLIERS!$A$4:$A$63,0))="","",INDEX(SUPPLIERS!$E$4:$E$63,MATCH($E295,SUPPLIERS!$A$4:$A$63,0))),""))</f>
        <v/>
      </c>
      <c r="K295" s="20"/>
      <c r="L295" s="19"/>
      <c r="M295" s="23" t="str">
        <f aca="false">IF(COUNT($F295:$J295)&lt;5,"",ROUND($F295*W_SRC+$G295*W_QC+$H295*W_CAP+$I295*W_SUP+$J295*W_EXT,1))</f>
        <v/>
      </c>
      <c r="N295" s="24" t="str">
        <f aca="false">IF(OR($M295="",$K295=""),"",ROUND($M295*$K295,1))</f>
        <v/>
      </c>
      <c r="O295" s="25" t="str">
        <f aca="false">IF($E295="","",IF($L295&lt;&gt;"","CRITICAL (FLAG)",IF(OR($M295="",$K295=""),"NOT SCORED",IF($N295&gt;=T_CRIT,"CRITICAL",IF($N295&gt;=T_MON,"MONITOR","LOW")))))</f>
        <v/>
      </c>
      <c r="P295" s="12" t="str">
        <f aca="false">IF($M295="","",INDEX(DriverNames,MATCH(MAX($F295:$J295),$F295:$J295,0)))</f>
        <v/>
      </c>
      <c r="Q295" s="21"/>
      <c r="R295" s="26"/>
      <c r="S295" s="2" t="str">
        <f aca="false">IF($O295="","",IF($L295&lt;&gt;"",100,0)+IF($N295="",0,$N295)+ROW()/100000)</f>
        <v/>
      </c>
      <c r="T295" s="2" t="str">
        <f aca="false">IF($S295="","",IF($A295=SEL_MODEL,$S295,""))</f>
        <v/>
      </c>
    </row>
    <row r="296" customFormat="false" ht="15" hidden="false" customHeight="false" outlineLevel="0" collapsed="false">
      <c r="A296" s="19"/>
      <c r="B296" s="20"/>
      <c r="C296" s="21"/>
      <c r="D296" s="20"/>
      <c r="E296" s="19"/>
      <c r="F296" s="20"/>
      <c r="G296" s="20"/>
      <c r="H296" s="20"/>
      <c r="I296" s="22" t="str">
        <f aca="false">IF($E296="","",IFERROR(IF(INDEX(SUPPLIERS!$D$4:$D$63,MATCH($E296,SUPPLIERS!$A$4:$A$63,0))="","",INDEX(SUPPLIERS!$D$4:$D$63,MATCH($E296,SUPPLIERS!$A$4:$A$63,0))),""))</f>
        <v/>
      </c>
      <c r="J296" s="22" t="str">
        <f aca="false">IF($E296="","",IFERROR(IF(INDEX(SUPPLIERS!$E$4:$E$63,MATCH($E296,SUPPLIERS!$A$4:$A$63,0))="","",INDEX(SUPPLIERS!$E$4:$E$63,MATCH($E296,SUPPLIERS!$A$4:$A$63,0))),""))</f>
        <v/>
      </c>
      <c r="K296" s="20"/>
      <c r="L296" s="19"/>
      <c r="M296" s="23" t="str">
        <f aca="false">IF(COUNT($F296:$J296)&lt;5,"",ROUND($F296*W_SRC+$G296*W_QC+$H296*W_CAP+$I296*W_SUP+$J296*W_EXT,1))</f>
        <v/>
      </c>
      <c r="N296" s="24" t="str">
        <f aca="false">IF(OR($M296="",$K296=""),"",ROUND($M296*$K296,1))</f>
        <v/>
      </c>
      <c r="O296" s="25" t="str">
        <f aca="false">IF($E296="","",IF($L296&lt;&gt;"","CRITICAL (FLAG)",IF(OR($M296="",$K296=""),"NOT SCORED",IF($N296&gt;=T_CRIT,"CRITICAL",IF($N296&gt;=T_MON,"MONITOR","LOW")))))</f>
        <v/>
      </c>
      <c r="P296" s="12" t="str">
        <f aca="false">IF($M296="","",INDEX(DriverNames,MATCH(MAX($F296:$J296),$F296:$J296,0)))</f>
        <v/>
      </c>
      <c r="Q296" s="21"/>
      <c r="R296" s="26"/>
      <c r="S296" s="2" t="str">
        <f aca="false">IF($O296="","",IF($L296&lt;&gt;"",100,0)+IF($N296="",0,$N296)+ROW()/100000)</f>
        <v/>
      </c>
      <c r="T296" s="2" t="str">
        <f aca="false">IF($S296="","",IF($A296=SEL_MODEL,$S296,""))</f>
        <v/>
      </c>
    </row>
    <row r="297" customFormat="false" ht="15" hidden="false" customHeight="false" outlineLevel="0" collapsed="false">
      <c r="A297" s="19"/>
      <c r="B297" s="20"/>
      <c r="C297" s="21"/>
      <c r="D297" s="20"/>
      <c r="E297" s="19"/>
      <c r="F297" s="20"/>
      <c r="G297" s="20"/>
      <c r="H297" s="20"/>
      <c r="I297" s="22" t="str">
        <f aca="false">IF($E297="","",IFERROR(IF(INDEX(SUPPLIERS!$D$4:$D$63,MATCH($E297,SUPPLIERS!$A$4:$A$63,0))="","",INDEX(SUPPLIERS!$D$4:$D$63,MATCH($E297,SUPPLIERS!$A$4:$A$63,0))),""))</f>
        <v/>
      </c>
      <c r="J297" s="22" t="str">
        <f aca="false">IF($E297="","",IFERROR(IF(INDEX(SUPPLIERS!$E$4:$E$63,MATCH($E297,SUPPLIERS!$A$4:$A$63,0))="","",INDEX(SUPPLIERS!$E$4:$E$63,MATCH($E297,SUPPLIERS!$A$4:$A$63,0))),""))</f>
        <v/>
      </c>
      <c r="K297" s="20"/>
      <c r="L297" s="19"/>
      <c r="M297" s="23" t="str">
        <f aca="false">IF(COUNT($F297:$J297)&lt;5,"",ROUND($F297*W_SRC+$G297*W_QC+$H297*W_CAP+$I297*W_SUP+$J297*W_EXT,1))</f>
        <v/>
      </c>
      <c r="N297" s="24" t="str">
        <f aca="false">IF(OR($M297="",$K297=""),"",ROUND($M297*$K297,1))</f>
        <v/>
      </c>
      <c r="O297" s="25" t="str">
        <f aca="false">IF($E297="","",IF($L297&lt;&gt;"","CRITICAL (FLAG)",IF(OR($M297="",$K297=""),"NOT SCORED",IF($N297&gt;=T_CRIT,"CRITICAL",IF($N297&gt;=T_MON,"MONITOR","LOW")))))</f>
        <v/>
      </c>
      <c r="P297" s="12" t="str">
        <f aca="false">IF($M297="","",INDEX(DriverNames,MATCH(MAX($F297:$J297),$F297:$J297,0)))</f>
        <v/>
      </c>
      <c r="Q297" s="21"/>
      <c r="R297" s="26"/>
      <c r="S297" s="2" t="str">
        <f aca="false">IF($O297="","",IF($L297&lt;&gt;"",100,0)+IF($N297="",0,$N297)+ROW()/100000)</f>
        <v/>
      </c>
      <c r="T297" s="2" t="str">
        <f aca="false">IF($S297="","",IF($A297=SEL_MODEL,$S297,""))</f>
        <v/>
      </c>
    </row>
    <row r="298" customFormat="false" ht="15" hidden="false" customHeight="false" outlineLevel="0" collapsed="false">
      <c r="A298" s="19"/>
      <c r="B298" s="20"/>
      <c r="C298" s="21"/>
      <c r="D298" s="20"/>
      <c r="E298" s="19"/>
      <c r="F298" s="20"/>
      <c r="G298" s="20"/>
      <c r="H298" s="20"/>
      <c r="I298" s="22" t="str">
        <f aca="false">IF($E298="","",IFERROR(IF(INDEX(SUPPLIERS!$D$4:$D$63,MATCH($E298,SUPPLIERS!$A$4:$A$63,0))="","",INDEX(SUPPLIERS!$D$4:$D$63,MATCH($E298,SUPPLIERS!$A$4:$A$63,0))),""))</f>
        <v/>
      </c>
      <c r="J298" s="22" t="str">
        <f aca="false">IF($E298="","",IFERROR(IF(INDEX(SUPPLIERS!$E$4:$E$63,MATCH($E298,SUPPLIERS!$A$4:$A$63,0))="","",INDEX(SUPPLIERS!$E$4:$E$63,MATCH($E298,SUPPLIERS!$A$4:$A$63,0))),""))</f>
        <v/>
      </c>
      <c r="K298" s="20"/>
      <c r="L298" s="19"/>
      <c r="M298" s="23" t="str">
        <f aca="false">IF(COUNT($F298:$J298)&lt;5,"",ROUND($F298*W_SRC+$G298*W_QC+$H298*W_CAP+$I298*W_SUP+$J298*W_EXT,1))</f>
        <v/>
      </c>
      <c r="N298" s="24" t="str">
        <f aca="false">IF(OR($M298="",$K298=""),"",ROUND($M298*$K298,1))</f>
        <v/>
      </c>
      <c r="O298" s="25" t="str">
        <f aca="false">IF($E298="","",IF($L298&lt;&gt;"","CRITICAL (FLAG)",IF(OR($M298="",$K298=""),"NOT SCORED",IF($N298&gt;=T_CRIT,"CRITICAL",IF($N298&gt;=T_MON,"MONITOR","LOW")))))</f>
        <v/>
      </c>
      <c r="P298" s="12" t="str">
        <f aca="false">IF($M298="","",INDEX(DriverNames,MATCH(MAX($F298:$J298),$F298:$J298,0)))</f>
        <v/>
      </c>
      <c r="Q298" s="21"/>
      <c r="R298" s="26"/>
      <c r="S298" s="2" t="str">
        <f aca="false">IF($O298="","",IF($L298&lt;&gt;"",100,0)+IF($N298="",0,$N298)+ROW()/100000)</f>
        <v/>
      </c>
      <c r="T298" s="2" t="str">
        <f aca="false">IF($S298="","",IF($A298=SEL_MODEL,$S298,""))</f>
        <v/>
      </c>
    </row>
    <row r="299" customFormat="false" ht="15" hidden="false" customHeight="false" outlineLevel="0" collapsed="false">
      <c r="A299" s="19"/>
      <c r="B299" s="20"/>
      <c r="C299" s="21"/>
      <c r="D299" s="20"/>
      <c r="E299" s="19"/>
      <c r="F299" s="20"/>
      <c r="G299" s="20"/>
      <c r="H299" s="20"/>
      <c r="I299" s="22" t="str">
        <f aca="false">IF($E299="","",IFERROR(IF(INDEX(SUPPLIERS!$D$4:$D$63,MATCH($E299,SUPPLIERS!$A$4:$A$63,0))="","",INDEX(SUPPLIERS!$D$4:$D$63,MATCH($E299,SUPPLIERS!$A$4:$A$63,0))),""))</f>
        <v/>
      </c>
      <c r="J299" s="22" t="str">
        <f aca="false">IF($E299="","",IFERROR(IF(INDEX(SUPPLIERS!$E$4:$E$63,MATCH($E299,SUPPLIERS!$A$4:$A$63,0))="","",INDEX(SUPPLIERS!$E$4:$E$63,MATCH($E299,SUPPLIERS!$A$4:$A$63,0))),""))</f>
        <v/>
      </c>
      <c r="K299" s="20"/>
      <c r="L299" s="19"/>
      <c r="M299" s="23" t="str">
        <f aca="false">IF(COUNT($F299:$J299)&lt;5,"",ROUND($F299*W_SRC+$G299*W_QC+$H299*W_CAP+$I299*W_SUP+$J299*W_EXT,1))</f>
        <v/>
      </c>
      <c r="N299" s="24" t="str">
        <f aca="false">IF(OR($M299="",$K299=""),"",ROUND($M299*$K299,1))</f>
        <v/>
      </c>
      <c r="O299" s="25" t="str">
        <f aca="false">IF($E299="","",IF($L299&lt;&gt;"","CRITICAL (FLAG)",IF(OR($M299="",$K299=""),"NOT SCORED",IF($N299&gt;=T_CRIT,"CRITICAL",IF($N299&gt;=T_MON,"MONITOR","LOW")))))</f>
        <v/>
      </c>
      <c r="P299" s="12" t="str">
        <f aca="false">IF($M299="","",INDEX(DriverNames,MATCH(MAX($F299:$J299),$F299:$J299,0)))</f>
        <v/>
      </c>
      <c r="Q299" s="21"/>
      <c r="R299" s="26"/>
      <c r="S299" s="2" t="str">
        <f aca="false">IF($O299="","",IF($L299&lt;&gt;"",100,0)+IF($N299="",0,$N299)+ROW()/100000)</f>
        <v/>
      </c>
      <c r="T299" s="2" t="str">
        <f aca="false">IF($S299="","",IF($A299=SEL_MODEL,$S299,""))</f>
        <v/>
      </c>
    </row>
    <row r="300" customFormat="false" ht="15" hidden="false" customHeight="false" outlineLevel="0" collapsed="false">
      <c r="A300" s="19"/>
      <c r="B300" s="20"/>
      <c r="C300" s="21"/>
      <c r="D300" s="20"/>
      <c r="E300" s="19"/>
      <c r="F300" s="20"/>
      <c r="G300" s="20"/>
      <c r="H300" s="20"/>
      <c r="I300" s="22" t="str">
        <f aca="false">IF($E300="","",IFERROR(IF(INDEX(SUPPLIERS!$D$4:$D$63,MATCH($E300,SUPPLIERS!$A$4:$A$63,0))="","",INDEX(SUPPLIERS!$D$4:$D$63,MATCH($E300,SUPPLIERS!$A$4:$A$63,0))),""))</f>
        <v/>
      </c>
      <c r="J300" s="22" t="str">
        <f aca="false">IF($E300="","",IFERROR(IF(INDEX(SUPPLIERS!$E$4:$E$63,MATCH($E300,SUPPLIERS!$A$4:$A$63,0))="","",INDEX(SUPPLIERS!$E$4:$E$63,MATCH($E300,SUPPLIERS!$A$4:$A$63,0))),""))</f>
        <v/>
      </c>
      <c r="K300" s="20"/>
      <c r="L300" s="19"/>
      <c r="M300" s="23" t="str">
        <f aca="false">IF(COUNT($F300:$J300)&lt;5,"",ROUND($F300*W_SRC+$G300*W_QC+$H300*W_CAP+$I300*W_SUP+$J300*W_EXT,1))</f>
        <v/>
      </c>
      <c r="N300" s="24" t="str">
        <f aca="false">IF(OR($M300="",$K300=""),"",ROUND($M300*$K300,1))</f>
        <v/>
      </c>
      <c r="O300" s="25" t="str">
        <f aca="false">IF($E300="","",IF($L300&lt;&gt;"","CRITICAL (FLAG)",IF(OR($M300="",$K300=""),"NOT SCORED",IF($N300&gt;=T_CRIT,"CRITICAL",IF($N300&gt;=T_MON,"MONITOR","LOW")))))</f>
        <v/>
      </c>
      <c r="P300" s="12" t="str">
        <f aca="false">IF($M300="","",INDEX(DriverNames,MATCH(MAX($F300:$J300),$F300:$J300,0)))</f>
        <v/>
      </c>
      <c r="Q300" s="21"/>
      <c r="R300" s="26"/>
      <c r="S300" s="2" t="str">
        <f aca="false">IF($O300="","",IF($L300&lt;&gt;"",100,0)+IF($N300="",0,$N300)+ROW()/100000)</f>
        <v/>
      </c>
      <c r="T300" s="2" t="str">
        <f aca="false">IF($S300="","",IF($A300=SEL_MODEL,$S300,""))</f>
        <v/>
      </c>
    </row>
    <row r="301" customFormat="false" ht="15" hidden="false" customHeight="false" outlineLevel="0" collapsed="false">
      <c r="A301" s="19"/>
      <c r="B301" s="20"/>
      <c r="C301" s="21"/>
      <c r="D301" s="20"/>
      <c r="E301" s="19"/>
      <c r="F301" s="20"/>
      <c r="G301" s="20"/>
      <c r="H301" s="20"/>
      <c r="I301" s="22" t="str">
        <f aca="false">IF($E301="","",IFERROR(IF(INDEX(SUPPLIERS!$D$4:$D$63,MATCH($E301,SUPPLIERS!$A$4:$A$63,0))="","",INDEX(SUPPLIERS!$D$4:$D$63,MATCH($E301,SUPPLIERS!$A$4:$A$63,0))),""))</f>
        <v/>
      </c>
      <c r="J301" s="22" t="str">
        <f aca="false">IF($E301="","",IFERROR(IF(INDEX(SUPPLIERS!$E$4:$E$63,MATCH($E301,SUPPLIERS!$A$4:$A$63,0))="","",INDEX(SUPPLIERS!$E$4:$E$63,MATCH($E301,SUPPLIERS!$A$4:$A$63,0))),""))</f>
        <v/>
      </c>
      <c r="K301" s="20"/>
      <c r="L301" s="19"/>
      <c r="M301" s="23" t="str">
        <f aca="false">IF(COUNT($F301:$J301)&lt;5,"",ROUND($F301*W_SRC+$G301*W_QC+$H301*W_CAP+$I301*W_SUP+$J301*W_EXT,1))</f>
        <v/>
      </c>
      <c r="N301" s="24" t="str">
        <f aca="false">IF(OR($M301="",$K301=""),"",ROUND($M301*$K301,1))</f>
        <v/>
      </c>
      <c r="O301" s="25" t="str">
        <f aca="false">IF($E301="","",IF($L301&lt;&gt;"","CRITICAL (FLAG)",IF(OR($M301="",$K301=""),"NOT SCORED",IF($N301&gt;=T_CRIT,"CRITICAL",IF($N301&gt;=T_MON,"MONITOR","LOW")))))</f>
        <v/>
      </c>
      <c r="P301" s="12" t="str">
        <f aca="false">IF($M301="","",INDEX(DriverNames,MATCH(MAX($F301:$J301),$F301:$J301,0)))</f>
        <v/>
      </c>
      <c r="Q301" s="21"/>
      <c r="R301" s="26"/>
      <c r="S301" s="2" t="str">
        <f aca="false">IF($O301="","",IF($L301&lt;&gt;"",100,0)+IF($N301="",0,$N301)+ROW()/100000)</f>
        <v/>
      </c>
      <c r="T301" s="2" t="str">
        <f aca="false">IF($S301="","",IF($A301=SEL_MODEL,$S301,""))</f>
        <v/>
      </c>
    </row>
    <row r="302" customFormat="false" ht="15" hidden="false" customHeight="false" outlineLevel="0" collapsed="false">
      <c r="A302" s="19"/>
      <c r="B302" s="20"/>
      <c r="C302" s="21"/>
      <c r="D302" s="20"/>
      <c r="E302" s="19"/>
      <c r="F302" s="20"/>
      <c r="G302" s="20"/>
      <c r="H302" s="20"/>
      <c r="I302" s="22" t="str">
        <f aca="false">IF($E302="","",IFERROR(IF(INDEX(SUPPLIERS!$D$4:$D$63,MATCH($E302,SUPPLIERS!$A$4:$A$63,0))="","",INDEX(SUPPLIERS!$D$4:$D$63,MATCH($E302,SUPPLIERS!$A$4:$A$63,0))),""))</f>
        <v/>
      </c>
      <c r="J302" s="22" t="str">
        <f aca="false">IF($E302="","",IFERROR(IF(INDEX(SUPPLIERS!$E$4:$E$63,MATCH($E302,SUPPLIERS!$A$4:$A$63,0))="","",INDEX(SUPPLIERS!$E$4:$E$63,MATCH($E302,SUPPLIERS!$A$4:$A$63,0))),""))</f>
        <v/>
      </c>
      <c r="K302" s="20"/>
      <c r="L302" s="19"/>
      <c r="M302" s="23" t="str">
        <f aca="false">IF(COUNT($F302:$J302)&lt;5,"",ROUND($F302*W_SRC+$G302*W_QC+$H302*W_CAP+$I302*W_SUP+$J302*W_EXT,1))</f>
        <v/>
      </c>
      <c r="N302" s="24" t="str">
        <f aca="false">IF(OR($M302="",$K302=""),"",ROUND($M302*$K302,1))</f>
        <v/>
      </c>
      <c r="O302" s="25" t="str">
        <f aca="false">IF($E302="","",IF($L302&lt;&gt;"","CRITICAL (FLAG)",IF(OR($M302="",$K302=""),"NOT SCORED",IF($N302&gt;=T_CRIT,"CRITICAL",IF($N302&gt;=T_MON,"MONITOR","LOW")))))</f>
        <v/>
      </c>
      <c r="P302" s="12" t="str">
        <f aca="false">IF($M302="","",INDEX(DriverNames,MATCH(MAX($F302:$J302),$F302:$J302,0)))</f>
        <v/>
      </c>
      <c r="Q302" s="21"/>
      <c r="R302" s="26"/>
      <c r="S302" s="2" t="str">
        <f aca="false">IF($O302="","",IF($L302&lt;&gt;"",100,0)+IF($N302="",0,$N302)+ROW()/100000)</f>
        <v/>
      </c>
      <c r="T302" s="2" t="str">
        <f aca="false">IF($S302="","",IF($A302=SEL_MODEL,$S302,""))</f>
        <v/>
      </c>
    </row>
    <row r="303" customFormat="false" ht="15" hidden="false" customHeight="false" outlineLevel="0" collapsed="false">
      <c r="A303" s="19"/>
      <c r="B303" s="20"/>
      <c r="C303" s="21"/>
      <c r="D303" s="20"/>
      <c r="E303" s="19"/>
      <c r="F303" s="20"/>
      <c r="G303" s="20"/>
      <c r="H303" s="20"/>
      <c r="I303" s="22" t="str">
        <f aca="false">IF($E303="","",IFERROR(IF(INDEX(SUPPLIERS!$D$4:$D$63,MATCH($E303,SUPPLIERS!$A$4:$A$63,0))="","",INDEX(SUPPLIERS!$D$4:$D$63,MATCH($E303,SUPPLIERS!$A$4:$A$63,0))),""))</f>
        <v/>
      </c>
      <c r="J303" s="22" t="str">
        <f aca="false">IF($E303="","",IFERROR(IF(INDEX(SUPPLIERS!$E$4:$E$63,MATCH($E303,SUPPLIERS!$A$4:$A$63,0))="","",INDEX(SUPPLIERS!$E$4:$E$63,MATCH($E303,SUPPLIERS!$A$4:$A$63,0))),""))</f>
        <v/>
      </c>
      <c r="K303" s="20"/>
      <c r="L303" s="19"/>
      <c r="M303" s="23" t="str">
        <f aca="false">IF(COUNT($F303:$J303)&lt;5,"",ROUND($F303*W_SRC+$G303*W_QC+$H303*W_CAP+$I303*W_SUP+$J303*W_EXT,1))</f>
        <v/>
      </c>
      <c r="N303" s="24" t="str">
        <f aca="false">IF(OR($M303="",$K303=""),"",ROUND($M303*$K303,1))</f>
        <v/>
      </c>
      <c r="O303" s="25" t="str">
        <f aca="false">IF($E303="","",IF($L303&lt;&gt;"","CRITICAL (FLAG)",IF(OR($M303="",$K303=""),"NOT SCORED",IF($N303&gt;=T_CRIT,"CRITICAL",IF($N303&gt;=T_MON,"MONITOR","LOW")))))</f>
        <v/>
      </c>
      <c r="P303" s="12" t="str">
        <f aca="false">IF($M303="","",INDEX(DriverNames,MATCH(MAX($F303:$J303),$F303:$J303,0)))</f>
        <v/>
      </c>
      <c r="Q303" s="21"/>
      <c r="R303" s="26"/>
      <c r="S303" s="2" t="str">
        <f aca="false">IF($O303="","",IF($L303&lt;&gt;"",100,0)+IF($N303="",0,$N303)+ROW()/100000)</f>
        <v/>
      </c>
      <c r="T303" s="2" t="str">
        <f aca="false">IF($S303="","",IF($A303=SEL_MODEL,$S303,""))</f>
        <v/>
      </c>
    </row>
    <row r="304" customFormat="false" ht="15" hidden="false" customHeight="false" outlineLevel="0" collapsed="false">
      <c r="A304" s="19"/>
      <c r="B304" s="20"/>
      <c r="C304" s="21"/>
      <c r="D304" s="20"/>
      <c r="E304" s="19"/>
      <c r="F304" s="20"/>
      <c r="G304" s="20"/>
      <c r="H304" s="20"/>
      <c r="I304" s="22" t="str">
        <f aca="false">IF($E304="","",IFERROR(IF(INDEX(SUPPLIERS!$D$4:$D$63,MATCH($E304,SUPPLIERS!$A$4:$A$63,0))="","",INDEX(SUPPLIERS!$D$4:$D$63,MATCH($E304,SUPPLIERS!$A$4:$A$63,0))),""))</f>
        <v/>
      </c>
      <c r="J304" s="22" t="str">
        <f aca="false">IF($E304="","",IFERROR(IF(INDEX(SUPPLIERS!$E$4:$E$63,MATCH($E304,SUPPLIERS!$A$4:$A$63,0))="","",INDEX(SUPPLIERS!$E$4:$E$63,MATCH($E304,SUPPLIERS!$A$4:$A$63,0))),""))</f>
        <v/>
      </c>
      <c r="K304" s="20"/>
      <c r="L304" s="19"/>
      <c r="M304" s="23" t="str">
        <f aca="false">IF(COUNT($F304:$J304)&lt;5,"",ROUND($F304*W_SRC+$G304*W_QC+$H304*W_CAP+$I304*W_SUP+$J304*W_EXT,1))</f>
        <v/>
      </c>
      <c r="N304" s="24" t="str">
        <f aca="false">IF(OR($M304="",$K304=""),"",ROUND($M304*$K304,1))</f>
        <v/>
      </c>
      <c r="O304" s="25" t="str">
        <f aca="false">IF($E304="","",IF($L304&lt;&gt;"","CRITICAL (FLAG)",IF(OR($M304="",$K304=""),"NOT SCORED",IF($N304&gt;=T_CRIT,"CRITICAL",IF($N304&gt;=T_MON,"MONITOR","LOW")))))</f>
        <v/>
      </c>
      <c r="P304" s="12" t="str">
        <f aca="false">IF($M304="","",INDEX(DriverNames,MATCH(MAX($F304:$J304),$F304:$J304,0)))</f>
        <v/>
      </c>
      <c r="Q304" s="21"/>
      <c r="R304" s="26"/>
      <c r="S304" s="2" t="str">
        <f aca="false">IF($O304="","",IF($L304&lt;&gt;"",100,0)+IF($N304="",0,$N304)+ROW()/100000)</f>
        <v/>
      </c>
      <c r="T304" s="2" t="str">
        <f aca="false">IF($S304="","",IF($A304=SEL_MODEL,$S304,""))</f>
        <v/>
      </c>
    </row>
  </sheetData>
  <mergeCells count="5">
    <mergeCell ref="A3:E3"/>
    <mergeCell ref="F3:H3"/>
    <mergeCell ref="I3:J3"/>
    <mergeCell ref="M3:P3"/>
    <mergeCell ref="Q3:R3"/>
  </mergeCells>
  <conditionalFormatting sqref="O5:O304">
    <cfRule type="containsText" priority="2" operator="containsText" aboveAverage="0" equalAverage="0" bottom="0" percent="0" rank="0" text="CRITICAL" dxfId="0">
      <formula>NOT(ISERROR(SEARCH("CRITICAL",O5)))</formula>
    </cfRule>
    <cfRule type="containsText" priority="3" operator="containsText" aboveAverage="0" equalAverage="0" bottom="0" percent="0" rank="0" text="MONITOR" dxfId="1">
      <formula>NOT(ISERROR(SEARCH("MONITOR",O5)))</formula>
    </cfRule>
    <cfRule type="containsText" priority="4" operator="containsText" aboveAverage="0" equalAverage="0" bottom="0" percent="0" rank="0" text="LOW" dxfId="2">
      <formula>NOT(ISERROR(SEARCH("LOW",O5)))</formula>
    </cfRule>
  </conditionalFormatting>
  <conditionalFormatting sqref="N5:N304">
    <cfRule type="colorScale" priority="5">
      <colorScale>
        <cfvo type="num" val="1"/>
        <cfvo type="num" val="13"/>
        <cfvo type="num" val="25"/>
        <color rgb="FF63BE7B"/>
        <color rgb="FFFFEB84"/>
        <color rgb="FFF8696B"/>
      </colorScale>
    </cfRule>
  </conditionalFormatting>
  <dataValidations count="6">
    <dataValidation allowBlank="true" errorStyle="stop" operator="between" showDropDown="false" showErrorMessage="false" showInputMessage="false" sqref="A5:A304" type="list">
      <formula1>ModelList</formula1>
      <formula2>0</formula2>
    </dataValidation>
    <dataValidation allowBlank="true" errorStyle="stop" operator="between" showDropDown="false" showErrorMessage="false" showInputMessage="false" sqref="D5:D304" type="list">
      <formula1>PartTypes</formula1>
      <formula2>0</formula2>
    </dataValidation>
    <dataValidation allowBlank="true" errorStyle="stop" operator="between" showDropDown="false" showErrorMessage="false" showInputMessage="false" sqref="E5:E304" type="list">
      <formula1>SupplierList</formula1>
      <formula2>0</formula2>
    </dataValidation>
    <dataValidation allowBlank="true" errorStyle="stop" operator="between" showDropDown="false" showErrorMessage="false" showInputMessage="false" sqref="F5:H304" type="list">
      <formula1>Score15</formula1>
      <formula2>0</formula2>
    </dataValidation>
    <dataValidation allowBlank="true" errorStyle="stop" operator="between" showDropDown="false" showErrorMessage="false" showInputMessage="false" sqref="K5:K304" type="list">
      <formula1>Score15</formula1>
      <formula2>0</formula2>
    </dataValidation>
    <dataValidation allowBlank="true" errorStyle="stop" operator="between" showDropDown="false" showErrorMessage="false" showInputMessage="false" sqref="L5:L304" type="list">
      <formula1>RedFlags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I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6" min="6" style="0" width="32"/>
    <col collapsed="false" customWidth="true" hidden="false" outlineLevel="0" max="7" min="7" style="0" width="40"/>
    <col collapsed="false" customWidth="true" hidden="false" outlineLevel="0" max="8" min="8" style="0" width="11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3" customFormat="false" ht="22.35" hidden="false" customHeight="false" outlineLevel="0" collapsed="false">
      <c r="A3" s="5" t="s">
        <v>102</v>
      </c>
      <c r="B3" s="5" t="s">
        <v>103</v>
      </c>
      <c r="C3" s="5" t="s">
        <v>104</v>
      </c>
      <c r="D3" s="5" t="s">
        <v>105</v>
      </c>
      <c r="E3" s="5" t="s">
        <v>106</v>
      </c>
      <c r="F3" s="5" t="s">
        <v>107</v>
      </c>
      <c r="G3" s="5" t="s">
        <v>108</v>
      </c>
      <c r="H3" s="5" t="s">
        <v>109</v>
      </c>
      <c r="I3" s="5" t="s">
        <v>110</v>
      </c>
    </row>
    <row r="4" customFormat="false" ht="15" hidden="false" customHeight="false" outlineLevel="0" collapsed="false">
      <c r="A4" s="19" t="s">
        <v>76</v>
      </c>
      <c r="B4" s="19" t="s">
        <v>111</v>
      </c>
      <c r="C4" s="19" t="s">
        <v>112</v>
      </c>
      <c r="D4" s="27" t="n">
        <v>3</v>
      </c>
      <c r="E4" s="27" t="n">
        <v>4</v>
      </c>
      <c r="F4" s="21" t="s">
        <v>113</v>
      </c>
      <c r="G4" s="21" t="s">
        <v>114</v>
      </c>
      <c r="H4" s="22" t="n">
        <f aca="false">IF($A4="","",COUNTIF(PART_RISK!$E$5:$E$304,$A4))</f>
        <v>1</v>
      </c>
      <c r="I4" s="25" t="str">
        <f aca="false">IF($A4="","",IF(COUNTIFS(PART_RISK!$E$5:$E$304,$A4,PART_RISK!$O$5:$O$304,"CRITICAL*")&gt;0,"CRITICAL",IF(COUNTIFS(PART_RISK!$E$5:$E$304,$A4,PART_RISK!$O$5:$O$304,"MONITOR")&gt;0,"MONITOR",IF(COUNTIFS(PART_RISK!$E$5:$E$304,$A4,PART_RISK!$O$5:$O$304,"LOW")&gt;0,"LOW","NOT SCORED"))))</f>
        <v>MONITOR</v>
      </c>
    </row>
    <row r="5" customFormat="false" ht="22.35" hidden="false" customHeight="false" outlineLevel="0" collapsed="false">
      <c r="A5" s="19" t="s">
        <v>80</v>
      </c>
      <c r="B5" s="19" t="s">
        <v>115</v>
      </c>
      <c r="C5" s="19" t="s">
        <v>112</v>
      </c>
      <c r="D5" s="27" t="n">
        <v>4</v>
      </c>
      <c r="E5" s="27" t="n">
        <v>4</v>
      </c>
      <c r="F5" s="21" t="s">
        <v>116</v>
      </c>
      <c r="G5" s="21" t="s">
        <v>117</v>
      </c>
      <c r="H5" s="22" t="n">
        <f aca="false">IF($A5="","",COUNTIF(PART_RISK!$E$5:$E$304,$A5))</f>
        <v>1</v>
      </c>
      <c r="I5" s="25" t="str">
        <f aca="false">IF($A5="","",IF(COUNTIFS(PART_RISK!$E$5:$E$304,$A5,PART_RISK!$O$5:$O$304,"CRITICAL*")&gt;0,"CRITICAL",IF(COUNTIFS(PART_RISK!$E$5:$E$304,$A5,PART_RISK!$O$5:$O$304,"MONITOR")&gt;0,"MONITOR",IF(COUNTIFS(PART_RISK!$E$5:$E$304,$A5,PART_RISK!$O$5:$O$304,"LOW")&gt;0,"LOW","NOT SCORED"))))</f>
        <v>CRITICAL</v>
      </c>
    </row>
    <row r="6" customFormat="false" ht="15" hidden="false" customHeight="false" outlineLevel="0" collapsed="false">
      <c r="A6" s="19" t="s">
        <v>85</v>
      </c>
      <c r="B6" s="19" t="s">
        <v>118</v>
      </c>
      <c r="C6" s="19" t="s">
        <v>112</v>
      </c>
      <c r="D6" s="27" t="n">
        <v>2</v>
      </c>
      <c r="E6" s="27" t="n">
        <v>2</v>
      </c>
      <c r="F6" s="21" t="s">
        <v>119</v>
      </c>
      <c r="G6" s="21" t="s">
        <v>120</v>
      </c>
      <c r="H6" s="22" t="n">
        <f aca="false">IF($A6="","",COUNTIF(PART_RISK!$E$5:$E$304,$A6))</f>
        <v>1</v>
      </c>
      <c r="I6" s="25" t="str">
        <f aca="false">IF($A6="","",IF(COUNTIFS(PART_RISK!$E$5:$E$304,$A6,PART_RISK!$O$5:$O$304,"CRITICAL*")&gt;0,"CRITICAL",IF(COUNTIFS(PART_RISK!$E$5:$E$304,$A6,PART_RISK!$O$5:$O$304,"MONITOR")&gt;0,"MONITOR",IF(COUNTIFS(PART_RISK!$E$5:$E$304,$A6,PART_RISK!$O$5:$O$304,"LOW")&gt;0,"LOW","NOT SCORED"))))</f>
        <v>LOW</v>
      </c>
    </row>
    <row r="7" customFormat="false" ht="15" hidden="false" customHeight="false" outlineLevel="0" collapsed="false">
      <c r="A7" s="19" t="s">
        <v>98</v>
      </c>
      <c r="B7" s="19" t="s">
        <v>121</v>
      </c>
      <c r="C7" s="19" t="s">
        <v>122</v>
      </c>
      <c r="D7" s="27" t="n">
        <v>3</v>
      </c>
      <c r="E7" s="27" t="n">
        <v>2</v>
      </c>
      <c r="F7" s="21" t="s">
        <v>123</v>
      </c>
      <c r="G7" s="21" t="s">
        <v>124</v>
      </c>
      <c r="H7" s="22" t="n">
        <f aca="false">IF($A7="","",COUNTIF(PART_RISK!$E$5:$E$304,$A7))</f>
        <v>1</v>
      </c>
      <c r="I7" s="25" t="str">
        <f aca="false">IF($A7="","",IF(COUNTIFS(PART_RISK!$E$5:$E$304,$A7,PART_RISK!$O$5:$O$304,"CRITICAL*")&gt;0,"CRITICAL",IF(COUNTIFS(PART_RISK!$E$5:$E$304,$A7,PART_RISK!$O$5:$O$304,"MONITOR")&gt;0,"MONITOR",IF(COUNTIFS(PART_RISK!$E$5:$E$304,$A7,PART_RISK!$O$5:$O$304,"LOW")&gt;0,"LOW","NOT SCORED"))))</f>
        <v>MONITOR</v>
      </c>
    </row>
    <row r="8" customFormat="false" ht="15" hidden="false" customHeight="false" outlineLevel="0" collapsed="false">
      <c r="A8" s="19" t="s">
        <v>90</v>
      </c>
      <c r="B8" s="19" t="s">
        <v>125</v>
      </c>
      <c r="C8" s="19" t="s">
        <v>126</v>
      </c>
      <c r="D8" s="27" t="n">
        <v>1</v>
      </c>
      <c r="E8" s="27" t="n">
        <v>2</v>
      </c>
      <c r="F8" s="21" t="s">
        <v>127</v>
      </c>
      <c r="G8" s="21" t="s">
        <v>128</v>
      </c>
      <c r="H8" s="22" t="n">
        <f aca="false">IF($A8="","",COUNTIF(PART_RISK!$E$5:$E$304,$A8))</f>
        <v>1</v>
      </c>
      <c r="I8" s="25" t="str">
        <f aca="false">IF($A8="","",IF(COUNTIFS(PART_RISK!$E$5:$E$304,$A8,PART_RISK!$O$5:$O$304,"CRITICAL*")&gt;0,"CRITICAL",IF(COUNTIFS(PART_RISK!$E$5:$E$304,$A8,PART_RISK!$O$5:$O$304,"MONITOR")&gt;0,"MONITOR",IF(COUNTIFS(PART_RISK!$E$5:$E$304,$A8,PART_RISK!$O$5:$O$304,"LOW")&gt;0,"LOW","NOT SCORED"))))</f>
        <v>CRITICAL</v>
      </c>
    </row>
    <row r="9" customFormat="false" ht="15" hidden="false" customHeight="false" outlineLevel="0" collapsed="false">
      <c r="A9" s="19" t="s">
        <v>96</v>
      </c>
      <c r="B9" s="19" t="s">
        <v>129</v>
      </c>
      <c r="C9" s="19" t="s">
        <v>112</v>
      </c>
      <c r="D9" s="27" t="n">
        <v>3</v>
      </c>
      <c r="E9" s="27" t="n">
        <v>2</v>
      </c>
      <c r="F9" s="21" t="s">
        <v>119</v>
      </c>
      <c r="G9" s="21" t="s">
        <v>130</v>
      </c>
      <c r="H9" s="22" t="n">
        <f aca="false">IF($A9="","",COUNTIF(PART_RISK!$E$5:$E$304,$A9))</f>
        <v>1</v>
      </c>
      <c r="I9" s="25" t="str">
        <f aca="false">IF($A9="","",IF(COUNTIFS(PART_RISK!$E$5:$E$304,$A9,PART_RISK!$O$5:$O$304,"CRITICAL*")&gt;0,"CRITICAL",IF(COUNTIFS(PART_RISK!$E$5:$E$304,$A9,PART_RISK!$O$5:$O$304,"MONITOR")&gt;0,"MONITOR",IF(COUNTIFS(PART_RISK!$E$5:$E$304,$A9,PART_RISK!$O$5:$O$304,"LOW")&gt;0,"LOW","NOT SCORED"))))</f>
        <v>MONITOR</v>
      </c>
    </row>
    <row r="10" customFormat="false" ht="15" hidden="false" customHeight="false" outlineLevel="0" collapsed="false">
      <c r="A10" s="19"/>
      <c r="B10" s="19"/>
      <c r="C10" s="19"/>
      <c r="D10" s="27"/>
      <c r="E10" s="27"/>
      <c r="F10" s="21"/>
      <c r="G10" s="21"/>
      <c r="H10" s="22" t="str">
        <f aca="false">IF($A10="","",COUNTIF(PART_RISK!$E$5:$E$304,$A10))</f>
        <v/>
      </c>
      <c r="I10" s="25" t="str">
        <f aca="false">IF($A10="","",IF(COUNTIFS(PART_RISK!$E$5:$E$304,$A10,PART_RISK!$O$5:$O$304,"CRITICAL*")&gt;0,"CRITICAL",IF(COUNTIFS(PART_RISK!$E$5:$E$304,$A10,PART_RISK!$O$5:$O$304,"MONITOR")&gt;0,"MONITOR",IF(COUNTIFS(PART_RISK!$E$5:$E$304,$A10,PART_RISK!$O$5:$O$304,"LOW")&gt;0,"LOW","NOT SCORED"))))</f>
        <v/>
      </c>
    </row>
    <row r="11" customFormat="false" ht="15" hidden="false" customHeight="false" outlineLevel="0" collapsed="false">
      <c r="A11" s="19"/>
      <c r="B11" s="19"/>
      <c r="C11" s="19"/>
      <c r="D11" s="27"/>
      <c r="E11" s="27"/>
      <c r="F11" s="21"/>
      <c r="G11" s="21"/>
      <c r="H11" s="22" t="str">
        <f aca="false">IF($A11="","",COUNTIF(PART_RISK!$E$5:$E$304,$A11))</f>
        <v/>
      </c>
      <c r="I11" s="25" t="str">
        <f aca="false">IF($A11="","",IF(COUNTIFS(PART_RISK!$E$5:$E$304,$A11,PART_RISK!$O$5:$O$304,"CRITICAL*")&gt;0,"CRITICAL",IF(COUNTIFS(PART_RISK!$E$5:$E$304,$A11,PART_RISK!$O$5:$O$304,"MONITOR")&gt;0,"MONITOR",IF(COUNTIFS(PART_RISK!$E$5:$E$304,$A11,PART_RISK!$O$5:$O$304,"LOW")&gt;0,"LOW","NOT SCORED"))))</f>
        <v/>
      </c>
    </row>
    <row r="12" customFormat="false" ht="15" hidden="false" customHeight="false" outlineLevel="0" collapsed="false">
      <c r="A12" s="19"/>
      <c r="B12" s="19"/>
      <c r="C12" s="19"/>
      <c r="D12" s="27"/>
      <c r="E12" s="27"/>
      <c r="F12" s="21"/>
      <c r="G12" s="21"/>
      <c r="H12" s="22" t="str">
        <f aca="false">IF($A12="","",COUNTIF(PART_RISK!$E$5:$E$304,$A12))</f>
        <v/>
      </c>
      <c r="I12" s="25" t="str">
        <f aca="false">IF($A12="","",IF(COUNTIFS(PART_RISK!$E$5:$E$304,$A12,PART_RISK!$O$5:$O$304,"CRITICAL*")&gt;0,"CRITICAL",IF(COUNTIFS(PART_RISK!$E$5:$E$304,$A12,PART_RISK!$O$5:$O$304,"MONITOR")&gt;0,"MONITOR",IF(COUNTIFS(PART_RISK!$E$5:$E$304,$A12,PART_RISK!$O$5:$O$304,"LOW")&gt;0,"LOW","NOT SCORED"))))</f>
        <v/>
      </c>
    </row>
    <row r="13" customFormat="false" ht="15" hidden="false" customHeight="false" outlineLevel="0" collapsed="false">
      <c r="A13" s="19"/>
      <c r="B13" s="19"/>
      <c r="C13" s="19"/>
      <c r="D13" s="27"/>
      <c r="E13" s="27"/>
      <c r="F13" s="21"/>
      <c r="G13" s="21"/>
      <c r="H13" s="22" t="str">
        <f aca="false">IF($A13="","",COUNTIF(PART_RISK!$E$5:$E$304,$A13))</f>
        <v/>
      </c>
      <c r="I13" s="25" t="str">
        <f aca="false">IF($A13="","",IF(COUNTIFS(PART_RISK!$E$5:$E$304,$A13,PART_RISK!$O$5:$O$304,"CRITICAL*")&gt;0,"CRITICAL",IF(COUNTIFS(PART_RISK!$E$5:$E$304,$A13,PART_RISK!$O$5:$O$304,"MONITOR")&gt;0,"MONITOR",IF(COUNTIFS(PART_RISK!$E$5:$E$304,$A13,PART_RISK!$O$5:$O$304,"LOW")&gt;0,"LOW","NOT SCORED"))))</f>
        <v/>
      </c>
    </row>
    <row r="14" customFormat="false" ht="15" hidden="false" customHeight="false" outlineLevel="0" collapsed="false">
      <c r="A14" s="19"/>
      <c r="B14" s="19"/>
      <c r="C14" s="19"/>
      <c r="D14" s="27"/>
      <c r="E14" s="27"/>
      <c r="F14" s="21"/>
      <c r="G14" s="21"/>
      <c r="H14" s="22" t="str">
        <f aca="false">IF($A14="","",COUNTIF(PART_RISK!$E$5:$E$304,$A14))</f>
        <v/>
      </c>
      <c r="I14" s="25" t="str">
        <f aca="false">IF($A14="","",IF(COUNTIFS(PART_RISK!$E$5:$E$304,$A14,PART_RISK!$O$5:$O$304,"CRITICAL*")&gt;0,"CRITICAL",IF(COUNTIFS(PART_RISK!$E$5:$E$304,$A14,PART_RISK!$O$5:$O$304,"MONITOR")&gt;0,"MONITOR",IF(COUNTIFS(PART_RISK!$E$5:$E$304,$A14,PART_RISK!$O$5:$O$304,"LOW")&gt;0,"LOW","NOT SCORED"))))</f>
        <v/>
      </c>
    </row>
    <row r="15" customFormat="false" ht="15" hidden="false" customHeight="false" outlineLevel="0" collapsed="false">
      <c r="A15" s="19"/>
      <c r="B15" s="19"/>
      <c r="C15" s="19"/>
      <c r="D15" s="27"/>
      <c r="E15" s="27"/>
      <c r="F15" s="21"/>
      <c r="G15" s="21"/>
      <c r="H15" s="22" t="str">
        <f aca="false">IF($A15="","",COUNTIF(PART_RISK!$E$5:$E$304,$A15))</f>
        <v/>
      </c>
      <c r="I15" s="25" t="str">
        <f aca="false">IF($A15="","",IF(COUNTIFS(PART_RISK!$E$5:$E$304,$A15,PART_RISK!$O$5:$O$304,"CRITICAL*")&gt;0,"CRITICAL",IF(COUNTIFS(PART_RISK!$E$5:$E$304,$A15,PART_RISK!$O$5:$O$304,"MONITOR")&gt;0,"MONITOR",IF(COUNTIFS(PART_RISK!$E$5:$E$304,$A15,PART_RISK!$O$5:$O$304,"LOW")&gt;0,"LOW","NOT SCORED"))))</f>
        <v/>
      </c>
    </row>
    <row r="16" customFormat="false" ht="15" hidden="false" customHeight="false" outlineLevel="0" collapsed="false">
      <c r="A16" s="19"/>
      <c r="B16" s="19"/>
      <c r="C16" s="19"/>
      <c r="D16" s="27"/>
      <c r="E16" s="27"/>
      <c r="F16" s="21"/>
      <c r="G16" s="21"/>
      <c r="H16" s="22" t="str">
        <f aca="false">IF($A16="","",COUNTIF(PART_RISK!$E$5:$E$304,$A16))</f>
        <v/>
      </c>
      <c r="I16" s="25" t="str">
        <f aca="false">IF($A16="","",IF(COUNTIFS(PART_RISK!$E$5:$E$304,$A16,PART_RISK!$O$5:$O$304,"CRITICAL*")&gt;0,"CRITICAL",IF(COUNTIFS(PART_RISK!$E$5:$E$304,$A16,PART_RISK!$O$5:$O$304,"MONITOR")&gt;0,"MONITOR",IF(COUNTIFS(PART_RISK!$E$5:$E$304,$A16,PART_RISK!$O$5:$O$304,"LOW")&gt;0,"LOW","NOT SCORED"))))</f>
        <v/>
      </c>
    </row>
    <row r="17" customFormat="false" ht="15" hidden="false" customHeight="false" outlineLevel="0" collapsed="false">
      <c r="A17" s="19"/>
      <c r="B17" s="19"/>
      <c r="C17" s="19"/>
      <c r="D17" s="27"/>
      <c r="E17" s="27"/>
      <c r="F17" s="21"/>
      <c r="G17" s="21"/>
      <c r="H17" s="22" t="str">
        <f aca="false">IF($A17="","",COUNTIF(PART_RISK!$E$5:$E$304,$A17))</f>
        <v/>
      </c>
      <c r="I17" s="25" t="str">
        <f aca="false">IF($A17="","",IF(COUNTIFS(PART_RISK!$E$5:$E$304,$A17,PART_RISK!$O$5:$O$304,"CRITICAL*")&gt;0,"CRITICAL",IF(COUNTIFS(PART_RISK!$E$5:$E$304,$A17,PART_RISK!$O$5:$O$304,"MONITOR")&gt;0,"MONITOR",IF(COUNTIFS(PART_RISK!$E$5:$E$304,$A17,PART_RISK!$O$5:$O$304,"LOW")&gt;0,"LOW","NOT SCORED"))))</f>
        <v/>
      </c>
    </row>
    <row r="18" customFormat="false" ht="15" hidden="false" customHeight="false" outlineLevel="0" collapsed="false">
      <c r="A18" s="19"/>
      <c r="B18" s="19"/>
      <c r="C18" s="19"/>
      <c r="D18" s="27"/>
      <c r="E18" s="27"/>
      <c r="F18" s="21"/>
      <c r="G18" s="21"/>
      <c r="H18" s="22" t="str">
        <f aca="false">IF($A18="","",COUNTIF(PART_RISK!$E$5:$E$304,$A18))</f>
        <v/>
      </c>
      <c r="I18" s="25" t="str">
        <f aca="false">IF($A18="","",IF(COUNTIFS(PART_RISK!$E$5:$E$304,$A18,PART_RISK!$O$5:$O$304,"CRITICAL*")&gt;0,"CRITICAL",IF(COUNTIFS(PART_RISK!$E$5:$E$304,$A18,PART_RISK!$O$5:$O$304,"MONITOR")&gt;0,"MONITOR",IF(COUNTIFS(PART_RISK!$E$5:$E$304,$A18,PART_RISK!$O$5:$O$304,"LOW")&gt;0,"LOW","NOT SCORED"))))</f>
        <v/>
      </c>
    </row>
    <row r="19" customFormat="false" ht="15" hidden="false" customHeight="false" outlineLevel="0" collapsed="false">
      <c r="A19" s="19"/>
      <c r="B19" s="19"/>
      <c r="C19" s="19"/>
      <c r="D19" s="27"/>
      <c r="E19" s="27"/>
      <c r="F19" s="21"/>
      <c r="G19" s="21"/>
      <c r="H19" s="22" t="str">
        <f aca="false">IF($A19="","",COUNTIF(PART_RISK!$E$5:$E$304,$A19))</f>
        <v/>
      </c>
      <c r="I19" s="25" t="str">
        <f aca="false">IF($A19="","",IF(COUNTIFS(PART_RISK!$E$5:$E$304,$A19,PART_RISK!$O$5:$O$304,"CRITICAL*")&gt;0,"CRITICAL",IF(COUNTIFS(PART_RISK!$E$5:$E$304,$A19,PART_RISK!$O$5:$O$304,"MONITOR")&gt;0,"MONITOR",IF(COUNTIFS(PART_RISK!$E$5:$E$304,$A19,PART_RISK!$O$5:$O$304,"LOW")&gt;0,"LOW","NOT SCORED"))))</f>
        <v/>
      </c>
    </row>
    <row r="20" customFormat="false" ht="15" hidden="false" customHeight="false" outlineLevel="0" collapsed="false">
      <c r="A20" s="19"/>
      <c r="B20" s="19"/>
      <c r="C20" s="19"/>
      <c r="D20" s="27"/>
      <c r="E20" s="27"/>
      <c r="F20" s="21"/>
      <c r="G20" s="21"/>
      <c r="H20" s="22" t="str">
        <f aca="false">IF($A20="","",COUNTIF(PART_RISK!$E$5:$E$304,$A20))</f>
        <v/>
      </c>
      <c r="I20" s="25" t="str">
        <f aca="false">IF($A20="","",IF(COUNTIFS(PART_RISK!$E$5:$E$304,$A20,PART_RISK!$O$5:$O$304,"CRITICAL*")&gt;0,"CRITICAL",IF(COUNTIFS(PART_RISK!$E$5:$E$304,$A20,PART_RISK!$O$5:$O$304,"MONITOR")&gt;0,"MONITOR",IF(COUNTIFS(PART_RISK!$E$5:$E$304,$A20,PART_RISK!$O$5:$O$304,"LOW")&gt;0,"LOW","NOT SCORED"))))</f>
        <v/>
      </c>
    </row>
    <row r="21" customFormat="false" ht="15" hidden="false" customHeight="false" outlineLevel="0" collapsed="false">
      <c r="A21" s="19"/>
      <c r="B21" s="19"/>
      <c r="C21" s="19"/>
      <c r="D21" s="27"/>
      <c r="E21" s="27"/>
      <c r="F21" s="21"/>
      <c r="G21" s="21"/>
      <c r="H21" s="22" t="str">
        <f aca="false">IF($A21="","",COUNTIF(PART_RISK!$E$5:$E$304,$A21))</f>
        <v/>
      </c>
      <c r="I21" s="25" t="str">
        <f aca="false">IF($A21="","",IF(COUNTIFS(PART_RISK!$E$5:$E$304,$A21,PART_RISK!$O$5:$O$304,"CRITICAL*")&gt;0,"CRITICAL",IF(COUNTIFS(PART_RISK!$E$5:$E$304,$A21,PART_RISK!$O$5:$O$304,"MONITOR")&gt;0,"MONITOR",IF(COUNTIFS(PART_RISK!$E$5:$E$304,$A21,PART_RISK!$O$5:$O$304,"LOW")&gt;0,"LOW","NOT SCORED"))))</f>
        <v/>
      </c>
    </row>
    <row r="22" customFormat="false" ht="15" hidden="false" customHeight="false" outlineLevel="0" collapsed="false">
      <c r="A22" s="19"/>
      <c r="B22" s="19"/>
      <c r="C22" s="19"/>
      <c r="D22" s="27"/>
      <c r="E22" s="27"/>
      <c r="F22" s="21"/>
      <c r="G22" s="21"/>
      <c r="H22" s="22" t="str">
        <f aca="false">IF($A22="","",COUNTIF(PART_RISK!$E$5:$E$304,$A22))</f>
        <v/>
      </c>
      <c r="I22" s="25" t="str">
        <f aca="false">IF($A22="","",IF(COUNTIFS(PART_RISK!$E$5:$E$304,$A22,PART_RISK!$O$5:$O$304,"CRITICAL*")&gt;0,"CRITICAL",IF(COUNTIFS(PART_RISK!$E$5:$E$304,$A22,PART_RISK!$O$5:$O$304,"MONITOR")&gt;0,"MONITOR",IF(COUNTIFS(PART_RISK!$E$5:$E$304,$A22,PART_RISK!$O$5:$O$304,"LOW")&gt;0,"LOW","NOT SCORED"))))</f>
        <v/>
      </c>
    </row>
    <row r="23" customFormat="false" ht="15" hidden="false" customHeight="false" outlineLevel="0" collapsed="false">
      <c r="A23" s="19"/>
      <c r="B23" s="19"/>
      <c r="C23" s="19"/>
      <c r="D23" s="27"/>
      <c r="E23" s="27"/>
      <c r="F23" s="21"/>
      <c r="G23" s="21"/>
      <c r="H23" s="22" t="str">
        <f aca="false">IF($A23="","",COUNTIF(PART_RISK!$E$5:$E$304,$A23))</f>
        <v/>
      </c>
      <c r="I23" s="25" t="str">
        <f aca="false">IF($A23="","",IF(COUNTIFS(PART_RISK!$E$5:$E$304,$A23,PART_RISK!$O$5:$O$304,"CRITICAL*")&gt;0,"CRITICAL",IF(COUNTIFS(PART_RISK!$E$5:$E$304,$A23,PART_RISK!$O$5:$O$304,"MONITOR")&gt;0,"MONITOR",IF(COUNTIFS(PART_RISK!$E$5:$E$304,$A23,PART_RISK!$O$5:$O$304,"LOW")&gt;0,"LOW","NOT SCORED"))))</f>
        <v/>
      </c>
    </row>
    <row r="24" customFormat="false" ht="15" hidden="false" customHeight="false" outlineLevel="0" collapsed="false">
      <c r="A24" s="19"/>
      <c r="B24" s="19"/>
      <c r="C24" s="19"/>
      <c r="D24" s="27"/>
      <c r="E24" s="27"/>
      <c r="F24" s="21"/>
      <c r="G24" s="21"/>
      <c r="H24" s="22" t="str">
        <f aca="false">IF($A24="","",COUNTIF(PART_RISK!$E$5:$E$304,$A24))</f>
        <v/>
      </c>
      <c r="I24" s="25" t="str">
        <f aca="false">IF($A24="","",IF(COUNTIFS(PART_RISK!$E$5:$E$304,$A24,PART_RISK!$O$5:$O$304,"CRITICAL*")&gt;0,"CRITICAL",IF(COUNTIFS(PART_RISK!$E$5:$E$304,$A24,PART_RISK!$O$5:$O$304,"MONITOR")&gt;0,"MONITOR",IF(COUNTIFS(PART_RISK!$E$5:$E$304,$A24,PART_RISK!$O$5:$O$304,"LOW")&gt;0,"LOW","NOT SCORED"))))</f>
        <v/>
      </c>
    </row>
    <row r="25" customFormat="false" ht="15" hidden="false" customHeight="false" outlineLevel="0" collapsed="false">
      <c r="A25" s="19"/>
      <c r="B25" s="19"/>
      <c r="C25" s="19"/>
      <c r="D25" s="27"/>
      <c r="E25" s="27"/>
      <c r="F25" s="21"/>
      <c r="G25" s="21"/>
      <c r="H25" s="22" t="str">
        <f aca="false">IF($A25="","",COUNTIF(PART_RISK!$E$5:$E$304,$A25))</f>
        <v/>
      </c>
      <c r="I25" s="25" t="str">
        <f aca="false">IF($A25="","",IF(COUNTIFS(PART_RISK!$E$5:$E$304,$A25,PART_RISK!$O$5:$O$304,"CRITICAL*")&gt;0,"CRITICAL",IF(COUNTIFS(PART_RISK!$E$5:$E$304,$A25,PART_RISK!$O$5:$O$304,"MONITOR")&gt;0,"MONITOR",IF(COUNTIFS(PART_RISK!$E$5:$E$304,$A25,PART_RISK!$O$5:$O$304,"LOW")&gt;0,"LOW","NOT SCORED"))))</f>
        <v/>
      </c>
    </row>
    <row r="26" customFormat="false" ht="15" hidden="false" customHeight="false" outlineLevel="0" collapsed="false">
      <c r="A26" s="19"/>
      <c r="B26" s="19"/>
      <c r="C26" s="19"/>
      <c r="D26" s="27"/>
      <c r="E26" s="27"/>
      <c r="F26" s="21"/>
      <c r="G26" s="21"/>
      <c r="H26" s="22" t="str">
        <f aca="false">IF($A26="","",COUNTIF(PART_RISK!$E$5:$E$304,$A26))</f>
        <v/>
      </c>
      <c r="I26" s="25" t="str">
        <f aca="false">IF($A26="","",IF(COUNTIFS(PART_RISK!$E$5:$E$304,$A26,PART_RISK!$O$5:$O$304,"CRITICAL*")&gt;0,"CRITICAL",IF(COUNTIFS(PART_RISK!$E$5:$E$304,$A26,PART_RISK!$O$5:$O$304,"MONITOR")&gt;0,"MONITOR",IF(COUNTIFS(PART_RISK!$E$5:$E$304,$A26,PART_RISK!$O$5:$O$304,"LOW")&gt;0,"LOW","NOT SCORED"))))</f>
        <v/>
      </c>
    </row>
    <row r="27" customFormat="false" ht="15" hidden="false" customHeight="false" outlineLevel="0" collapsed="false">
      <c r="A27" s="19"/>
      <c r="B27" s="19"/>
      <c r="C27" s="19"/>
      <c r="D27" s="27"/>
      <c r="E27" s="27"/>
      <c r="F27" s="21"/>
      <c r="G27" s="21"/>
      <c r="H27" s="22" t="str">
        <f aca="false">IF($A27="","",COUNTIF(PART_RISK!$E$5:$E$304,$A27))</f>
        <v/>
      </c>
      <c r="I27" s="25" t="str">
        <f aca="false">IF($A27="","",IF(COUNTIFS(PART_RISK!$E$5:$E$304,$A27,PART_RISK!$O$5:$O$304,"CRITICAL*")&gt;0,"CRITICAL",IF(COUNTIFS(PART_RISK!$E$5:$E$304,$A27,PART_RISK!$O$5:$O$304,"MONITOR")&gt;0,"MONITOR",IF(COUNTIFS(PART_RISK!$E$5:$E$304,$A27,PART_RISK!$O$5:$O$304,"LOW")&gt;0,"LOW","NOT SCORED"))))</f>
        <v/>
      </c>
    </row>
    <row r="28" customFormat="false" ht="15" hidden="false" customHeight="false" outlineLevel="0" collapsed="false">
      <c r="A28" s="19"/>
      <c r="B28" s="19"/>
      <c r="C28" s="19"/>
      <c r="D28" s="27"/>
      <c r="E28" s="27"/>
      <c r="F28" s="21"/>
      <c r="G28" s="21"/>
      <c r="H28" s="22" t="str">
        <f aca="false">IF($A28="","",COUNTIF(PART_RISK!$E$5:$E$304,$A28))</f>
        <v/>
      </c>
      <c r="I28" s="25" t="str">
        <f aca="false">IF($A28="","",IF(COUNTIFS(PART_RISK!$E$5:$E$304,$A28,PART_RISK!$O$5:$O$304,"CRITICAL*")&gt;0,"CRITICAL",IF(COUNTIFS(PART_RISK!$E$5:$E$304,$A28,PART_RISK!$O$5:$O$304,"MONITOR")&gt;0,"MONITOR",IF(COUNTIFS(PART_RISK!$E$5:$E$304,$A28,PART_RISK!$O$5:$O$304,"LOW")&gt;0,"LOW","NOT SCORED"))))</f>
        <v/>
      </c>
    </row>
    <row r="29" customFormat="false" ht="15" hidden="false" customHeight="false" outlineLevel="0" collapsed="false">
      <c r="A29" s="19"/>
      <c r="B29" s="19"/>
      <c r="C29" s="19"/>
      <c r="D29" s="27"/>
      <c r="E29" s="27"/>
      <c r="F29" s="21"/>
      <c r="G29" s="21"/>
      <c r="H29" s="22" t="str">
        <f aca="false">IF($A29="","",COUNTIF(PART_RISK!$E$5:$E$304,$A29))</f>
        <v/>
      </c>
      <c r="I29" s="25" t="str">
        <f aca="false">IF($A29="","",IF(COUNTIFS(PART_RISK!$E$5:$E$304,$A29,PART_RISK!$O$5:$O$304,"CRITICAL*")&gt;0,"CRITICAL",IF(COUNTIFS(PART_RISK!$E$5:$E$304,$A29,PART_RISK!$O$5:$O$304,"MONITOR")&gt;0,"MONITOR",IF(COUNTIFS(PART_RISK!$E$5:$E$304,$A29,PART_RISK!$O$5:$O$304,"LOW")&gt;0,"LOW","NOT SCORED"))))</f>
        <v/>
      </c>
    </row>
    <row r="30" customFormat="false" ht="15" hidden="false" customHeight="false" outlineLevel="0" collapsed="false">
      <c r="A30" s="19"/>
      <c r="B30" s="19"/>
      <c r="C30" s="19"/>
      <c r="D30" s="27"/>
      <c r="E30" s="27"/>
      <c r="F30" s="21"/>
      <c r="G30" s="21"/>
      <c r="H30" s="22" t="str">
        <f aca="false">IF($A30="","",COUNTIF(PART_RISK!$E$5:$E$304,$A30))</f>
        <v/>
      </c>
      <c r="I30" s="25" t="str">
        <f aca="false">IF($A30="","",IF(COUNTIFS(PART_RISK!$E$5:$E$304,$A30,PART_RISK!$O$5:$O$304,"CRITICAL*")&gt;0,"CRITICAL",IF(COUNTIFS(PART_RISK!$E$5:$E$304,$A30,PART_RISK!$O$5:$O$304,"MONITOR")&gt;0,"MONITOR",IF(COUNTIFS(PART_RISK!$E$5:$E$304,$A30,PART_RISK!$O$5:$O$304,"LOW")&gt;0,"LOW","NOT SCORED"))))</f>
        <v/>
      </c>
    </row>
    <row r="31" customFormat="false" ht="15" hidden="false" customHeight="false" outlineLevel="0" collapsed="false">
      <c r="A31" s="19"/>
      <c r="B31" s="19"/>
      <c r="C31" s="19"/>
      <c r="D31" s="27"/>
      <c r="E31" s="27"/>
      <c r="F31" s="21"/>
      <c r="G31" s="21"/>
      <c r="H31" s="22" t="str">
        <f aca="false">IF($A31="","",COUNTIF(PART_RISK!$E$5:$E$304,$A31))</f>
        <v/>
      </c>
      <c r="I31" s="25" t="str">
        <f aca="false">IF($A31="","",IF(COUNTIFS(PART_RISK!$E$5:$E$304,$A31,PART_RISK!$O$5:$O$304,"CRITICAL*")&gt;0,"CRITICAL",IF(COUNTIFS(PART_RISK!$E$5:$E$304,$A31,PART_RISK!$O$5:$O$304,"MONITOR")&gt;0,"MONITOR",IF(COUNTIFS(PART_RISK!$E$5:$E$304,$A31,PART_RISK!$O$5:$O$304,"LOW")&gt;0,"LOW","NOT SCORED"))))</f>
        <v/>
      </c>
    </row>
    <row r="32" customFormat="false" ht="15" hidden="false" customHeight="false" outlineLevel="0" collapsed="false">
      <c r="A32" s="19"/>
      <c r="B32" s="19"/>
      <c r="C32" s="19"/>
      <c r="D32" s="27"/>
      <c r="E32" s="27"/>
      <c r="F32" s="21"/>
      <c r="G32" s="21"/>
      <c r="H32" s="22" t="str">
        <f aca="false">IF($A32="","",COUNTIF(PART_RISK!$E$5:$E$304,$A32))</f>
        <v/>
      </c>
      <c r="I32" s="25" t="str">
        <f aca="false">IF($A32="","",IF(COUNTIFS(PART_RISK!$E$5:$E$304,$A32,PART_RISK!$O$5:$O$304,"CRITICAL*")&gt;0,"CRITICAL",IF(COUNTIFS(PART_RISK!$E$5:$E$304,$A32,PART_RISK!$O$5:$O$304,"MONITOR")&gt;0,"MONITOR",IF(COUNTIFS(PART_RISK!$E$5:$E$304,$A32,PART_RISK!$O$5:$O$304,"LOW")&gt;0,"LOW","NOT SCORED"))))</f>
        <v/>
      </c>
    </row>
    <row r="33" customFormat="false" ht="15" hidden="false" customHeight="false" outlineLevel="0" collapsed="false">
      <c r="A33" s="19"/>
      <c r="B33" s="19"/>
      <c r="C33" s="19"/>
      <c r="D33" s="27"/>
      <c r="E33" s="27"/>
      <c r="F33" s="21"/>
      <c r="G33" s="21"/>
      <c r="H33" s="22" t="str">
        <f aca="false">IF($A33="","",COUNTIF(PART_RISK!$E$5:$E$304,$A33))</f>
        <v/>
      </c>
      <c r="I33" s="25" t="str">
        <f aca="false">IF($A33="","",IF(COUNTIFS(PART_RISK!$E$5:$E$304,$A33,PART_RISK!$O$5:$O$304,"CRITICAL*")&gt;0,"CRITICAL",IF(COUNTIFS(PART_RISK!$E$5:$E$304,$A33,PART_RISK!$O$5:$O$304,"MONITOR")&gt;0,"MONITOR",IF(COUNTIFS(PART_RISK!$E$5:$E$304,$A33,PART_RISK!$O$5:$O$304,"LOW")&gt;0,"LOW","NOT SCORED"))))</f>
        <v/>
      </c>
    </row>
    <row r="34" customFormat="false" ht="15" hidden="false" customHeight="false" outlineLevel="0" collapsed="false">
      <c r="A34" s="19"/>
      <c r="B34" s="19"/>
      <c r="C34" s="19"/>
      <c r="D34" s="27"/>
      <c r="E34" s="27"/>
      <c r="F34" s="21"/>
      <c r="G34" s="21"/>
      <c r="H34" s="22" t="str">
        <f aca="false">IF($A34="","",COUNTIF(PART_RISK!$E$5:$E$304,$A34))</f>
        <v/>
      </c>
      <c r="I34" s="25" t="str">
        <f aca="false">IF($A34="","",IF(COUNTIFS(PART_RISK!$E$5:$E$304,$A34,PART_RISK!$O$5:$O$304,"CRITICAL*")&gt;0,"CRITICAL",IF(COUNTIFS(PART_RISK!$E$5:$E$304,$A34,PART_RISK!$O$5:$O$304,"MONITOR")&gt;0,"MONITOR",IF(COUNTIFS(PART_RISK!$E$5:$E$304,$A34,PART_RISK!$O$5:$O$304,"LOW")&gt;0,"LOW","NOT SCORED"))))</f>
        <v/>
      </c>
    </row>
    <row r="35" customFormat="false" ht="15" hidden="false" customHeight="false" outlineLevel="0" collapsed="false">
      <c r="A35" s="19"/>
      <c r="B35" s="19"/>
      <c r="C35" s="19"/>
      <c r="D35" s="27"/>
      <c r="E35" s="27"/>
      <c r="F35" s="21"/>
      <c r="G35" s="21"/>
      <c r="H35" s="22" t="str">
        <f aca="false">IF($A35="","",COUNTIF(PART_RISK!$E$5:$E$304,$A35))</f>
        <v/>
      </c>
      <c r="I35" s="25" t="str">
        <f aca="false">IF($A35="","",IF(COUNTIFS(PART_RISK!$E$5:$E$304,$A35,PART_RISK!$O$5:$O$304,"CRITICAL*")&gt;0,"CRITICAL",IF(COUNTIFS(PART_RISK!$E$5:$E$304,$A35,PART_RISK!$O$5:$O$304,"MONITOR")&gt;0,"MONITOR",IF(COUNTIFS(PART_RISK!$E$5:$E$304,$A35,PART_RISK!$O$5:$O$304,"LOW")&gt;0,"LOW","NOT SCORED"))))</f>
        <v/>
      </c>
    </row>
    <row r="36" customFormat="false" ht="15" hidden="false" customHeight="false" outlineLevel="0" collapsed="false">
      <c r="A36" s="19"/>
      <c r="B36" s="19"/>
      <c r="C36" s="19"/>
      <c r="D36" s="27"/>
      <c r="E36" s="27"/>
      <c r="F36" s="21"/>
      <c r="G36" s="21"/>
      <c r="H36" s="22" t="str">
        <f aca="false">IF($A36="","",COUNTIF(PART_RISK!$E$5:$E$304,$A36))</f>
        <v/>
      </c>
      <c r="I36" s="25" t="str">
        <f aca="false">IF($A36="","",IF(COUNTIFS(PART_RISK!$E$5:$E$304,$A36,PART_RISK!$O$5:$O$304,"CRITICAL*")&gt;0,"CRITICAL",IF(COUNTIFS(PART_RISK!$E$5:$E$304,$A36,PART_RISK!$O$5:$O$304,"MONITOR")&gt;0,"MONITOR",IF(COUNTIFS(PART_RISK!$E$5:$E$304,$A36,PART_RISK!$O$5:$O$304,"LOW")&gt;0,"LOW","NOT SCORED"))))</f>
        <v/>
      </c>
    </row>
    <row r="37" customFormat="false" ht="15" hidden="false" customHeight="false" outlineLevel="0" collapsed="false">
      <c r="A37" s="19"/>
      <c r="B37" s="19"/>
      <c r="C37" s="19"/>
      <c r="D37" s="27"/>
      <c r="E37" s="27"/>
      <c r="F37" s="21"/>
      <c r="G37" s="21"/>
      <c r="H37" s="22" t="str">
        <f aca="false">IF($A37="","",COUNTIF(PART_RISK!$E$5:$E$304,$A37))</f>
        <v/>
      </c>
      <c r="I37" s="25" t="str">
        <f aca="false">IF($A37="","",IF(COUNTIFS(PART_RISK!$E$5:$E$304,$A37,PART_RISK!$O$5:$O$304,"CRITICAL*")&gt;0,"CRITICAL",IF(COUNTIFS(PART_RISK!$E$5:$E$304,$A37,PART_RISK!$O$5:$O$304,"MONITOR")&gt;0,"MONITOR",IF(COUNTIFS(PART_RISK!$E$5:$E$304,$A37,PART_RISK!$O$5:$O$304,"LOW")&gt;0,"LOW","NOT SCORED"))))</f>
        <v/>
      </c>
    </row>
    <row r="38" customFormat="false" ht="15" hidden="false" customHeight="false" outlineLevel="0" collapsed="false">
      <c r="A38" s="19"/>
      <c r="B38" s="19"/>
      <c r="C38" s="19"/>
      <c r="D38" s="27"/>
      <c r="E38" s="27"/>
      <c r="F38" s="21"/>
      <c r="G38" s="21"/>
      <c r="H38" s="22" t="str">
        <f aca="false">IF($A38="","",COUNTIF(PART_RISK!$E$5:$E$304,$A38))</f>
        <v/>
      </c>
      <c r="I38" s="25" t="str">
        <f aca="false">IF($A38="","",IF(COUNTIFS(PART_RISK!$E$5:$E$304,$A38,PART_RISK!$O$5:$O$304,"CRITICAL*")&gt;0,"CRITICAL",IF(COUNTIFS(PART_RISK!$E$5:$E$304,$A38,PART_RISK!$O$5:$O$304,"MONITOR")&gt;0,"MONITOR",IF(COUNTIFS(PART_RISK!$E$5:$E$304,$A38,PART_RISK!$O$5:$O$304,"LOW")&gt;0,"LOW","NOT SCORED"))))</f>
        <v/>
      </c>
    </row>
    <row r="39" customFormat="false" ht="15" hidden="false" customHeight="false" outlineLevel="0" collapsed="false">
      <c r="A39" s="19"/>
      <c r="B39" s="19"/>
      <c r="C39" s="19"/>
      <c r="D39" s="27"/>
      <c r="E39" s="27"/>
      <c r="F39" s="21"/>
      <c r="G39" s="21"/>
      <c r="H39" s="22" t="str">
        <f aca="false">IF($A39="","",COUNTIF(PART_RISK!$E$5:$E$304,$A39))</f>
        <v/>
      </c>
      <c r="I39" s="25" t="str">
        <f aca="false">IF($A39="","",IF(COUNTIFS(PART_RISK!$E$5:$E$304,$A39,PART_RISK!$O$5:$O$304,"CRITICAL*")&gt;0,"CRITICAL",IF(COUNTIFS(PART_RISK!$E$5:$E$304,$A39,PART_RISK!$O$5:$O$304,"MONITOR")&gt;0,"MONITOR",IF(COUNTIFS(PART_RISK!$E$5:$E$304,$A39,PART_RISK!$O$5:$O$304,"LOW")&gt;0,"LOW","NOT SCORED"))))</f>
        <v/>
      </c>
    </row>
    <row r="40" customFormat="false" ht="15" hidden="false" customHeight="false" outlineLevel="0" collapsed="false">
      <c r="A40" s="19"/>
      <c r="B40" s="19"/>
      <c r="C40" s="19"/>
      <c r="D40" s="27"/>
      <c r="E40" s="27"/>
      <c r="F40" s="21"/>
      <c r="G40" s="21"/>
      <c r="H40" s="22" t="str">
        <f aca="false">IF($A40="","",COUNTIF(PART_RISK!$E$5:$E$304,$A40))</f>
        <v/>
      </c>
      <c r="I40" s="25" t="str">
        <f aca="false">IF($A40="","",IF(COUNTIFS(PART_RISK!$E$5:$E$304,$A40,PART_RISK!$O$5:$O$304,"CRITICAL*")&gt;0,"CRITICAL",IF(COUNTIFS(PART_RISK!$E$5:$E$304,$A40,PART_RISK!$O$5:$O$304,"MONITOR")&gt;0,"MONITOR",IF(COUNTIFS(PART_RISK!$E$5:$E$304,$A40,PART_RISK!$O$5:$O$304,"LOW")&gt;0,"LOW","NOT SCORED"))))</f>
        <v/>
      </c>
    </row>
    <row r="41" customFormat="false" ht="15" hidden="false" customHeight="false" outlineLevel="0" collapsed="false">
      <c r="A41" s="19"/>
      <c r="B41" s="19"/>
      <c r="C41" s="19"/>
      <c r="D41" s="27"/>
      <c r="E41" s="27"/>
      <c r="F41" s="21"/>
      <c r="G41" s="21"/>
      <c r="H41" s="22" t="str">
        <f aca="false">IF($A41="","",COUNTIF(PART_RISK!$E$5:$E$304,$A41))</f>
        <v/>
      </c>
      <c r="I41" s="25" t="str">
        <f aca="false">IF($A41="","",IF(COUNTIFS(PART_RISK!$E$5:$E$304,$A41,PART_RISK!$O$5:$O$304,"CRITICAL*")&gt;0,"CRITICAL",IF(COUNTIFS(PART_RISK!$E$5:$E$304,$A41,PART_RISK!$O$5:$O$304,"MONITOR")&gt;0,"MONITOR",IF(COUNTIFS(PART_RISK!$E$5:$E$304,$A41,PART_RISK!$O$5:$O$304,"LOW")&gt;0,"LOW","NOT SCORED"))))</f>
        <v/>
      </c>
    </row>
    <row r="42" customFormat="false" ht="15" hidden="false" customHeight="false" outlineLevel="0" collapsed="false">
      <c r="A42" s="19"/>
      <c r="B42" s="19"/>
      <c r="C42" s="19"/>
      <c r="D42" s="27"/>
      <c r="E42" s="27"/>
      <c r="F42" s="21"/>
      <c r="G42" s="21"/>
      <c r="H42" s="22" t="str">
        <f aca="false">IF($A42="","",COUNTIF(PART_RISK!$E$5:$E$304,$A42))</f>
        <v/>
      </c>
      <c r="I42" s="25" t="str">
        <f aca="false">IF($A42="","",IF(COUNTIFS(PART_RISK!$E$5:$E$304,$A42,PART_RISK!$O$5:$O$304,"CRITICAL*")&gt;0,"CRITICAL",IF(COUNTIFS(PART_RISK!$E$5:$E$304,$A42,PART_RISK!$O$5:$O$304,"MONITOR")&gt;0,"MONITOR",IF(COUNTIFS(PART_RISK!$E$5:$E$304,$A42,PART_RISK!$O$5:$O$304,"LOW")&gt;0,"LOW","NOT SCORED"))))</f>
        <v/>
      </c>
    </row>
    <row r="43" customFormat="false" ht="15" hidden="false" customHeight="false" outlineLevel="0" collapsed="false">
      <c r="A43" s="19"/>
      <c r="B43" s="19"/>
      <c r="C43" s="19"/>
      <c r="D43" s="27"/>
      <c r="E43" s="27"/>
      <c r="F43" s="21"/>
      <c r="G43" s="21"/>
      <c r="H43" s="22" t="str">
        <f aca="false">IF($A43="","",COUNTIF(PART_RISK!$E$5:$E$304,$A43))</f>
        <v/>
      </c>
      <c r="I43" s="25" t="str">
        <f aca="false">IF($A43="","",IF(COUNTIFS(PART_RISK!$E$5:$E$304,$A43,PART_RISK!$O$5:$O$304,"CRITICAL*")&gt;0,"CRITICAL",IF(COUNTIFS(PART_RISK!$E$5:$E$304,$A43,PART_RISK!$O$5:$O$304,"MONITOR")&gt;0,"MONITOR",IF(COUNTIFS(PART_RISK!$E$5:$E$304,$A43,PART_RISK!$O$5:$O$304,"LOW")&gt;0,"LOW","NOT SCORED"))))</f>
        <v/>
      </c>
    </row>
    <row r="44" customFormat="false" ht="15" hidden="false" customHeight="false" outlineLevel="0" collapsed="false">
      <c r="A44" s="19"/>
      <c r="B44" s="19"/>
      <c r="C44" s="19"/>
      <c r="D44" s="27"/>
      <c r="E44" s="27"/>
      <c r="F44" s="21"/>
      <c r="G44" s="21"/>
      <c r="H44" s="22" t="str">
        <f aca="false">IF($A44="","",COUNTIF(PART_RISK!$E$5:$E$304,$A44))</f>
        <v/>
      </c>
      <c r="I44" s="25" t="str">
        <f aca="false">IF($A44="","",IF(COUNTIFS(PART_RISK!$E$5:$E$304,$A44,PART_RISK!$O$5:$O$304,"CRITICAL*")&gt;0,"CRITICAL",IF(COUNTIFS(PART_RISK!$E$5:$E$304,$A44,PART_RISK!$O$5:$O$304,"MONITOR")&gt;0,"MONITOR",IF(COUNTIFS(PART_RISK!$E$5:$E$304,$A44,PART_RISK!$O$5:$O$304,"LOW")&gt;0,"LOW","NOT SCORED"))))</f>
        <v/>
      </c>
    </row>
    <row r="45" customFormat="false" ht="15" hidden="false" customHeight="false" outlineLevel="0" collapsed="false">
      <c r="A45" s="19"/>
      <c r="B45" s="19"/>
      <c r="C45" s="19"/>
      <c r="D45" s="27"/>
      <c r="E45" s="27"/>
      <c r="F45" s="21"/>
      <c r="G45" s="21"/>
      <c r="H45" s="22" t="str">
        <f aca="false">IF($A45="","",COUNTIF(PART_RISK!$E$5:$E$304,$A45))</f>
        <v/>
      </c>
      <c r="I45" s="25" t="str">
        <f aca="false">IF($A45="","",IF(COUNTIFS(PART_RISK!$E$5:$E$304,$A45,PART_RISK!$O$5:$O$304,"CRITICAL*")&gt;0,"CRITICAL",IF(COUNTIFS(PART_RISK!$E$5:$E$304,$A45,PART_RISK!$O$5:$O$304,"MONITOR")&gt;0,"MONITOR",IF(COUNTIFS(PART_RISK!$E$5:$E$304,$A45,PART_RISK!$O$5:$O$304,"LOW")&gt;0,"LOW","NOT SCORED"))))</f>
        <v/>
      </c>
    </row>
    <row r="46" customFormat="false" ht="15" hidden="false" customHeight="false" outlineLevel="0" collapsed="false">
      <c r="A46" s="19"/>
      <c r="B46" s="19"/>
      <c r="C46" s="19"/>
      <c r="D46" s="27"/>
      <c r="E46" s="27"/>
      <c r="F46" s="21"/>
      <c r="G46" s="21"/>
      <c r="H46" s="22" t="str">
        <f aca="false">IF($A46="","",COUNTIF(PART_RISK!$E$5:$E$304,$A46))</f>
        <v/>
      </c>
      <c r="I46" s="25" t="str">
        <f aca="false">IF($A46="","",IF(COUNTIFS(PART_RISK!$E$5:$E$304,$A46,PART_RISK!$O$5:$O$304,"CRITICAL*")&gt;0,"CRITICAL",IF(COUNTIFS(PART_RISK!$E$5:$E$304,$A46,PART_RISK!$O$5:$O$304,"MONITOR")&gt;0,"MONITOR",IF(COUNTIFS(PART_RISK!$E$5:$E$304,$A46,PART_RISK!$O$5:$O$304,"LOW")&gt;0,"LOW","NOT SCORED"))))</f>
        <v/>
      </c>
    </row>
    <row r="47" customFormat="false" ht="15" hidden="false" customHeight="false" outlineLevel="0" collapsed="false">
      <c r="A47" s="19"/>
      <c r="B47" s="19"/>
      <c r="C47" s="19"/>
      <c r="D47" s="27"/>
      <c r="E47" s="27"/>
      <c r="F47" s="21"/>
      <c r="G47" s="21"/>
      <c r="H47" s="22" t="str">
        <f aca="false">IF($A47="","",COUNTIF(PART_RISK!$E$5:$E$304,$A47))</f>
        <v/>
      </c>
      <c r="I47" s="25" t="str">
        <f aca="false">IF($A47="","",IF(COUNTIFS(PART_RISK!$E$5:$E$304,$A47,PART_RISK!$O$5:$O$304,"CRITICAL*")&gt;0,"CRITICAL",IF(COUNTIFS(PART_RISK!$E$5:$E$304,$A47,PART_RISK!$O$5:$O$304,"MONITOR")&gt;0,"MONITOR",IF(COUNTIFS(PART_RISK!$E$5:$E$304,$A47,PART_RISK!$O$5:$O$304,"LOW")&gt;0,"LOW","NOT SCORED"))))</f>
        <v/>
      </c>
    </row>
    <row r="48" customFormat="false" ht="15" hidden="false" customHeight="false" outlineLevel="0" collapsed="false">
      <c r="A48" s="19"/>
      <c r="B48" s="19"/>
      <c r="C48" s="19"/>
      <c r="D48" s="27"/>
      <c r="E48" s="27"/>
      <c r="F48" s="21"/>
      <c r="G48" s="21"/>
      <c r="H48" s="22" t="str">
        <f aca="false">IF($A48="","",COUNTIF(PART_RISK!$E$5:$E$304,$A48))</f>
        <v/>
      </c>
      <c r="I48" s="25" t="str">
        <f aca="false">IF($A48="","",IF(COUNTIFS(PART_RISK!$E$5:$E$304,$A48,PART_RISK!$O$5:$O$304,"CRITICAL*")&gt;0,"CRITICAL",IF(COUNTIFS(PART_RISK!$E$5:$E$304,$A48,PART_RISK!$O$5:$O$304,"MONITOR")&gt;0,"MONITOR",IF(COUNTIFS(PART_RISK!$E$5:$E$304,$A48,PART_RISK!$O$5:$O$304,"LOW")&gt;0,"LOW","NOT SCORED"))))</f>
        <v/>
      </c>
    </row>
    <row r="49" customFormat="false" ht="15" hidden="false" customHeight="false" outlineLevel="0" collapsed="false">
      <c r="A49" s="19"/>
      <c r="B49" s="19"/>
      <c r="C49" s="19"/>
      <c r="D49" s="27"/>
      <c r="E49" s="27"/>
      <c r="F49" s="21"/>
      <c r="G49" s="21"/>
      <c r="H49" s="22" t="str">
        <f aca="false">IF($A49="","",COUNTIF(PART_RISK!$E$5:$E$304,$A49))</f>
        <v/>
      </c>
      <c r="I49" s="25" t="str">
        <f aca="false">IF($A49="","",IF(COUNTIFS(PART_RISK!$E$5:$E$304,$A49,PART_RISK!$O$5:$O$304,"CRITICAL*")&gt;0,"CRITICAL",IF(COUNTIFS(PART_RISK!$E$5:$E$304,$A49,PART_RISK!$O$5:$O$304,"MONITOR")&gt;0,"MONITOR",IF(COUNTIFS(PART_RISK!$E$5:$E$304,$A49,PART_RISK!$O$5:$O$304,"LOW")&gt;0,"LOW","NOT SCORED"))))</f>
        <v/>
      </c>
    </row>
    <row r="50" customFormat="false" ht="15" hidden="false" customHeight="false" outlineLevel="0" collapsed="false">
      <c r="A50" s="19"/>
      <c r="B50" s="19"/>
      <c r="C50" s="19"/>
      <c r="D50" s="27"/>
      <c r="E50" s="27"/>
      <c r="F50" s="21"/>
      <c r="G50" s="21"/>
      <c r="H50" s="22" t="str">
        <f aca="false">IF($A50="","",COUNTIF(PART_RISK!$E$5:$E$304,$A50))</f>
        <v/>
      </c>
      <c r="I50" s="25" t="str">
        <f aca="false">IF($A50="","",IF(COUNTIFS(PART_RISK!$E$5:$E$304,$A50,PART_RISK!$O$5:$O$304,"CRITICAL*")&gt;0,"CRITICAL",IF(COUNTIFS(PART_RISK!$E$5:$E$304,$A50,PART_RISK!$O$5:$O$304,"MONITOR")&gt;0,"MONITOR",IF(COUNTIFS(PART_RISK!$E$5:$E$304,$A50,PART_RISK!$O$5:$O$304,"LOW")&gt;0,"LOW","NOT SCORED"))))</f>
        <v/>
      </c>
    </row>
    <row r="51" customFormat="false" ht="15" hidden="false" customHeight="false" outlineLevel="0" collapsed="false">
      <c r="A51" s="19"/>
      <c r="B51" s="19"/>
      <c r="C51" s="19"/>
      <c r="D51" s="27"/>
      <c r="E51" s="27"/>
      <c r="F51" s="21"/>
      <c r="G51" s="21"/>
      <c r="H51" s="22" t="str">
        <f aca="false">IF($A51="","",COUNTIF(PART_RISK!$E$5:$E$304,$A51))</f>
        <v/>
      </c>
      <c r="I51" s="25" t="str">
        <f aca="false">IF($A51="","",IF(COUNTIFS(PART_RISK!$E$5:$E$304,$A51,PART_RISK!$O$5:$O$304,"CRITICAL*")&gt;0,"CRITICAL",IF(COUNTIFS(PART_RISK!$E$5:$E$304,$A51,PART_RISK!$O$5:$O$304,"MONITOR")&gt;0,"MONITOR",IF(COUNTIFS(PART_RISK!$E$5:$E$304,$A51,PART_RISK!$O$5:$O$304,"LOW")&gt;0,"LOW","NOT SCORED"))))</f>
        <v/>
      </c>
    </row>
    <row r="52" customFormat="false" ht="15" hidden="false" customHeight="false" outlineLevel="0" collapsed="false">
      <c r="A52" s="19"/>
      <c r="B52" s="19"/>
      <c r="C52" s="19"/>
      <c r="D52" s="27"/>
      <c r="E52" s="27"/>
      <c r="F52" s="21"/>
      <c r="G52" s="21"/>
      <c r="H52" s="22" t="str">
        <f aca="false">IF($A52="","",COUNTIF(PART_RISK!$E$5:$E$304,$A52))</f>
        <v/>
      </c>
      <c r="I52" s="25" t="str">
        <f aca="false">IF($A52="","",IF(COUNTIFS(PART_RISK!$E$5:$E$304,$A52,PART_RISK!$O$5:$O$304,"CRITICAL*")&gt;0,"CRITICAL",IF(COUNTIFS(PART_RISK!$E$5:$E$304,$A52,PART_RISK!$O$5:$O$304,"MONITOR")&gt;0,"MONITOR",IF(COUNTIFS(PART_RISK!$E$5:$E$304,$A52,PART_RISK!$O$5:$O$304,"LOW")&gt;0,"LOW","NOT SCORED"))))</f>
        <v/>
      </c>
    </row>
    <row r="53" customFormat="false" ht="15" hidden="false" customHeight="false" outlineLevel="0" collapsed="false">
      <c r="A53" s="19"/>
      <c r="B53" s="19"/>
      <c r="C53" s="19"/>
      <c r="D53" s="27"/>
      <c r="E53" s="27"/>
      <c r="F53" s="21"/>
      <c r="G53" s="21"/>
      <c r="H53" s="22" t="str">
        <f aca="false">IF($A53="","",COUNTIF(PART_RISK!$E$5:$E$304,$A53))</f>
        <v/>
      </c>
      <c r="I53" s="25" t="str">
        <f aca="false">IF($A53="","",IF(COUNTIFS(PART_RISK!$E$5:$E$304,$A53,PART_RISK!$O$5:$O$304,"CRITICAL*")&gt;0,"CRITICAL",IF(COUNTIFS(PART_RISK!$E$5:$E$304,$A53,PART_RISK!$O$5:$O$304,"MONITOR")&gt;0,"MONITOR",IF(COUNTIFS(PART_RISK!$E$5:$E$304,$A53,PART_RISK!$O$5:$O$304,"LOW")&gt;0,"LOW","NOT SCORED"))))</f>
        <v/>
      </c>
    </row>
    <row r="54" customFormat="false" ht="15" hidden="false" customHeight="false" outlineLevel="0" collapsed="false">
      <c r="A54" s="19"/>
      <c r="B54" s="19"/>
      <c r="C54" s="19"/>
      <c r="D54" s="27"/>
      <c r="E54" s="27"/>
      <c r="F54" s="21"/>
      <c r="G54" s="21"/>
      <c r="H54" s="22" t="str">
        <f aca="false">IF($A54="","",COUNTIF(PART_RISK!$E$5:$E$304,$A54))</f>
        <v/>
      </c>
      <c r="I54" s="25" t="str">
        <f aca="false">IF($A54="","",IF(COUNTIFS(PART_RISK!$E$5:$E$304,$A54,PART_RISK!$O$5:$O$304,"CRITICAL*")&gt;0,"CRITICAL",IF(COUNTIFS(PART_RISK!$E$5:$E$304,$A54,PART_RISK!$O$5:$O$304,"MONITOR")&gt;0,"MONITOR",IF(COUNTIFS(PART_RISK!$E$5:$E$304,$A54,PART_RISK!$O$5:$O$304,"LOW")&gt;0,"LOW","NOT SCORED"))))</f>
        <v/>
      </c>
    </row>
    <row r="55" customFormat="false" ht="15" hidden="false" customHeight="false" outlineLevel="0" collapsed="false">
      <c r="A55" s="19"/>
      <c r="B55" s="19"/>
      <c r="C55" s="19"/>
      <c r="D55" s="27"/>
      <c r="E55" s="27"/>
      <c r="F55" s="21"/>
      <c r="G55" s="21"/>
      <c r="H55" s="22" t="str">
        <f aca="false">IF($A55="","",COUNTIF(PART_RISK!$E$5:$E$304,$A55))</f>
        <v/>
      </c>
      <c r="I55" s="25" t="str">
        <f aca="false">IF($A55="","",IF(COUNTIFS(PART_RISK!$E$5:$E$304,$A55,PART_RISK!$O$5:$O$304,"CRITICAL*")&gt;0,"CRITICAL",IF(COUNTIFS(PART_RISK!$E$5:$E$304,$A55,PART_RISK!$O$5:$O$304,"MONITOR")&gt;0,"MONITOR",IF(COUNTIFS(PART_RISK!$E$5:$E$304,$A55,PART_RISK!$O$5:$O$304,"LOW")&gt;0,"LOW","NOT SCORED"))))</f>
        <v/>
      </c>
    </row>
    <row r="56" customFormat="false" ht="15" hidden="false" customHeight="false" outlineLevel="0" collapsed="false">
      <c r="A56" s="19"/>
      <c r="B56" s="19"/>
      <c r="C56" s="19"/>
      <c r="D56" s="27"/>
      <c r="E56" s="27"/>
      <c r="F56" s="21"/>
      <c r="G56" s="21"/>
      <c r="H56" s="22" t="str">
        <f aca="false">IF($A56="","",COUNTIF(PART_RISK!$E$5:$E$304,$A56))</f>
        <v/>
      </c>
      <c r="I56" s="25" t="str">
        <f aca="false">IF($A56="","",IF(COUNTIFS(PART_RISK!$E$5:$E$304,$A56,PART_RISK!$O$5:$O$304,"CRITICAL*")&gt;0,"CRITICAL",IF(COUNTIFS(PART_RISK!$E$5:$E$304,$A56,PART_RISK!$O$5:$O$304,"MONITOR")&gt;0,"MONITOR",IF(COUNTIFS(PART_RISK!$E$5:$E$304,$A56,PART_RISK!$O$5:$O$304,"LOW")&gt;0,"LOW","NOT SCORED"))))</f>
        <v/>
      </c>
    </row>
    <row r="57" customFormat="false" ht="15" hidden="false" customHeight="false" outlineLevel="0" collapsed="false">
      <c r="A57" s="19"/>
      <c r="B57" s="19"/>
      <c r="C57" s="19"/>
      <c r="D57" s="27"/>
      <c r="E57" s="27"/>
      <c r="F57" s="21"/>
      <c r="G57" s="21"/>
      <c r="H57" s="22" t="str">
        <f aca="false">IF($A57="","",COUNTIF(PART_RISK!$E$5:$E$304,$A57))</f>
        <v/>
      </c>
      <c r="I57" s="25" t="str">
        <f aca="false">IF($A57="","",IF(COUNTIFS(PART_RISK!$E$5:$E$304,$A57,PART_RISK!$O$5:$O$304,"CRITICAL*")&gt;0,"CRITICAL",IF(COUNTIFS(PART_RISK!$E$5:$E$304,$A57,PART_RISK!$O$5:$O$304,"MONITOR")&gt;0,"MONITOR",IF(COUNTIFS(PART_RISK!$E$5:$E$304,$A57,PART_RISK!$O$5:$O$304,"LOW")&gt;0,"LOW","NOT SCORED"))))</f>
        <v/>
      </c>
    </row>
    <row r="58" customFormat="false" ht="15" hidden="false" customHeight="false" outlineLevel="0" collapsed="false">
      <c r="A58" s="19"/>
      <c r="B58" s="19"/>
      <c r="C58" s="19"/>
      <c r="D58" s="27"/>
      <c r="E58" s="27"/>
      <c r="F58" s="21"/>
      <c r="G58" s="21"/>
      <c r="H58" s="22" t="str">
        <f aca="false">IF($A58="","",COUNTIF(PART_RISK!$E$5:$E$304,$A58))</f>
        <v/>
      </c>
      <c r="I58" s="25" t="str">
        <f aca="false">IF($A58="","",IF(COUNTIFS(PART_RISK!$E$5:$E$304,$A58,PART_RISK!$O$5:$O$304,"CRITICAL*")&gt;0,"CRITICAL",IF(COUNTIFS(PART_RISK!$E$5:$E$304,$A58,PART_RISK!$O$5:$O$304,"MONITOR")&gt;0,"MONITOR",IF(COUNTIFS(PART_RISK!$E$5:$E$304,$A58,PART_RISK!$O$5:$O$304,"LOW")&gt;0,"LOW","NOT SCORED"))))</f>
        <v/>
      </c>
    </row>
    <row r="59" customFormat="false" ht="15" hidden="false" customHeight="false" outlineLevel="0" collapsed="false">
      <c r="A59" s="19"/>
      <c r="B59" s="19"/>
      <c r="C59" s="19"/>
      <c r="D59" s="27"/>
      <c r="E59" s="27"/>
      <c r="F59" s="21"/>
      <c r="G59" s="21"/>
      <c r="H59" s="22" t="str">
        <f aca="false">IF($A59="","",COUNTIF(PART_RISK!$E$5:$E$304,$A59))</f>
        <v/>
      </c>
      <c r="I59" s="25" t="str">
        <f aca="false">IF($A59="","",IF(COUNTIFS(PART_RISK!$E$5:$E$304,$A59,PART_RISK!$O$5:$O$304,"CRITICAL*")&gt;0,"CRITICAL",IF(COUNTIFS(PART_RISK!$E$5:$E$304,$A59,PART_RISK!$O$5:$O$304,"MONITOR")&gt;0,"MONITOR",IF(COUNTIFS(PART_RISK!$E$5:$E$304,$A59,PART_RISK!$O$5:$O$304,"LOW")&gt;0,"LOW","NOT SCORED"))))</f>
        <v/>
      </c>
    </row>
    <row r="60" customFormat="false" ht="15" hidden="false" customHeight="false" outlineLevel="0" collapsed="false">
      <c r="A60" s="19"/>
      <c r="B60" s="19"/>
      <c r="C60" s="19"/>
      <c r="D60" s="27"/>
      <c r="E60" s="27"/>
      <c r="F60" s="21"/>
      <c r="G60" s="21"/>
      <c r="H60" s="22" t="str">
        <f aca="false">IF($A60="","",COUNTIF(PART_RISK!$E$5:$E$304,$A60))</f>
        <v/>
      </c>
      <c r="I60" s="25" t="str">
        <f aca="false">IF($A60="","",IF(COUNTIFS(PART_RISK!$E$5:$E$304,$A60,PART_RISK!$O$5:$O$304,"CRITICAL*")&gt;0,"CRITICAL",IF(COUNTIFS(PART_RISK!$E$5:$E$304,$A60,PART_RISK!$O$5:$O$304,"MONITOR")&gt;0,"MONITOR",IF(COUNTIFS(PART_RISK!$E$5:$E$304,$A60,PART_RISK!$O$5:$O$304,"LOW")&gt;0,"LOW","NOT SCORED"))))</f>
        <v/>
      </c>
    </row>
    <row r="61" customFormat="false" ht="15" hidden="false" customHeight="false" outlineLevel="0" collapsed="false">
      <c r="A61" s="19"/>
      <c r="B61" s="19"/>
      <c r="C61" s="19"/>
      <c r="D61" s="27"/>
      <c r="E61" s="27"/>
      <c r="F61" s="21"/>
      <c r="G61" s="21"/>
      <c r="H61" s="22" t="str">
        <f aca="false">IF($A61="","",COUNTIF(PART_RISK!$E$5:$E$304,$A61))</f>
        <v/>
      </c>
      <c r="I61" s="25" t="str">
        <f aca="false">IF($A61="","",IF(COUNTIFS(PART_RISK!$E$5:$E$304,$A61,PART_RISK!$O$5:$O$304,"CRITICAL*")&gt;0,"CRITICAL",IF(COUNTIFS(PART_RISK!$E$5:$E$304,$A61,PART_RISK!$O$5:$O$304,"MONITOR")&gt;0,"MONITOR",IF(COUNTIFS(PART_RISK!$E$5:$E$304,$A61,PART_RISK!$O$5:$O$304,"LOW")&gt;0,"LOW","NOT SCORED"))))</f>
        <v/>
      </c>
    </row>
    <row r="62" customFormat="false" ht="15" hidden="false" customHeight="false" outlineLevel="0" collapsed="false">
      <c r="A62" s="19"/>
      <c r="B62" s="19"/>
      <c r="C62" s="19"/>
      <c r="D62" s="27"/>
      <c r="E62" s="27"/>
      <c r="F62" s="21"/>
      <c r="G62" s="21"/>
      <c r="H62" s="22" t="str">
        <f aca="false">IF($A62="","",COUNTIF(PART_RISK!$E$5:$E$304,$A62))</f>
        <v/>
      </c>
      <c r="I62" s="25" t="str">
        <f aca="false">IF($A62="","",IF(COUNTIFS(PART_RISK!$E$5:$E$304,$A62,PART_RISK!$O$5:$O$304,"CRITICAL*")&gt;0,"CRITICAL",IF(COUNTIFS(PART_RISK!$E$5:$E$304,$A62,PART_RISK!$O$5:$O$304,"MONITOR")&gt;0,"MONITOR",IF(COUNTIFS(PART_RISK!$E$5:$E$304,$A62,PART_RISK!$O$5:$O$304,"LOW")&gt;0,"LOW","NOT SCORED"))))</f>
        <v/>
      </c>
    </row>
    <row r="63" customFormat="false" ht="15" hidden="false" customHeight="false" outlineLevel="0" collapsed="false">
      <c r="A63" s="19"/>
      <c r="B63" s="19"/>
      <c r="C63" s="19"/>
      <c r="D63" s="27"/>
      <c r="E63" s="27"/>
      <c r="F63" s="21"/>
      <c r="G63" s="21"/>
      <c r="H63" s="22" t="str">
        <f aca="false">IF($A63="","",COUNTIF(PART_RISK!$E$5:$E$304,$A63))</f>
        <v/>
      </c>
      <c r="I63" s="25" t="str">
        <f aca="false">IF($A63="","",IF(COUNTIFS(PART_RISK!$E$5:$E$304,$A63,PART_RISK!$O$5:$O$304,"CRITICAL*")&gt;0,"CRITICAL",IF(COUNTIFS(PART_RISK!$E$5:$E$304,$A63,PART_RISK!$O$5:$O$304,"MONITOR")&gt;0,"MONITOR",IF(COUNTIFS(PART_RISK!$E$5:$E$304,$A63,PART_RISK!$O$5:$O$304,"LOW")&gt;0,"LOW","NOT SCORED"))))</f>
        <v/>
      </c>
    </row>
  </sheetData>
  <conditionalFormatting sqref="I4:I63">
    <cfRule type="containsText" priority="2" operator="containsText" aboveAverage="0" equalAverage="0" bottom="0" percent="0" rank="0" text="CRITICAL" dxfId="0">
      <formula>NOT(ISERROR(SEARCH("CRITICAL",I4)))</formula>
    </cfRule>
    <cfRule type="containsText" priority="3" operator="containsText" aboveAverage="0" equalAverage="0" bottom="0" percent="0" rank="0" text="MONITOR" dxfId="1">
      <formula>NOT(ISERROR(SEARCH("MONITOR",I4)))</formula>
    </cfRule>
    <cfRule type="containsText" priority="4" operator="containsText" aboveAverage="0" equalAverage="0" bottom="0" percent="0" rank="0" text="LOW" dxfId="2">
      <formula>NOT(ISERROR(SEARCH("LOW",I4)))</formula>
    </cfRule>
  </conditionalFormatting>
  <dataValidations count="2">
    <dataValidation allowBlank="true" errorStyle="stop" operator="between" showDropDown="false" showErrorMessage="false" showInputMessage="false" sqref="C4:C63" type="list">
      <formula1>StatusList</formula1>
      <formula2>0</formula2>
    </dataValidation>
    <dataValidation allowBlank="true" errorStyle="stop" operator="between" showDropDown="false" showErrorMessage="false" showInputMessage="false" sqref="D4:E63" type="list">
      <formula1>Score15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3" customFormat="false" ht="15" hidden="false" customHeight="false" outlineLevel="0" collapsed="false">
      <c r="A3" s="5" t="s">
        <v>133</v>
      </c>
      <c r="B3" s="5" t="s">
        <v>38</v>
      </c>
      <c r="C3" s="5" t="s">
        <v>134</v>
      </c>
      <c r="D3" s="5" t="s">
        <v>28</v>
      </c>
      <c r="E3" s="5" t="s">
        <v>20</v>
      </c>
      <c r="F3" s="5" t="s">
        <v>21</v>
      </c>
      <c r="G3" s="5" t="s">
        <v>22</v>
      </c>
      <c r="H3" s="5" t="s">
        <v>135</v>
      </c>
      <c r="I3" s="5" t="s">
        <v>136</v>
      </c>
      <c r="J3" s="5" t="s">
        <v>137</v>
      </c>
    </row>
    <row r="4" customFormat="false" ht="15" hidden="false" customHeight="false" outlineLevel="0" collapsed="false">
      <c r="A4" s="19" t="s">
        <v>34</v>
      </c>
      <c r="B4" s="21" t="s">
        <v>138</v>
      </c>
      <c r="C4" s="22" t="str">
        <f aca="false">IF($A4="","",IF(COUNTIFS(PART_RISK!$D$5:$D$304,"Tissue*",PART_RISK!$A$5:$A$304,$A4)&gt;0,"Yes","No"))</f>
        <v>Yes</v>
      </c>
      <c r="D4" s="22" t="n">
        <f aca="false">IF($A4="","",COUNTIF(PART_RISK!$A$5:$A$304,$A4))</f>
        <v>4</v>
      </c>
      <c r="E4" s="22" t="n">
        <f aca="false">IF($A4="","",COUNTIFS(PART_RISK!$A$5:$A$304,$A4,PART_RISK!$O$5:$O$304,"CRITICAL*"))</f>
        <v>2</v>
      </c>
      <c r="F4" s="22" t="n">
        <f aca="false">IF($A4="","",COUNTIFS(PART_RISK!$A$5:$A$304,$A4,PART_RISK!$O$5:$O$304,"MONITOR"))</f>
        <v>1</v>
      </c>
      <c r="G4" s="22" t="n">
        <f aca="false">IF($A4="","",COUNTIFS(PART_RISK!$A$5:$A$304,$A4,PART_RISK!$O$5:$O$304,"LOW"))</f>
        <v>1</v>
      </c>
      <c r="H4" s="22" t="n">
        <f aca="false">IF($A4="","",COUNTIFS(PART_RISK!$A$5:$A$304,$A4,PART_RISK!$O$5:$O$304,"NOT SCORED"))</f>
        <v>0</v>
      </c>
      <c r="I4" s="23" t="n">
        <f aca="false">IF($A4="","",IF($E4+$F4+$G4=0,"",_xlfn.MAXIFS(PART_RISK!$N$5:$N$304,PART_RISK!$A$5:$A$304,$A4)))</f>
        <v>20.5</v>
      </c>
      <c r="J4" s="25" t="str">
        <f aca="false">IF($A4="","",IF($E4&gt;0,"CRITICAL",IF($F4&gt;0,"MONITOR",IF($G4&gt;0,"LOW","NOT SCORED"))))</f>
        <v>CRITICAL</v>
      </c>
    </row>
    <row r="5" customFormat="false" ht="15" hidden="false" customHeight="false" outlineLevel="0" collapsed="false">
      <c r="A5" s="19" t="s">
        <v>93</v>
      </c>
      <c r="B5" s="21" t="s">
        <v>139</v>
      </c>
      <c r="C5" s="22" t="str">
        <f aca="false">IF($A5="","",IF(COUNTIFS(PART_RISK!$D$5:$D$304,"Tissue*",PART_RISK!$A$5:$A$304,$A5)&gt;0,"Yes","No"))</f>
        <v>No</v>
      </c>
      <c r="D5" s="22" t="n">
        <f aca="false">IF($A5="","",COUNTIF(PART_RISK!$A$5:$A$304,$A5))</f>
        <v>2</v>
      </c>
      <c r="E5" s="22" t="n">
        <f aca="false">IF($A5="","",COUNTIFS(PART_RISK!$A$5:$A$304,$A5,PART_RISK!$O$5:$O$304,"CRITICAL*"))</f>
        <v>0</v>
      </c>
      <c r="F5" s="22" t="n">
        <f aca="false">IF($A5="","",COUNTIFS(PART_RISK!$A$5:$A$304,$A5,PART_RISK!$O$5:$O$304,"MONITOR"))</f>
        <v>2</v>
      </c>
      <c r="G5" s="22" t="n">
        <f aca="false">IF($A5="","",COUNTIFS(PART_RISK!$A$5:$A$304,$A5,PART_RISK!$O$5:$O$304,"LOW"))</f>
        <v>0</v>
      </c>
      <c r="H5" s="22" t="n">
        <f aca="false">IF($A5="","",COUNTIFS(PART_RISK!$A$5:$A$304,$A5,PART_RISK!$O$5:$O$304,"NOT SCORED"))</f>
        <v>0</v>
      </c>
      <c r="I5" s="23" t="n">
        <f aca="false">IF($A5="","",IF($E5+$F5+$G5=0,"",_xlfn.MAXIFS(PART_RISK!$N$5:$N$304,PART_RISK!$A$5:$A$304,$A5)))</f>
        <v>11.6</v>
      </c>
      <c r="J5" s="25" t="str">
        <f aca="false">IF($A5="","",IF($E5&gt;0,"CRITICAL",IF($F5&gt;0,"MONITOR",IF($G5&gt;0,"LOW","NOT SCORED"))))</f>
        <v>MONITOR</v>
      </c>
    </row>
    <row r="6" customFormat="false" ht="15" hidden="false" customHeight="false" outlineLevel="0" collapsed="false">
      <c r="A6" s="19"/>
      <c r="B6" s="21"/>
      <c r="C6" s="22" t="str">
        <f aca="false">IF($A6="","",IF(COUNTIFS(PART_RISK!$D$5:$D$304,"Tissue*",PART_RISK!$A$5:$A$304,$A6)&gt;0,"Yes","No"))</f>
        <v/>
      </c>
      <c r="D6" s="22" t="str">
        <f aca="false">IF($A6="","",COUNTIF(PART_RISK!$A$5:$A$304,$A6))</f>
        <v/>
      </c>
      <c r="E6" s="22" t="str">
        <f aca="false">IF($A6="","",COUNTIFS(PART_RISK!$A$5:$A$304,$A6,PART_RISK!$O$5:$O$304,"CRITICAL*"))</f>
        <v/>
      </c>
      <c r="F6" s="22" t="str">
        <f aca="false">IF($A6="","",COUNTIFS(PART_RISK!$A$5:$A$304,$A6,PART_RISK!$O$5:$O$304,"MONITOR"))</f>
        <v/>
      </c>
      <c r="G6" s="22" t="str">
        <f aca="false">IF($A6="","",COUNTIFS(PART_RISK!$A$5:$A$304,$A6,PART_RISK!$O$5:$O$304,"LOW"))</f>
        <v/>
      </c>
      <c r="H6" s="22" t="str">
        <f aca="false">IF($A6="","",COUNTIFS(PART_RISK!$A$5:$A$304,$A6,PART_RISK!$O$5:$O$304,"NOT SCORED"))</f>
        <v/>
      </c>
      <c r="I6" s="23" t="str">
        <f aca="false">IF($A6="","",IF($E6+$F6+$G6=0,"",_xlfn.MAXIFS(PART_RISK!$N$5:$N$304,PART_RISK!$A$5:$A$304,$A6)))</f>
        <v/>
      </c>
      <c r="J6" s="25" t="str">
        <f aca="false">IF($A6="","",IF($E6&gt;0,"CRITICAL",IF($F6&gt;0,"MONITOR",IF($G6&gt;0,"LOW","NOT SCORED"))))</f>
        <v/>
      </c>
    </row>
    <row r="7" customFormat="false" ht="15" hidden="false" customHeight="false" outlineLevel="0" collapsed="false">
      <c r="A7" s="19"/>
      <c r="B7" s="21"/>
      <c r="C7" s="22" t="str">
        <f aca="false">IF($A7="","",IF(COUNTIFS(PART_RISK!$D$5:$D$304,"Tissue*",PART_RISK!$A$5:$A$304,$A7)&gt;0,"Yes","No"))</f>
        <v/>
      </c>
      <c r="D7" s="22" t="str">
        <f aca="false">IF($A7="","",COUNTIF(PART_RISK!$A$5:$A$304,$A7))</f>
        <v/>
      </c>
      <c r="E7" s="22" t="str">
        <f aca="false">IF($A7="","",COUNTIFS(PART_RISK!$A$5:$A$304,$A7,PART_RISK!$O$5:$O$304,"CRITICAL*"))</f>
        <v/>
      </c>
      <c r="F7" s="22" t="str">
        <f aca="false">IF($A7="","",COUNTIFS(PART_RISK!$A$5:$A$304,$A7,PART_RISK!$O$5:$O$304,"MONITOR"))</f>
        <v/>
      </c>
      <c r="G7" s="22" t="str">
        <f aca="false">IF($A7="","",COUNTIFS(PART_RISK!$A$5:$A$304,$A7,PART_RISK!$O$5:$O$304,"LOW"))</f>
        <v/>
      </c>
      <c r="H7" s="22" t="str">
        <f aca="false">IF($A7="","",COUNTIFS(PART_RISK!$A$5:$A$304,$A7,PART_RISK!$O$5:$O$304,"NOT SCORED"))</f>
        <v/>
      </c>
      <c r="I7" s="23" t="str">
        <f aca="false">IF($A7="","",IF($E7+$F7+$G7=0,"",_xlfn.MAXIFS(PART_RISK!$N$5:$N$304,PART_RISK!$A$5:$A$304,$A7)))</f>
        <v/>
      </c>
      <c r="J7" s="25" t="str">
        <f aca="false">IF($A7="","",IF($E7&gt;0,"CRITICAL",IF($F7&gt;0,"MONITOR",IF($G7&gt;0,"LOW","NOT SCORED"))))</f>
        <v/>
      </c>
    </row>
    <row r="8" customFormat="false" ht="15" hidden="false" customHeight="false" outlineLevel="0" collapsed="false">
      <c r="A8" s="19"/>
      <c r="B8" s="21"/>
      <c r="C8" s="22" t="str">
        <f aca="false">IF($A8="","",IF(COUNTIFS(PART_RISK!$D$5:$D$304,"Tissue*",PART_RISK!$A$5:$A$304,$A8)&gt;0,"Yes","No"))</f>
        <v/>
      </c>
      <c r="D8" s="22" t="str">
        <f aca="false">IF($A8="","",COUNTIF(PART_RISK!$A$5:$A$304,$A8))</f>
        <v/>
      </c>
      <c r="E8" s="22" t="str">
        <f aca="false">IF($A8="","",COUNTIFS(PART_RISK!$A$5:$A$304,$A8,PART_RISK!$O$5:$O$304,"CRITICAL*"))</f>
        <v/>
      </c>
      <c r="F8" s="22" t="str">
        <f aca="false">IF($A8="","",COUNTIFS(PART_RISK!$A$5:$A$304,$A8,PART_RISK!$O$5:$O$304,"MONITOR"))</f>
        <v/>
      </c>
      <c r="G8" s="22" t="str">
        <f aca="false">IF($A8="","",COUNTIFS(PART_RISK!$A$5:$A$304,$A8,PART_RISK!$O$5:$O$304,"LOW"))</f>
        <v/>
      </c>
      <c r="H8" s="22" t="str">
        <f aca="false">IF($A8="","",COUNTIFS(PART_RISK!$A$5:$A$304,$A8,PART_RISK!$O$5:$O$304,"NOT SCORED"))</f>
        <v/>
      </c>
      <c r="I8" s="23" t="str">
        <f aca="false">IF($A8="","",IF($E8+$F8+$G8=0,"",_xlfn.MAXIFS(PART_RISK!$N$5:$N$304,PART_RISK!$A$5:$A$304,$A8)))</f>
        <v/>
      </c>
      <c r="J8" s="25" t="str">
        <f aca="false">IF($A8="","",IF($E8&gt;0,"CRITICAL",IF($F8&gt;0,"MONITOR",IF($G8&gt;0,"LOW","NOT SCORED"))))</f>
        <v/>
      </c>
    </row>
    <row r="9" customFormat="false" ht="15" hidden="false" customHeight="false" outlineLevel="0" collapsed="false">
      <c r="A9" s="19"/>
      <c r="B9" s="21"/>
      <c r="C9" s="22" t="str">
        <f aca="false">IF($A9="","",IF(COUNTIFS(PART_RISK!$D$5:$D$304,"Tissue*",PART_RISK!$A$5:$A$304,$A9)&gt;0,"Yes","No"))</f>
        <v/>
      </c>
      <c r="D9" s="22" t="str">
        <f aca="false">IF($A9="","",COUNTIF(PART_RISK!$A$5:$A$304,$A9))</f>
        <v/>
      </c>
      <c r="E9" s="22" t="str">
        <f aca="false">IF($A9="","",COUNTIFS(PART_RISK!$A$5:$A$304,$A9,PART_RISK!$O$5:$O$304,"CRITICAL*"))</f>
        <v/>
      </c>
      <c r="F9" s="22" t="str">
        <f aca="false">IF($A9="","",COUNTIFS(PART_RISK!$A$5:$A$304,$A9,PART_RISK!$O$5:$O$304,"MONITOR"))</f>
        <v/>
      </c>
      <c r="G9" s="22" t="str">
        <f aca="false">IF($A9="","",COUNTIFS(PART_RISK!$A$5:$A$304,$A9,PART_RISK!$O$5:$O$304,"LOW"))</f>
        <v/>
      </c>
      <c r="H9" s="22" t="str">
        <f aca="false">IF($A9="","",COUNTIFS(PART_RISK!$A$5:$A$304,$A9,PART_RISK!$O$5:$O$304,"NOT SCORED"))</f>
        <v/>
      </c>
      <c r="I9" s="23" t="str">
        <f aca="false">IF($A9="","",IF($E9+$F9+$G9=0,"",_xlfn.MAXIFS(PART_RISK!$N$5:$N$304,PART_RISK!$A$5:$A$304,$A9)))</f>
        <v/>
      </c>
      <c r="J9" s="25" t="str">
        <f aca="false">IF($A9="","",IF($E9&gt;0,"CRITICAL",IF($F9&gt;0,"MONITOR",IF($G9&gt;0,"LOW","NOT SCORED"))))</f>
        <v/>
      </c>
    </row>
    <row r="10" customFormat="false" ht="15" hidden="false" customHeight="false" outlineLevel="0" collapsed="false">
      <c r="A10" s="19"/>
      <c r="B10" s="21"/>
      <c r="C10" s="22" t="str">
        <f aca="false">IF($A10="","",IF(COUNTIFS(PART_RISK!$D$5:$D$304,"Tissue*",PART_RISK!$A$5:$A$304,$A10)&gt;0,"Yes","No"))</f>
        <v/>
      </c>
      <c r="D10" s="22" t="str">
        <f aca="false">IF($A10="","",COUNTIF(PART_RISK!$A$5:$A$304,$A10))</f>
        <v/>
      </c>
      <c r="E10" s="22" t="str">
        <f aca="false">IF($A10="","",COUNTIFS(PART_RISK!$A$5:$A$304,$A10,PART_RISK!$O$5:$O$304,"CRITICAL*"))</f>
        <v/>
      </c>
      <c r="F10" s="22" t="str">
        <f aca="false">IF($A10="","",COUNTIFS(PART_RISK!$A$5:$A$304,$A10,PART_RISK!$O$5:$O$304,"MONITOR"))</f>
        <v/>
      </c>
      <c r="G10" s="22" t="str">
        <f aca="false">IF($A10="","",COUNTIFS(PART_RISK!$A$5:$A$304,$A10,PART_RISK!$O$5:$O$304,"LOW"))</f>
        <v/>
      </c>
      <c r="H10" s="22" t="str">
        <f aca="false">IF($A10="","",COUNTIFS(PART_RISK!$A$5:$A$304,$A10,PART_RISK!$O$5:$O$304,"NOT SCORED"))</f>
        <v/>
      </c>
      <c r="I10" s="23" t="str">
        <f aca="false">IF($A10="","",IF($E10+$F10+$G10=0,"",_xlfn.MAXIFS(PART_RISK!$N$5:$N$304,PART_RISK!$A$5:$A$304,$A10)))</f>
        <v/>
      </c>
      <c r="J10" s="25" t="str">
        <f aca="false">IF($A10="","",IF($E10&gt;0,"CRITICAL",IF($F10&gt;0,"MONITOR",IF($G10&gt;0,"LOW","NOT SCORED"))))</f>
        <v/>
      </c>
    </row>
    <row r="11" customFormat="false" ht="15" hidden="false" customHeight="false" outlineLevel="0" collapsed="false">
      <c r="A11" s="19"/>
      <c r="B11" s="21"/>
      <c r="C11" s="22" t="str">
        <f aca="false">IF($A11="","",IF(COUNTIFS(PART_RISK!$D$5:$D$304,"Tissue*",PART_RISK!$A$5:$A$304,$A11)&gt;0,"Yes","No"))</f>
        <v/>
      </c>
      <c r="D11" s="22" t="str">
        <f aca="false">IF($A11="","",COUNTIF(PART_RISK!$A$5:$A$304,$A11))</f>
        <v/>
      </c>
      <c r="E11" s="22" t="str">
        <f aca="false">IF($A11="","",COUNTIFS(PART_RISK!$A$5:$A$304,$A11,PART_RISK!$O$5:$O$304,"CRITICAL*"))</f>
        <v/>
      </c>
      <c r="F11" s="22" t="str">
        <f aca="false">IF($A11="","",COUNTIFS(PART_RISK!$A$5:$A$304,$A11,PART_RISK!$O$5:$O$304,"MONITOR"))</f>
        <v/>
      </c>
      <c r="G11" s="22" t="str">
        <f aca="false">IF($A11="","",COUNTIFS(PART_RISK!$A$5:$A$304,$A11,PART_RISK!$O$5:$O$304,"LOW"))</f>
        <v/>
      </c>
      <c r="H11" s="22" t="str">
        <f aca="false">IF($A11="","",COUNTIFS(PART_RISK!$A$5:$A$304,$A11,PART_RISK!$O$5:$O$304,"NOT SCORED"))</f>
        <v/>
      </c>
      <c r="I11" s="23" t="str">
        <f aca="false">IF($A11="","",IF($E11+$F11+$G11=0,"",_xlfn.MAXIFS(PART_RISK!$N$5:$N$304,PART_RISK!$A$5:$A$304,$A11)))</f>
        <v/>
      </c>
      <c r="J11" s="25" t="str">
        <f aca="false">IF($A11="","",IF($E11&gt;0,"CRITICAL",IF($F11&gt;0,"MONITOR",IF($G11&gt;0,"LOW","NOT SCORED"))))</f>
        <v/>
      </c>
    </row>
    <row r="12" customFormat="false" ht="15" hidden="false" customHeight="false" outlineLevel="0" collapsed="false">
      <c r="A12" s="19"/>
      <c r="B12" s="21"/>
      <c r="C12" s="22" t="str">
        <f aca="false">IF($A12="","",IF(COUNTIFS(PART_RISK!$D$5:$D$304,"Tissue*",PART_RISK!$A$5:$A$304,$A12)&gt;0,"Yes","No"))</f>
        <v/>
      </c>
      <c r="D12" s="22" t="str">
        <f aca="false">IF($A12="","",COUNTIF(PART_RISK!$A$5:$A$304,$A12))</f>
        <v/>
      </c>
      <c r="E12" s="22" t="str">
        <f aca="false">IF($A12="","",COUNTIFS(PART_RISK!$A$5:$A$304,$A12,PART_RISK!$O$5:$O$304,"CRITICAL*"))</f>
        <v/>
      </c>
      <c r="F12" s="22" t="str">
        <f aca="false">IF($A12="","",COUNTIFS(PART_RISK!$A$5:$A$304,$A12,PART_RISK!$O$5:$O$304,"MONITOR"))</f>
        <v/>
      </c>
      <c r="G12" s="22" t="str">
        <f aca="false">IF($A12="","",COUNTIFS(PART_RISK!$A$5:$A$304,$A12,PART_RISK!$O$5:$O$304,"LOW"))</f>
        <v/>
      </c>
      <c r="H12" s="22" t="str">
        <f aca="false">IF($A12="","",COUNTIFS(PART_RISK!$A$5:$A$304,$A12,PART_RISK!$O$5:$O$304,"NOT SCORED"))</f>
        <v/>
      </c>
      <c r="I12" s="23" t="str">
        <f aca="false">IF($A12="","",IF($E12+$F12+$G12=0,"",_xlfn.MAXIFS(PART_RISK!$N$5:$N$304,PART_RISK!$A$5:$A$304,$A12)))</f>
        <v/>
      </c>
      <c r="J12" s="25" t="str">
        <f aca="false">IF($A12="","",IF($E12&gt;0,"CRITICAL",IF($F12&gt;0,"MONITOR",IF($G12&gt;0,"LOW","NOT SCORED"))))</f>
        <v/>
      </c>
    </row>
    <row r="13" customFormat="false" ht="15" hidden="false" customHeight="false" outlineLevel="0" collapsed="false">
      <c r="A13" s="19"/>
      <c r="B13" s="21"/>
      <c r="C13" s="22" t="str">
        <f aca="false">IF($A13="","",IF(COUNTIFS(PART_RISK!$D$5:$D$304,"Tissue*",PART_RISK!$A$5:$A$304,$A13)&gt;0,"Yes","No"))</f>
        <v/>
      </c>
      <c r="D13" s="22" t="str">
        <f aca="false">IF($A13="","",COUNTIF(PART_RISK!$A$5:$A$304,$A13))</f>
        <v/>
      </c>
      <c r="E13" s="22" t="str">
        <f aca="false">IF($A13="","",COUNTIFS(PART_RISK!$A$5:$A$304,$A13,PART_RISK!$O$5:$O$304,"CRITICAL*"))</f>
        <v/>
      </c>
      <c r="F13" s="22" t="str">
        <f aca="false">IF($A13="","",COUNTIFS(PART_RISK!$A$5:$A$304,$A13,PART_RISK!$O$5:$O$304,"MONITOR"))</f>
        <v/>
      </c>
      <c r="G13" s="22" t="str">
        <f aca="false">IF($A13="","",COUNTIFS(PART_RISK!$A$5:$A$304,$A13,PART_RISK!$O$5:$O$304,"LOW"))</f>
        <v/>
      </c>
      <c r="H13" s="22" t="str">
        <f aca="false">IF($A13="","",COUNTIFS(PART_RISK!$A$5:$A$304,$A13,PART_RISK!$O$5:$O$304,"NOT SCORED"))</f>
        <v/>
      </c>
      <c r="I13" s="23" t="str">
        <f aca="false">IF($A13="","",IF($E13+$F13+$G13=0,"",_xlfn.MAXIFS(PART_RISK!$N$5:$N$304,PART_RISK!$A$5:$A$304,$A13)))</f>
        <v/>
      </c>
      <c r="J13" s="25" t="str">
        <f aca="false">IF($A13="","",IF($E13&gt;0,"CRITICAL",IF($F13&gt;0,"MONITOR",IF($G13&gt;0,"LOW","NOT SCORED"))))</f>
        <v/>
      </c>
    </row>
    <row r="14" customFormat="false" ht="15" hidden="false" customHeight="false" outlineLevel="0" collapsed="false">
      <c r="A14" s="19"/>
      <c r="B14" s="21"/>
      <c r="C14" s="22" t="str">
        <f aca="false">IF($A14="","",IF(COUNTIFS(PART_RISK!$D$5:$D$304,"Tissue*",PART_RISK!$A$5:$A$304,$A14)&gt;0,"Yes","No"))</f>
        <v/>
      </c>
      <c r="D14" s="22" t="str">
        <f aca="false">IF($A14="","",COUNTIF(PART_RISK!$A$5:$A$304,$A14))</f>
        <v/>
      </c>
      <c r="E14" s="22" t="str">
        <f aca="false">IF($A14="","",COUNTIFS(PART_RISK!$A$5:$A$304,$A14,PART_RISK!$O$5:$O$304,"CRITICAL*"))</f>
        <v/>
      </c>
      <c r="F14" s="22" t="str">
        <f aca="false">IF($A14="","",COUNTIFS(PART_RISK!$A$5:$A$304,$A14,PART_RISK!$O$5:$O$304,"MONITOR"))</f>
        <v/>
      </c>
      <c r="G14" s="22" t="str">
        <f aca="false">IF($A14="","",COUNTIFS(PART_RISK!$A$5:$A$304,$A14,PART_RISK!$O$5:$O$304,"LOW"))</f>
        <v/>
      </c>
      <c r="H14" s="22" t="str">
        <f aca="false">IF($A14="","",COUNTIFS(PART_RISK!$A$5:$A$304,$A14,PART_RISK!$O$5:$O$304,"NOT SCORED"))</f>
        <v/>
      </c>
      <c r="I14" s="23" t="str">
        <f aca="false">IF($A14="","",IF($E14+$F14+$G14=0,"",_xlfn.MAXIFS(PART_RISK!$N$5:$N$304,PART_RISK!$A$5:$A$304,$A14)))</f>
        <v/>
      </c>
      <c r="J14" s="25" t="str">
        <f aca="false">IF($A14="","",IF($E14&gt;0,"CRITICAL",IF($F14&gt;0,"MONITOR",IF($G14&gt;0,"LOW","NOT SCORED"))))</f>
        <v/>
      </c>
    </row>
    <row r="15" customFormat="false" ht="15" hidden="false" customHeight="false" outlineLevel="0" collapsed="false">
      <c r="A15" s="19"/>
      <c r="B15" s="21"/>
      <c r="C15" s="22" t="str">
        <f aca="false">IF($A15="","",IF(COUNTIFS(PART_RISK!$D$5:$D$304,"Tissue*",PART_RISK!$A$5:$A$304,$A15)&gt;0,"Yes","No"))</f>
        <v/>
      </c>
      <c r="D15" s="22" t="str">
        <f aca="false">IF($A15="","",COUNTIF(PART_RISK!$A$5:$A$304,$A15))</f>
        <v/>
      </c>
      <c r="E15" s="22" t="str">
        <f aca="false">IF($A15="","",COUNTIFS(PART_RISK!$A$5:$A$304,$A15,PART_RISK!$O$5:$O$304,"CRITICAL*"))</f>
        <v/>
      </c>
      <c r="F15" s="22" t="str">
        <f aca="false">IF($A15="","",COUNTIFS(PART_RISK!$A$5:$A$304,$A15,PART_RISK!$O$5:$O$304,"MONITOR"))</f>
        <v/>
      </c>
      <c r="G15" s="22" t="str">
        <f aca="false">IF($A15="","",COUNTIFS(PART_RISK!$A$5:$A$304,$A15,PART_RISK!$O$5:$O$304,"LOW"))</f>
        <v/>
      </c>
      <c r="H15" s="22" t="str">
        <f aca="false">IF($A15="","",COUNTIFS(PART_RISK!$A$5:$A$304,$A15,PART_RISK!$O$5:$O$304,"NOT SCORED"))</f>
        <v/>
      </c>
      <c r="I15" s="23" t="str">
        <f aca="false">IF($A15="","",IF($E15+$F15+$G15=0,"",_xlfn.MAXIFS(PART_RISK!$N$5:$N$304,PART_RISK!$A$5:$A$304,$A15)))</f>
        <v/>
      </c>
      <c r="J15" s="25" t="str">
        <f aca="false">IF($A15="","",IF($E15&gt;0,"CRITICAL",IF($F15&gt;0,"MONITOR",IF($G15&gt;0,"LOW","NOT SCORED"))))</f>
        <v/>
      </c>
    </row>
    <row r="16" customFormat="false" ht="15" hidden="false" customHeight="false" outlineLevel="0" collapsed="false">
      <c r="A16" s="19"/>
      <c r="B16" s="21"/>
      <c r="C16" s="22" t="str">
        <f aca="false">IF($A16="","",IF(COUNTIFS(PART_RISK!$D$5:$D$304,"Tissue*",PART_RISK!$A$5:$A$304,$A16)&gt;0,"Yes","No"))</f>
        <v/>
      </c>
      <c r="D16" s="22" t="str">
        <f aca="false">IF($A16="","",COUNTIF(PART_RISK!$A$5:$A$304,$A16))</f>
        <v/>
      </c>
      <c r="E16" s="22" t="str">
        <f aca="false">IF($A16="","",COUNTIFS(PART_RISK!$A$5:$A$304,$A16,PART_RISK!$O$5:$O$304,"CRITICAL*"))</f>
        <v/>
      </c>
      <c r="F16" s="22" t="str">
        <f aca="false">IF($A16="","",COUNTIFS(PART_RISK!$A$5:$A$304,$A16,PART_RISK!$O$5:$O$304,"MONITOR"))</f>
        <v/>
      </c>
      <c r="G16" s="22" t="str">
        <f aca="false">IF($A16="","",COUNTIFS(PART_RISK!$A$5:$A$304,$A16,PART_RISK!$O$5:$O$304,"LOW"))</f>
        <v/>
      </c>
      <c r="H16" s="22" t="str">
        <f aca="false">IF($A16="","",COUNTIFS(PART_RISK!$A$5:$A$304,$A16,PART_RISK!$O$5:$O$304,"NOT SCORED"))</f>
        <v/>
      </c>
      <c r="I16" s="23" t="str">
        <f aca="false">IF($A16="","",IF($E16+$F16+$G16=0,"",_xlfn.MAXIFS(PART_RISK!$N$5:$N$304,PART_RISK!$A$5:$A$304,$A16)))</f>
        <v/>
      </c>
      <c r="J16" s="25" t="str">
        <f aca="false">IF($A16="","",IF($E16&gt;0,"CRITICAL",IF($F16&gt;0,"MONITOR",IF($G16&gt;0,"LOW","NOT SCORED"))))</f>
        <v/>
      </c>
    </row>
    <row r="17" customFormat="false" ht="15" hidden="false" customHeight="false" outlineLevel="0" collapsed="false">
      <c r="A17" s="19"/>
      <c r="B17" s="21"/>
      <c r="C17" s="22" t="str">
        <f aca="false">IF($A17="","",IF(COUNTIFS(PART_RISK!$D$5:$D$304,"Tissue*",PART_RISK!$A$5:$A$304,$A17)&gt;0,"Yes","No"))</f>
        <v/>
      </c>
      <c r="D17" s="22" t="str">
        <f aca="false">IF($A17="","",COUNTIF(PART_RISK!$A$5:$A$304,$A17))</f>
        <v/>
      </c>
      <c r="E17" s="22" t="str">
        <f aca="false">IF($A17="","",COUNTIFS(PART_RISK!$A$5:$A$304,$A17,PART_RISK!$O$5:$O$304,"CRITICAL*"))</f>
        <v/>
      </c>
      <c r="F17" s="22" t="str">
        <f aca="false">IF($A17="","",COUNTIFS(PART_RISK!$A$5:$A$304,$A17,PART_RISK!$O$5:$O$304,"MONITOR"))</f>
        <v/>
      </c>
      <c r="G17" s="22" t="str">
        <f aca="false">IF($A17="","",COUNTIFS(PART_RISK!$A$5:$A$304,$A17,PART_RISK!$O$5:$O$304,"LOW"))</f>
        <v/>
      </c>
      <c r="H17" s="22" t="str">
        <f aca="false">IF($A17="","",COUNTIFS(PART_RISK!$A$5:$A$304,$A17,PART_RISK!$O$5:$O$304,"NOT SCORED"))</f>
        <v/>
      </c>
      <c r="I17" s="23" t="str">
        <f aca="false">IF($A17="","",IF($E17+$F17+$G17=0,"",_xlfn.MAXIFS(PART_RISK!$N$5:$N$304,PART_RISK!$A$5:$A$304,$A17)))</f>
        <v/>
      </c>
      <c r="J17" s="25" t="str">
        <f aca="false">IF($A17="","",IF($E17&gt;0,"CRITICAL",IF($F17&gt;0,"MONITOR",IF($G17&gt;0,"LOW","NOT SCORED"))))</f>
        <v/>
      </c>
    </row>
    <row r="18" customFormat="false" ht="15" hidden="false" customHeight="false" outlineLevel="0" collapsed="false">
      <c r="A18" s="19"/>
      <c r="B18" s="21"/>
      <c r="C18" s="22" t="str">
        <f aca="false">IF($A18="","",IF(COUNTIFS(PART_RISK!$D$5:$D$304,"Tissue*",PART_RISK!$A$5:$A$304,$A18)&gt;0,"Yes","No"))</f>
        <v/>
      </c>
      <c r="D18" s="22" t="str">
        <f aca="false">IF($A18="","",COUNTIF(PART_RISK!$A$5:$A$304,$A18))</f>
        <v/>
      </c>
      <c r="E18" s="22" t="str">
        <f aca="false">IF($A18="","",COUNTIFS(PART_RISK!$A$5:$A$304,$A18,PART_RISK!$O$5:$O$304,"CRITICAL*"))</f>
        <v/>
      </c>
      <c r="F18" s="22" t="str">
        <f aca="false">IF($A18="","",COUNTIFS(PART_RISK!$A$5:$A$304,$A18,PART_RISK!$O$5:$O$304,"MONITOR"))</f>
        <v/>
      </c>
      <c r="G18" s="22" t="str">
        <f aca="false">IF($A18="","",COUNTIFS(PART_RISK!$A$5:$A$304,$A18,PART_RISK!$O$5:$O$304,"LOW"))</f>
        <v/>
      </c>
      <c r="H18" s="22" t="str">
        <f aca="false">IF($A18="","",COUNTIFS(PART_RISK!$A$5:$A$304,$A18,PART_RISK!$O$5:$O$304,"NOT SCORED"))</f>
        <v/>
      </c>
      <c r="I18" s="23" t="str">
        <f aca="false">IF($A18="","",IF($E18+$F18+$G18=0,"",_xlfn.MAXIFS(PART_RISK!$N$5:$N$304,PART_RISK!$A$5:$A$304,$A18)))</f>
        <v/>
      </c>
      <c r="J18" s="25" t="str">
        <f aca="false">IF($A18="","",IF($E18&gt;0,"CRITICAL",IF($F18&gt;0,"MONITOR",IF($G18&gt;0,"LOW","NOT SCORED"))))</f>
        <v/>
      </c>
    </row>
    <row r="19" customFormat="false" ht="15" hidden="false" customHeight="false" outlineLevel="0" collapsed="false">
      <c r="A19" s="19"/>
      <c r="B19" s="21"/>
      <c r="C19" s="22" t="str">
        <f aca="false">IF($A19="","",IF(COUNTIFS(PART_RISK!$D$5:$D$304,"Tissue*",PART_RISK!$A$5:$A$304,$A19)&gt;0,"Yes","No"))</f>
        <v/>
      </c>
      <c r="D19" s="22" t="str">
        <f aca="false">IF($A19="","",COUNTIF(PART_RISK!$A$5:$A$304,$A19))</f>
        <v/>
      </c>
      <c r="E19" s="22" t="str">
        <f aca="false">IF($A19="","",COUNTIFS(PART_RISK!$A$5:$A$304,$A19,PART_RISK!$O$5:$O$304,"CRITICAL*"))</f>
        <v/>
      </c>
      <c r="F19" s="22" t="str">
        <f aca="false">IF($A19="","",COUNTIFS(PART_RISK!$A$5:$A$304,$A19,PART_RISK!$O$5:$O$304,"MONITOR"))</f>
        <v/>
      </c>
      <c r="G19" s="22" t="str">
        <f aca="false">IF($A19="","",COUNTIFS(PART_RISK!$A$5:$A$304,$A19,PART_RISK!$O$5:$O$304,"LOW"))</f>
        <v/>
      </c>
      <c r="H19" s="22" t="str">
        <f aca="false">IF($A19="","",COUNTIFS(PART_RISK!$A$5:$A$304,$A19,PART_RISK!$O$5:$O$304,"NOT SCORED"))</f>
        <v/>
      </c>
      <c r="I19" s="23" t="str">
        <f aca="false">IF($A19="","",IF($E19+$F19+$G19=0,"",_xlfn.MAXIFS(PART_RISK!$N$5:$N$304,PART_RISK!$A$5:$A$304,$A19)))</f>
        <v/>
      </c>
      <c r="J19" s="25" t="str">
        <f aca="false">IF($A19="","",IF($E19&gt;0,"CRITICAL",IF($F19&gt;0,"MONITOR",IF($G19&gt;0,"LOW","NOT SCORED"))))</f>
        <v/>
      </c>
    </row>
    <row r="20" customFormat="false" ht="15" hidden="false" customHeight="false" outlineLevel="0" collapsed="false">
      <c r="A20" s="19"/>
      <c r="B20" s="21"/>
      <c r="C20" s="22" t="str">
        <f aca="false">IF($A20="","",IF(COUNTIFS(PART_RISK!$D$5:$D$304,"Tissue*",PART_RISK!$A$5:$A$304,$A20)&gt;0,"Yes","No"))</f>
        <v/>
      </c>
      <c r="D20" s="22" t="str">
        <f aca="false">IF($A20="","",COUNTIF(PART_RISK!$A$5:$A$304,$A20))</f>
        <v/>
      </c>
      <c r="E20" s="22" t="str">
        <f aca="false">IF($A20="","",COUNTIFS(PART_RISK!$A$5:$A$304,$A20,PART_RISK!$O$5:$O$304,"CRITICAL*"))</f>
        <v/>
      </c>
      <c r="F20" s="22" t="str">
        <f aca="false">IF($A20="","",COUNTIFS(PART_RISK!$A$5:$A$304,$A20,PART_RISK!$O$5:$O$304,"MONITOR"))</f>
        <v/>
      </c>
      <c r="G20" s="22" t="str">
        <f aca="false">IF($A20="","",COUNTIFS(PART_RISK!$A$5:$A$304,$A20,PART_RISK!$O$5:$O$304,"LOW"))</f>
        <v/>
      </c>
      <c r="H20" s="22" t="str">
        <f aca="false">IF($A20="","",COUNTIFS(PART_RISK!$A$5:$A$304,$A20,PART_RISK!$O$5:$O$304,"NOT SCORED"))</f>
        <v/>
      </c>
      <c r="I20" s="23" t="str">
        <f aca="false">IF($A20="","",IF($E20+$F20+$G20=0,"",_xlfn.MAXIFS(PART_RISK!$N$5:$N$304,PART_RISK!$A$5:$A$304,$A20)))</f>
        <v/>
      </c>
      <c r="J20" s="25" t="str">
        <f aca="false">IF($A20="","",IF($E20&gt;0,"CRITICAL",IF($F20&gt;0,"MONITOR",IF($G20&gt;0,"LOW","NOT SCORED"))))</f>
        <v/>
      </c>
    </row>
    <row r="21" customFormat="false" ht="15" hidden="false" customHeight="false" outlineLevel="0" collapsed="false">
      <c r="A21" s="19"/>
      <c r="B21" s="21"/>
      <c r="C21" s="22" t="str">
        <f aca="false">IF($A21="","",IF(COUNTIFS(PART_RISK!$D$5:$D$304,"Tissue*",PART_RISK!$A$5:$A$304,$A21)&gt;0,"Yes","No"))</f>
        <v/>
      </c>
      <c r="D21" s="22" t="str">
        <f aca="false">IF($A21="","",COUNTIF(PART_RISK!$A$5:$A$304,$A21))</f>
        <v/>
      </c>
      <c r="E21" s="22" t="str">
        <f aca="false">IF($A21="","",COUNTIFS(PART_RISK!$A$5:$A$304,$A21,PART_RISK!$O$5:$O$304,"CRITICAL*"))</f>
        <v/>
      </c>
      <c r="F21" s="22" t="str">
        <f aca="false">IF($A21="","",COUNTIFS(PART_RISK!$A$5:$A$304,$A21,PART_RISK!$O$5:$O$304,"MONITOR"))</f>
        <v/>
      </c>
      <c r="G21" s="22" t="str">
        <f aca="false">IF($A21="","",COUNTIFS(PART_RISK!$A$5:$A$304,$A21,PART_RISK!$O$5:$O$304,"LOW"))</f>
        <v/>
      </c>
      <c r="H21" s="22" t="str">
        <f aca="false">IF($A21="","",COUNTIFS(PART_RISK!$A$5:$A$304,$A21,PART_RISK!$O$5:$O$304,"NOT SCORED"))</f>
        <v/>
      </c>
      <c r="I21" s="23" t="str">
        <f aca="false">IF($A21="","",IF($E21+$F21+$G21=0,"",_xlfn.MAXIFS(PART_RISK!$N$5:$N$304,PART_RISK!$A$5:$A$304,$A21)))</f>
        <v/>
      </c>
      <c r="J21" s="25" t="str">
        <f aca="false">IF($A21="","",IF($E21&gt;0,"CRITICAL",IF($F21&gt;0,"MONITOR",IF($G21&gt;0,"LOW","NOT SCORED"))))</f>
        <v/>
      </c>
    </row>
    <row r="22" customFormat="false" ht="15" hidden="false" customHeight="false" outlineLevel="0" collapsed="false">
      <c r="A22" s="19"/>
      <c r="B22" s="21"/>
      <c r="C22" s="22" t="str">
        <f aca="false">IF($A22="","",IF(COUNTIFS(PART_RISK!$D$5:$D$304,"Tissue*",PART_RISK!$A$5:$A$304,$A22)&gt;0,"Yes","No"))</f>
        <v/>
      </c>
      <c r="D22" s="22" t="str">
        <f aca="false">IF($A22="","",COUNTIF(PART_RISK!$A$5:$A$304,$A22))</f>
        <v/>
      </c>
      <c r="E22" s="22" t="str">
        <f aca="false">IF($A22="","",COUNTIFS(PART_RISK!$A$5:$A$304,$A22,PART_RISK!$O$5:$O$304,"CRITICAL*"))</f>
        <v/>
      </c>
      <c r="F22" s="22" t="str">
        <f aca="false">IF($A22="","",COUNTIFS(PART_RISK!$A$5:$A$304,$A22,PART_RISK!$O$5:$O$304,"MONITOR"))</f>
        <v/>
      </c>
      <c r="G22" s="22" t="str">
        <f aca="false">IF($A22="","",COUNTIFS(PART_RISK!$A$5:$A$304,$A22,PART_RISK!$O$5:$O$304,"LOW"))</f>
        <v/>
      </c>
      <c r="H22" s="22" t="str">
        <f aca="false">IF($A22="","",COUNTIFS(PART_RISK!$A$5:$A$304,$A22,PART_RISK!$O$5:$O$304,"NOT SCORED"))</f>
        <v/>
      </c>
      <c r="I22" s="23" t="str">
        <f aca="false">IF($A22="","",IF($E22+$F22+$G22=0,"",_xlfn.MAXIFS(PART_RISK!$N$5:$N$304,PART_RISK!$A$5:$A$304,$A22)))</f>
        <v/>
      </c>
      <c r="J22" s="25" t="str">
        <f aca="false">IF($A22="","",IF($E22&gt;0,"CRITICAL",IF($F22&gt;0,"MONITOR",IF($G22&gt;0,"LOW","NOT SCORED"))))</f>
        <v/>
      </c>
    </row>
    <row r="23" customFormat="false" ht="15" hidden="false" customHeight="false" outlineLevel="0" collapsed="false">
      <c r="A23" s="19"/>
      <c r="B23" s="21"/>
      <c r="C23" s="22" t="str">
        <f aca="false">IF($A23="","",IF(COUNTIFS(PART_RISK!$D$5:$D$304,"Tissue*",PART_RISK!$A$5:$A$304,$A23)&gt;0,"Yes","No"))</f>
        <v/>
      </c>
      <c r="D23" s="22" t="str">
        <f aca="false">IF($A23="","",COUNTIF(PART_RISK!$A$5:$A$304,$A23))</f>
        <v/>
      </c>
      <c r="E23" s="22" t="str">
        <f aca="false">IF($A23="","",COUNTIFS(PART_RISK!$A$5:$A$304,$A23,PART_RISK!$O$5:$O$304,"CRITICAL*"))</f>
        <v/>
      </c>
      <c r="F23" s="22" t="str">
        <f aca="false">IF($A23="","",COUNTIFS(PART_RISK!$A$5:$A$304,$A23,PART_RISK!$O$5:$O$304,"MONITOR"))</f>
        <v/>
      </c>
      <c r="G23" s="22" t="str">
        <f aca="false">IF($A23="","",COUNTIFS(PART_RISK!$A$5:$A$304,$A23,PART_RISK!$O$5:$O$304,"LOW"))</f>
        <v/>
      </c>
      <c r="H23" s="22" t="str">
        <f aca="false">IF($A23="","",COUNTIFS(PART_RISK!$A$5:$A$304,$A23,PART_RISK!$O$5:$O$304,"NOT SCORED"))</f>
        <v/>
      </c>
      <c r="I23" s="23" t="str">
        <f aca="false">IF($A23="","",IF($E23+$F23+$G23=0,"",_xlfn.MAXIFS(PART_RISK!$N$5:$N$304,PART_RISK!$A$5:$A$304,$A23)))</f>
        <v/>
      </c>
      <c r="J23" s="25" t="str">
        <f aca="false">IF($A23="","",IF($E23&gt;0,"CRITICAL",IF($F23&gt;0,"MONITOR",IF($G23&gt;0,"LOW","NOT SCORED"))))</f>
        <v/>
      </c>
    </row>
    <row r="24" customFormat="false" ht="15" hidden="false" customHeight="false" outlineLevel="0" collapsed="false">
      <c r="A24" s="19"/>
      <c r="B24" s="21"/>
      <c r="C24" s="22" t="str">
        <f aca="false">IF($A24="","",IF(COUNTIFS(PART_RISK!$D$5:$D$304,"Tissue*",PART_RISK!$A$5:$A$304,$A24)&gt;0,"Yes","No"))</f>
        <v/>
      </c>
      <c r="D24" s="22" t="str">
        <f aca="false">IF($A24="","",COUNTIF(PART_RISK!$A$5:$A$304,$A24))</f>
        <v/>
      </c>
      <c r="E24" s="22" t="str">
        <f aca="false">IF($A24="","",COUNTIFS(PART_RISK!$A$5:$A$304,$A24,PART_RISK!$O$5:$O$304,"CRITICAL*"))</f>
        <v/>
      </c>
      <c r="F24" s="22" t="str">
        <f aca="false">IF($A24="","",COUNTIFS(PART_RISK!$A$5:$A$304,$A24,PART_RISK!$O$5:$O$304,"MONITOR"))</f>
        <v/>
      </c>
      <c r="G24" s="22" t="str">
        <f aca="false">IF($A24="","",COUNTIFS(PART_RISK!$A$5:$A$304,$A24,PART_RISK!$O$5:$O$304,"LOW"))</f>
        <v/>
      </c>
      <c r="H24" s="22" t="str">
        <f aca="false">IF($A24="","",COUNTIFS(PART_RISK!$A$5:$A$304,$A24,PART_RISK!$O$5:$O$304,"NOT SCORED"))</f>
        <v/>
      </c>
      <c r="I24" s="23" t="str">
        <f aca="false">IF($A24="","",IF($E24+$F24+$G24=0,"",_xlfn.MAXIFS(PART_RISK!$N$5:$N$304,PART_RISK!$A$5:$A$304,$A24)))</f>
        <v/>
      </c>
      <c r="J24" s="25" t="str">
        <f aca="false">IF($A24="","",IF($E24&gt;0,"CRITICAL",IF($F24&gt;0,"MONITOR",IF($G24&gt;0,"LOW","NOT SCORED"))))</f>
        <v/>
      </c>
    </row>
    <row r="25" customFormat="false" ht="15" hidden="false" customHeight="false" outlineLevel="0" collapsed="false">
      <c r="A25" s="19"/>
      <c r="B25" s="21"/>
      <c r="C25" s="22" t="str">
        <f aca="false">IF($A25="","",IF(COUNTIFS(PART_RISK!$D$5:$D$304,"Tissue*",PART_RISK!$A$5:$A$304,$A25)&gt;0,"Yes","No"))</f>
        <v/>
      </c>
      <c r="D25" s="22" t="str">
        <f aca="false">IF($A25="","",COUNTIF(PART_RISK!$A$5:$A$304,$A25))</f>
        <v/>
      </c>
      <c r="E25" s="22" t="str">
        <f aca="false">IF($A25="","",COUNTIFS(PART_RISK!$A$5:$A$304,$A25,PART_RISK!$O$5:$O$304,"CRITICAL*"))</f>
        <v/>
      </c>
      <c r="F25" s="22" t="str">
        <f aca="false">IF($A25="","",COUNTIFS(PART_RISK!$A$5:$A$304,$A25,PART_RISK!$O$5:$O$304,"MONITOR"))</f>
        <v/>
      </c>
      <c r="G25" s="22" t="str">
        <f aca="false">IF($A25="","",COUNTIFS(PART_RISK!$A$5:$A$304,$A25,PART_RISK!$O$5:$O$304,"LOW"))</f>
        <v/>
      </c>
      <c r="H25" s="22" t="str">
        <f aca="false">IF($A25="","",COUNTIFS(PART_RISK!$A$5:$A$304,$A25,PART_RISK!$O$5:$O$304,"NOT SCORED"))</f>
        <v/>
      </c>
      <c r="I25" s="23" t="str">
        <f aca="false">IF($A25="","",IF($E25+$F25+$G25=0,"",_xlfn.MAXIFS(PART_RISK!$N$5:$N$304,PART_RISK!$A$5:$A$304,$A25)))</f>
        <v/>
      </c>
      <c r="J25" s="25" t="str">
        <f aca="false">IF($A25="","",IF($E25&gt;0,"CRITICAL",IF($F25&gt;0,"MONITOR",IF($G25&gt;0,"LOW","NOT SCORED"))))</f>
        <v/>
      </c>
    </row>
    <row r="26" customFormat="false" ht="15" hidden="false" customHeight="false" outlineLevel="0" collapsed="false">
      <c r="A26" s="19"/>
      <c r="B26" s="21"/>
      <c r="C26" s="22" t="str">
        <f aca="false">IF($A26="","",IF(COUNTIFS(PART_RISK!$D$5:$D$304,"Tissue*",PART_RISK!$A$5:$A$304,$A26)&gt;0,"Yes","No"))</f>
        <v/>
      </c>
      <c r="D26" s="22" t="str">
        <f aca="false">IF($A26="","",COUNTIF(PART_RISK!$A$5:$A$304,$A26))</f>
        <v/>
      </c>
      <c r="E26" s="22" t="str">
        <f aca="false">IF($A26="","",COUNTIFS(PART_RISK!$A$5:$A$304,$A26,PART_RISK!$O$5:$O$304,"CRITICAL*"))</f>
        <v/>
      </c>
      <c r="F26" s="22" t="str">
        <f aca="false">IF($A26="","",COUNTIFS(PART_RISK!$A$5:$A$304,$A26,PART_RISK!$O$5:$O$304,"MONITOR"))</f>
        <v/>
      </c>
      <c r="G26" s="22" t="str">
        <f aca="false">IF($A26="","",COUNTIFS(PART_RISK!$A$5:$A$304,$A26,PART_RISK!$O$5:$O$304,"LOW"))</f>
        <v/>
      </c>
      <c r="H26" s="22" t="str">
        <f aca="false">IF($A26="","",COUNTIFS(PART_RISK!$A$5:$A$304,$A26,PART_RISK!$O$5:$O$304,"NOT SCORED"))</f>
        <v/>
      </c>
      <c r="I26" s="23" t="str">
        <f aca="false">IF($A26="","",IF($E26+$F26+$G26=0,"",_xlfn.MAXIFS(PART_RISK!$N$5:$N$304,PART_RISK!$A$5:$A$304,$A26)))</f>
        <v/>
      </c>
      <c r="J26" s="25" t="str">
        <f aca="false">IF($A26="","",IF($E26&gt;0,"CRITICAL",IF($F26&gt;0,"MONITOR",IF($G26&gt;0,"LOW","NOT SCORED"))))</f>
        <v/>
      </c>
    </row>
    <row r="27" customFormat="false" ht="15" hidden="false" customHeight="false" outlineLevel="0" collapsed="false">
      <c r="A27" s="19"/>
      <c r="B27" s="21"/>
      <c r="C27" s="22" t="str">
        <f aca="false">IF($A27="","",IF(COUNTIFS(PART_RISK!$D$5:$D$304,"Tissue*",PART_RISK!$A$5:$A$304,$A27)&gt;0,"Yes","No"))</f>
        <v/>
      </c>
      <c r="D27" s="22" t="str">
        <f aca="false">IF($A27="","",COUNTIF(PART_RISK!$A$5:$A$304,$A27))</f>
        <v/>
      </c>
      <c r="E27" s="22" t="str">
        <f aca="false">IF($A27="","",COUNTIFS(PART_RISK!$A$5:$A$304,$A27,PART_RISK!$O$5:$O$304,"CRITICAL*"))</f>
        <v/>
      </c>
      <c r="F27" s="22" t="str">
        <f aca="false">IF($A27="","",COUNTIFS(PART_RISK!$A$5:$A$304,$A27,PART_RISK!$O$5:$O$304,"MONITOR"))</f>
        <v/>
      </c>
      <c r="G27" s="22" t="str">
        <f aca="false">IF($A27="","",COUNTIFS(PART_RISK!$A$5:$A$304,$A27,PART_RISK!$O$5:$O$304,"LOW"))</f>
        <v/>
      </c>
      <c r="H27" s="22" t="str">
        <f aca="false">IF($A27="","",COUNTIFS(PART_RISK!$A$5:$A$304,$A27,PART_RISK!$O$5:$O$304,"NOT SCORED"))</f>
        <v/>
      </c>
      <c r="I27" s="23" t="str">
        <f aca="false">IF($A27="","",IF($E27+$F27+$G27=0,"",_xlfn.MAXIFS(PART_RISK!$N$5:$N$304,PART_RISK!$A$5:$A$304,$A27)))</f>
        <v/>
      </c>
      <c r="J27" s="25" t="str">
        <f aca="false">IF($A27="","",IF($E27&gt;0,"CRITICAL",IF($F27&gt;0,"MONITOR",IF($G27&gt;0,"LOW","NOT SCORED"))))</f>
        <v/>
      </c>
    </row>
    <row r="28" customFormat="false" ht="15" hidden="false" customHeight="false" outlineLevel="0" collapsed="false">
      <c r="A28" s="19"/>
      <c r="B28" s="21"/>
      <c r="C28" s="22" t="str">
        <f aca="false">IF($A28="","",IF(COUNTIFS(PART_RISK!$D$5:$D$304,"Tissue*",PART_RISK!$A$5:$A$304,$A28)&gt;0,"Yes","No"))</f>
        <v/>
      </c>
      <c r="D28" s="22" t="str">
        <f aca="false">IF($A28="","",COUNTIF(PART_RISK!$A$5:$A$304,$A28))</f>
        <v/>
      </c>
      <c r="E28" s="22" t="str">
        <f aca="false">IF($A28="","",COUNTIFS(PART_RISK!$A$5:$A$304,$A28,PART_RISK!$O$5:$O$304,"CRITICAL*"))</f>
        <v/>
      </c>
      <c r="F28" s="22" t="str">
        <f aca="false">IF($A28="","",COUNTIFS(PART_RISK!$A$5:$A$304,$A28,PART_RISK!$O$5:$O$304,"MONITOR"))</f>
        <v/>
      </c>
      <c r="G28" s="22" t="str">
        <f aca="false">IF($A28="","",COUNTIFS(PART_RISK!$A$5:$A$304,$A28,PART_RISK!$O$5:$O$304,"LOW"))</f>
        <v/>
      </c>
      <c r="H28" s="22" t="str">
        <f aca="false">IF($A28="","",COUNTIFS(PART_RISK!$A$5:$A$304,$A28,PART_RISK!$O$5:$O$304,"NOT SCORED"))</f>
        <v/>
      </c>
      <c r="I28" s="23" t="str">
        <f aca="false">IF($A28="","",IF($E28+$F28+$G28=0,"",_xlfn.MAXIFS(PART_RISK!$N$5:$N$304,PART_RISK!$A$5:$A$304,$A28)))</f>
        <v/>
      </c>
      <c r="J28" s="25" t="str">
        <f aca="false">IF($A28="","",IF($E28&gt;0,"CRITICAL",IF($F28&gt;0,"MONITOR",IF($G28&gt;0,"LOW","NOT SCORED"))))</f>
        <v/>
      </c>
    </row>
  </sheetData>
  <conditionalFormatting sqref="J4:J28">
    <cfRule type="containsText" priority="2" operator="containsText" aboveAverage="0" equalAverage="0" bottom="0" percent="0" rank="0" text="CRITICAL" dxfId="0">
      <formula>NOT(ISERROR(SEARCH("CRITICAL",J4)))</formula>
    </cfRule>
    <cfRule type="containsText" priority="3" operator="containsText" aboveAverage="0" equalAverage="0" bottom="0" percent="0" rank="0" text="MONITOR" dxfId="1">
      <formula>NOT(ISERROR(SEARCH("MONITOR",J4)))</formula>
    </cfRule>
    <cfRule type="containsText" priority="4" operator="containsText" aboveAverage="0" equalAverage="0" bottom="0" percent="0" rank="0" text="LOW" dxfId="2">
      <formula>NOT(ISERROR(SEARCH("LOW",J4)))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C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4" customFormat="false" ht="15" hidden="false" customHeight="false" outlineLevel="0" collapsed="false">
      <c r="A4" s="28" t="s">
        <v>142</v>
      </c>
    </row>
    <row r="6" customFormat="false" ht="15" hidden="false" customHeight="false" outlineLevel="0" collapsed="false">
      <c r="A6" s="10" t="s">
        <v>143</v>
      </c>
    </row>
    <row r="8" customFormat="false" ht="15" hidden="false" customHeight="false" outlineLevel="0" collapsed="false">
      <c r="A8" s="29" t="s">
        <v>144</v>
      </c>
      <c r="B8" s="5" t="s">
        <v>145</v>
      </c>
      <c r="C8" s="29" t="s">
        <v>146</v>
      </c>
    </row>
    <row r="9" customFormat="false" ht="15" hidden="false" customHeight="false" outlineLevel="0" collapsed="false">
      <c r="A9" s="30" t="s">
        <v>147</v>
      </c>
      <c r="B9" s="31" t="n">
        <v>0.25</v>
      </c>
      <c r="C9" s="32" t="s">
        <v>148</v>
      </c>
    </row>
    <row r="10" customFormat="false" ht="15" hidden="false" customHeight="false" outlineLevel="0" collapsed="false">
      <c r="A10" s="30" t="s">
        <v>149</v>
      </c>
      <c r="B10" s="31" t="n">
        <v>0.25</v>
      </c>
      <c r="C10" s="32" t="s">
        <v>150</v>
      </c>
    </row>
    <row r="11" customFormat="false" ht="15" hidden="false" customHeight="false" outlineLevel="0" collapsed="false">
      <c r="A11" s="30" t="s">
        <v>151</v>
      </c>
      <c r="B11" s="31" t="n">
        <v>0.2</v>
      </c>
      <c r="C11" s="32" t="s">
        <v>152</v>
      </c>
    </row>
    <row r="12" customFormat="false" ht="15" hidden="false" customHeight="false" outlineLevel="0" collapsed="false">
      <c r="A12" s="30" t="s">
        <v>153</v>
      </c>
      <c r="B12" s="31" t="n">
        <v>0.2</v>
      </c>
      <c r="C12" s="32" t="s">
        <v>154</v>
      </c>
    </row>
    <row r="13" customFormat="false" ht="15" hidden="false" customHeight="false" outlineLevel="0" collapsed="false">
      <c r="A13" s="30" t="s">
        <v>155</v>
      </c>
      <c r="B13" s="31" t="n">
        <v>0.1</v>
      </c>
      <c r="C13" s="32" t="s">
        <v>156</v>
      </c>
    </row>
    <row r="14" customFormat="false" ht="15" hidden="false" customHeight="false" outlineLevel="0" collapsed="false">
      <c r="A14" s="33" t="s">
        <v>157</v>
      </c>
      <c r="B14" s="34" t="n">
        <f aca="false">SUM(B9:B13)</f>
        <v>1</v>
      </c>
      <c r="C14" s="35" t="s">
        <v>158</v>
      </c>
    </row>
    <row r="16" customFormat="false" ht="15" hidden="false" customHeight="false" outlineLevel="0" collapsed="false">
      <c r="A16" s="10" t="s">
        <v>159</v>
      </c>
    </row>
    <row r="17" customFormat="false" ht="15" hidden="false" customHeight="false" outlineLevel="0" collapsed="false">
      <c r="A17" s="29" t="s">
        <v>31</v>
      </c>
      <c r="B17" s="5" t="s">
        <v>160</v>
      </c>
      <c r="C17" s="29" t="s">
        <v>161</v>
      </c>
    </row>
    <row r="18" customFormat="false" ht="15" hidden="false" customHeight="false" outlineLevel="0" collapsed="false">
      <c r="A18" s="36" t="s">
        <v>162</v>
      </c>
      <c r="B18" s="20" t="n">
        <v>15</v>
      </c>
      <c r="C18" s="32" t="s">
        <v>163</v>
      </c>
    </row>
    <row r="19" customFormat="false" ht="15" hidden="false" customHeight="false" outlineLevel="0" collapsed="false">
      <c r="A19" s="37" t="s">
        <v>164</v>
      </c>
      <c r="B19" s="20" t="n">
        <v>7</v>
      </c>
      <c r="C19" s="32" t="s">
        <v>165</v>
      </c>
    </row>
    <row r="20" customFormat="false" ht="15" hidden="false" customHeight="false" outlineLevel="0" collapsed="false">
      <c r="A20" s="38" t="s">
        <v>166</v>
      </c>
      <c r="B20" s="22" t="s">
        <v>167</v>
      </c>
      <c r="C20" s="32" t="s">
        <v>168</v>
      </c>
    </row>
    <row r="21" customFormat="false" ht="15" hidden="false" customHeight="false" outlineLevel="0" collapsed="false">
      <c r="C21" s="39" t="s">
        <v>169</v>
      </c>
    </row>
    <row r="23" customFormat="false" ht="15" hidden="false" customHeight="false" outlineLevel="0" collapsed="false">
      <c r="A23" s="10" t="s">
        <v>170</v>
      </c>
    </row>
    <row r="24" customFormat="false" ht="15" hidden="false" customHeight="false" outlineLevel="0" collapsed="false">
      <c r="A24" s="5" t="s">
        <v>171</v>
      </c>
      <c r="C24" s="29" t="s">
        <v>172</v>
      </c>
    </row>
    <row r="25" customFormat="false" ht="15" hidden="false" customHeight="false" outlineLevel="0" collapsed="false">
      <c r="A25" s="25" t="n">
        <v>1</v>
      </c>
      <c r="C25" s="32" t="s">
        <v>173</v>
      </c>
    </row>
    <row r="26" customFormat="false" ht="15" hidden="false" customHeight="false" outlineLevel="0" collapsed="false">
      <c r="A26" s="25" t="n">
        <v>3</v>
      </c>
      <c r="C26" s="32" t="s">
        <v>174</v>
      </c>
    </row>
    <row r="27" customFormat="false" ht="15" hidden="false" customHeight="false" outlineLevel="0" collapsed="false">
      <c r="A27" s="25" t="n">
        <v>5</v>
      </c>
      <c r="C27" s="32" t="s">
        <v>175</v>
      </c>
    </row>
    <row r="29" customFormat="false" ht="15" hidden="false" customHeight="false" outlineLevel="0" collapsed="false">
      <c r="A29" s="10" t="s">
        <v>176</v>
      </c>
    </row>
    <row r="30" customFormat="false" ht="15" hidden="false" customHeight="false" outlineLevel="0" collapsed="false">
      <c r="A30" s="5" t="s">
        <v>171</v>
      </c>
      <c r="C30" s="29" t="s">
        <v>172</v>
      </c>
    </row>
    <row r="31" customFormat="false" ht="15" hidden="false" customHeight="false" outlineLevel="0" collapsed="false">
      <c r="A31" s="25" t="n">
        <v>1</v>
      </c>
      <c r="C31" s="32" t="s">
        <v>177</v>
      </c>
    </row>
    <row r="32" customFormat="false" ht="15" hidden="false" customHeight="false" outlineLevel="0" collapsed="false">
      <c r="A32" s="25" t="n">
        <v>3</v>
      </c>
      <c r="C32" s="32" t="s">
        <v>178</v>
      </c>
    </row>
    <row r="33" customFormat="false" ht="15" hidden="false" customHeight="false" outlineLevel="0" collapsed="false">
      <c r="A33" s="25" t="n">
        <v>5</v>
      </c>
      <c r="C33" s="32" t="s">
        <v>179</v>
      </c>
    </row>
    <row r="34" customFormat="false" ht="15" hidden="false" customHeight="false" outlineLevel="0" collapsed="false">
      <c r="C34" s="39" t="s">
        <v>180</v>
      </c>
    </row>
    <row r="35" customFormat="false" ht="15" hidden="false" customHeight="false" outlineLevel="0" collapsed="false">
      <c r="C35" s="39" t="s">
        <v>181</v>
      </c>
    </row>
    <row r="37" customFormat="false" ht="15" hidden="false" customHeight="false" outlineLevel="0" collapsed="false">
      <c r="A37" s="10" t="s">
        <v>182</v>
      </c>
    </row>
    <row r="38" customFormat="false" ht="15" hidden="false" customHeight="false" outlineLevel="0" collapsed="false">
      <c r="A38" s="5" t="s">
        <v>171</v>
      </c>
      <c r="C38" s="29" t="s">
        <v>172</v>
      </c>
    </row>
    <row r="39" customFormat="false" ht="15" hidden="false" customHeight="false" outlineLevel="0" collapsed="false">
      <c r="A39" s="25" t="n">
        <v>1</v>
      </c>
      <c r="C39" s="32" t="s">
        <v>183</v>
      </c>
    </row>
    <row r="40" customFormat="false" ht="15" hidden="false" customHeight="false" outlineLevel="0" collapsed="false">
      <c r="A40" s="25" t="n">
        <v>3</v>
      </c>
      <c r="C40" s="32" t="s">
        <v>184</v>
      </c>
    </row>
    <row r="41" customFormat="false" ht="15" hidden="false" customHeight="false" outlineLevel="0" collapsed="false">
      <c r="A41" s="25" t="n">
        <v>5</v>
      </c>
      <c r="C41" s="32" t="s">
        <v>185</v>
      </c>
    </row>
    <row r="43" customFormat="false" ht="15" hidden="false" customHeight="false" outlineLevel="0" collapsed="false">
      <c r="A43" s="10" t="s">
        <v>186</v>
      </c>
    </row>
    <row r="44" customFormat="false" ht="15" hidden="false" customHeight="false" outlineLevel="0" collapsed="false">
      <c r="A44" s="5" t="s">
        <v>171</v>
      </c>
      <c r="C44" s="29" t="s">
        <v>172</v>
      </c>
    </row>
    <row r="45" customFormat="false" ht="15" hidden="false" customHeight="false" outlineLevel="0" collapsed="false">
      <c r="A45" s="25" t="n">
        <v>1</v>
      </c>
      <c r="C45" s="32" t="s">
        <v>187</v>
      </c>
    </row>
    <row r="46" customFormat="false" ht="15" hidden="false" customHeight="false" outlineLevel="0" collapsed="false">
      <c r="A46" s="25" t="n">
        <v>3</v>
      </c>
      <c r="C46" s="32" t="s">
        <v>188</v>
      </c>
    </row>
    <row r="47" customFormat="false" ht="15" hidden="false" customHeight="false" outlineLevel="0" collapsed="false">
      <c r="A47" s="25" t="n">
        <v>5</v>
      </c>
      <c r="C47" s="32" t="s">
        <v>189</v>
      </c>
    </row>
    <row r="48" customFormat="false" ht="15" hidden="false" customHeight="false" outlineLevel="0" collapsed="false">
      <c r="C48" s="39" t="s">
        <v>190</v>
      </c>
    </row>
    <row r="50" customFormat="false" ht="15" hidden="false" customHeight="false" outlineLevel="0" collapsed="false">
      <c r="A50" s="10" t="s">
        <v>191</v>
      </c>
    </row>
    <row r="51" customFormat="false" ht="15" hidden="false" customHeight="false" outlineLevel="0" collapsed="false">
      <c r="A51" s="5" t="s">
        <v>171</v>
      </c>
      <c r="C51" s="29" t="s">
        <v>172</v>
      </c>
    </row>
    <row r="52" customFormat="false" ht="15" hidden="false" customHeight="false" outlineLevel="0" collapsed="false">
      <c r="A52" s="25" t="n">
        <v>1</v>
      </c>
      <c r="C52" s="32" t="s">
        <v>192</v>
      </c>
    </row>
    <row r="53" customFormat="false" ht="15" hidden="false" customHeight="false" outlineLevel="0" collapsed="false">
      <c r="A53" s="25" t="n">
        <v>3</v>
      </c>
      <c r="C53" s="32" t="s">
        <v>193</v>
      </c>
    </row>
    <row r="54" customFormat="false" ht="15" hidden="false" customHeight="false" outlineLevel="0" collapsed="false">
      <c r="A54" s="25" t="n">
        <v>5</v>
      </c>
      <c r="C54" s="32" t="s">
        <v>194</v>
      </c>
    </row>
    <row r="56" customFormat="false" ht="15" hidden="false" customHeight="false" outlineLevel="0" collapsed="false">
      <c r="A56" s="10" t="s">
        <v>195</v>
      </c>
    </row>
    <row r="57" customFormat="false" ht="15" hidden="false" customHeight="false" outlineLevel="0" collapsed="false">
      <c r="A57" s="5" t="s">
        <v>171</v>
      </c>
      <c r="C57" s="29" t="s">
        <v>172</v>
      </c>
    </row>
    <row r="58" customFormat="false" ht="15" hidden="false" customHeight="false" outlineLevel="0" collapsed="false">
      <c r="A58" s="25" t="n">
        <v>1</v>
      </c>
      <c r="C58" s="32" t="s">
        <v>196</v>
      </c>
    </row>
    <row r="59" customFormat="false" ht="15" hidden="false" customHeight="false" outlineLevel="0" collapsed="false">
      <c r="A59" s="25" t="n">
        <v>3</v>
      </c>
      <c r="C59" s="32" t="s">
        <v>197</v>
      </c>
    </row>
    <row r="60" customFormat="false" ht="15" hidden="false" customHeight="false" outlineLevel="0" collapsed="false">
      <c r="A60" s="25" t="n">
        <v>5</v>
      </c>
      <c r="C60" s="32" t="s">
        <v>198</v>
      </c>
    </row>
    <row r="62" customFormat="false" ht="15" hidden="false" customHeight="false" outlineLevel="0" collapsed="false">
      <c r="A62" s="10" t="s">
        <v>199</v>
      </c>
    </row>
    <row r="63" customFormat="false" ht="15" hidden="false" customHeight="false" outlineLevel="0" collapsed="false">
      <c r="A63" s="29" t="s">
        <v>200</v>
      </c>
      <c r="C63" s="29" t="s">
        <v>201</v>
      </c>
    </row>
    <row r="64" customFormat="false" ht="15" hidden="false" customHeight="false" outlineLevel="0" collapsed="false">
      <c r="A64" s="32" t="s">
        <v>202</v>
      </c>
      <c r="C64" s="32" t="s">
        <v>203</v>
      </c>
    </row>
    <row r="65" customFormat="false" ht="15" hidden="false" customHeight="false" outlineLevel="0" collapsed="false">
      <c r="A65" s="32" t="s">
        <v>204</v>
      </c>
      <c r="C65" s="32" t="s">
        <v>205</v>
      </c>
    </row>
    <row r="66" customFormat="false" ht="15" hidden="false" customHeight="false" outlineLevel="0" collapsed="false">
      <c r="A66" s="32" t="s">
        <v>206</v>
      </c>
      <c r="C66" s="32" t="s">
        <v>207</v>
      </c>
    </row>
    <row r="67" customFormat="false" ht="15" hidden="false" customHeight="false" outlineLevel="0" collapsed="false">
      <c r="A67" s="32" t="s">
        <v>91</v>
      </c>
      <c r="C67" s="32" t="s">
        <v>208</v>
      </c>
    </row>
    <row r="68" customFormat="false" ht="15" hidden="false" customHeight="false" outlineLevel="0" collapsed="false">
      <c r="A68" s="32" t="s">
        <v>209</v>
      </c>
      <c r="C68" s="32" t="s">
        <v>210</v>
      </c>
    </row>
    <row r="69" customFormat="false" ht="15" hidden="false" customHeight="false" outlineLevel="0" collapsed="false">
      <c r="A69" s="32" t="s">
        <v>211</v>
      </c>
      <c r="C69" s="32" t="s">
        <v>212</v>
      </c>
    </row>
    <row r="70" customFormat="false" ht="15" hidden="false" customHeight="false" outlineLevel="0" collapsed="false">
      <c r="A70" s="32" t="s">
        <v>213</v>
      </c>
      <c r="C70" s="32" t="s">
        <v>214</v>
      </c>
    </row>
    <row r="72" customFormat="false" ht="15" hidden="false" customHeight="false" outlineLevel="0" collapsed="false">
      <c r="A72" s="10" t="s">
        <v>215</v>
      </c>
    </row>
    <row r="73" customFormat="false" ht="25.5" hidden="false" customHeight="true" outlineLevel="0" collapsed="false">
      <c r="A73" s="40" t="s">
        <v>216</v>
      </c>
      <c r="B73" s="40"/>
      <c r="C73" s="40"/>
    </row>
    <row r="74" customFormat="false" ht="25.5" hidden="false" customHeight="true" outlineLevel="0" collapsed="false">
      <c r="A74" s="40" t="s">
        <v>217</v>
      </c>
      <c r="B74" s="40"/>
      <c r="C74" s="40"/>
    </row>
    <row r="75" customFormat="false" ht="25.5" hidden="false" customHeight="true" outlineLevel="0" collapsed="false">
      <c r="A75" s="40" t="s">
        <v>218</v>
      </c>
      <c r="B75" s="40"/>
      <c r="C75" s="40"/>
    </row>
    <row r="76" customFormat="false" ht="25.5" hidden="false" customHeight="true" outlineLevel="0" collapsed="false">
      <c r="A76" s="40" t="s">
        <v>219</v>
      </c>
      <c r="B76" s="40"/>
      <c r="C76" s="40"/>
    </row>
    <row r="77" customFormat="false" ht="25.5" hidden="false" customHeight="true" outlineLevel="0" collapsed="false">
      <c r="A77" s="40" t="s">
        <v>220</v>
      </c>
      <c r="B77" s="40"/>
      <c r="C77" s="40"/>
    </row>
    <row r="79" customFormat="false" ht="15" hidden="false" customHeight="false" outlineLevel="0" collapsed="false">
      <c r="A79" s="10" t="s">
        <v>221</v>
      </c>
    </row>
    <row r="80" customFormat="false" ht="25.5" hidden="false" customHeight="true" outlineLevel="0" collapsed="false">
      <c r="A80" s="40" t="s">
        <v>222</v>
      </c>
      <c r="B80" s="40"/>
      <c r="C80" s="40"/>
    </row>
    <row r="81" customFormat="false" ht="25.5" hidden="false" customHeight="true" outlineLevel="0" collapsed="false">
      <c r="A81" s="40" t="s">
        <v>223</v>
      </c>
      <c r="B81" s="40"/>
      <c r="C81" s="40"/>
    </row>
    <row r="82" customFormat="false" ht="25.5" hidden="false" customHeight="true" outlineLevel="0" collapsed="false">
      <c r="A82" s="40" t="s">
        <v>224</v>
      </c>
      <c r="B82" s="40"/>
      <c r="C82" s="40"/>
    </row>
    <row r="83" customFormat="false" ht="25.5" hidden="false" customHeight="true" outlineLevel="0" collapsed="false">
      <c r="A83" s="40" t="s">
        <v>225</v>
      </c>
      <c r="B83" s="40"/>
      <c r="C83" s="40"/>
    </row>
    <row r="84" customFormat="false" ht="25.5" hidden="false" customHeight="true" outlineLevel="0" collapsed="false">
      <c r="A84" s="40" t="s">
        <v>226</v>
      </c>
      <c r="B84" s="40"/>
      <c r="C84" s="40"/>
    </row>
    <row r="85" customFormat="false" ht="25.5" hidden="false" customHeight="true" outlineLevel="0" collapsed="false">
      <c r="A85" s="40" t="s">
        <v>227</v>
      </c>
      <c r="B85" s="40"/>
      <c r="C85" s="40"/>
    </row>
    <row r="86" customFormat="false" ht="25.5" hidden="false" customHeight="true" outlineLevel="0" collapsed="false">
      <c r="A86" s="40" t="s">
        <v>228</v>
      </c>
      <c r="B86" s="40"/>
      <c r="C86" s="40"/>
    </row>
  </sheetData>
  <mergeCells count="12">
    <mergeCell ref="A73:C73"/>
    <mergeCell ref="A74:C74"/>
    <mergeCell ref="A75:C75"/>
    <mergeCell ref="A76:C76"/>
    <mergeCell ref="A77:C77"/>
    <mergeCell ref="A80:C80"/>
    <mergeCell ref="A81:C81"/>
    <mergeCell ref="A82:C82"/>
    <mergeCell ref="A83:C83"/>
    <mergeCell ref="A84:C84"/>
    <mergeCell ref="A85:C85"/>
    <mergeCell ref="A86:C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15" t="s">
        <v>229</v>
      </c>
      <c r="B1" s="15" t="s">
        <v>230</v>
      </c>
      <c r="C1" s="15" t="s">
        <v>231</v>
      </c>
      <c r="D1" s="15" t="s">
        <v>232</v>
      </c>
      <c r="H1" s="15" t="s">
        <v>233</v>
      </c>
    </row>
    <row r="2" customFormat="false" ht="15" hidden="false" customHeight="false" outlineLevel="0" collapsed="false">
      <c r="A2" s="41" t="s">
        <v>75</v>
      </c>
      <c r="B2" s="41" t="n">
        <v>1</v>
      </c>
      <c r="C2" s="41" t="s">
        <v>202</v>
      </c>
      <c r="D2" s="41" t="s">
        <v>122</v>
      </c>
      <c r="H2" s="41" t="s">
        <v>147</v>
      </c>
    </row>
    <row r="3" customFormat="false" ht="15" hidden="false" customHeight="false" outlineLevel="0" collapsed="false">
      <c r="A3" s="41" t="s">
        <v>234</v>
      </c>
      <c r="B3" s="41" t="n">
        <v>2</v>
      </c>
      <c r="C3" s="41" t="s">
        <v>204</v>
      </c>
      <c r="D3" s="41" t="s">
        <v>112</v>
      </c>
      <c r="H3" s="41" t="s">
        <v>149</v>
      </c>
    </row>
    <row r="4" customFormat="false" ht="15" hidden="false" customHeight="false" outlineLevel="0" collapsed="false">
      <c r="A4" s="41" t="s">
        <v>84</v>
      </c>
      <c r="B4" s="41" t="n">
        <v>3</v>
      </c>
      <c r="C4" s="41" t="s">
        <v>206</v>
      </c>
      <c r="D4" s="41" t="s">
        <v>126</v>
      </c>
      <c r="H4" s="41" t="s">
        <v>151</v>
      </c>
    </row>
    <row r="5" customFormat="false" ht="15" hidden="false" customHeight="false" outlineLevel="0" collapsed="false">
      <c r="A5" s="41" t="s">
        <v>89</v>
      </c>
      <c r="B5" s="41" t="n">
        <v>4</v>
      </c>
      <c r="C5" s="41" t="s">
        <v>91</v>
      </c>
      <c r="D5" s="41" t="s">
        <v>235</v>
      </c>
      <c r="H5" s="41" t="s">
        <v>153</v>
      </c>
    </row>
    <row r="6" customFormat="false" ht="15" hidden="false" customHeight="false" outlineLevel="0" collapsed="false">
      <c r="B6" s="41" t="n">
        <v>5</v>
      </c>
      <c r="C6" s="41" t="s">
        <v>209</v>
      </c>
      <c r="D6" s="41" t="s">
        <v>236</v>
      </c>
      <c r="H6" s="41" t="s">
        <v>155</v>
      </c>
    </row>
    <row r="7" customFormat="false" ht="15" hidden="false" customHeight="false" outlineLevel="0" collapsed="false">
      <c r="C7" s="41" t="s">
        <v>211</v>
      </c>
      <c r="D7" s="41" t="s">
        <v>237</v>
      </c>
    </row>
    <row r="8" customFormat="false" ht="15" hidden="false" customHeight="false" outlineLevel="0" collapsed="false">
      <c r="C8" s="41" t="s">
        <v>213</v>
      </c>
    </row>
    <row r="9" customFormat="false" ht="15" hidden="false" customHeight="false" outlineLevel="0" collapsed="false">
      <c r="A9" s="2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2026-08-07T14:10:49Z</dcterms:created>
  <dc:creator>openpyxl</dc:creator>
  <dc:description/>
  <dc:language>en-US</dc:language>
  <cp:lastModifiedBy/>
  <dcterms:modified xsi:type="dcterms:W3CDTF">2026-08-07T14:10:49Z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