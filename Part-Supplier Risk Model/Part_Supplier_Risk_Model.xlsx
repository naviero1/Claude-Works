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DASHBOARD" sheetId="2" state="visible" r:id="rId4"/>
    <sheet name="PART_RISK" sheetId="3" state="visible" r:id="rId5"/>
    <sheet name="SUPPLIERS" sheetId="4" state="visible" r:id="rId6"/>
    <sheet name="MODELS" sheetId="5" state="visible" r:id="rId7"/>
    <sheet name="SCORING_GUIDE" sheetId="6" state="visible" r:id="rId8"/>
    <sheet name="LISTS" sheetId="7" state="visible" r:id="rId9"/>
  </sheets>
  <definedNames>
    <definedName function="false" hidden="false" name="DriverNames" vbProcedure="false">LISTS!$H$2:$H$6</definedName>
    <definedName function="false" hidden="false" name="ModelList" vbProcedure="false">MODELS!$A$4:$A$28</definedName>
    <definedName function="false" hidden="false" name="PartTypes" vbProcedure="false">LISTS!$A$2:$A$5</definedName>
    <definedName function="false" hidden="false" name="RedFlagsSup" vbProcedure="false">OFFSET(LISTS!$C$2,0,0,COUNTA(LISTS!$C$2:$C$50),1)</definedName>
    <definedName function="false" hidden="false" name="Score15" vbProcedure="false">LISTS!$B$2:$B$6</definedName>
    <definedName function="false" hidden="false" name="SEL_MODEL" vbProcedure="false">DASHBOARD!$B$26</definedName>
    <definedName function="false" hidden="false" name="StatusList" vbProcedure="false">LISTS!$G$2:$G$7</definedName>
    <definedName function="false" hidden="false" name="SupplierList" vbProcedure="false">SUPPLIERS!$A$4:$A$63</definedName>
    <definedName function="false" hidden="false" name="T_CRIT" vbProcedure="false">SCORING_GUIDE!$B$18</definedName>
    <definedName function="false" hidden="false" name="T_MON" vbProcedure="false">SCORING_GUIDE!$B$19</definedName>
    <definedName function="false" hidden="false" name="W_CAP" vbProcedure="false">SCORING_GUIDE!$B$11</definedName>
    <definedName function="false" hidden="false" name="W_EXT" vbProcedure="false">SCORING_GUIDE!$B$13</definedName>
    <definedName function="false" hidden="false" name="W_QC" vbProcedure="false">SCORING_GUIDE!$B$10</definedName>
    <definedName function="false" hidden="false" name="W_SRC" vbProcedure="false">SCORING_GUIDE!$B$9</definedName>
    <definedName function="false" hidden="false" name="W_SUP" vbProcedure="false">SCORING_GUIDE!$B$12</definedName>
    <definedName function="false" hidden="false" name="YellowFlagsSup" vbProcedure="false">OFFSET(LISTS!$D$2,0,0,COUNTA(LISTS!$D$2:$D$50),1)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<sst xmlns="http://schemas.openxmlformats.org/spreadsheetml/2006/main" count="398" uniqueCount="317">
  <si>
    <t xml:space="preserve">PART-SUPPLIER RISK MODEL</t>
  </si>
  <si>
    <t xml:space="preserve">One simple tool: decompose each model into its parts (tissue and non-tissue), link every part to its supplier, and score the risk of each part-supplier combination.</t>
  </si>
  <si>
    <t xml:space="preserve">HOW TO USE (4 steps)</t>
  </si>
  <si>
    <t xml:space="preserve">1.  MODELS - add the model / project (one row) and its production volume per quarter (units built). A model may have tissue parts, non-tissue parts, or both.</t>
  </si>
  <si>
    <t xml:space="preserve">2.  SUPPLIERS - add the supplier, give it its two BASE 1-5 scores (Stability, External Factors), and set flags if any apply. Red flags (bankruptcy, permitting, recall...) force all that supplier's rows CRITICAL. Yellow flags (welfare violation, communication, weather exposure...) automatically bump the score they affect into the ADJUSTED columns. You do this once per supplier - everything flows to its part rows.</t>
  </si>
  <si>
    <t xml:space="preserve">3.  PART_RISK - one row per part-supplier combo: pick the model, type the part, its type, quantity per model, and supplier; score the three part criteria (1-5) and Impact (1-5). Part-specific emergencies are scored, not flagged: EOL -&gt; Sourcing 5, stop-ship -&gt; Quality 5, note it in Mitigation / Notes. Likelihood, Risk, Band and quarterly consumption calculate automatically.</t>
  </si>
  <si>
    <t xml:space="preserve">4.  DASHBOARD - select a model to see its decomposition ranked by risk; review the Top 10 across all models; write mitigations back into the Notes column of PART_RISK.</t>
  </si>
  <si>
    <t xml:space="preserve">HOW THE SCORE WORKS</t>
  </si>
  <si>
    <t xml:space="preserve">Likelihood (1-5) = weighted average of: Sourcing &amp; Backup 25%, Quality &amp; Compliance 25%, Capacity 20%, Supplier Stability 20%, External Factors 10% - using each supplier's ADJUSTED scores (base + yellow flags).</t>
  </si>
  <si>
    <t xml:space="preserve">Risk (1-25) = Likelihood x Impact.    Bands: &gt;= 15 CRITICAL (act now)   |   7 - 14.9 MONITOR (watch + contingency)   |   &lt; 7 LOW (routine).</t>
  </si>
  <si>
    <t xml:space="preserve">Flags are SUPPLIER-level only. Any Red flag makes all that supplier's rows CRITICAL; each Yellow bumps the supplier score it affects (Stability or External) by +1, capped at 5. Base score = steady state, flags = current events - don't count the same thing in both. Full definitions: SCORING_GUIDE; lists and routing editable on LISTS.</t>
  </si>
  <si>
    <t xml:space="preserve">Volume: Qty_per_Quarter = Qty_per_Model x the model's Prod_Volume_Qtr - the total of that part consumed in a quarter.</t>
  </si>
  <si>
    <t xml:space="preserve">LEGEND</t>
  </si>
  <si>
    <t xml:space="preserve">Cream cells = you enter or pick from a dropdown.    Gray cells = automatic, do not type in them.</t>
  </si>
  <si>
    <t xml:space="preserve">Scores always read the same way: 1 = low risk ... 5 = high risk. If you can't answer, leave blank - the row shows NOT SCORED.</t>
  </si>
  <si>
    <t xml:space="preserve">SUGGESTED CADENCE</t>
  </si>
  <si>
    <t xml:space="preserve">Score new part-supplier combos at sourcing time; re-score CRITICAL quarterly, MONITOR twice a year, LOW yearly, and any time a flag event happens. Update Last_Reviewed every time - a dated, ongoing monitoring record is what ISO 13485 / FDA QMSR supplier controls expect.</t>
  </si>
  <si>
    <t xml:space="preserve">PART-SUPPLIER RISK DASHBOARD</t>
  </si>
  <si>
    <t xml:space="preserve">Everything updates automatically from PART_RISK, SUPPLIERS and MODELS. The only input here is the yellow model selector below.</t>
  </si>
  <si>
    <t xml:space="preserve">Part-supplier combos</t>
  </si>
  <si>
    <t xml:space="preserve">Critical</t>
  </si>
  <si>
    <t xml:space="preserve">Monitor</t>
  </si>
  <si>
    <t xml:space="preserve">Low</t>
  </si>
  <si>
    <t xml:space="preserve">Not scored</t>
  </si>
  <si>
    <t xml:space="preserve">Flags set</t>
  </si>
  <si>
    <t xml:space="preserve">Models</t>
  </si>
  <si>
    <t xml:space="preserve">Suppliers</t>
  </si>
  <si>
    <t xml:space="preserve">RISK BY MODEL</t>
  </si>
  <si>
    <t xml:space="preserve">Model</t>
  </si>
  <si>
    <t xml:space="preserve">Parts</t>
  </si>
  <si>
    <t xml:space="preserve">Tissue?</t>
  </si>
  <si>
    <t xml:space="preserve">Max risk</t>
  </si>
  <si>
    <t xml:space="preserve">Band</t>
  </si>
  <si>
    <t xml:space="preserve">Vol/qtr</t>
  </si>
  <si>
    <t xml:space="preserve">MODEL DETAIL</t>
  </si>
  <si>
    <t xml:space="preserve">Select model:</t>
  </si>
  <si>
    <t xml:space="preserve">Dv_Tech</t>
  </si>
  <si>
    <t xml:space="preserve">Parts of the selected model, highest risk first (red flags always on top).</t>
  </si>
  <si>
    <t xml:space="preserve">#</t>
  </si>
  <si>
    <t xml:space="preserve">Part number</t>
  </si>
  <si>
    <t xml:space="preserve">Description</t>
  </si>
  <si>
    <t xml:space="preserve">Type</t>
  </si>
  <si>
    <t xml:space="preserve">Supplier</t>
  </si>
  <si>
    <t xml:space="preserve">Qty/qtr</t>
  </si>
  <si>
    <t xml:space="preserve">Impact</t>
  </si>
  <si>
    <t xml:space="preserve">Likelihood</t>
  </si>
  <si>
    <t xml:space="preserve">Risk</t>
  </si>
  <si>
    <t xml:space="preserve">Top driver</t>
  </si>
  <si>
    <t xml:space="preserve">Supplier flags</t>
  </si>
  <si>
    <t xml:space="preserve">TOP 10 RISKS - ALL MODELS</t>
  </si>
  <si>
    <t xml:space="preserve">PART-SUPPLIER RISK REGISTER</t>
  </si>
  <si>
    <t xml:space="preserve">One row per part-supplier combination. Cream = you enter/select. Gray = automatic. Score 1 (low risk) to 5 (high risk) using the SCORING_GUIDE anchors. Flags live on the SUPPLIERS sheet only and flow in automatically (red = all that supplier's rows CRITICAL; yellows adjust its Stability/External scores). Part-specific emergencies (EOL, stop-ship on one part) are scored, not flagged: set the affected criterion to 5 and explain in Notes.</t>
  </si>
  <si>
    <t xml:space="preserve">1. IDENTIFY THE PART</t>
  </si>
  <si>
    <t xml:space="preserve">2. VOLUME</t>
  </si>
  <si>
    <t xml:space="preserve">3. SCORE THE PART (1-5)</t>
  </si>
  <si>
    <t xml:space="preserve">4. SUPPLIER SCORES (auto)</t>
  </si>
  <si>
    <t xml:space="preserve">5. IMPACT</t>
  </si>
  <si>
    <t xml:space="preserve">SUPPLIER FLAGS (auto)</t>
  </si>
  <si>
    <t xml:space="preserve">RESULT (auto)</t>
  </si>
  <si>
    <t xml:space="preserve">6. ACTIONS &amp; REVIEW</t>
  </si>
  <si>
    <t xml:space="preserve">Part_Number</t>
  </si>
  <si>
    <t xml:space="preserve">Part_Description</t>
  </si>
  <si>
    <t xml:space="preserve">Part_Type</t>
  </si>
  <si>
    <t xml:space="preserve">Qty_per_Model</t>
  </si>
  <si>
    <t xml:space="preserve">Qty_per_Quarter</t>
  </si>
  <si>
    <t xml:space="preserve">Sourcing_Backup</t>
  </si>
  <si>
    <t xml:space="preserve">Quality_Compliance</t>
  </si>
  <si>
    <t xml:space="preserve">Capacity</t>
  </si>
  <si>
    <t xml:space="preserve">Supplier_Stability</t>
  </si>
  <si>
    <t xml:space="preserve">External_Factors</t>
  </si>
  <si>
    <t xml:space="preserve">Impact (1-5)</t>
  </si>
  <si>
    <t xml:space="preserve">Supplier_Flags</t>
  </si>
  <si>
    <t xml:space="preserve">Risk_Score</t>
  </si>
  <si>
    <t xml:space="preserve">Risk_Band</t>
  </si>
  <si>
    <t xml:space="preserve">Top_Driver</t>
  </si>
  <si>
    <t xml:space="preserve">Mitigation / Notes</t>
  </si>
  <si>
    <t xml:space="preserve">Last_Reviewed</t>
  </si>
  <si>
    <t xml:space="preserve">sR</t>
  </si>
  <si>
    <t xml:space="preserve">srt</t>
  </si>
  <si>
    <t xml:space="preserve">sel</t>
  </si>
  <si>
    <t xml:space="preserve">TISS,PORCINE,AORTA SEGMENTS</t>
  </si>
  <si>
    <t xml:space="preserve">Tissue (APHIS)</t>
  </si>
  <si>
    <t xml:space="preserve">Martin's Pork Products</t>
  </si>
  <si>
    <t xml:space="preserve">EXAMPLE - replace with real data. Multi-sourced; permits current; watch defect rate (improving).</t>
  </si>
  <si>
    <t xml:space="preserve">TISS,PORCINE,BARIATRIC BLOCK</t>
  </si>
  <si>
    <t xml:space="preserve">EXAMPLE - replace with real data. Sole source, declining quality trend: qualify backup harvest supplier, raise safety stock.</t>
  </si>
  <si>
    <t xml:space="preserve">Female Pelvic</t>
  </si>
  <si>
    <t xml:space="preserve">Non-Tissue: Custom</t>
  </si>
  <si>
    <t xml:space="preserve">EXAMPLE - replace with real data. Alternates identified (Fictiv, Xometry); 8-week lead time.</t>
  </si>
  <si>
    <t xml:space="preserve">TISS,PORCINE,LEAF FAT</t>
  </si>
  <si>
    <t xml:space="preserve">Non-Tissue: COTS</t>
  </si>
  <si>
    <t xml:space="preserve">Qosina Corp.</t>
  </si>
  <si>
    <t xml:space="preserve">EXAMPLE - replace with real data. Was flagged EOL: connector discontinued by OEM, last-time buy placed, replacement in qualification. Under the new rules, an EOL part is scored Sourcing_Backup = 5 instead of flagged.</t>
  </si>
  <si>
    <t xml:space="preserve">666438</t>
  </si>
  <si>
    <t xml:space="preserve">Liquid, SB aqueous mixture</t>
  </si>
  <si>
    <t xml:space="preserve">SNP, Inc.</t>
  </si>
  <si>
    <t xml:space="preserve">EXAMPLE - replace with real data. Single source; second supplier (Brenntag) in qualification.</t>
  </si>
  <si>
    <t xml:space="preserve">666800-01</t>
  </si>
  <si>
    <t xml:space="preserve">Plate, thermoformed, Kydex</t>
  </si>
  <si>
    <t xml:space="preserve">Midland Plastics</t>
  </si>
  <si>
    <t xml:space="preserve">EXAMPLE - replace with real data. New supplier - initial audit pending.</t>
  </si>
  <si>
    <t xml:space="preserve">SUPPLIERS</t>
  </si>
  <si>
    <t xml:space="preserve">Score each supplier ONCE: two BASE 1-5 scores plus any flags. Flags do the adjusting for you - each yellow flag bumps the score it affects (+1, capped at 5) into the ADJUSTED columns, which is what every part row inherits. Any red flag makes ALL this supplier's rows CRITICAL. Base = steady state; flags = current events. Don't bake a flag into the base score too.</t>
  </si>
  <si>
    <t xml:space="preserve">Supplier_Name</t>
  </si>
  <si>
    <t xml:space="preserve">Location (City/State, Country)</t>
  </si>
  <si>
    <t xml:space="preserve">Status</t>
  </si>
  <si>
    <t xml:space="preserve">Stability_Base (1-5)</t>
  </si>
  <si>
    <t xml:space="preserve">External_Base (1-5)</t>
  </si>
  <si>
    <t xml:space="preserve">Red_Flag_1</t>
  </si>
  <si>
    <t xml:space="preserve">Red_Flag_2</t>
  </si>
  <si>
    <t xml:space="preserve">Yellow_Flag_1</t>
  </si>
  <si>
    <t xml:space="preserve">Yellow_Flag_2</t>
  </si>
  <si>
    <t xml:space="preserve">Yellow_Flag_3</t>
  </si>
  <si>
    <t xml:space="preserve">Stability_Adj</t>
  </si>
  <si>
    <t xml:space="preserve">External_Adj</t>
  </si>
  <si>
    <t xml:space="preserve">Certs / Permits (info)</t>
  </si>
  <si>
    <t xml:space="preserve">Notes</t>
  </si>
  <si>
    <t xml:space="preserve">Parts_Linked</t>
  </si>
  <si>
    <t xml:space="preserve">Worst_Band</t>
  </si>
  <si>
    <t xml:space="preserve">rf</t>
  </si>
  <si>
    <t xml:space="preserve">sf</t>
  </si>
  <si>
    <t xml:space="preserve">ef</t>
  </si>
  <si>
    <t xml:space="preserve">Parks Family Meats</t>
  </si>
  <si>
    <t xml:space="preserve">Warsaw, NC, USA</t>
  </si>
  <si>
    <t xml:space="preserve">Approved</t>
  </si>
  <si>
    <t xml:space="preserve">APHIS specimen permit (exp 12/2026); FDA FSIS</t>
  </si>
  <si>
    <t xml:space="preserve">EXAMPLE - small local slaughterhouse; strong relationship.</t>
  </si>
  <si>
    <t xml:space="preserve">Falcon, NC, USA</t>
  </si>
  <si>
    <t xml:space="preserve">APHIS specimen permit (exp 5/2026); FDA FSIS</t>
  </si>
  <si>
    <t xml:space="preserve">EXAMPLE - small family business; past power/sanitation issues; flood-prone area.</t>
  </si>
  <si>
    <t xml:space="preserve">Advanced Plastiform</t>
  </si>
  <si>
    <t xml:space="preserve">NC, USA</t>
  </si>
  <si>
    <t xml:space="preserve">ISO 9001</t>
  </si>
  <si>
    <t xml:space="preserve">EXAMPLE - established plastics former.</t>
  </si>
  <si>
    <t xml:space="preserve">USA</t>
  </si>
  <si>
    <t xml:space="preserve">EXAMPLE - chemical blender; single site.</t>
  </si>
  <si>
    <t xml:space="preserve">MODELS</t>
  </si>
  <si>
    <t xml:space="preserve">Add one row per model / project, plus its production volume per quarter (units built). Everything else fills in automatically from PART_RISK.</t>
  </si>
  <si>
    <t xml:space="preserve">Model_Name</t>
  </si>
  <si>
    <t xml:space="preserve">Has_Tissue_Parts</t>
  </si>
  <si>
    <t xml:space="preserve">Not_Scored</t>
  </si>
  <si>
    <t xml:space="preserve">Max_Risk</t>
  </si>
  <si>
    <t xml:space="preserve">Model_Band</t>
  </si>
  <si>
    <t xml:space="preserve">Prod_Volume_Qtr (units)</t>
  </si>
  <si>
    <t xml:space="preserve">Colorectal</t>
  </si>
  <si>
    <t xml:space="preserve">GYN 2.0</t>
  </si>
  <si>
    <t xml:space="preserve">INGUINAL HERNIA LEFT</t>
  </si>
  <si>
    <t xml:space="preserve">Thoracic Standard</t>
  </si>
  <si>
    <t xml:space="preserve">SCORING GUIDE</t>
  </si>
  <si>
    <t xml:space="preserve">RISK = LIKELIHOOD x IMPACT.  Likelihood = weighted average of the five 1-5 criteria below. Impact = how bad it is for the model if this part-supplier fails (1-5). Risk runs 1-25. Flags are set on SUPPLIERS: any red flag forces all that supplier's rows CRITICAL; each yellow flag bumps the supplier score it affects (Stability or External) by +1, capped at 5.</t>
  </si>
  <si>
    <t xml:space="preserve">Every criterion uses the same simple rule:  1 = low risk, 3 = medium, 5 = high. Score 2 or 4 when reality sits between the anchors. If you can't answer, leave it blank - the row shows NOT SCORED instead of a wrong number.</t>
  </si>
  <si>
    <t xml:space="preserve">WEIGHTS (editable - cream cells; must total 100%)</t>
  </si>
  <si>
    <t xml:space="preserve">Criterion</t>
  </si>
  <si>
    <t xml:space="preserve">Weight</t>
  </si>
  <si>
    <t xml:space="preserve">The question it answers</t>
  </si>
  <si>
    <t xml:space="preserve">Sourcing &amp; Backup</t>
  </si>
  <si>
    <t xml:space="preserve">Could we get this part somewhere else, and how fast?</t>
  </si>
  <si>
    <t xml:space="preserve">Quality &amp; Compliance</t>
  </si>
  <si>
    <t xml:space="preserve">Will the part be good and legal (permits, certs, defect history)?</t>
  </si>
  <si>
    <t xml:space="preserve">Can they make enough, on time, and absorb a surge?</t>
  </si>
  <si>
    <t xml:space="preserve">Supplier Stability</t>
  </si>
  <si>
    <t xml:space="preserve">Will this supplier still be here, and do we matter to them? (scored on SUPPLIERS)</t>
  </si>
  <si>
    <t xml:space="preserve">External Factors</t>
  </si>
  <si>
    <t xml:space="preserve">What can hit them from outside - weather, logistics, borders? (scored on SUPPLIERS)</t>
  </si>
  <si>
    <t xml:space="preserve">Total (must be 100%)</t>
  </si>
  <si>
    <t xml:space="preserve">Defaults mirror the weight logic of the previous tool (Quality 25%, Relationship 20%, Ops 15-20%...), collapsed to five criteria.</t>
  </si>
  <si>
    <t xml:space="preserve">RISK BANDS (editable thresholds)</t>
  </si>
  <si>
    <t xml:space="preserve">Threshold</t>
  </si>
  <si>
    <t xml:space="preserve">Action</t>
  </si>
  <si>
    <t xml:space="preserve">CRITICAL</t>
  </si>
  <si>
    <t xml:space="preserve">Risk &gt;= 15 (or any red flag): act now - qualify backup, build stock, escalate.</t>
  </si>
  <si>
    <t xml:space="preserve">MONITOR</t>
  </si>
  <si>
    <t xml:space="preserve">Risk 7-14.9: watch actively, have a contingency plan, review quarterly.</t>
  </si>
  <si>
    <t xml:space="preserve">LOW</t>
  </si>
  <si>
    <t xml:space="preserve">&lt; 7</t>
  </si>
  <si>
    <t xml:space="preserve">Standard supplier management, review yearly.</t>
  </si>
  <si>
    <t xml:space="preserve">Cutoffs follow the standard 5x5 risk-matrix convention (ISO 31000 / IEC 31010): 15-25 red, 7-14 yellow, 1-6 green.</t>
  </si>
  <si>
    <t xml:space="preserve">SOURCING &amp; BACKUP  (part-level)</t>
  </si>
  <si>
    <t xml:space="preserve">Score</t>
  </si>
  <si>
    <t xml:space="preserve">What it looks like</t>
  </si>
  <si>
    <t xml:space="preserve">Multiple approved suppliers; switching is easy and fast.</t>
  </si>
  <si>
    <t xml:space="preserve">Single source today, but a backup is identified and could be qualified in under ~3 months.</t>
  </si>
  <si>
    <t xml:space="preserve">Sole source, no backup identified; switching means 6+ months of requalification.</t>
  </si>
  <si>
    <t xml:space="preserve">QUALITY &amp; COMPLIANCE  (part-level)</t>
  </si>
  <si>
    <t xml:space="preserve">All certs/permits current, no significant issues in 12 months, stable or improving trend.</t>
  </si>
  <si>
    <t xml:space="preserve">Certs/permits current but with gaps (e.g. state-only inspection, no SQA signed, occasional defects, audit due).</t>
  </si>
  <si>
    <t xml:space="preserve">Expired/missing permit or certification, repeated defects, declining trend, or open major CAPA.</t>
  </si>
  <si>
    <t xml:space="preserve">Tissue parts: think inspection permits and licenses, USDA/FSIS inspection level, audit status, recent lot rejections.</t>
  </si>
  <si>
    <t xml:space="preserve">Non-tissue parts: think ISO 9001/13485, audit results, defect (PPM) history, open CAPAs, process capability for custom parts.</t>
  </si>
  <si>
    <t xml:space="preserve">CAPACITY  (part-level)</t>
  </si>
  <si>
    <t xml:space="preserve">Plenty of headroom (supplier under ~70% loaded), lead time comfortably meets need, deliveries on time.</t>
  </si>
  <si>
    <t xml:space="preserve">Busy (~70-85% loaded) but can cover a 125% surge with notice; lead time acceptable.</t>
  </si>
  <si>
    <t xml:space="preserve">Near or over capacity (&gt;85%), cannot cover a surge, long or erratic lead times, late deliveries.</t>
  </si>
  <si>
    <t xml:space="preserve">SUPPLIER STABILITY  (supplier-level, scored once on SUPPLIERS)</t>
  </si>
  <si>
    <t xml:space="preserve">Established, healthy business; strong relationship; we are a meaningful customer to them.</t>
  </si>
  <si>
    <t xml:space="preserve">Small or newer business; generally reliable; we are one customer among many.</t>
  </si>
  <si>
    <t xml:space="preserve">Signs of instability (staffing, cash, ownership, key-person risk), strained relationship, phase-out risk, or our volume is insignificant to them.</t>
  </si>
  <si>
    <t xml:space="preserve">Most of our suppliers are small local businesses - judge stability from what you see and hear (staffing, maintenance, responsiveness), not financial statements.</t>
  </si>
  <si>
    <t xml:space="preserve">Score the BASE (steady state). Current events go in as yellow flags, which raise the ADJUSTED score automatically.</t>
  </si>
  <si>
    <t xml:space="preserve">EXTERNAL FACTORS  (supplier-level, scored once on SUPPLIERS)</t>
  </si>
  <si>
    <t xml:space="preserve">Low-risk location, robust logistics, no special transport needs.</t>
  </si>
  <si>
    <t xml:space="preserve">Some exposure: weather-prone region, single logistics route, or cold-chain need with a capable partner.</t>
  </si>
  <si>
    <t xml:space="preserve">High exposure: flood/hurricane zone, remote or single-road access, cross-border / tariff / sanction exposure, or unreliable cold chain.</t>
  </si>
  <si>
    <t xml:space="preserve">IMPACT  (part-level: if this part stops, how bad for the model?)</t>
  </si>
  <si>
    <t xml:space="preserve">Cosmetic or minor part; substitute on the shelf; negligible spend.</t>
  </si>
  <si>
    <t xml:space="preserve">Production slows; workaround or inventory buffer exists; moderate spend.</t>
  </si>
  <si>
    <t xml:space="preserve">Model cannot ship; no substitute; high spend or long requalification of an alternative.</t>
  </si>
  <si>
    <t xml:space="preserve">RED FLAGS (set on SUPPLIERS - any red flag forces ALL that supplier's rows CRITICAL)</t>
  </si>
  <si>
    <t xml:space="preserve">Flag</t>
  </si>
  <si>
    <t xml:space="preserve">Why it overrides the score</t>
  </si>
  <si>
    <t xml:space="preserve">Permitting issues</t>
  </si>
  <si>
    <t xml:space="preserve">A supplier without a required permit or license (e.g. tissue specimen permit) cannot legally supply - no score compensates.</t>
  </si>
  <si>
    <t xml:space="preserve">Stop-ship / quality hold</t>
  </si>
  <si>
    <t xml:space="preserve">An active stop-ship or hold means supply is already interrupted.</t>
  </si>
  <si>
    <t xml:space="preserve">Recall / regulatory action (FDA, USDA)</t>
  </si>
  <si>
    <t xml:space="preserve">Active enforcement against the establishment can halt all supply at any moment.</t>
  </si>
  <si>
    <t xml:space="preserve">Certification revoked or expired</t>
  </si>
  <si>
    <t xml:space="preserve">A required certification (ISO, inspection grant) has lapsed - parts are unusable until restored.</t>
  </si>
  <si>
    <t xml:space="preserve">Supplier exiting or disapproved</t>
  </si>
  <si>
    <t xml:space="preserve">Supply will end regardless of how well it performs today.</t>
  </si>
  <si>
    <t xml:space="preserve">Bankruptcy / insolvency event</t>
  </si>
  <si>
    <t xml:space="preserve">A filed insolvency can stop supply with little or no notice.</t>
  </si>
  <si>
    <t xml:space="preserve">Import/export or sanctions block</t>
  </si>
  <si>
    <t xml:space="preserve">Parts cannot legally cross the border.</t>
  </si>
  <si>
    <t xml:space="preserve">Site loss (fire, flood, closure)</t>
  </si>
  <si>
    <t xml:space="preserve">The production site is out of action - everything it makes is affected.</t>
  </si>
  <si>
    <t xml:space="preserve">Other (see notes)</t>
  </si>
  <si>
    <t xml:space="preserve">Judgment call - explain in the supplier Notes column.</t>
  </si>
  <si>
    <t xml:space="preserve">YELLOW FLAGS (set on SUPPLIERS - each bumps the supplier score it affects by +1, capped at 5)</t>
  </si>
  <si>
    <t xml:space="preserve">Flag  [affects]</t>
  </si>
  <si>
    <t xml:space="preserve">Why it matters</t>
  </si>
  <si>
    <t xml:space="preserve">Animal welfare / humane handling violation  [Stability]</t>
  </si>
  <si>
    <t xml:space="preserve">For tissue suppliers: reputational and regulatory escalation risk - welfare citations often precede USDA action.</t>
  </si>
  <si>
    <t xml:space="preserve">Regulatory warning or minor citation  [Stability]</t>
  </si>
  <si>
    <t xml:space="preserve">Not blocking today, but a sign inspectors are watching; can escalate.</t>
  </si>
  <si>
    <t xml:space="preserve">Poor responsiveness / communication  [Stability]</t>
  </si>
  <si>
    <t xml:space="preserve">Slow answers in normal times predict slow response in a crisis.</t>
  </si>
  <si>
    <t xml:space="preserve">Lack of transparency (data, audits)  [Stability]</t>
  </si>
  <si>
    <t xml:space="preserve">A supplier who resists audits or withholds data may be hiding problems.</t>
  </si>
  <si>
    <t xml:space="preserve">Key-person dependency / staffing turnover  [Stability]</t>
  </si>
  <si>
    <t xml:space="preserve">Small-supplier fragility: one departure can take the process knowledge with it.</t>
  </si>
  <si>
    <t xml:space="preserve">Financial warning signs  [Stability]</t>
  </si>
  <si>
    <t xml:space="preserve">Pays its own suppliers late, cash-stress talk, deferred maintenance - distress before any filing.</t>
  </si>
  <si>
    <t xml:space="preserve">Ownership or management change  [Stability]</t>
  </si>
  <si>
    <t xml:space="preserve">Priorities, pricing and quality culture can shift after a sale or succession.</t>
  </si>
  <si>
    <t xml:space="preserve">Overdue CAPAs / audit findings  [Stability]</t>
  </si>
  <si>
    <t xml:space="preserve">Corrective discipline slipping - problems found but not fixed.</t>
  </si>
  <si>
    <t xml:space="preserve">IP or drawings shared without protection  [Stability]</t>
  </si>
  <si>
    <t xml:space="preserve">Our designs are exposed without NDA or security controls.</t>
  </si>
  <si>
    <t xml:space="preserve">Severe weather / disaster exposure increased  [External]</t>
  </si>
  <si>
    <t xml:space="preserve">Hurricane season, flood forecasts, wildfire risk around their site - exposure is elevated right now.</t>
  </si>
  <si>
    <t xml:space="preserve">Logistics or transport disruption  [External]</t>
  </si>
  <si>
    <t xml:space="preserve">Route closures, carrier problems, port congestion affecting their shipments.</t>
  </si>
  <si>
    <t xml:space="preserve">Trade, tariff or border friction increasing  [External]</t>
  </si>
  <si>
    <t xml:space="preserve">New tariffs or border rules raising cost or delay risk for cross-border supply.</t>
  </si>
  <si>
    <t xml:space="preserve">Other - stability / Other - external</t>
  </si>
  <si>
    <t xml:space="preserve">FLAG SCORING RULES</t>
  </si>
  <si>
    <t xml:space="preserve">- FLAGS ARE SUPPLIER-LEVEL ONLY, set once on the SUPPLIERS sheet (2 red + 3 yellow slots). They automatically reach every part row of that supplier - no flag can be recorded on some rows and forgotten on others.</t>
  </si>
  <si>
    <t xml:space="preserve">- RED flags: any red flag forces ALL that supplier's rows to CRITICAL regardless of scores, and they sort to the top of the dashboard. A second red flag documents a second condition; the band is the same.</t>
  </si>
  <si>
    <t xml:space="preserve">- YELLOW flags: each one bumps the supplier score it affects - Stability or External Factors - by +1 (capped at 5). The 'Affects' column on LISTS routes each flag; a flag without a tag counts toward Stability. The adjustment flows to every part row through the normal weights, so its effect is proportionate: BASE score = steady state you assess; ADJUSTED score = base + current events (the flags).</t>
  </si>
  <si>
    <t xml:space="preserve">- DON'T DOUBLE-COUNT: base scores describe the steady state; flags describe current events. If financial worry is already why you set Stability_Base to 4, don't also set the 'Financial warning signs' flag - one or the other.</t>
  </si>
  <si>
    <t xml:space="preserve">- PART-SPECIFIC EMERGENCIES are scored, not flagged: EOL announced -&gt; Sourcing_Backup = 5; stop-ship on one part -&gt; Quality_Compliance = 5; this part's demand exceeds the line -&gt; Capacity = 5. With real Impact, a 5 lands the row in CRITICAL by the numbers. Explain in Mitigation / Notes.</t>
  </si>
  <si>
    <t xml:space="preserve">- If more conditions apply than there are slots, keep the most serious ones in the slots and note the rest in Notes.</t>
  </si>
  <si>
    <t xml:space="preserve">- Both lists (and the 'Affects' routing) are EDITABLE on the LISTS sheet - the dropdowns update automatically.</t>
  </si>
  <si>
    <t xml:space="preserve">HOW THE LOGIC HOLDS TOGETHER (system checks)</t>
  </si>
  <si>
    <t xml:space="preserve">- The weighted average is COMPENSATORY on purpose: one bad criterion among four healthy ones reads MONITOR, not CRITICAL (e.g. a sole-source part at a perfect supplier). That is the right answer for planning - and the conditions where averaging would be dangerous (permit lapse, stop-ship, EOL, stock-out before recovery) are exactly the red flags, which bypass the average entirely.</t>
  </si>
  <si>
    <t xml:space="preserve">- Impact is deliberately OUTSIDE the average: a likely failure of a trivial part and an unlikely failure of a critical part get different scores instead of blending together.</t>
  </si>
  <si>
    <t xml:space="preserve">- Supplier-level scores AND flags are shared by every part from that supplier - a supplier problem (bankruptcy, lost permit) lifts all its parts at once and can never be recorded inconsistently on some rows but not others. Part-level scores keep one bad part from tainting the supplier's other parts (the flaw of the old supplier-level tool).</t>
  </si>
  <si>
    <t xml:space="preserve">- Yellow flags act through the score they are evidence for (Stability or External), weighted 20% / 10% - proportionate and self-documenting - instead of a flat likelihood bonus that would double-count with those scores.</t>
  </si>
  <si>
    <t xml:space="preserve">- A row missing any score shows NOT SCORED rather than a falsely low number; a red-flagged row goes CRITICAL even while unscored.</t>
  </si>
  <si>
    <t xml:space="preserve">- 'Parts' counts on MODELS are part-SUPPLIER combos: a dual-sourced part appears twice by design - each source carries its own risk.</t>
  </si>
  <si>
    <t xml:space="preserve">- Ties in Top_Driver go to the first criterion in order (Sourcing, Quality, Capacity, Stability, External) - deterministic, not random.</t>
  </si>
  <si>
    <t xml:space="preserve">METHOD &amp; SOURCES (why the model is built this way)</t>
  </si>
  <si>
    <t xml:space="preserve">- Two-axis logic (supply risk x business impact per purchased item): Kraljic, 'Purchasing Must Become Supply Management', Harvard Business Review, 1983 - the standard purchasing-portfolio segmentation.</t>
  </si>
  <si>
    <t xml:space="preserve">- Likelihood x Impact on a 5x5 matrix with 15/7 band cutoffs: ISO 31000 / IEC 31010 risk-assessment convention; same probability-x-severity logic as ISO 14971 used in medical device risk files.</t>
  </si>
  <si>
    <t xml:space="preserve">- 'Stock-out before recovery' red flag: Simchi-Levi's Time-to-Recover / Time-to-Survive framework (HBR 2014; used by Ford, Cisco, UN) - a node where TTS &lt; TTR exposes the firm in ANY disruption.</t>
  </si>
  <si>
    <t xml:space="preserve">- Part-level (not just supplier-level) assessment and the Last_Reviewed column: ISO 13485 clause 7.4 / FDA QMSR require supplier controls proportionate to the EFFECT OF THE PURCHASED PRODUCT on device quality, plus a dated ongoing monitoring record.</t>
  </si>
  <si>
    <t xml:space="preserve">- Red flags = knock-out criteria, standard practice in supplier qualification: some conditions (invalid permit, EOL, stop-ship) invalidate a good average score. Yellow flags = leading indicators, watch-list practice from supplier performance management.</t>
  </si>
  <si>
    <t xml:space="preserve">WHAT CHANGED vs THE PREVIOUS TOOLS (design notes)</t>
  </si>
  <si>
    <t xml:space="preserve">- The 7 weighted pillars + 10 override rules + dependency multipliers of supplier_risk_tool_v12 are collapsed into 5 plain criteria, 1 impact score, red flags and yellow flags.</t>
  </si>
  <si>
    <t xml:space="preserve">- Source dependency (sole/single/dual) no longer multiplies the score - it IS the Sourcing &amp; Backup criterion, weighted 25%.</t>
  </si>
  <si>
    <t xml:space="preserve">- Altman Z-Score, PPM formulas and Cpk thresholds are gone as inputs: our suppliers are mostly small private businesses where those numbers don't exist or aren't reliable. They remain as things to consider inside the 1-5 anchors (and as yellow flags).</t>
  </si>
  <si>
    <t xml:space="preserve">- Financial + Relationship pillars merged into one supplier-level 'Supplier Stability' score; Geopolitical + Environmental merged into 'External Factors'. Cybersecurity dropped as a scored pillar (was 5%) - note IP exposure in supplier Notes if relevant.</t>
  </si>
  <si>
    <t xml:space="preserve">- Risk = Likelihood x Impact (5x5 matrix, same logic as ISO 14971 risk thinking) so a critical part at a good supplier and a minor part at a bad supplier are separated - the part-level view the old supplier-level tool couldn't give.</t>
  </si>
  <si>
    <t xml:space="preserve">- Supplier-level scores live on SUPPLIERS and are entered once; part rows inherit them, so adding the 10th part from a supplier costs seconds, not another 100-column row.</t>
  </si>
  <si>
    <t xml:space="preserve">- Volume tier: Prod_Volume_Qtr (MODELS) x Qty_per_Model (PART_RISK) = Qty_per_Quarter, the total of each part consumed in a quarter - risk read against real volume exposure.</t>
  </si>
  <si>
    <t xml:space="preserve">- Band thresholds (&gt;=15 CRITICAL, &gt;=7 MONITOR) follow the standard 5x5 matrix convention; the previous tool's 0-100 bands (&gt;=80/&gt;=50) served the same purpose.</t>
  </si>
  <si>
    <t xml:space="preserve">Part_Types</t>
  </si>
  <si>
    <t xml:space="preserve">Score_1_5</t>
  </si>
  <si>
    <t xml:space="preserve">Red_Flags</t>
  </si>
  <si>
    <t xml:space="preserve">Yellow_Flags</t>
  </si>
  <si>
    <t xml:space="preserve">Affects (Stability/External)</t>
  </si>
  <si>
    <t xml:space="preserve">Supplier_Status</t>
  </si>
  <si>
    <t xml:space="preserve">Driver_Names</t>
  </si>
  <si>
    <t xml:space="preserve">Animal welfare / humane handling violation</t>
  </si>
  <si>
    <t xml:space="preserve">Stability</t>
  </si>
  <si>
    <t xml:space="preserve">New</t>
  </si>
  <si>
    <t xml:space="preserve">Tissue (Non-APHIS)</t>
  </si>
  <si>
    <t xml:space="preserve">Regulatory warning or minor citation</t>
  </si>
  <si>
    <t xml:space="preserve">Poor responsiveness / communication</t>
  </si>
  <si>
    <t xml:space="preserve">Intuitive Corporate</t>
  </si>
  <si>
    <t xml:space="preserve">Lack of transparency (data, audits)</t>
  </si>
  <si>
    <t xml:space="preserve">Conditional</t>
  </si>
  <si>
    <t xml:space="preserve">Key-person dependency / staffing turnover</t>
  </si>
  <si>
    <t xml:space="preserve">Phase-Out</t>
  </si>
  <si>
    <t xml:space="preserve">Financial warning signs</t>
  </si>
  <si>
    <t xml:space="preserve">Disapproved</t>
  </si>
  <si>
    <t xml:space="preserve">Ownership or management change</t>
  </si>
  <si>
    <t xml:space="preserve">Overdue CAPAs / audit findings</t>
  </si>
  <si>
    <t xml:space="preserve">IP or drawings shared without protection</t>
  </si>
  <si>
    <t xml:space="preserve">Severe weather / disaster exposure increased</t>
  </si>
  <si>
    <t xml:space="preserve">External</t>
  </si>
  <si>
    <t xml:space="preserve">Logistics or transport disruption</t>
  </si>
  <si>
    <t xml:space="preserve">Trade, tariff or border friction increasing</t>
  </si>
  <si>
    <t xml:space="preserve">Other - stability (see notes)</t>
  </si>
  <si>
    <t xml:space="preserve">Other - external (see notes)</t>
  </si>
  <si>
    <t xml:space="preserve">These lists feed the dropdowns and are EDITABLE (down to row 50, no blank rows in between). Flags are SUPPLIER-level only. The 'Affects' column routes each yellow flag: it bumps that supplier score (+1 per flag, capped at 5). A yellow flag with no 'Affects' entry counts toward Stability.</t>
  </si>
</sst>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mm/dd/yyyy"/>
    <numFmt numFmtId="169" formatCode="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sz val="10"/>
      <name val="Arial"/>
      <family val="0"/>
      <charset val="1"/>
    </font>
    <font>
      <b val="true"/>
      <sz val="9"/>
      <color rgb="FFFFFFFF"/>
      <name val="Arial"/>
      <family val="0"/>
      <charset val="1"/>
    </font>
    <font>
      <b val="true"/>
      <sz val="13"/>
      <color rgb="FF1F3864"/>
      <name val="Arial"/>
      <family val="0"/>
      <charset val="1"/>
    </font>
    <font>
      <b val="true"/>
      <sz val="13"/>
      <color rgb="FF9C0006"/>
      <name val="Arial"/>
      <family val="0"/>
      <charset val="1"/>
    </font>
    <font>
      <b val="true"/>
      <sz val="13"/>
      <color rgb="FF9C6500"/>
      <name val="Arial"/>
      <family val="0"/>
      <charset val="1"/>
    </font>
    <font>
      <b val="true"/>
      <sz val="13"/>
      <color rgb="FF006100"/>
      <name val="Arial"/>
      <family val="0"/>
      <charset val="1"/>
    </font>
    <font>
      <sz val="9"/>
      <name val="Arial"/>
      <family val="0"/>
      <charset val="1"/>
    </font>
    <font>
      <b val="true"/>
      <sz val="10"/>
      <name val="Arial"/>
      <family val="0"/>
      <charset val="1"/>
    </font>
    <font>
      <b val="true"/>
      <sz val="9"/>
      <color rgb="FF1F3864"/>
      <name val="Arial"/>
      <family val="0"/>
      <charset val="1"/>
    </font>
    <font>
      <b val="true"/>
      <sz val="10"/>
      <color rgb="FF9C0006"/>
      <name val="Arial"/>
      <family val="0"/>
      <charset val="1"/>
    </font>
    <font>
      <b val="true"/>
      <sz val="10"/>
      <color rgb="FF9C6500"/>
      <name val="Arial"/>
      <family val="0"/>
      <charset val="1"/>
    </font>
    <font>
      <b val="true"/>
      <sz val="10"/>
      <color rgb="FF0061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F2F2F2"/>
        <bgColor rgb="FFFFF6DC"/>
      </patternFill>
    </fill>
    <fill>
      <patternFill patternType="solid">
        <fgColor rgb="FFFFF6DC"/>
        <bgColor rgb="FFF2F2F2"/>
      </patternFill>
    </fill>
    <fill>
      <patternFill patternType="solid">
        <fgColor rgb="FFD9E2F3"/>
        <bgColor rgb="FFF2F2F2"/>
      </patternFill>
    </fill>
    <fill>
      <patternFill patternType="solid">
        <fgColor rgb="FFFFC7CE"/>
        <bgColor rgb="FFD9E2F3"/>
      </patternFill>
    </fill>
    <fill>
      <patternFill patternType="solid">
        <fgColor rgb="FFFFEB9C"/>
        <bgColor rgb="FFFFF6DC"/>
      </patternFill>
    </fill>
    <fill>
      <patternFill patternType="solid">
        <fgColor rgb="FFC6EFCE"/>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center" textRotation="0" wrapText="tru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5" fontId="12"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5" fontId="13" fillId="3" borderId="1" xfId="0" applyFont="true" applyBorder="true" applyAlignment="true" applyProtection="false">
      <alignment horizontal="center" vertical="center" textRotation="0" wrapText="true" indent="0" shrinkToFit="false"/>
      <protection locked="true" hidden="false"/>
    </xf>
    <xf numFmtId="166" fontId="13" fillId="3"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7" fontId="13" fillId="3"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6" fontId="14"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8"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5" fontId="14"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9" fontId="1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7"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6D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8F00"/>
      <rgbColor rgb="FFFF6600"/>
      <rgbColor rgb="FF595959"/>
      <rgbColor rgb="FF969696"/>
      <rgbColor rgb="FF1F3864"/>
      <rgbColor rgb="FF54823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50"/>
  </cols>
  <sheetData>
    <row r="1" customFormat="false" ht="17.35" hidden="false" customHeight="false" outlineLevel="0" collapsed="false">
      <c r="B1" s="1" t="s">
        <v>0</v>
      </c>
    </row>
    <row r="2" customFormat="false" ht="15" hidden="false" customHeight="false" outlineLevel="0" collapsed="false">
      <c r="B2" s="2" t="s">
        <v>1</v>
      </c>
    </row>
    <row r="5" customFormat="false" ht="18" hidden="false" customHeight="true" outlineLevel="0" collapsed="false">
      <c r="B5" s="3" t="s">
        <v>2</v>
      </c>
    </row>
    <row r="6" customFormat="false" ht="30" hidden="false" customHeight="true" outlineLevel="0" collapsed="false">
      <c r="B6" s="4" t="s">
        <v>3</v>
      </c>
    </row>
    <row r="7" customFormat="false" ht="30" hidden="false" customHeight="true" outlineLevel="0" collapsed="false">
      <c r="B7" s="4" t="s">
        <v>4</v>
      </c>
    </row>
    <row r="8" customFormat="false" ht="30" hidden="false" customHeight="true" outlineLevel="0" collapsed="false">
      <c r="B8" s="4" t="s">
        <v>5</v>
      </c>
    </row>
    <row r="9" customFormat="false" ht="30" hidden="false" customHeight="true" outlineLevel="0" collapsed="false">
      <c r="B9" s="4" t="s">
        <v>6</v>
      </c>
    </row>
    <row r="11" customFormat="false" ht="18" hidden="false" customHeight="true" outlineLevel="0" collapsed="false">
      <c r="B11" s="3" t="s">
        <v>7</v>
      </c>
    </row>
    <row r="12" customFormat="false" ht="30" hidden="false" customHeight="true" outlineLevel="0" collapsed="false">
      <c r="B12" s="4" t="s">
        <v>8</v>
      </c>
    </row>
    <row r="13" customFormat="false" ht="30" hidden="false" customHeight="true" outlineLevel="0" collapsed="false">
      <c r="B13" s="4" t="s">
        <v>9</v>
      </c>
    </row>
    <row r="14" customFormat="false" ht="30" hidden="false" customHeight="true" outlineLevel="0" collapsed="false">
      <c r="B14" s="4" t="s">
        <v>10</v>
      </c>
    </row>
    <row r="15" customFormat="false" ht="18" hidden="false" customHeight="true" outlineLevel="0" collapsed="false">
      <c r="B15" s="4" t="s">
        <v>11</v>
      </c>
    </row>
    <row r="17" customFormat="false" ht="18" hidden="false" customHeight="true" outlineLevel="0" collapsed="false">
      <c r="B17" s="3" t="s">
        <v>12</v>
      </c>
    </row>
    <row r="18" customFormat="false" ht="18" hidden="false" customHeight="true" outlineLevel="0" collapsed="false">
      <c r="B18" s="4" t="s">
        <v>13</v>
      </c>
    </row>
    <row r="19" customFormat="false" ht="30" hidden="false" customHeight="true" outlineLevel="0" collapsed="false">
      <c r="B19" s="4" t="s">
        <v>14</v>
      </c>
    </row>
    <row r="21" customFormat="false" ht="18" hidden="false" customHeight="true" outlineLevel="0" collapsed="false">
      <c r="B21" s="3" t="s">
        <v>15</v>
      </c>
    </row>
    <row r="22" customFormat="false" ht="30" hidden="false" customHeight="tru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2"/>
    <col collapsed="false" customWidth="true" hidden="false" outlineLevel="0" max="3" min="3" style="0" width="28"/>
    <col collapsed="false" customWidth="true" hidden="false" outlineLevel="0" max="4" min="4" style="0" width="16"/>
    <col collapsed="false" customWidth="true" hidden="false" outlineLevel="0" max="5" min="5" style="0" width="22"/>
    <col collapsed="false" customWidth="true" hidden="false" outlineLevel="0" max="7" min="6" style="0" width="9"/>
    <col collapsed="false" customWidth="true" hidden="false" outlineLevel="0" max="8" min="8" style="0" width="11"/>
    <col collapsed="false" customWidth="true" hidden="false" outlineLevel="0" max="9" min="9" style="0" width="9"/>
    <col collapsed="false" customWidth="true" hidden="false" outlineLevel="0" max="10" min="10" style="0" width="15"/>
    <col collapsed="false" customWidth="true" hidden="false" outlineLevel="0" max="11" min="11" style="0" width="18"/>
    <col collapsed="false" customWidth="true" hidden="false" outlineLevel="0" max="13" min="12" style="0" width="22"/>
    <col collapsed="false" customWidth="true" hidden="false" outlineLevel="0" max="14" min="14" style="0" width="24"/>
    <col collapsed="false" customWidth="true" hidden="true" outlineLevel="0" max="16" min="16" style="0" width="5"/>
  </cols>
  <sheetData>
    <row r="1" customFormat="false" ht="17.35" hidden="false" customHeight="false" outlineLevel="0" collapsed="false">
      <c r="A1" s="1" t="s">
        <v>17</v>
      </c>
    </row>
    <row r="2" customFormat="false" ht="15" hidden="false" customHeight="false" outlineLevel="0" collapsed="false">
      <c r="A2" s="2" t="s">
        <v>18</v>
      </c>
    </row>
    <row r="4" customFormat="false" ht="15" hidden="false" customHeight="false" outlineLevel="0" collapsed="false">
      <c r="B4" s="5" t="s">
        <v>19</v>
      </c>
      <c r="C4" s="5" t="s">
        <v>20</v>
      </c>
      <c r="D4" s="5" t="s">
        <v>21</v>
      </c>
      <c r="E4" s="5" t="s">
        <v>22</v>
      </c>
      <c r="F4" s="5" t="s">
        <v>23</v>
      </c>
      <c r="G4" s="5" t="s">
        <v>24</v>
      </c>
      <c r="H4" s="5" t="s">
        <v>25</v>
      </c>
      <c r="I4" s="5" t="s">
        <v>26</v>
      </c>
    </row>
    <row r="5" customFormat="false" ht="16.15" hidden="false" customHeight="false" outlineLevel="0" collapsed="false">
      <c r="B5" s="6" t="n">
        <f aca="false">COUNTIF(PART_RISK!$E$5:$E$304,"?*")</f>
        <v>6</v>
      </c>
      <c r="C5" s="7" t="n">
        <f aca="false">COUNTIF(PART_RISK!$Q$5:$Q$304,"CRITICAL*")</f>
        <v>1</v>
      </c>
      <c r="D5" s="8" t="n">
        <f aca="false">COUNTIF(PART_RISK!$Q$5:$Q$304,"MONITOR")</f>
        <v>3</v>
      </c>
      <c r="E5" s="9" t="n">
        <f aca="false">COUNTIF(PART_RISK!$Q$5:$Q$304,"LOW")</f>
        <v>0</v>
      </c>
      <c r="F5" s="6" t="n">
        <f aca="false">COUNTIF(PART_RISK!$Q$5:$Q$304,"NOT SCORED")</f>
        <v>2</v>
      </c>
      <c r="G5" s="6" t="n">
        <f aca="false">COUNTIF(SUPPLIERS!$F$4:$G$63,"?*")+COUNTIF(SUPPLIERS!$H$4:$J$63,"?*")</f>
        <v>0</v>
      </c>
      <c r="H5" s="6" t="n">
        <f aca="false">COUNTIF(MODELS!$A$4:$A$28,"?*")</f>
        <v>5</v>
      </c>
      <c r="I5" s="6" t="n">
        <f aca="false">COUNTIF(SUPPLIERS!$A$4:$A$63,"?*")</f>
        <v>4</v>
      </c>
    </row>
    <row r="7" customFormat="false" ht="15" hidden="false" customHeight="false" outlineLevel="0" collapsed="false">
      <c r="A7" s="10" t="s">
        <v>27</v>
      </c>
    </row>
    <row r="8" customFormat="false" ht="15" hidden="false" customHeight="false" outlineLevel="0" collapsed="false">
      <c r="B8" s="5" t="s">
        <v>28</v>
      </c>
      <c r="C8" s="5" t="s">
        <v>29</v>
      </c>
      <c r="D8" s="5" t="s">
        <v>30</v>
      </c>
      <c r="E8" s="5" t="s">
        <v>20</v>
      </c>
      <c r="F8" s="5" t="s">
        <v>21</v>
      </c>
      <c r="G8" s="5" t="s">
        <v>22</v>
      </c>
      <c r="H8" s="5" t="s">
        <v>23</v>
      </c>
      <c r="I8" s="5" t="s">
        <v>31</v>
      </c>
      <c r="J8" s="5" t="s">
        <v>32</v>
      </c>
      <c r="K8" s="5" t="s">
        <v>33</v>
      </c>
    </row>
    <row r="9" customFormat="false" ht="15" hidden="false" customHeight="false" outlineLevel="0" collapsed="false">
      <c r="B9" s="11" t="str">
        <f aca="false">IF(MODELS!$A4="","",MODELS!$A4)</f>
        <v>Dv_Tech</v>
      </c>
      <c r="C9" s="12" t="n">
        <f aca="false">IF($B9="","",IF(MODELS!$D4="","",MODELS!$D4))</f>
        <v>6</v>
      </c>
      <c r="D9" s="12" t="str">
        <f aca="false">IF($B9="","",IF(MODELS!$C4="","",MODELS!$C4))</f>
        <v>Yes</v>
      </c>
      <c r="E9" s="12" t="n">
        <f aca="false">IF($B9="","",IF(MODELS!$E4="","",MODELS!$E4))</f>
        <v>1</v>
      </c>
      <c r="F9" s="12" t="n">
        <f aca="false">IF($B9="","",IF(MODELS!$F4="","",MODELS!$F4))</f>
        <v>3</v>
      </c>
      <c r="G9" s="12" t="n">
        <f aca="false">IF($B9="","",IF(MODELS!$G4="","",MODELS!$G4))</f>
        <v>0</v>
      </c>
      <c r="H9" s="12" t="n">
        <f aca="false">IF($B9="","",IF(MODELS!$H4="","",MODELS!$H4))</f>
        <v>2</v>
      </c>
      <c r="I9" s="13" t="n">
        <f aca="false">IF($B9="","",IF(MODELS!$I4="","",MODELS!$I4))</f>
        <v>20.5</v>
      </c>
      <c r="J9" s="14" t="str">
        <f aca="false">IF($B9="","",IF(MODELS!$J4="","",MODELS!$J4))</f>
        <v>CRITICAL</v>
      </c>
      <c r="K9" s="15" t="str">
        <f aca="false">IF($B9="","",IF(MODELS!$K4="","",MODELS!$K4))</f>
        <v/>
      </c>
    </row>
    <row r="10" customFormat="false" ht="15" hidden="false" customHeight="false" outlineLevel="0" collapsed="false">
      <c r="B10" s="11" t="str">
        <f aca="false">IF(MODELS!$A5="","",MODELS!$A5)</f>
        <v>Colorectal</v>
      </c>
      <c r="C10" s="12" t="n">
        <f aca="false">IF($B10="","",IF(MODELS!$D5="","",MODELS!$D5))</f>
        <v>0</v>
      </c>
      <c r="D10" s="12" t="str">
        <f aca="false">IF($B10="","",IF(MODELS!$C5="","",MODELS!$C5))</f>
        <v>No</v>
      </c>
      <c r="E10" s="12" t="n">
        <f aca="false">IF($B10="","",IF(MODELS!$E5="","",MODELS!$E5))</f>
        <v>0</v>
      </c>
      <c r="F10" s="12" t="n">
        <f aca="false">IF($B10="","",IF(MODELS!$F5="","",MODELS!$F5))</f>
        <v>0</v>
      </c>
      <c r="G10" s="12" t="n">
        <f aca="false">IF($B10="","",IF(MODELS!$G5="","",MODELS!$G5))</f>
        <v>0</v>
      </c>
      <c r="H10" s="12" t="n">
        <f aca="false">IF($B10="","",IF(MODELS!$H5="","",MODELS!$H5))</f>
        <v>0</v>
      </c>
      <c r="I10" s="13" t="str">
        <f aca="false">IF($B10="","",IF(MODELS!$I5="","",MODELS!$I5))</f>
        <v/>
      </c>
      <c r="J10" s="14" t="str">
        <f aca="false">IF($B10="","",IF(MODELS!$J5="","",MODELS!$J5))</f>
        <v>NOT SCORED</v>
      </c>
      <c r="K10" s="15" t="str">
        <f aca="false">IF($B10="","",IF(MODELS!$K5="","",MODELS!$K5))</f>
        <v/>
      </c>
    </row>
    <row r="11" customFormat="false" ht="15" hidden="false" customHeight="false" outlineLevel="0" collapsed="false">
      <c r="B11" s="11" t="str">
        <f aca="false">IF(MODELS!$A6="","",MODELS!$A6)</f>
        <v>GYN 2.0</v>
      </c>
      <c r="C11" s="12" t="n">
        <f aca="false">IF($B11="","",IF(MODELS!$D6="","",MODELS!$D6))</f>
        <v>0</v>
      </c>
      <c r="D11" s="12" t="str">
        <f aca="false">IF($B11="","",IF(MODELS!$C6="","",MODELS!$C6))</f>
        <v>No</v>
      </c>
      <c r="E11" s="12" t="n">
        <f aca="false">IF($B11="","",IF(MODELS!$E6="","",MODELS!$E6))</f>
        <v>0</v>
      </c>
      <c r="F11" s="12" t="n">
        <f aca="false">IF($B11="","",IF(MODELS!$F6="","",MODELS!$F6))</f>
        <v>0</v>
      </c>
      <c r="G11" s="12" t="n">
        <f aca="false">IF($B11="","",IF(MODELS!$G6="","",MODELS!$G6))</f>
        <v>0</v>
      </c>
      <c r="H11" s="12" t="n">
        <f aca="false">IF($B11="","",IF(MODELS!$H6="","",MODELS!$H6))</f>
        <v>0</v>
      </c>
      <c r="I11" s="13" t="str">
        <f aca="false">IF($B11="","",IF(MODELS!$I6="","",MODELS!$I6))</f>
        <v/>
      </c>
      <c r="J11" s="14" t="str">
        <f aca="false">IF($B11="","",IF(MODELS!$J6="","",MODELS!$J6))</f>
        <v>NOT SCORED</v>
      </c>
      <c r="K11" s="15" t="str">
        <f aca="false">IF($B11="","",IF(MODELS!$K6="","",MODELS!$K6))</f>
        <v/>
      </c>
    </row>
    <row r="12" customFormat="false" ht="15" hidden="false" customHeight="false" outlineLevel="0" collapsed="false">
      <c r="B12" s="11" t="str">
        <f aca="false">IF(MODELS!$A7="","",MODELS!$A7)</f>
        <v>INGUINAL HERNIA LEFT</v>
      </c>
      <c r="C12" s="12" t="n">
        <f aca="false">IF($B12="","",IF(MODELS!$D7="","",MODELS!$D7))</f>
        <v>0</v>
      </c>
      <c r="D12" s="12" t="str">
        <f aca="false">IF($B12="","",IF(MODELS!$C7="","",MODELS!$C7))</f>
        <v>No</v>
      </c>
      <c r="E12" s="12" t="n">
        <f aca="false">IF($B12="","",IF(MODELS!$E7="","",MODELS!$E7))</f>
        <v>0</v>
      </c>
      <c r="F12" s="12" t="n">
        <f aca="false">IF($B12="","",IF(MODELS!$F7="","",MODELS!$F7))</f>
        <v>0</v>
      </c>
      <c r="G12" s="12" t="n">
        <f aca="false">IF($B12="","",IF(MODELS!$G7="","",MODELS!$G7))</f>
        <v>0</v>
      </c>
      <c r="H12" s="12" t="n">
        <f aca="false">IF($B12="","",IF(MODELS!$H7="","",MODELS!$H7))</f>
        <v>0</v>
      </c>
      <c r="I12" s="13" t="str">
        <f aca="false">IF($B12="","",IF(MODELS!$I7="","",MODELS!$I7))</f>
        <v/>
      </c>
      <c r="J12" s="14" t="str">
        <f aca="false">IF($B12="","",IF(MODELS!$J7="","",MODELS!$J7))</f>
        <v>NOT SCORED</v>
      </c>
      <c r="K12" s="15" t="str">
        <f aca="false">IF($B12="","",IF(MODELS!$K7="","",MODELS!$K7))</f>
        <v/>
      </c>
    </row>
    <row r="13" customFormat="false" ht="15" hidden="false" customHeight="false" outlineLevel="0" collapsed="false">
      <c r="B13" s="11" t="str">
        <f aca="false">IF(MODELS!$A8="","",MODELS!$A8)</f>
        <v>Thoracic Standard</v>
      </c>
      <c r="C13" s="12" t="n">
        <f aca="false">IF($B13="","",IF(MODELS!$D8="","",MODELS!$D8))</f>
        <v>0</v>
      </c>
      <c r="D13" s="12" t="str">
        <f aca="false">IF($B13="","",IF(MODELS!$C8="","",MODELS!$C8))</f>
        <v>No</v>
      </c>
      <c r="E13" s="12" t="n">
        <f aca="false">IF($B13="","",IF(MODELS!$E8="","",MODELS!$E8))</f>
        <v>0</v>
      </c>
      <c r="F13" s="12" t="n">
        <f aca="false">IF($B13="","",IF(MODELS!$F8="","",MODELS!$F8))</f>
        <v>0</v>
      </c>
      <c r="G13" s="12" t="n">
        <f aca="false">IF($B13="","",IF(MODELS!$G8="","",MODELS!$G8))</f>
        <v>0</v>
      </c>
      <c r="H13" s="12" t="n">
        <f aca="false">IF($B13="","",IF(MODELS!$H8="","",MODELS!$H8))</f>
        <v>0</v>
      </c>
      <c r="I13" s="13" t="str">
        <f aca="false">IF($B13="","",IF(MODELS!$I8="","",MODELS!$I8))</f>
        <v/>
      </c>
      <c r="J13" s="14" t="str">
        <f aca="false">IF($B13="","",IF(MODELS!$J8="","",MODELS!$J8))</f>
        <v>NOT SCORED</v>
      </c>
      <c r="K13" s="15" t="str">
        <f aca="false">IF($B13="","",IF(MODELS!$K8="","",MODELS!$K8))</f>
        <v/>
      </c>
    </row>
    <row r="14" customFormat="false" ht="15" hidden="false" customHeight="false" outlineLevel="0" collapsed="false">
      <c r="B14" s="11" t="str">
        <f aca="false">IF(MODELS!$A9="","",MODELS!$A9)</f>
        <v/>
      </c>
      <c r="C14" s="12" t="str">
        <f aca="false">IF($B14="","",IF(MODELS!$D9="","",MODELS!$D9))</f>
        <v/>
      </c>
      <c r="D14" s="12" t="str">
        <f aca="false">IF($B14="","",IF(MODELS!$C9="","",MODELS!$C9))</f>
        <v/>
      </c>
      <c r="E14" s="12" t="str">
        <f aca="false">IF($B14="","",IF(MODELS!$E9="","",MODELS!$E9))</f>
        <v/>
      </c>
      <c r="F14" s="12" t="str">
        <f aca="false">IF($B14="","",IF(MODELS!$F9="","",MODELS!$F9))</f>
        <v/>
      </c>
      <c r="G14" s="12" t="str">
        <f aca="false">IF($B14="","",IF(MODELS!$G9="","",MODELS!$G9))</f>
        <v/>
      </c>
      <c r="H14" s="12" t="str">
        <f aca="false">IF($B14="","",IF(MODELS!$H9="","",MODELS!$H9))</f>
        <v/>
      </c>
      <c r="I14" s="13" t="str">
        <f aca="false">IF($B14="","",IF(MODELS!$I9="","",MODELS!$I9))</f>
        <v/>
      </c>
      <c r="J14" s="14" t="str">
        <f aca="false">IF($B14="","",IF(MODELS!$J9="","",MODELS!$J9))</f>
        <v/>
      </c>
      <c r="K14" s="15" t="str">
        <f aca="false">IF($B14="","",IF(MODELS!$K9="","",MODELS!$K9))</f>
        <v/>
      </c>
    </row>
    <row r="15" customFormat="false" ht="15" hidden="false" customHeight="false" outlineLevel="0" collapsed="false">
      <c r="B15" s="11" t="str">
        <f aca="false">IF(MODELS!$A10="","",MODELS!$A10)</f>
        <v/>
      </c>
      <c r="C15" s="12" t="str">
        <f aca="false">IF($B15="","",IF(MODELS!$D10="","",MODELS!$D10))</f>
        <v/>
      </c>
      <c r="D15" s="12" t="str">
        <f aca="false">IF($B15="","",IF(MODELS!$C10="","",MODELS!$C10))</f>
        <v/>
      </c>
      <c r="E15" s="12" t="str">
        <f aca="false">IF($B15="","",IF(MODELS!$E10="","",MODELS!$E10))</f>
        <v/>
      </c>
      <c r="F15" s="12" t="str">
        <f aca="false">IF($B15="","",IF(MODELS!$F10="","",MODELS!$F10))</f>
        <v/>
      </c>
      <c r="G15" s="12" t="str">
        <f aca="false">IF($B15="","",IF(MODELS!$G10="","",MODELS!$G10))</f>
        <v/>
      </c>
      <c r="H15" s="12" t="str">
        <f aca="false">IF($B15="","",IF(MODELS!$H10="","",MODELS!$H10))</f>
        <v/>
      </c>
      <c r="I15" s="13" t="str">
        <f aca="false">IF($B15="","",IF(MODELS!$I10="","",MODELS!$I10))</f>
        <v/>
      </c>
      <c r="J15" s="14" t="str">
        <f aca="false">IF($B15="","",IF(MODELS!$J10="","",MODELS!$J10))</f>
        <v/>
      </c>
      <c r="K15" s="15" t="str">
        <f aca="false">IF($B15="","",IF(MODELS!$K10="","",MODELS!$K10))</f>
        <v/>
      </c>
    </row>
    <row r="16" customFormat="false" ht="15" hidden="false" customHeight="false" outlineLevel="0" collapsed="false">
      <c r="B16" s="11" t="str">
        <f aca="false">IF(MODELS!$A11="","",MODELS!$A11)</f>
        <v/>
      </c>
      <c r="C16" s="12" t="str">
        <f aca="false">IF($B16="","",IF(MODELS!$D11="","",MODELS!$D11))</f>
        <v/>
      </c>
      <c r="D16" s="12" t="str">
        <f aca="false">IF($B16="","",IF(MODELS!$C11="","",MODELS!$C11))</f>
        <v/>
      </c>
      <c r="E16" s="12" t="str">
        <f aca="false">IF($B16="","",IF(MODELS!$E11="","",MODELS!$E11))</f>
        <v/>
      </c>
      <c r="F16" s="12" t="str">
        <f aca="false">IF($B16="","",IF(MODELS!$F11="","",MODELS!$F11))</f>
        <v/>
      </c>
      <c r="G16" s="12" t="str">
        <f aca="false">IF($B16="","",IF(MODELS!$G11="","",MODELS!$G11))</f>
        <v/>
      </c>
      <c r="H16" s="12" t="str">
        <f aca="false">IF($B16="","",IF(MODELS!$H11="","",MODELS!$H11))</f>
        <v/>
      </c>
      <c r="I16" s="13" t="str">
        <f aca="false">IF($B16="","",IF(MODELS!$I11="","",MODELS!$I11))</f>
        <v/>
      </c>
      <c r="J16" s="14" t="str">
        <f aca="false">IF($B16="","",IF(MODELS!$J11="","",MODELS!$J11))</f>
        <v/>
      </c>
      <c r="K16" s="15" t="str">
        <f aca="false">IF($B16="","",IF(MODELS!$K11="","",MODELS!$K11))</f>
        <v/>
      </c>
    </row>
    <row r="17" customFormat="false" ht="15" hidden="false" customHeight="false" outlineLevel="0" collapsed="false">
      <c r="B17" s="11" t="str">
        <f aca="false">IF(MODELS!$A12="","",MODELS!$A12)</f>
        <v/>
      </c>
      <c r="C17" s="12" t="str">
        <f aca="false">IF($B17="","",IF(MODELS!$D12="","",MODELS!$D12))</f>
        <v/>
      </c>
      <c r="D17" s="12" t="str">
        <f aca="false">IF($B17="","",IF(MODELS!$C12="","",MODELS!$C12))</f>
        <v/>
      </c>
      <c r="E17" s="12" t="str">
        <f aca="false">IF($B17="","",IF(MODELS!$E12="","",MODELS!$E12))</f>
        <v/>
      </c>
      <c r="F17" s="12" t="str">
        <f aca="false">IF($B17="","",IF(MODELS!$F12="","",MODELS!$F12))</f>
        <v/>
      </c>
      <c r="G17" s="12" t="str">
        <f aca="false">IF($B17="","",IF(MODELS!$G12="","",MODELS!$G12))</f>
        <v/>
      </c>
      <c r="H17" s="12" t="str">
        <f aca="false">IF($B17="","",IF(MODELS!$H12="","",MODELS!$H12))</f>
        <v/>
      </c>
      <c r="I17" s="13" t="str">
        <f aca="false">IF($B17="","",IF(MODELS!$I12="","",MODELS!$I12))</f>
        <v/>
      </c>
      <c r="J17" s="14" t="str">
        <f aca="false">IF($B17="","",IF(MODELS!$J12="","",MODELS!$J12))</f>
        <v/>
      </c>
      <c r="K17" s="15" t="str">
        <f aca="false">IF($B17="","",IF(MODELS!$K12="","",MODELS!$K12))</f>
        <v/>
      </c>
    </row>
    <row r="18" customFormat="false" ht="15" hidden="false" customHeight="false" outlineLevel="0" collapsed="false">
      <c r="B18" s="11" t="str">
        <f aca="false">IF(MODELS!$A13="","",MODELS!$A13)</f>
        <v/>
      </c>
      <c r="C18" s="12" t="str">
        <f aca="false">IF($B18="","",IF(MODELS!$D13="","",MODELS!$D13))</f>
        <v/>
      </c>
      <c r="D18" s="12" t="str">
        <f aca="false">IF($B18="","",IF(MODELS!$C13="","",MODELS!$C13))</f>
        <v/>
      </c>
      <c r="E18" s="12" t="str">
        <f aca="false">IF($B18="","",IF(MODELS!$E13="","",MODELS!$E13))</f>
        <v/>
      </c>
      <c r="F18" s="12" t="str">
        <f aca="false">IF($B18="","",IF(MODELS!$F13="","",MODELS!$F13))</f>
        <v/>
      </c>
      <c r="G18" s="12" t="str">
        <f aca="false">IF($B18="","",IF(MODELS!$G13="","",MODELS!$G13))</f>
        <v/>
      </c>
      <c r="H18" s="12" t="str">
        <f aca="false">IF($B18="","",IF(MODELS!$H13="","",MODELS!$H13))</f>
        <v/>
      </c>
      <c r="I18" s="13" t="str">
        <f aca="false">IF($B18="","",IF(MODELS!$I13="","",MODELS!$I13))</f>
        <v/>
      </c>
      <c r="J18" s="14" t="str">
        <f aca="false">IF($B18="","",IF(MODELS!$J13="","",MODELS!$J13))</f>
        <v/>
      </c>
      <c r="K18" s="15" t="str">
        <f aca="false">IF($B18="","",IF(MODELS!$K13="","",MODELS!$K13))</f>
        <v/>
      </c>
    </row>
    <row r="19" customFormat="false" ht="15" hidden="false" customHeight="false" outlineLevel="0" collapsed="false">
      <c r="B19" s="11" t="str">
        <f aca="false">IF(MODELS!$A14="","",MODELS!$A14)</f>
        <v/>
      </c>
      <c r="C19" s="12" t="str">
        <f aca="false">IF($B19="","",IF(MODELS!$D14="","",MODELS!$D14))</f>
        <v/>
      </c>
      <c r="D19" s="12" t="str">
        <f aca="false">IF($B19="","",IF(MODELS!$C14="","",MODELS!$C14))</f>
        <v/>
      </c>
      <c r="E19" s="12" t="str">
        <f aca="false">IF($B19="","",IF(MODELS!$E14="","",MODELS!$E14))</f>
        <v/>
      </c>
      <c r="F19" s="12" t="str">
        <f aca="false">IF($B19="","",IF(MODELS!$F14="","",MODELS!$F14))</f>
        <v/>
      </c>
      <c r="G19" s="12" t="str">
        <f aca="false">IF($B19="","",IF(MODELS!$G14="","",MODELS!$G14))</f>
        <v/>
      </c>
      <c r="H19" s="12" t="str">
        <f aca="false">IF($B19="","",IF(MODELS!$H14="","",MODELS!$H14))</f>
        <v/>
      </c>
      <c r="I19" s="13" t="str">
        <f aca="false">IF($B19="","",IF(MODELS!$I14="","",MODELS!$I14))</f>
        <v/>
      </c>
      <c r="J19" s="14" t="str">
        <f aca="false">IF($B19="","",IF(MODELS!$J14="","",MODELS!$J14))</f>
        <v/>
      </c>
      <c r="K19" s="15" t="str">
        <f aca="false">IF($B19="","",IF(MODELS!$K14="","",MODELS!$K14))</f>
        <v/>
      </c>
    </row>
    <row r="20" customFormat="false" ht="15" hidden="false" customHeight="false" outlineLevel="0" collapsed="false">
      <c r="B20" s="11" t="str">
        <f aca="false">IF(MODELS!$A15="","",MODELS!$A15)</f>
        <v/>
      </c>
      <c r="C20" s="12" t="str">
        <f aca="false">IF($B20="","",IF(MODELS!$D15="","",MODELS!$D15))</f>
        <v/>
      </c>
      <c r="D20" s="12" t="str">
        <f aca="false">IF($B20="","",IF(MODELS!$C15="","",MODELS!$C15))</f>
        <v/>
      </c>
      <c r="E20" s="12" t="str">
        <f aca="false">IF($B20="","",IF(MODELS!$E15="","",MODELS!$E15))</f>
        <v/>
      </c>
      <c r="F20" s="12" t="str">
        <f aca="false">IF($B20="","",IF(MODELS!$F15="","",MODELS!$F15))</f>
        <v/>
      </c>
      <c r="G20" s="12" t="str">
        <f aca="false">IF($B20="","",IF(MODELS!$G15="","",MODELS!$G15))</f>
        <v/>
      </c>
      <c r="H20" s="12" t="str">
        <f aca="false">IF($B20="","",IF(MODELS!$H15="","",MODELS!$H15))</f>
        <v/>
      </c>
      <c r="I20" s="13" t="str">
        <f aca="false">IF($B20="","",IF(MODELS!$I15="","",MODELS!$I15))</f>
        <v/>
      </c>
      <c r="J20" s="14" t="str">
        <f aca="false">IF($B20="","",IF(MODELS!$J15="","",MODELS!$J15))</f>
        <v/>
      </c>
      <c r="K20" s="15" t="str">
        <f aca="false">IF($B20="","",IF(MODELS!$K15="","",MODELS!$K15))</f>
        <v/>
      </c>
    </row>
    <row r="21" customFormat="false" ht="15" hidden="false" customHeight="false" outlineLevel="0" collapsed="false">
      <c r="B21" s="11" t="str">
        <f aca="false">IF(MODELS!$A16="","",MODELS!$A16)</f>
        <v/>
      </c>
      <c r="C21" s="12" t="str">
        <f aca="false">IF($B21="","",IF(MODELS!$D16="","",MODELS!$D16))</f>
        <v/>
      </c>
      <c r="D21" s="12" t="str">
        <f aca="false">IF($B21="","",IF(MODELS!$C16="","",MODELS!$C16))</f>
        <v/>
      </c>
      <c r="E21" s="12" t="str">
        <f aca="false">IF($B21="","",IF(MODELS!$E16="","",MODELS!$E16))</f>
        <v/>
      </c>
      <c r="F21" s="12" t="str">
        <f aca="false">IF($B21="","",IF(MODELS!$F16="","",MODELS!$F16))</f>
        <v/>
      </c>
      <c r="G21" s="12" t="str">
        <f aca="false">IF($B21="","",IF(MODELS!$G16="","",MODELS!$G16))</f>
        <v/>
      </c>
      <c r="H21" s="12" t="str">
        <f aca="false">IF($B21="","",IF(MODELS!$H16="","",MODELS!$H16))</f>
        <v/>
      </c>
      <c r="I21" s="13" t="str">
        <f aca="false">IF($B21="","",IF(MODELS!$I16="","",MODELS!$I16))</f>
        <v/>
      </c>
      <c r="J21" s="14" t="str">
        <f aca="false">IF($B21="","",IF(MODELS!$J16="","",MODELS!$J16))</f>
        <v/>
      </c>
      <c r="K21" s="15" t="str">
        <f aca="false">IF($B21="","",IF(MODELS!$K16="","",MODELS!$K16))</f>
        <v/>
      </c>
    </row>
    <row r="22" customFormat="false" ht="15" hidden="false" customHeight="false" outlineLevel="0" collapsed="false">
      <c r="B22" s="11" t="str">
        <f aca="false">IF(MODELS!$A17="","",MODELS!$A17)</f>
        <v/>
      </c>
      <c r="C22" s="12" t="str">
        <f aca="false">IF($B22="","",IF(MODELS!$D17="","",MODELS!$D17))</f>
        <v/>
      </c>
      <c r="D22" s="12" t="str">
        <f aca="false">IF($B22="","",IF(MODELS!$C17="","",MODELS!$C17))</f>
        <v/>
      </c>
      <c r="E22" s="12" t="str">
        <f aca="false">IF($B22="","",IF(MODELS!$E17="","",MODELS!$E17))</f>
        <v/>
      </c>
      <c r="F22" s="12" t="str">
        <f aca="false">IF($B22="","",IF(MODELS!$F17="","",MODELS!$F17))</f>
        <v/>
      </c>
      <c r="G22" s="12" t="str">
        <f aca="false">IF($B22="","",IF(MODELS!$G17="","",MODELS!$G17))</f>
        <v/>
      </c>
      <c r="H22" s="12" t="str">
        <f aca="false">IF($B22="","",IF(MODELS!$H17="","",MODELS!$H17))</f>
        <v/>
      </c>
      <c r="I22" s="13" t="str">
        <f aca="false">IF($B22="","",IF(MODELS!$I17="","",MODELS!$I17))</f>
        <v/>
      </c>
      <c r="J22" s="14" t="str">
        <f aca="false">IF($B22="","",IF(MODELS!$J17="","",MODELS!$J17))</f>
        <v/>
      </c>
      <c r="K22" s="15" t="str">
        <f aca="false">IF($B22="","",IF(MODELS!$K17="","",MODELS!$K17))</f>
        <v/>
      </c>
    </row>
    <row r="23" customFormat="false" ht="15" hidden="false" customHeight="false" outlineLevel="0" collapsed="false">
      <c r="B23" s="11" t="str">
        <f aca="false">IF(MODELS!$A18="","",MODELS!$A18)</f>
        <v/>
      </c>
      <c r="C23" s="12" t="str">
        <f aca="false">IF($B23="","",IF(MODELS!$D18="","",MODELS!$D18))</f>
        <v/>
      </c>
      <c r="D23" s="12" t="str">
        <f aca="false">IF($B23="","",IF(MODELS!$C18="","",MODELS!$C18))</f>
        <v/>
      </c>
      <c r="E23" s="12" t="str">
        <f aca="false">IF($B23="","",IF(MODELS!$E18="","",MODELS!$E18))</f>
        <v/>
      </c>
      <c r="F23" s="12" t="str">
        <f aca="false">IF($B23="","",IF(MODELS!$F18="","",MODELS!$F18))</f>
        <v/>
      </c>
      <c r="G23" s="12" t="str">
        <f aca="false">IF($B23="","",IF(MODELS!$G18="","",MODELS!$G18))</f>
        <v/>
      </c>
      <c r="H23" s="12" t="str">
        <f aca="false">IF($B23="","",IF(MODELS!$H18="","",MODELS!$H18))</f>
        <v/>
      </c>
      <c r="I23" s="13" t="str">
        <f aca="false">IF($B23="","",IF(MODELS!$I18="","",MODELS!$I18))</f>
        <v/>
      </c>
      <c r="J23" s="14" t="str">
        <f aca="false">IF($B23="","",IF(MODELS!$J18="","",MODELS!$J18))</f>
        <v/>
      </c>
      <c r="K23" s="15" t="str">
        <f aca="false">IF($B23="","",IF(MODELS!$K18="","",MODELS!$K18))</f>
        <v/>
      </c>
    </row>
    <row r="25" customFormat="false" ht="15" hidden="false" customHeight="false" outlineLevel="0" collapsed="false">
      <c r="A25" s="10" t="s">
        <v>34</v>
      </c>
    </row>
    <row r="26" customFormat="false" ht="15" hidden="false" customHeight="true" outlineLevel="0" collapsed="false">
      <c r="A26" s="16" t="s">
        <v>35</v>
      </c>
      <c r="B26" s="17" t="s">
        <v>36</v>
      </c>
      <c r="C26" s="17"/>
      <c r="D26" s="17"/>
      <c r="E26" s="2" t="s">
        <v>37</v>
      </c>
    </row>
    <row r="28" customFormat="false" ht="15" hidden="false" customHeight="false" outlineLevel="0" collapsed="false">
      <c r="A28" s="5" t="s">
        <v>38</v>
      </c>
      <c r="B28" s="5" t="s">
        <v>39</v>
      </c>
      <c r="C28" s="5" t="s">
        <v>40</v>
      </c>
      <c r="D28" s="5" t="s">
        <v>41</v>
      </c>
      <c r="E28" s="5" t="s">
        <v>42</v>
      </c>
      <c r="F28" s="5" t="s">
        <v>43</v>
      </c>
      <c r="G28" s="5" t="s">
        <v>44</v>
      </c>
      <c r="H28" s="5" t="s">
        <v>45</v>
      </c>
      <c r="I28" s="5" t="s">
        <v>46</v>
      </c>
      <c r="J28" s="5" t="s">
        <v>32</v>
      </c>
      <c r="K28" s="5" t="s">
        <v>47</v>
      </c>
      <c r="L28" s="5" t="s">
        <v>48</v>
      </c>
    </row>
    <row r="29" customFormat="false" ht="15" hidden="false" customHeight="false" outlineLevel="0" collapsed="false">
      <c r="A29" s="12" t="n">
        <v>1</v>
      </c>
      <c r="B29" s="12" t="n">
        <f aca="false">IF($P29="","",IF(INDEX(PART_RISK!$B$5:$B$304,$P29)="","",INDEX(PART_RISK!$B$5:$B$304,$P29)))</f>
        <v>666502</v>
      </c>
      <c r="C29" s="11" t="str">
        <f aca="false">IF($P29="","",IF(INDEX(PART_RISK!$C$5:$C$304,$P29)="","",INDEX(PART_RISK!$C$5:$C$304,$P29)))</f>
        <v>TISS,PORCINE,BARIATRIC BLOCK</v>
      </c>
      <c r="D29" s="12" t="str">
        <f aca="false">IF($P29="","",IF(INDEX(PART_RISK!$D$5:$D$304,$P29)="","",INDEX(PART_RISK!$D$5:$D$304,$P29)))</f>
        <v>Tissue (APHIS)</v>
      </c>
      <c r="E29" s="11" t="str">
        <f aca="false">IF($P29="","",IF(INDEX(PART_RISK!$E$5:$E$304,$P29)="","",INDEX(PART_RISK!$E$5:$E$304,$P29)))</f>
        <v>Martin's Pork Products</v>
      </c>
      <c r="F29" s="15" t="str">
        <f aca="false">IF($P29="","",IF(INDEX(PART_RISK!$G$5:$G$304,$P29)="","",INDEX(PART_RISK!$G$5:$G$304,$P29)))</f>
        <v/>
      </c>
      <c r="G29" s="12" t="n">
        <f aca="false">IF($P29="","",IF(INDEX(PART_RISK!$M$5:$M$304,$P29)="","",INDEX(PART_RISK!$M$5:$M$304,$P29)))</f>
        <v>5</v>
      </c>
      <c r="H29" s="13" t="n">
        <f aca="false">IF($P29="","",IF(INDEX(PART_RISK!$O$5:$O$304,$P29)="","",INDEX(PART_RISK!$O$5:$O$304,$P29)))</f>
        <v>4.1</v>
      </c>
      <c r="I29" s="13" t="n">
        <f aca="false">IF($P29="","",IF(INDEX(PART_RISK!$P$5:$P$304,$P29)="","",INDEX(PART_RISK!$P$5:$P$304,$P29)))</f>
        <v>20.5</v>
      </c>
      <c r="J29" s="14" t="str">
        <f aca="false">IF($P29="","",IF(INDEX(PART_RISK!$Q$5:$Q$304,$P29)="","",INDEX(PART_RISK!$Q$5:$Q$304,$P29)))</f>
        <v>CRITICAL</v>
      </c>
      <c r="K29" s="12" t="str">
        <f aca="false">IF($P29="","",IF(INDEX(PART_RISK!$R$5:$R$304,$P29)="","",INDEX(PART_RISK!$R$5:$R$304,$P29)))</f>
        <v>Sourcing &amp; Backup</v>
      </c>
      <c r="L29" s="11" t="str">
        <f aca="false">IF($P29="","",IF(INDEX(PART_RISK!$N$5:$N$304,$P29)="","",INDEX(PART_RISK!$N$5:$N$304,$P29)))</f>
        <v/>
      </c>
      <c r="P29" s="2" t="n">
        <f aca="false">IFERROR(MATCH(LARGE(PART_RISK!$W$5:$W$304,$A29),PART_RISK!$W$5:$W$304,0),"")</f>
        <v>2</v>
      </c>
    </row>
    <row r="30" customFormat="false" ht="15" hidden="false" customHeight="false" outlineLevel="0" collapsed="false">
      <c r="A30" s="12" t="n">
        <v>2</v>
      </c>
      <c r="B30" s="12" t="str">
        <f aca="false">IF($P30="","",IF(INDEX(PART_RISK!$B$5:$B$304,$P30)="","",INDEX(PART_RISK!$B$5:$B$304,$P30)))</f>
        <v>666438</v>
      </c>
      <c r="C30" s="11" t="str">
        <f aca="false">IF($P30="","",IF(INDEX(PART_RISK!$C$5:$C$304,$P30)="","",INDEX(PART_RISK!$C$5:$C$304,$P30)))</f>
        <v>Liquid, SB aqueous mixture</v>
      </c>
      <c r="D30" s="12" t="str">
        <f aca="false">IF($P30="","",IF(INDEX(PART_RISK!$D$5:$D$304,$P30)="","",INDEX(PART_RISK!$D$5:$D$304,$P30)))</f>
        <v>Non-Tissue: Custom</v>
      </c>
      <c r="E30" s="11" t="str">
        <f aca="false">IF($P30="","",IF(INDEX(PART_RISK!$E$5:$E$304,$P30)="","",INDEX(PART_RISK!$E$5:$E$304,$P30)))</f>
        <v>SNP, Inc.</v>
      </c>
      <c r="F30" s="15" t="str">
        <f aca="false">IF($P30="","",IF(INDEX(PART_RISK!$G$5:$G$304,$P30)="","",INDEX(PART_RISK!$G$5:$G$304,$P30)))</f>
        <v/>
      </c>
      <c r="G30" s="12" t="n">
        <f aca="false">IF($P30="","",IF(INDEX(PART_RISK!$M$5:$M$304,$P30)="","",INDEX(PART_RISK!$M$5:$M$304,$P30)))</f>
        <v>4</v>
      </c>
      <c r="H30" s="13" t="n">
        <f aca="false">IF($P30="","",IF(INDEX(PART_RISK!$O$5:$O$304,$P30)="","",INDEX(PART_RISK!$O$5:$O$304,$P30)))</f>
        <v>2.9</v>
      </c>
      <c r="I30" s="13" t="n">
        <f aca="false">IF($P30="","",IF(INDEX(PART_RISK!$P$5:$P$304,$P30)="","",INDEX(PART_RISK!$P$5:$P$304,$P30)))</f>
        <v>11.6</v>
      </c>
      <c r="J30" s="14" t="str">
        <f aca="false">IF($P30="","",IF(INDEX(PART_RISK!$Q$5:$Q$304,$P30)="","",INDEX(PART_RISK!$Q$5:$Q$304,$P30)))</f>
        <v>MONITOR</v>
      </c>
      <c r="K30" s="12" t="str">
        <f aca="false">IF($P30="","",IF(INDEX(PART_RISK!$R$5:$R$304,$P30)="","",INDEX(PART_RISK!$R$5:$R$304,$P30)))</f>
        <v>Sourcing &amp; Backup</v>
      </c>
      <c r="L30" s="11" t="str">
        <f aca="false">IF($P30="","",IF(INDEX(PART_RISK!$N$5:$N$304,$P30)="","",INDEX(PART_RISK!$N$5:$N$304,$P30)))</f>
        <v/>
      </c>
      <c r="P30" s="2" t="n">
        <f aca="false">IFERROR(MATCH(LARGE(PART_RISK!$W$5:$W$304,$A30),PART_RISK!$W$5:$W$304,0),"")</f>
        <v>5</v>
      </c>
    </row>
    <row r="31" customFormat="false" ht="15" hidden="false" customHeight="false" outlineLevel="0" collapsed="false">
      <c r="A31" s="12" t="n">
        <v>3</v>
      </c>
      <c r="B31" s="12" t="n">
        <f aca="false">IF($P31="","",IF(INDEX(PART_RISK!$B$5:$B$304,$P31)="","",INDEX(PART_RISK!$B$5:$B$304,$P31)))</f>
        <v>666501</v>
      </c>
      <c r="C31" s="11" t="str">
        <f aca="false">IF($P31="","",IF(INDEX(PART_RISK!$C$5:$C$304,$P31)="","",INDEX(PART_RISK!$C$5:$C$304,$P31)))</f>
        <v>TISS,PORCINE,AORTA SEGMENTS</v>
      </c>
      <c r="D31" s="12" t="str">
        <f aca="false">IF($P31="","",IF(INDEX(PART_RISK!$D$5:$D$304,$P31)="","",INDEX(PART_RISK!$D$5:$D$304,$P31)))</f>
        <v>Tissue (APHIS)</v>
      </c>
      <c r="E31" s="11" t="str">
        <f aca="false">IF($P31="","",IF(INDEX(PART_RISK!$E$5:$E$304,$P31)="","",INDEX(PART_RISK!$E$5:$E$304,$P31)))</f>
        <v>Martin's Pork Products</v>
      </c>
      <c r="F31" s="15" t="str">
        <f aca="false">IF($P31="","",IF(INDEX(PART_RISK!$G$5:$G$304,$P31)="","",INDEX(PART_RISK!$G$5:$G$304,$P31)))</f>
        <v/>
      </c>
      <c r="G31" s="12" t="n">
        <f aca="false">IF($P31="","",IF(INDEX(PART_RISK!$M$5:$M$304,$P31)="","",INDEX(PART_RISK!$M$5:$M$304,$P31)))</f>
        <v>3</v>
      </c>
      <c r="H31" s="13" t="n">
        <f aca="false">IF($P31="","",IF(INDEX(PART_RISK!$O$5:$O$304,$P31)="","",INDEX(PART_RISK!$O$5:$O$304,$P31)))</f>
        <v>3.4</v>
      </c>
      <c r="I31" s="13" t="n">
        <f aca="false">IF($P31="","",IF(INDEX(PART_RISK!$P$5:$P$304,$P31)="","",INDEX(PART_RISK!$P$5:$P$304,$P31)))</f>
        <v>10.2</v>
      </c>
      <c r="J31" s="14" t="str">
        <f aca="false">IF($P31="","",IF(INDEX(PART_RISK!$Q$5:$Q$304,$P31)="","",INDEX(PART_RISK!$Q$5:$Q$304,$P31)))</f>
        <v>MONITOR</v>
      </c>
      <c r="K31" s="12" t="str">
        <f aca="false">IF($P31="","",IF(INDEX(PART_RISK!$R$5:$R$304,$P31)="","",INDEX(PART_RISK!$R$5:$R$304,$P31)))</f>
        <v>Sourcing &amp; Backup</v>
      </c>
      <c r="L31" s="11" t="str">
        <f aca="false">IF($P31="","",IF(INDEX(PART_RISK!$N$5:$N$304,$P31)="","",INDEX(PART_RISK!$N$5:$N$304,$P31)))</f>
        <v/>
      </c>
      <c r="P31" s="2" t="n">
        <f aca="false">IFERROR(MATCH(LARGE(PART_RISK!$W$5:$W$304,$A31),PART_RISK!$W$5:$W$304,0),"")</f>
        <v>1</v>
      </c>
    </row>
    <row r="32" customFormat="false" ht="15" hidden="false" customHeight="false" outlineLevel="0" collapsed="false">
      <c r="A32" s="12" t="n">
        <v>4</v>
      </c>
      <c r="B32" s="12" t="n">
        <f aca="false">IF($P32="","",IF(INDEX(PART_RISK!$B$5:$B$304,$P32)="","",INDEX(PART_RISK!$B$5:$B$304,$P32)))</f>
        <v>666541</v>
      </c>
      <c r="C32" s="11" t="str">
        <f aca="false">IF($P32="","",IF(INDEX(PART_RISK!$C$5:$C$304,$P32)="","",INDEX(PART_RISK!$C$5:$C$304,$P32)))</f>
        <v>Female Pelvic</v>
      </c>
      <c r="D32" s="12" t="str">
        <f aca="false">IF($P32="","",IF(INDEX(PART_RISK!$D$5:$D$304,$P32)="","",INDEX(PART_RISK!$D$5:$D$304,$P32)))</f>
        <v>Non-Tissue: Custom</v>
      </c>
      <c r="E32" s="11" t="str">
        <f aca="false">IF($P32="","",IF(INDEX(PART_RISK!$E$5:$E$304,$P32)="","",INDEX(PART_RISK!$E$5:$E$304,$P32)))</f>
        <v>Martin's Pork Products</v>
      </c>
      <c r="F32" s="15" t="str">
        <f aca="false">IF($P32="","",IF(INDEX(PART_RISK!$G$5:$G$304,$P32)="","",INDEX(PART_RISK!$G$5:$G$304,$P32)))</f>
        <v/>
      </c>
      <c r="G32" s="12" t="n">
        <f aca="false">IF($P32="","",IF(INDEX(PART_RISK!$M$5:$M$304,$P32)="","",INDEX(PART_RISK!$M$5:$M$304,$P32)))</f>
        <v>3</v>
      </c>
      <c r="H32" s="13" t="n">
        <f aca="false">IF($P32="","",IF(INDEX(PART_RISK!$O$5:$O$304,$P32)="","",INDEX(PART_RISK!$O$5:$O$304,$P32)))</f>
        <v>2.8</v>
      </c>
      <c r="I32" s="13" t="n">
        <f aca="false">IF($P32="","",IF(INDEX(PART_RISK!$P$5:$P$304,$P32)="","",INDEX(PART_RISK!$P$5:$P$304,$P32)))</f>
        <v>8.4</v>
      </c>
      <c r="J32" s="14" t="str">
        <f aca="false">IF($P32="","",IF(INDEX(PART_RISK!$Q$5:$Q$304,$P32)="","",INDEX(PART_RISK!$Q$5:$Q$304,$P32)))</f>
        <v>MONITOR</v>
      </c>
      <c r="K32" s="12" t="str">
        <f aca="false">IF($P32="","",IF(INDEX(PART_RISK!$R$5:$R$304,$P32)="","",INDEX(PART_RISK!$R$5:$R$304,$P32)))</f>
        <v>Supplier Stability</v>
      </c>
      <c r="L32" s="11" t="str">
        <f aca="false">IF($P32="","",IF(INDEX(PART_RISK!$N$5:$N$304,$P32)="","",INDEX(PART_RISK!$N$5:$N$304,$P32)))</f>
        <v/>
      </c>
      <c r="P32" s="2" t="n">
        <f aca="false">IFERROR(MATCH(LARGE(PART_RISK!$W$5:$W$304,$A32),PART_RISK!$W$5:$W$304,0),"")</f>
        <v>3</v>
      </c>
    </row>
    <row r="33" customFormat="false" ht="15" hidden="false" customHeight="false" outlineLevel="0" collapsed="false">
      <c r="A33" s="12" t="n">
        <v>5</v>
      </c>
      <c r="B33" s="12" t="str">
        <f aca="false">IF($P33="","",IF(INDEX(PART_RISK!$B$5:$B$304,$P33)="","",INDEX(PART_RISK!$B$5:$B$304,$P33)))</f>
        <v>666800-01</v>
      </c>
      <c r="C33" s="11" t="str">
        <f aca="false">IF($P33="","",IF(INDEX(PART_RISK!$C$5:$C$304,$P33)="","",INDEX(PART_RISK!$C$5:$C$304,$P33)))</f>
        <v>Plate, thermoformed, Kydex</v>
      </c>
      <c r="D33" s="12" t="str">
        <f aca="false">IF($P33="","",IF(INDEX(PART_RISK!$D$5:$D$304,$P33)="","",INDEX(PART_RISK!$D$5:$D$304,$P33)))</f>
        <v>Non-Tissue: Custom</v>
      </c>
      <c r="E33" s="11" t="str">
        <f aca="false">IF($P33="","",IF(INDEX(PART_RISK!$E$5:$E$304,$P33)="","",INDEX(PART_RISK!$E$5:$E$304,$P33)))</f>
        <v>Midland Plastics</v>
      </c>
      <c r="F33" s="15" t="str">
        <f aca="false">IF($P33="","",IF(INDEX(PART_RISK!$G$5:$G$304,$P33)="","",INDEX(PART_RISK!$G$5:$G$304,$P33)))</f>
        <v/>
      </c>
      <c r="G33" s="12" t="n">
        <f aca="false">IF($P33="","",IF(INDEX(PART_RISK!$M$5:$M$304,$P33)="","",INDEX(PART_RISK!$M$5:$M$304,$P33)))</f>
        <v>3</v>
      </c>
      <c r="H33" s="13" t="str">
        <f aca="false">IF($P33="","",IF(INDEX(PART_RISK!$O$5:$O$304,$P33)="","",INDEX(PART_RISK!$O$5:$O$304,$P33)))</f>
        <v/>
      </c>
      <c r="I33" s="13" t="str">
        <f aca="false">IF($P33="","",IF(INDEX(PART_RISK!$P$5:$P$304,$P33)="","",INDEX(PART_RISK!$P$5:$P$304,$P33)))</f>
        <v/>
      </c>
      <c r="J33" s="14" t="str">
        <f aca="false">IF($P33="","",IF(INDEX(PART_RISK!$Q$5:$Q$304,$P33)="","",INDEX(PART_RISK!$Q$5:$Q$304,$P33)))</f>
        <v>NOT SCORED</v>
      </c>
      <c r="K33" s="12" t="str">
        <f aca="false">IF($P33="","",IF(INDEX(PART_RISK!$R$5:$R$304,$P33)="","",INDEX(PART_RISK!$R$5:$R$304,$P33)))</f>
        <v/>
      </c>
      <c r="L33" s="11" t="str">
        <f aca="false">IF($P33="","",IF(INDEX(PART_RISK!$N$5:$N$304,$P33)="","",INDEX(PART_RISK!$N$5:$N$304,$P33)))</f>
        <v/>
      </c>
      <c r="P33" s="2" t="n">
        <f aca="false">IFERROR(MATCH(LARGE(PART_RISK!$W$5:$W$304,$A33),PART_RISK!$W$5:$W$304,0),"")</f>
        <v>6</v>
      </c>
    </row>
    <row r="34" customFormat="false" ht="15" hidden="false" customHeight="false" outlineLevel="0" collapsed="false">
      <c r="A34" s="12" t="n">
        <v>6</v>
      </c>
      <c r="B34" s="12" t="n">
        <f aca="false">IF($P34="","",IF(INDEX(PART_RISK!$B$5:$B$304,$P34)="","",INDEX(PART_RISK!$B$5:$B$304,$P34)))</f>
        <v>666512</v>
      </c>
      <c r="C34" s="11" t="str">
        <f aca="false">IF($P34="","",IF(INDEX(PART_RISK!$C$5:$C$304,$P34)="","",INDEX(PART_RISK!$C$5:$C$304,$P34)))</f>
        <v>TISS,PORCINE,LEAF FAT</v>
      </c>
      <c r="D34" s="12" t="str">
        <f aca="false">IF($P34="","",IF(INDEX(PART_RISK!$D$5:$D$304,$P34)="","",INDEX(PART_RISK!$D$5:$D$304,$P34)))</f>
        <v>Non-Tissue: COTS</v>
      </c>
      <c r="E34" s="11" t="str">
        <f aca="false">IF($P34="","",IF(INDEX(PART_RISK!$E$5:$E$304,$P34)="","",INDEX(PART_RISK!$E$5:$E$304,$P34)))</f>
        <v>Qosina Corp.</v>
      </c>
      <c r="F34" s="15" t="str">
        <f aca="false">IF($P34="","",IF(INDEX(PART_RISK!$G$5:$G$304,$P34)="","",INDEX(PART_RISK!$G$5:$G$304,$P34)))</f>
        <v/>
      </c>
      <c r="G34" s="12" t="n">
        <f aca="false">IF($P34="","",IF(INDEX(PART_RISK!$M$5:$M$304,$P34)="","",INDEX(PART_RISK!$M$5:$M$304,$P34)))</f>
        <v>2</v>
      </c>
      <c r="H34" s="13" t="str">
        <f aca="false">IF($P34="","",IF(INDEX(PART_RISK!$O$5:$O$304,$P34)="","",INDEX(PART_RISK!$O$5:$O$304,$P34)))</f>
        <v/>
      </c>
      <c r="I34" s="13" t="str">
        <f aca="false">IF($P34="","",IF(INDEX(PART_RISK!$P$5:$P$304,$P34)="","",INDEX(PART_RISK!$P$5:$P$304,$P34)))</f>
        <v/>
      </c>
      <c r="J34" s="14" t="str">
        <f aca="false">IF($P34="","",IF(INDEX(PART_RISK!$Q$5:$Q$304,$P34)="","",INDEX(PART_RISK!$Q$5:$Q$304,$P34)))</f>
        <v>NOT SCORED</v>
      </c>
      <c r="K34" s="12" t="str">
        <f aca="false">IF($P34="","",IF(INDEX(PART_RISK!$R$5:$R$304,$P34)="","",INDEX(PART_RISK!$R$5:$R$304,$P34)))</f>
        <v/>
      </c>
      <c r="L34" s="11" t="str">
        <f aca="false">IF($P34="","",IF(INDEX(PART_RISK!$N$5:$N$304,$P34)="","",INDEX(PART_RISK!$N$5:$N$304,$P34)))</f>
        <v/>
      </c>
      <c r="P34" s="2" t="n">
        <f aca="false">IFERROR(MATCH(LARGE(PART_RISK!$W$5:$W$304,$A34),PART_RISK!$W$5:$W$304,0),"")</f>
        <v>4</v>
      </c>
    </row>
    <row r="35" customFormat="false" ht="15" hidden="false" customHeight="false" outlineLevel="0" collapsed="false">
      <c r="A35" s="12" t="n">
        <v>7</v>
      </c>
      <c r="B35" s="12" t="str">
        <f aca="false">IF($P35="","",IF(INDEX(PART_RISK!$B$5:$B$304,$P35)="","",INDEX(PART_RISK!$B$5:$B$304,$P35)))</f>
        <v/>
      </c>
      <c r="C35" s="11" t="str">
        <f aca="false">IF($P35="","",IF(INDEX(PART_RISK!$C$5:$C$304,$P35)="","",INDEX(PART_RISK!$C$5:$C$304,$P35)))</f>
        <v/>
      </c>
      <c r="D35" s="12" t="str">
        <f aca="false">IF($P35="","",IF(INDEX(PART_RISK!$D$5:$D$304,$P35)="","",INDEX(PART_RISK!$D$5:$D$304,$P35)))</f>
        <v/>
      </c>
      <c r="E35" s="11" t="str">
        <f aca="false">IF($P35="","",IF(INDEX(PART_RISK!$E$5:$E$304,$P35)="","",INDEX(PART_RISK!$E$5:$E$304,$P35)))</f>
        <v/>
      </c>
      <c r="F35" s="15" t="str">
        <f aca="false">IF($P35="","",IF(INDEX(PART_RISK!$G$5:$G$304,$P35)="","",INDEX(PART_RISK!$G$5:$G$304,$P35)))</f>
        <v/>
      </c>
      <c r="G35" s="12" t="str">
        <f aca="false">IF($P35="","",IF(INDEX(PART_RISK!$M$5:$M$304,$P35)="","",INDEX(PART_RISK!$M$5:$M$304,$P35)))</f>
        <v/>
      </c>
      <c r="H35" s="13" t="str">
        <f aca="false">IF($P35="","",IF(INDEX(PART_RISK!$O$5:$O$304,$P35)="","",INDEX(PART_RISK!$O$5:$O$304,$P35)))</f>
        <v/>
      </c>
      <c r="I35" s="13" t="str">
        <f aca="false">IF($P35="","",IF(INDEX(PART_RISK!$P$5:$P$304,$P35)="","",INDEX(PART_RISK!$P$5:$P$304,$P35)))</f>
        <v/>
      </c>
      <c r="J35" s="14" t="str">
        <f aca="false">IF($P35="","",IF(INDEX(PART_RISK!$Q$5:$Q$304,$P35)="","",INDEX(PART_RISK!$Q$5:$Q$304,$P35)))</f>
        <v/>
      </c>
      <c r="K35" s="12" t="str">
        <f aca="false">IF($P35="","",IF(INDEX(PART_RISK!$R$5:$R$304,$P35)="","",INDEX(PART_RISK!$R$5:$R$304,$P35)))</f>
        <v/>
      </c>
      <c r="L35" s="11" t="str">
        <f aca="false">IF($P35="","",IF(INDEX(PART_RISK!$N$5:$N$304,$P35)="","",INDEX(PART_RISK!$N$5:$N$304,$P35)))</f>
        <v/>
      </c>
      <c r="P35" s="2" t="str">
        <f aca="false">IFERROR(MATCH(LARGE(PART_RISK!$W$5:$W$304,$A35),PART_RISK!$W$5:$W$304,0),"")</f>
        <v/>
      </c>
    </row>
    <row r="36" customFormat="false" ht="15" hidden="false" customHeight="false" outlineLevel="0" collapsed="false">
      <c r="A36" s="12" t="n">
        <v>8</v>
      </c>
      <c r="B36" s="12" t="str">
        <f aca="false">IF($P36="","",IF(INDEX(PART_RISK!$B$5:$B$304,$P36)="","",INDEX(PART_RISK!$B$5:$B$304,$P36)))</f>
        <v/>
      </c>
      <c r="C36" s="11" t="str">
        <f aca="false">IF($P36="","",IF(INDEX(PART_RISK!$C$5:$C$304,$P36)="","",INDEX(PART_RISK!$C$5:$C$304,$P36)))</f>
        <v/>
      </c>
      <c r="D36" s="12" t="str">
        <f aca="false">IF($P36="","",IF(INDEX(PART_RISK!$D$5:$D$304,$P36)="","",INDEX(PART_RISK!$D$5:$D$304,$P36)))</f>
        <v/>
      </c>
      <c r="E36" s="11" t="str">
        <f aca="false">IF($P36="","",IF(INDEX(PART_RISK!$E$5:$E$304,$P36)="","",INDEX(PART_RISK!$E$5:$E$304,$P36)))</f>
        <v/>
      </c>
      <c r="F36" s="15" t="str">
        <f aca="false">IF($P36="","",IF(INDEX(PART_RISK!$G$5:$G$304,$P36)="","",INDEX(PART_RISK!$G$5:$G$304,$P36)))</f>
        <v/>
      </c>
      <c r="G36" s="12" t="str">
        <f aca="false">IF($P36="","",IF(INDEX(PART_RISK!$M$5:$M$304,$P36)="","",INDEX(PART_RISK!$M$5:$M$304,$P36)))</f>
        <v/>
      </c>
      <c r="H36" s="13" t="str">
        <f aca="false">IF($P36="","",IF(INDEX(PART_RISK!$O$5:$O$304,$P36)="","",INDEX(PART_RISK!$O$5:$O$304,$P36)))</f>
        <v/>
      </c>
      <c r="I36" s="13" t="str">
        <f aca="false">IF($P36="","",IF(INDEX(PART_RISK!$P$5:$P$304,$P36)="","",INDEX(PART_RISK!$P$5:$P$304,$P36)))</f>
        <v/>
      </c>
      <c r="J36" s="14" t="str">
        <f aca="false">IF($P36="","",IF(INDEX(PART_RISK!$Q$5:$Q$304,$P36)="","",INDEX(PART_RISK!$Q$5:$Q$304,$P36)))</f>
        <v/>
      </c>
      <c r="K36" s="12" t="str">
        <f aca="false">IF($P36="","",IF(INDEX(PART_RISK!$R$5:$R$304,$P36)="","",INDEX(PART_RISK!$R$5:$R$304,$P36)))</f>
        <v/>
      </c>
      <c r="L36" s="11" t="str">
        <f aca="false">IF($P36="","",IF(INDEX(PART_RISK!$N$5:$N$304,$P36)="","",INDEX(PART_RISK!$N$5:$N$304,$P36)))</f>
        <v/>
      </c>
      <c r="P36" s="2" t="str">
        <f aca="false">IFERROR(MATCH(LARGE(PART_RISK!$W$5:$W$304,$A36),PART_RISK!$W$5:$W$304,0),"")</f>
        <v/>
      </c>
    </row>
    <row r="37" customFormat="false" ht="15" hidden="false" customHeight="false" outlineLevel="0" collapsed="false">
      <c r="A37" s="12" t="n">
        <v>9</v>
      </c>
      <c r="B37" s="12" t="str">
        <f aca="false">IF($P37="","",IF(INDEX(PART_RISK!$B$5:$B$304,$P37)="","",INDEX(PART_RISK!$B$5:$B$304,$P37)))</f>
        <v/>
      </c>
      <c r="C37" s="11" t="str">
        <f aca="false">IF($P37="","",IF(INDEX(PART_RISK!$C$5:$C$304,$P37)="","",INDEX(PART_RISK!$C$5:$C$304,$P37)))</f>
        <v/>
      </c>
      <c r="D37" s="12" t="str">
        <f aca="false">IF($P37="","",IF(INDEX(PART_RISK!$D$5:$D$304,$P37)="","",INDEX(PART_RISK!$D$5:$D$304,$P37)))</f>
        <v/>
      </c>
      <c r="E37" s="11" t="str">
        <f aca="false">IF($P37="","",IF(INDEX(PART_RISK!$E$5:$E$304,$P37)="","",INDEX(PART_RISK!$E$5:$E$304,$P37)))</f>
        <v/>
      </c>
      <c r="F37" s="15" t="str">
        <f aca="false">IF($P37="","",IF(INDEX(PART_RISK!$G$5:$G$304,$P37)="","",INDEX(PART_RISK!$G$5:$G$304,$P37)))</f>
        <v/>
      </c>
      <c r="G37" s="12" t="str">
        <f aca="false">IF($P37="","",IF(INDEX(PART_RISK!$M$5:$M$304,$P37)="","",INDEX(PART_RISK!$M$5:$M$304,$P37)))</f>
        <v/>
      </c>
      <c r="H37" s="13" t="str">
        <f aca="false">IF($P37="","",IF(INDEX(PART_RISK!$O$5:$O$304,$P37)="","",INDEX(PART_RISK!$O$5:$O$304,$P37)))</f>
        <v/>
      </c>
      <c r="I37" s="13" t="str">
        <f aca="false">IF($P37="","",IF(INDEX(PART_RISK!$P$5:$P$304,$P37)="","",INDEX(PART_RISK!$P$5:$P$304,$P37)))</f>
        <v/>
      </c>
      <c r="J37" s="14" t="str">
        <f aca="false">IF($P37="","",IF(INDEX(PART_RISK!$Q$5:$Q$304,$P37)="","",INDEX(PART_RISK!$Q$5:$Q$304,$P37)))</f>
        <v/>
      </c>
      <c r="K37" s="12" t="str">
        <f aca="false">IF($P37="","",IF(INDEX(PART_RISK!$R$5:$R$304,$P37)="","",INDEX(PART_RISK!$R$5:$R$304,$P37)))</f>
        <v/>
      </c>
      <c r="L37" s="11" t="str">
        <f aca="false">IF($P37="","",IF(INDEX(PART_RISK!$N$5:$N$304,$P37)="","",INDEX(PART_RISK!$N$5:$N$304,$P37)))</f>
        <v/>
      </c>
      <c r="P37" s="2" t="str">
        <f aca="false">IFERROR(MATCH(LARGE(PART_RISK!$W$5:$W$304,$A37),PART_RISK!$W$5:$W$304,0),"")</f>
        <v/>
      </c>
    </row>
    <row r="38" customFormat="false" ht="15" hidden="false" customHeight="false" outlineLevel="0" collapsed="false">
      <c r="A38" s="12" t="n">
        <v>10</v>
      </c>
      <c r="B38" s="12" t="str">
        <f aca="false">IF($P38="","",IF(INDEX(PART_RISK!$B$5:$B$304,$P38)="","",INDEX(PART_RISK!$B$5:$B$304,$P38)))</f>
        <v/>
      </c>
      <c r="C38" s="11" t="str">
        <f aca="false">IF($P38="","",IF(INDEX(PART_RISK!$C$5:$C$304,$P38)="","",INDEX(PART_RISK!$C$5:$C$304,$P38)))</f>
        <v/>
      </c>
      <c r="D38" s="12" t="str">
        <f aca="false">IF($P38="","",IF(INDEX(PART_RISK!$D$5:$D$304,$P38)="","",INDEX(PART_RISK!$D$5:$D$304,$P38)))</f>
        <v/>
      </c>
      <c r="E38" s="11" t="str">
        <f aca="false">IF($P38="","",IF(INDEX(PART_RISK!$E$5:$E$304,$P38)="","",INDEX(PART_RISK!$E$5:$E$304,$P38)))</f>
        <v/>
      </c>
      <c r="F38" s="15" t="str">
        <f aca="false">IF($P38="","",IF(INDEX(PART_RISK!$G$5:$G$304,$P38)="","",INDEX(PART_RISK!$G$5:$G$304,$P38)))</f>
        <v/>
      </c>
      <c r="G38" s="12" t="str">
        <f aca="false">IF($P38="","",IF(INDEX(PART_RISK!$M$5:$M$304,$P38)="","",INDEX(PART_RISK!$M$5:$M$304,$P38)))</f>
        <v/>
      </c>
      <c r="H38" s="13" t="str">
        <f aca="false">IF($P38="","",IF(INDEX(PART_RISK!$O$5:$O$304,$P38)="","",INDEX(PART_RISK!$O$5:$O$304,$P38)))</f>
        <v/>
      </c>
      <c r="I38" s="13" t="str">
        <f aca="false">IF($P38="","",IF(INDEX(PART_RISK!$P$5:$P$304,$P38)="","",INDEX(PART_RISK!$P$5:$P$304,$P38)))</f>
        <v/>
      </c>
      <c r="J38" s="14" t="str">
        <f aca="false">IF($P38="","",IF(INDEX(PART_RISK!$Q$5:$Q$304,$P38)="","",INDEX(PART_RISK!$Q$5:$Q$304,$P38)))</f>
        <v/>
      </c>
      <c r="K38" s="12" t="str">
        <f aca="false">IF($P38="","",IF(INDEX(PART_RISK!$R$5:$R$304,$P38)="","",INDEX(PART_RISK!$R$5:$R$304,$P38)))</f>
        <v/>
      </c>
      <c r="L38" s="11" t="str">
        <f aca="false">IF($P38="","",IF(INDEX(PART_RISK!$N$5:$N$304,$P38)="","",INDEX(PART_RISK!$N$5:$N$304,$P38)))</f>
        <v/>
      </c>
      <c r="P38" s="2" t="str">
        <f aca="false">IFERROR(MATCH(LARGE(PART_RISK!$W$5:$W$304,$A38),PART_RISK!$W$5:$W$304,0),"")</f>
        <v/>
      </c>
    </row>
    <row r="39" customFormat="false" ht="15" hidden="false" customHeight="false" outlineLevel="0" collapsed="false">
      <c r="A39" s="12" t="n">
        <v>11</v>
      </c>
      <c r="B39" s="12" t="str">
        <f aca="false">IF($P39="","",IF(INDEX(PART_RISK!$B$5:$B$304,$P39)="","",INDEX(PART_RISK!$B$5:$B$304,$P39)))</f>
        <v/>
      </c>
      <c r="C39" s="11" t="str">
        <f aca="false">IF($P39="","",IF(INDEX(PART_RISK!$C$5:$C$304,$P39)="","",INDEX(PART_RISK!$C$5:$C$304,$P39)))</f>
        <v/>
      </c>
      <c r="D39" s="12" t="str">
        <f aca="false">IF($P39="","",IF(INDEX(PART_RISK!$D$5:$D$304,$P39)="","",INDEX(PART_RISK!$D$5:$D$304,$P39)))</f>
        <v/>
      </c>
      <c r="E39" s="11" t="str">
        <f aca="false">IF($P39="","",IF(INDEX(PART_RISK!$E$5:$E$304,$P39)="","",INDEX(PART_RISK!$E$5:$E$304,$P39)))</f>
        <v/>
      </c>
      <c r="F39" s="15" t="str">
        <f aca="false">IF($P39="","",IF(INDEX(PART_RISK!$G$5:$G$304,$P39)="","",INDEX(PART_RISK!$G$5:$G$304,$P39)))</f>
        <v/>
      </c>
      <c r="G39" s="12" t="str">
        <f aca="false">IF($P39="","",IF(INDEX(PART_RISK!$M$5:$M$304,$P39)="","",INDEX(PART_RISK!$M$5:$M$304,$P39)))</f>
        <v/>
      </c>
      <c r="H39" s="13" t="str">
        <f aca="false">IF($P39="","",IF(INDEX(PART_RISK!$O$5:$O$304,$P39)="","",INDEX(PART_RISK!$O$5:$O$304,$P39)))</f>
        <v/>
      </c>
      <c r="I39" s="13" t="str">
        <f aca="false">IF($P39="","",IF(INDEX(PART_RISK!$P$5:$P$304,$P39)="","",INDEX(PART_RISK!$P$5:$P$304,$P39)))</f>
        <v/>
      </c>
      <c r="J39" s="14" t="str">
        <f aca="false">IF($P39="","",IF(INDEX(PART_RISK!$Q$5:$Q$304,$P39)="","",INDEX(PART_RISK!$Q$5:$Q$304,$P39)))</f>
        <v/>
      </c>
      <c r="K39" s="12" t="str">
        <f aca="false">IF($P39="","",IF(INDEX(PART_RISK!$R$5:$R$304,$P39)="","",INDEX(PART_RISK!$R$5:$R$304,$P39)))</f>
        <v/>
      </c>
      <c r="L39" s="11" t="str">
        <f aca="false">IF($P39="","",IF(INDEX(PART_RISK!$N$5:$N$304,$P39)="","",INDEX(PART_RISK!$N$5:$N$304,$P39)))</f>
        <v/>
      </c>
      <c r="P39" s="2" t="str">
        <f aca="false">IFERROR(MATCH(LARGE(PART_RISK!$W$5:$W$304,$A39),PART_RISK!$W$5:$W$304,0),"")</f>
        <v/>
      </c>
    </row>
    <row r="40" customFormat="false" ht="15" hidden="false" customHeight="false" outlineLevel="0" collapsed="false">
      <c r="A40" s="12" t="n">
        <v>12</v>
      </c>
      <c r="B40" s="12" t="str">
        <f aca="false">IF($P40="","",IF(INDEX(PART_RISK!$B$5:$B$304,$P40)="","",INDEX(PART_RISK!$B$5:$B$304,$P40)))</f>
        <v/>
      </c>
      <c r="C40" s="11" t="str">
        <f aca="false">IF($P40="","",IF(INDEX(PART_RISK!$C$5:$C$304,$P40)="","",INDEX(PART_RISK!$C$5:$C$304,$P40)))</f>
        <v/>
      </c>
      <c r="D40" s="12" t="str">
        <f aca="false">IF($P40="","",IF(INDEX(PART_RISK!$D$5:$D$304,$P40)="","",INDEX(PART_RISK!$D$5:$D$304,$P40)))</f>
        <v/>
      </c>
      <c r="E40" s="11" t="str">
        <f aca="false">IF($P40="","",IF(INDEX(PART_RISK!$E$5:$E$304,$P40)="","",INDEX(PART_RISK!$E$5:$E$304,$P40)))</f>
        <v/>
      </c>
      <c r="F40" s="15" t="str">
        <f aca="false">IF($P40="","",IF(INDEX(PART_RISK!$G$5:$G$304,$P40)="","",INDEX(PART_RISK!$G$5:$G$304,$P40)))</f>
        <v/>
      </c>
      <c r="G40" s="12" t="str">
        <f aca="false">IF($P40="","",IF(INDEX(PART_RISK!$M$5:$M$304,$P40)="","",INDEX(PART_RISK!$M$5:$M$304,$P40)))</f>
        <v/>
      </c>
      <c r="H40" s="13" t="str">
        <f aca="false">IF($P40="","",IF(INDEX(PART_RISK!$O$5:$O$304,$P40)="","",INDEX(PART_RISK!$O$5:$O$304,$P40)))</f>
        <v/>
      </c>
      <c r="I40" s="13" t="str">
        <f aca="false">IF($P40="","",IF(INDEX(PART_RISK!$P$5:$P$304,$P40)="","",INDEX(PART_RISK!$P$5:$P$304,$P40)))</f>
        <v/>
      </c>
      <c r="J40" s="14" t="str">
        <f aca="false">IF($P40="","",IF(INDEX(PART_RISK!$Q$5:$Q$304,$P40)="","",INDEX(PART_RISK!$Q$5:$Q$304,$P40)))</f>
        <v/>
      </c>
      <c r="K40" s="12" t="str">
        <f aca="false">IF($P40="","",IF(INDEX(PART_RISK!$R$5:$R$304,$P40)="","",INDEX(PART_RISK!$R$5:$R$304,$P40)))</f>
        <v/>
      </c>
      <c r="L40" s="11" t="str">
        <f aca="false">IF($P40="","",IF(INDEX(PART_RISK!$N$5:$N$304,$P40)="","",INDEX(PART_RISK!$N$5:$N$304,$P40)))</f>
        <v/>
      </c>
      <c r="P40" s="2" t="str">
        <f aca="false">IFERROR(MATCH(LARGE(PART_RISK!$W$5:$W$304,$A40),PART_RISK!$W$5:$W$304,0),"")</f>
        <v/>
      </c>
    </row>
    <row r="41" customFormat="false" ht="15" hidden="false" customHeight="false" outlineLevel="0" collapsed="false">
      <c r="A41" s="12" t="n">
        <v>13</v>
      </c>
      <c r="B41" s="12" t="str">
        <f aca="false">IF($P41="","",IF(INDEX(PART_RISK!$B$5:$B$304,$P41)="","",INDEX(PART_RISK!$B$5:$B$304,$P41)))</f>
        <v/>
      </c>
      <c r="C41" s="11" t="str">
        <f aca="false">IF($P41="","",IF(INDEX(PART_RISK!$C$5:$C$304,$P41)="","",INDEX(PART_RISK!$C$5:$C$304,$P41)))</f>
        <v/>
      </c>
      <c r="D41" s="12" t="str">
        <f aca="false">IF($P41="","",IF(INDEX(PART_RISK!$D$5:$D$304,$P41)="","",INDEX(PART_RISK!$D$5:$D$304,$P41)))</f>
        <v/>
      </c>
      <c r="E41" s="11" t="str">
        <f aca="false">IF($P41="","",IF(INDEX(PART_RISK!$E$5:$E$304,$P41)="","",INDEX(PART_RISK!$E$5:$E$304,$P41)))</f>
        <v/>
      </c>
      <c r="F41" s="15" t="str">
        <f aca="false">IF($P41="","",IF(INDEX(PART_RISK!$G$5:$G$304,$P41)="","",INDEX(PART_RISK!$G$5:$G$304,$P41)))</f>
        <v/>
      </c>
      <c r="G41" s="12" t="str">
        <f aca="false">IF($P41="","",IF(INDEX(PART_RISK!$M$5:$M$304,$P41)="","",INDEX(PART_RISK!$M$5:$M$304,$P41)))</f>
        <v/>
      </c>
      <c r="H41" s="13" t="str">
        <f aca="false">IF($P41="","",IF(INDEX(PART_RISK!$O$5:$O$304,$P41)="","",INDEX(PART_RISK!$O$5:$O$304,$P41)))</f>
        <v/>
      </c>
      <c r="I41" s="13" t="str">
        <f aca="false">IF($P41="","",IF(INDEX(PART_RISK!$P$5:$P$304,$P41)="","",INDEX(PART_RISK!$P$5:$P$304,$P41)))</f>
        <v/>
      </c>
      <c r="J41" s="14" t="str">
        <f aca="false">IF($P41="","",IF(INDEX(PART_RISK!$Q$5:$Q$304,$P41)="","",INDEX(PART_RISK!$Q$5:$Q$304,$P41)))</f>
        <v/>
      </c>
      <c r="K41" s="12" t="str">
        <f aca="false">IF($P41="","",IF(INDEX(PART_RISK!$R$5:$R$304,$P41)="","",INDEX(PART_RISK!$R$5:$R$304,$P41)))</f>
        <v/>
      </c>
      <c r="L41" s="11" t="str">
        <f aca="false">IF($P41="","",IF(INDEX(PART_RISK!$N$5:$N$304,$P41)="","",INDEX(PART_RISK!$N$5:$N$304,$P41)))</f>
        <v/>
      </c>
      <c r="P41" s="2" t="str">
        <f aca="false">IFERROR(MATCH(LARGE(PART_RISK!$W$5:$W$304,$A41),PART_RISK!$W$5:$W$304,0),"")</f>
        <v/>
      </c>
    </row>
    <row r="42" customFormat="false" ht="15" hidden="false" customHeight="false" outlineLevel="0" collapsed="false">
      <c r="A42" s="12" t="n">
        <v>14</v>
      </c>
      <c r="B42" s="12" t="str">
        <f aca="false">IF($P42="","",IF(INDEX(PART_RISK!$B$5:$B$304,$P42)="","",INDEX(PART_RISK!$B$5:$B$304,$P42)))</f>
        <v/>
      </c>
      <c r="C42" s="11" t="str">
        <f aca="false">IF($P42="","",IF(INDEX(PART_RISK!$C$5:$C$304,$P42)="","",INDEX(PART_RISK!$C$5:$C$304,$P42)))</f>
        <v/>
      </c>
      <c r="D42" s="12" t="str">
        <f aca="false">IF($P42="","",IF(INDEX(PART_RISK!$D$5:$D$304,$P42)="","",INDEX(PART_RISK!$D$5:$D$304,$P42)))</f>
        <v/>
      </c>
      <c r="E42" s="11" t="str">
        <f aca="false">IF($P42="","",IF(INDEX(PART_RISK!$E$5:$E$304,$P42)="","",INDEX(PART_RISK!$E$5:$E$304,$P42)))</f>
        <v/>
      </c>
      <c r="F42" s="15" t="str">
        <f aca="false">IF($P42="","",IF(INDEX(PART_RISK!$G$5:$G$304,$P42)="","",INDEX(PART_RISK!$G$5:$G$304,$P42)))</f>
        <v/>
      </c>
      <c r="G42" s="12" t="str">
        <f aca="false">IF($P42="","",IF(INDEX(PART_RISK!$M$5:$M$304,$P42)="","",INDEX(PART_RISK!$M$5:$M$304,$P42)))</f>
        <v/>
      </c>
      <c r="H42" s="13" t="str">
        <f aca="false">IF($P42="","",IF(INDEX(PART_RISK!$O$5:$O$304,$P42)="","",INDEX(PART_RISK!$O$5:$O$304,$P42)))</f>
        <v/>
      </c>
      <c r="I42" s="13" t="str">
        <f aca="false">IF($P42="","",IF(INDEX(PART_RISK!$P$5:$P$304,$P42)="","",INDEX(PART_RISK!$P$5:$P$304,$P42)))</f>
        <v/>
      </c>
      <c r="J42" s="14" t="str">
        <f aca="false">IF($P42="","",IF(INDEX(PART_RISK!$Q$5:$Q$304,$P42)="","",INDEX(PART_RISK!$Q$5:$Q$304,$P42)))</f>
        <v/>
      </c>
      <c r="K42" s="12" t="str">
        <f aca="false">IF($P42="","",IF(INDEX(PART_RISK!$R$5:$R$304,$P42)="","",INDEX(PART_RISK!$R$5:$R$304,$P42)))</f>
        <v/>
      </c>
      <c r="L42" s="11" t="str">
        <f aca="false">IF($P42="","",IF(INDEX(PART_RISK!$N$5:$N$304,$P42)="","",INDEX(PART_RISK!$N$5:$N$304,$P42)))</f>
        <v/>
      </c>
      <c r="P42" s="2" t="str">
        <f aca="false">IFERROR(MATCH(LARGE(PART_RISK!$W$5:$W$304,$A42),PART_RISK!$W$5:$W$304,0),"")</f>
        <v/>
      </c>
    </row>
    <row r="43" customFormat="false" ht="15" hidden="false" customHeight="false" outlineLevel="0" collapsed="false">
      <c r="A43" s="12" t="n">
        <v>15</v>
      </c>
      <c r="B43" s="12" t="str">
        <f aca="false">IF($P43="","",IF(INDEX(PART_RISK!$B$5:$B$304,$P43)="","",INDEX(PART_RISK!$B$5:$B$304,$P43)))</f>
        <v/>
      </c>
      <c r="C43" s="11" t="str">
        <f aca="false">IF($P43="","",IF(INDEX(PART_RISK!$C$5:$C$304,$P43)="","",INDEX(PART_RISK!$C$5:$C$304,$P43)))</f>
        <v/>
      </c>
      <c r="D43" s="12" t="str">
        <f aca="false">IF($P43="","",IF(INDEX(PART_RISK!$D$5:$D$304,$P43)="","",INDEX(PART_RISK!$D$5:$D$304,$P43)))</f>
        <v/>
      </c>
      <c r="E43" s="11" t="str">
        <f aca="false">IF($P43="","",IF(INDEX(PART_RISK!$E$5:$E$304,$P43)="","",INDEX(PART_RISK!$E$5:$E$304,$P43)))</f>
        <v/>
      </c>
      <c r="F43" s="15" t="str">
        <f aca="false">IF($P43="","",IF(INDEX(PART_RISK!$G$5:$G$304,$P43)="","",INDEX(PART_RISK!$G$5:$G$304,$P43)))</f>
        <v/>
      </c>
      <c r="G43" s="12" t="str">
        <f aca="false">IF($P43="","",IF(INDEX(PART_RISK!$M$5:$M$304,$P43)="","",INDEX(PART_RISK!$M$5:$M$304,$P43)))</f>
        <v/>
      </c>
      <c r="H43" s="13" t="str">
        <f aca="false">IF($P43="","",IF(INDEX(PART_RISK!$O$5:$O$304,$P43)="","",INDEX(PART_RISK!$O$5:$O$304,$P43)))</f>
        <v/>
      </c>
      <c r="I43" s="13" t="str">
        <f aca="false">IF($P43="","",IF(INDEX(PART_RISK!$P$5:$P$304,$P43)="","",INDEX(PART_RISK!$P$5:$P$304,$P43)))</f>
        <v/>
      </c>
      <c r="J43" s="14" t="str">
        <f aca="false">IF($P43="","",IF(INDEX(PART_RISK!$Q$5:$Q$304,$P43)="","",INDEX(PART_RISK!$Q$5:$Q$304,$P43)))</f>
        <v/>
      </c>
      <c r="K43" s="12" t="str">
        <f aca="false">IF($P43="","",IF(INDEX(PART_RISK!$R$5:$R$304,$P43)="","",INDEX(PART_RISK!$R$5:$R$304,$P43)))</f>
        <v/>
      </c>
      <c r="L43" s="11" t="str">
        <f aca="false">IF($P43="","",IF(INDEX(PART_RISK!$N$5:$N$304,$P43)="","",INDEX(PART_RISK!$N$5:$N$304,$P43)))</f>
        <v/>
      </c>
      <c r="P43" s="2" t="str">
        <f aca="false">IFERROR(MATCH(LARGE(PART_RISK!$W$5:$W$304,$A43),PART_RISK!$W$5:$W$304,0),"")</f>
        <v/>
      </c>
    </row>
    <row r="44" customFormat="false" ht="15" hidden="false" customHeight="false" outlineLevel="0" collapsed="false">
      <c r="A44" s="12" t="n">
        <v>16</v>
      </c>
      <c r="B44" s="12" t="str">
        <f aca="false">IF($P44="","",IF(INDEX(PART_RISK!$B$5:$B$304,$P44)="","",INDEX(PART_RISK!$B$5:$B$304,$P44)))</f>
        <v/>
      </c>
      <c r="C44" s="11" t="str">
        <f aca="false">IF($P44="","",IF(INDEX(PART_RISK!$C$5:$C$304,$P44)="","",INDEX(PART_RISK!$C$5:$C$304,$P44)))</f>
        <v/>
      </c>
      <c r="D44" s="12" t="str">
        <f aca="false">IF($P44="","",IF(INDEX(PART_RISK!$D$5:$D$304,$P44)="","",INDEX(PART_RISK!$D$5:$D$304,$P44)))</f>
        <v/>
      </c>
      <c r="E44" s="11" t="str">
        <f aca="false">IF($P44="","",IF(INDEX(PART_RISK!$E$5:$E$304,$P44)="","",INDEX(PART_RISK!$E$5:$E$304,$P44)))</f>
        <v/>
      </c>
      <c r="F44" s="15" t="str">
        <f aca="false">IF($P44="","",IF(INDEX(PART_RISK!$G$5:$G$304,$P44)="","",INDEX(PART_RISK!$G$5:$G$304,$P44)))</f>
        <v/>
      </c>
      <c r="G44" s="12" t="str">
        <f aca="false">IF($P44="","",IF(INDEX(PART_RISK!$M$5:$M$304,$P44)="","",INDEX(PART_RISK!$M$5:$M$304,$P44)))</f>
        <v/>
      </c>
      <c r="H44" s="13" t="str">
        <f aca="false">IF($P44="","",IF(INDEX(PART_RISK!$O$5:$O$304,$P44)="","",INDEX(PART_RISK!$O$5:$O$304,$P44)))</f>
        <v/>
      </c>
      <c r="I44" s="13" t="str">
        <f aca="false">IF($P44="","",IF(INDEX(PART_RISK!$P$5:$P$304,$P44)="","",INDEX(PART_RISK!$P$5:$P$304,$P44)))</f>
        <v/>
      </c>
      <c r="J44" s="14" t="str">
        <f aca="false">IF($P44="","",IF(INDEX(PART_RISK!$Q$5:$Q$304,$P44)="","",INDEX(PART_RISK!$Q$5:$Q$304,$P44)))</f>
        <v/>
      </c>
      <c r="K44" s="12" t="str">
        <f aca="false">IF($P44="","",IF(INDEX(PART_RISK!$R$5:$R$304,$P44)="","",INDEX(PART_RISK!$R$5:$R$304,$P44)))</f>
        <v/>
      </c>
      <c r="L44" s="11" t="str">
        <f aca="false">IF($P44="","",IF(INDEX(PART_RISK!$N$5:$N$304,$P44)="","",INDEX(PART_RISK!$N$5:$N$304,$P44)))</f>
        <v/>
      </c>
      <c r="P44" s="2" t="str">
        <f aca="false">IFERROR(MATCH(LARGE(PART_RISK!$W$5:$W$304,$A44),PART_RISK!$W$5:$W$304,0),"")</f>
        <v/>
      </c>
    </row>
    <row r="45" customFormat="false" ht="15" hidden="false" customHeight="false" outlineLevel="0" collapsed="false">
      <c r="A45" s="12" t="n">
        <v>17</v>
      </c>
      <c r="B45" s="12" t="str">
        <f aca="false">IF($P45="","",IF(INDEX(PART_RISK!$B$5:$B$304,$P45)="","",INDEX(PART_RISK!$B$5:$B$304,$P45)))</f>
        <v/>
      </c>
      <c r="C45" s="11" t="str">
        <f aca="false">IF($P45="","",IF(INDEX(PART_RISK!$C$5:$C$304,$P45)="","",INDEX(PART_RISK!$C$5:$C$304,$P45)))</f>
        <v/>
      </c>
      <c r="D45" s="12" t="str">
        <f aca="false">IF($P45="","",IF(INDEX(PART_RISK!$D$5:$D$304,$P45)="","",INDEX(PART_RISK!$D$5:$D$304,$P45)))</f>
        <v/>
      </c>
      <c r="E45" s="11" t="str">
        <f aca="false">IF($P45="","",IF(INDEX(PART_RISK!$E$5:$E$304,$P45)="","",INDEX(PART_RISK!$E$5:$E$304,$P45)))</f>
        <v/>
      </c>
      <c r="F45" s="15" t="str">
        <f aca="false">IF($P45="","",IF(INDEX(PART_RISK!$G$5:$G$304,$P45)="","",INDEX(PART_RISK!$G$5:$G$304,$P45)))</f>
        <v/>
      </c>
      <c r="G45" s="12" t="str">
        <f aca="false">IF($P45="","",IF(INDEX(PART_RISK!$M$5:$M$304,$P45)="","",INDEX(PART_RISK!$M$5:$M$304,$P45)))</f>
        <v/>
      </c>
      <c r="H45" s="13" t="str">
        <f aca="false">IF($P45="","",IF(INDEX(PART_RISK!$O$5:$O$304,$P45)="","",INDEX(PART_RISK!$O$5:$O$304,$P45)))</f>
        <v/>
      </c>
      <c r="I45" s="13" t="str">
        <f aca="false">IF($P45="","",IF(INDEX(PART_RISK!$P$5:$P$304,$P45)="","",INDEX(PART_RISK!$P$5:$P$304,$P45)))</f>
        <v/>
      </c>
      <c r="J45" s="14" t="str">
        <f aca="false">IF($P45="","",IF(INDEX(PART_RISK!$Q$5:$Q$304,$P45)="","",INDEX(PART_RISK!$Q$5:$Q$304,$P45)))</f>
        <v/>
      </c>
      <c r="K45" s="12" t="str">
        <f aca="false">IF($P45="","",IF(INDEX(PART_RISK!$R$5:$R$304,$P45)="","",INDEX(PART_RISK!$R$5:$R$304,$P45)))</f>
        <v/>
      </c>
      <c r="L45" s="11" t="str">
        <f aca="false">IF($P45="","",IF(INDEX(PART_RISK!$N$5:$N$304,$P45)="","",INDEX(PART_RISK!$N$5:$N$304,$P45)))</f>
        <v/>
      </c>
      <c r="P45" s="2" t="str">
        <f aca="false">IFERROR(MATCH(LARGE(PART_RISK!$W$5:$W$304,$A45),PART_RISK!$W$5:$W$304,0),"")</f>
        <v/>
      </c>
    </row>
    <row r="46" customFormat="false" ht="15" hidden="false" customHeight="false" outlineLevel="0" collapsed="false">
      <c r="A46" s="12" t="n">
        <v>18</v>
      </c>
      <c r="B46" s="12" t="str">
        <f aca="false">IF($P46="","",IF(INDEX(PART_RISK!$B$5:$B$304,$P46)="","",INDEX(PART_RISK!$B$5:$B$304,$P46)))</f>
        <v/>
      </c>
      <c r="C46" s="11" t="str">
        <f aca="false">IF($P46="","",IF(INDEX(PART_RISK!$C$5:$C$304,$P46)="","",INDEX(PART_RISK!$C$5:$C$304,$P46)))</f>
        <v/>
      </c>
      <c r="D46" s="12" t="str">
        <f aca="false">IF($P46="","",IF(INDEX(PART_RISK!$D$5:$D$304,$P46)="","",INDEX(PART_RISK!$D$5:$D$304,$P46)))</f>
        <v/>
      </c>
      <c r="E46" s="11" t="str">
        <f aca="false">IF($P46="","",IF(INDEX(PART_RISK!$E$5:$E$304,$P46)="","",INDEX(PART_RISK!$E$5:$E$304,$P46)))</f>
        <v/>
      </c>
      <c r="F46" s="15" t="str">
        <f aca="false">IF($P46="","",IF(INDEX(PART_RISK!$G$5:$G$304,$P46)="","",INDEX(PART_RISK!$G$5:$G$304,$P46)))</f>
        <v/>
      </c>
      <c r="G46" s="12" t="str">
        <f aca="false">IF($P46="","",IF(INDEX(PART_RISK!$M$5:$M$304,$P46)="","",INDEX(PART_RISK!$M$5:$M$304,$P46)))</f>
        <v/>
      </c>
      <c r="H46" s="13" t="str">
        <f aca="false">IF($P46="","",IF(INDEX(PART_RISK!$O$5:$O$304,$P46)="","",INDEX(PART_RISK!$O$5:$O$304,$P46)))</f>
        <v/>
      </c>
      <c r="I46" s="13" t="str">
        <f aca="false">IF($P46="","",IF(INDEX(PART_RISK!$P$5:$P$304,$P46)="","",INDEX(PART_RISK!$P$5:$P$304,$P46)))</f>
        <v/>
      </c>
      <c r="J46" s="14" t="str">
        <f aca="false">IF($P46="","",IF(INDEX(PART_RISK!$Q$5:$Q$304,$P46)="","",INDEX(PART_RISK!$Q$5:$Q$304,$P46)))</f>
        <v/>
      </c>
      <c r="K46" s="12" t="str">
        <f aca="false">IF($P46="","",IF(INDEX(PART_RISK!$R$5:$R$304,$P46)="","",INDEX(PART_RISK!$R$5:$R$304,$P46)))</f>
        <v/>
      </c>
      <c r="L46" s="11" t="str">
        <f aca="false">IF($P46="","",IF(INDEX(PART_RISK!$N$5:$N$304,$P46)="","",INDEX(PART_RISK!$N$5:$N$304,$P46)))</f>
        <v/>
      </c>
      <c r="P46" s="2" t="str">
        <f aca="false">IFERROR(MATCH(LARGE(PART_RISK!$W$5:$W$304,$A46),PART_RISK!$W$5:$W$304,0),"")</f>
        <v/>
      </c>
    </row>
    <row r="47" customFormat="false" ht="15" hidden="false" customHeight="false" outlineLevel="0" collapsed="false">
      <c r="A47" s="12" t="n">
        <v>19</v>
      </c>
      <c r="B47" s="12" t="str">
        <f aca="false">IF($P47="","",IF(INDEX(PART_RISK!$B$5:$B$304,$P47)="","",INDEX(PART_RISK!$B$5:$B$304,$P47)))</f>
        <v/>
      </c>
      <c r="C47" s="11" t="str">
        <f aca="false">IF($P47="","",IF(INDEX(PART_RISK!$C$5:$C$304,$P47)="","",INDEX(PART_RISK!$C$5:$C$304,$P47)))</f>
        <v/>
      </c>
      <c r="D47" s="12" t="str">
        <f aca="false">IF($P47="","",IF(INDEX(PART_RISK!$D$5:$D$304,$P47)="","",INDEX(PART_RISK!$D$5:$D$304,$P47)))</f>
        <v/>
      </c>
      <c r="E47" s="11" t="str">
        <f aca="false">IF($P47="","",IF(INDEX(PART_RISK!$E$5:$E$304,$P47)="","",INDEX(PART_RISK!$E$5:$E$304,$P47)))</f>
        <v/>
      </c>
      <c r="F47" s="15" t="str">
        <f aca="false">IF($P47="","",IF(INDEX(PART_RISK!$G$5:$G$304,$P47)="","",INDEX(PART_RISK!$G$5:$G$304,$P47)))</f>
        <v/>
      </c>
      <c r="G47" s="12" t="str">
        <f aca="false">IF($P47="","",IF(INDEX(PART_RISK!$M$5:$M$304,$P47)="","",INDEX(PART_RISK!$M$5:$M$304,$P47)))</f>
        <v/>
      </c>
      <c r="H47" s="13" t="str">
        <f aca="false">IF($P47="","",IF(INDEX(PART_RISK!$O$5:$O$304,$P47)="","",INDEX(PART_RISK!$O$5:$O$304,$P47)))</f>
        <v/>
      </c>
      <c r="I47" s="13" t="str">
        <f aca="false">IF($P47="","",IF(INDEX(PART_RISK!$P$5:$P$304,$P47)="","",INDEX(PART_RISK!$P$5:$P$304,$P47)))</f>
        <v/>
      </c>
      <c r="J47" s="14" t="str">
        <f aca="false">IF($P47="","",IF(INDEX(PART_RISK!$Q$5:$Q$304,$P47)="","",INDEX(PART_RISK!$Q$5:$Q$304,$P47)))</f>
        <v/>
      </c>
      <c r="K47" s="12" t="str">
        <f aca="false">IF($P47="","",IF(INDEX(PART_RISK!$R$5:$R$304,$P47)="","",INDEX(PART_RISK!$R$5:$R$304,$P47)))</f>
        <v/>
      </c>
      <c r="L47" s="11" t="str">
        <f aca="false">IF($P47="","",IF(INDEX(PART_RISK!$N$5:$N$304,$P47)="","",INDEX(PART_RISK!$N$5:$N$304,$P47)))</f>
        <v/>
      </c>
      <c r="P47" s="2" t="str">
        <f aca="false">IFERROR(MATCH(LARGE(PART_RISK!$W$5:$W$304,$A47),PART_RISK!$W$5:$W$304,0),"")</f>
        <v/>
      </c>
    </row>
    <row r="48" customFormat="false" ht="15" hidden="false" customHeight="false" outlineLevel="0" collapsed="false">
      <c r="A48" s="12" t="n">
        <v>20</v>
      </c>
      <c r="B48" s="12" t="str">
        <f aca="false">IF($P48="","",IF(INDEX(PART_RISK!$B$5:$B$304,$P48)="","",INDEX(PART_RISK!$B$5:$B$304,$P48)))</f>
        <v/>
      </c>
      <c r="C48" s="11" t="str">
        <f aca="false">IF($P48="","",IF(INDEX(PART_RISK!$C$5:$C$304,$P48)="","",INDEX(PART_RISK!$C$5:$C$304,$P48)))</f>
        <v/>
      </c>
      <c r="D48" s="12" t="str">
        <f aca="false">IF($P48="","",IF(INDEX(PART_RISK!$D$5:$D$304,$P48)="","",INDEX(PART_RISK!$D$5:$D$304,$P48)))</f>
        <v/>
      </c>
      <c r="E48" s="11" t="str">
        <f aca="false">IF($P48="","",IF(INDEX(PART_RISK!$E$5:$E$304,$P48)="","",INDEX(PART_RISK!$E$5:$E$304,$P48)))</f>
        <v/>
      </c>
      <c r="F48" s="15" t="str">
        <f aca="false">IF($P48="","",IF(INDEX(PART_RISK!$G$5:$G$304,$P48)="","",INDEX(PART_RISK!$G$5:$G$304,$P48)))</f>
        <v/>
      </c>
      <c r="G48" s="12" t="str">
        <f aca="false">IF($P48="","",IF(INDEX(PART_RISK!$M$5:$M$304,$P48)="","",INDEX(PART_RISK!$M$5:$M$304,$P48)))</f>
        <v/>
      </c>
      <c r="H48" s="13" t="str">
        <f aca="false">IF($P48="","",IF(INDEX(PART_RISK!$O$5:$O$304,$P48)="","",INDEX(PART_RISK!$O$5:$O$304,$P48)))</f>
        <v/>
      </c>
      <c r="I48" s="13" t="str">
        <f aca="false">IF($P48="","",IF(INDEX(PART_RISK!$P$5:$P$304,$P48)="","",INDEX(PART_RISK!$P$5:$P$304,$P48)))</f>
        <v/>
      </c>
      <c r="J48" s="14" t="str">
        <f aca="false">IF($P48="","",IF(INDEX(PART_RISK!$Q$5:$Q$304,$P48)="","",INDEX(PART_RISK!$Q$5:$Q$304,$P48)))</f>
        <v/>
      </c>
      <c r="K48" s="12" t="str">
        <f aca="false">IF($P48="","",IF(INDEX(PART_RISK!$R$5:$R$304,$P48)="","",INDEX(PART_RISK!$R$5:$R$304,$P48)))</f>
        <v/>
      </c>
      <c r="L48" s="11" t="str">
        <f aca="false">IF($P48="","",IF(INDEX(PART_RISK!$N$5:$N$304,$P48)="","",INDEX(PART_RISK!$N$5:$N$304,$P48)))</f>
        <v/>
      </c>
      <c r="P48" s="2" t="str">
        <f aca="false">IFERROR(MATCH(LARGE(PART_RISK!$W$5:$W$304,$A48),PART_RISK!$W$5:$W$304,0),"")</f>
        <v/>
      </c>
    </row>
    <row r="50" customFormat="false" ht="15" hidden="false" customHeight="false" outlineLevel="0" collapsed="false">
      <c r="A50" s="10" t="s">
        <v>49</v>
      </c>
    </row>
    <row r="51" customFormat="false" ht="15" hidden="false" customHeight="false" outlineLevel="0" collapsed="false">
      <c r="A51" s="5" t="s">
        <v>38</v>
      </c>
      <c r="B51" s="5" t="s">
        <v>28</v>
      </c>
      <c r="C51" s="5" t="s">
        <v>39</v>
      </c>
      <c r="D51" s="5" t="s">
        <v>42</v>
      </c>
      <c r="E51" s="5" t="s">
        <v>46</v>
      </c>
      <c r="F51" s="5" t="s">
        <v>32</v>
      </c>
      <c r="G51" s="5" t="s">
        <v>47</v>
      </c>
    </row>
    <row r="52" customFormat="false" ht="22.35" hidden="false" customHeight="false" outlineLevel="0" collapsed="false">
      <c r="A52" s="12" t="n">
        <v>1</v>
      </c>
      <c r="B52" s="11" t="str">
        <f aca="false">IF($P52="","",IF(INDEX(PART_RISK!$A$5:$A$304,$P52)="","",INDEX(PART_RISK!$A$5:$A$304,$P52)))</f>
        <v>Dv_Tech</v>
      </c>
      <c r="C52" s="12" t="n">
        <f aca="false">IF($P52="","",IF(INDEX(PART_RISK!$B$5:$B$304,$P52)="","",INDEX(PART_RISK!$B$5:$B$304,$P52)))</f>
        <v>666502</v>
      </c>
      <c r="D52" s="11" t="str">
        <f aca="false">IF($P52="","",IF(INDEX(PART_RISK!$E$5:$E$304,$P52)="","",INDEX(PART_RISK!$E$5:$E$304,$P52)))</f>
        <v>Martin's Pork Products</v>
      </c>
      <c r="E52" s="13" t="n">
        <f aca="false">IF($P52="","",IF(INDEX(PART_RISK!$P$5:$P$304,$P52)="","",INDEX(PART_RISK!$P$5:$P$304,$P52)))</f>
        <v>20.5</v>
      </c>
      <c r="F52" s="14" t="str">
        <f aca="false">IF($P52="","",IF(INDEX(PART_RISK!$Q$5:$Q$304,$P52)="","",INDEX(PART_RISK!$Q$5:$Q$304,$P52)))</f>
        <v>CRITICAL</v>
      </c>
      <c r="G52" s="12" t="str">
        <f aca="false">IF($P52="","",IF(INDEX(PART_RISK!$R$5:$R$304,$P52)="","",INDEX(PART_RISK!$R$5:$R$304,$P52)))</f>
        <v>Sourcing &amp; Backup</v>
      </c>
      <c r="P52" s="2" t="n">
        <f aca="false">IFERROR(MATCH(LARGE(PART_RISK!$V$5:$V$304,$A52),PART_RISK!$V$5:$V$304,0),"")</f>
        <v>2</v>
      </c>
    </row>
    <row r="53" customFormat="false" ht="22.35" hidden="false" customHeight="false" outlineLevel="0" collapsed="false">
      <c r="A53" s="12" t="n">
        <v>2</v>
      </c>
      <c r="B53" s="11" t="str">
        <f aca="false">IF($P53="","",IF(INDEX(PART_RISK!$A$5:$A$304,$P53)="","",INDEX(PART_RISK!$A$5:$A$304,$P53)))</f>
        <v>Dv_Tech</v>
      </c>
      <c r="C53" s="12" t="str">
        <f aca="false">IF($P53="","",IF(INDEX(PART_RISK!$B$5:$B$304,$P53)="","",INDEX(PART_RISK!$B$5:$B$304,$P53)))</f>
        <v>666438</v>
      </c>
      <c r="D53" s="11" t="str">
        <f aca="false">IF($P53="","",IF(INDEX(PART_RISK!$E$5:$E$304,$P53)="","",INDEX(PART_RISK!$E$5:$E$304,$P53)))</f>
        <v>SNP, Inc.</v>
      </c>
      <c r="E53" s="13" t="n">
        <f aca="false">IF($P53="","",IF(INDEX(PART_RISK!$P$5:$P$304,$P53)="","",INDEX(PART_RISK!$P$5:$P$304,$P53)))</f>
        <v>11.6</v>
      </c>
      <c r="F53" s="14" t="str">
        <f aca="false">IF($P53="","",IF(INDEX(PART_RISK!$Q$5:$Q$304,$P53)="","",INDEX(PART_RISK!$Q$5:$Q$304,$P53)))</f>
        <v>MONITOR</v>
      </c>
      <c r="G53" s="12" t="str">
        <f aca="false">IF($P53="","",IF(INDEX(PART_RISK!$R$5:$R$304,$P53)="","",INDEX(PART_RISK!$R$5:$R$304,$P53)))</f>
        <v>Sourcing &amp; Backup</v>
      </c>
      <c r="P53" s="2" t="n">
        <f aca="false">IFERROR(MATCH(LARGE(PART_RISK!$V$5:$V$304,$A53),PART_RISK!$V$5:$V$304,0),"")</f>
        <v>5</v>
      </c>
    </row>
    <row r="54" customFormat="false" ht="22.35" hidden="false" customHeight="false" outlineLevel="0" collapsed="false">
      <c r="A54" s="12" t="n">
        <v>3</v>
      </c>
      <c r="B54" s="11" t="str">
        <f aca="false">IF($P54="","",IF(INDEX(PART_RISK!$A$5:$A$304,$P54)="","",INDEX(PART_RISK!$A$5:$A$304,$P54)))</f>
        <v>Dv_Tech</v>
      </c>
      <c r="C54" s="12" t="n">
        <f aca="false">IF($P54="","",IF(INDEX(PART_RISK!$B$5:$B$304,$P54)="","",INDEX(PART_RISK!$B$5:$B$304,$P54)))</f>
        <v>666501</v>
      </c>
      <c r="D54" s="11" t="str">
        <f aca="false">IF($P54="","",IF(INDEX(PART_RISK!$E$5:$E$304,$P54)="","",INDEX(PART_RISK!$E$5:$E$304,$P54)))</f>
        <v>Martin's Pork Products</v>
      </c>
      <c r="E54" s="13" t="n">
        <f aca="false">IF($P54="","",IF(INDEX(PART_RISK!$P$5:$P$304,$P54)="","",INDEX(PART_RISK!$P$5:$P$304,$P54)))</f>
        <v>10.2</v>
      </c>
      <c r="F54" s="14" t="str">
        <f aca="false">IF($P54="","",IF(INDEX(PART_RISK!$Q$5:$Q$304,$P54)="","",INDEX(PART_RISK!$Q$5:$Q$304,$P54)))</f>
        <v>MONITOR</v>
      </c>
      <c r="G54" s="12" t="str">
        <f aca="false">IF($P54="","",IF(INDEX(PART_RISK!$R$5:$R$304,$P54)="","",INDEX(PART_RISK!$R$5:$R$304,$P54)))</f>
        <v>Sourcing &amp; Backup</v>
      </c>
      <c r="P54" s="2" t="n">
        <f aca="false">IFERROR(MATCH(LARGE(PART_RISK!$V$5:$V$304,$A54),PART_RISK!$V$5:$V$304,0),"")</f>
        <v>1</v>
      </c>
    </row>
    <row r="55" customFormat="false" ht="22.35" hidden="false" customHeight="false" outlineLevel="0" collapsed="false">
      <c r="A55" s="12" t="n">
        <v>4</v>
      </c>
      <c r="B55" s="11" t="str">
        <f aca="false">IF($P55="","",IF(INDEX(PART_RISK!$A$5:$A$304,$P55)="","",INDEX(PART_RISK!$A$5:$A$304,$P55)))</f>
        <v>Dv_Tech</v>
      </c>
      <c r="C55" s="12" t="n">
        <f aca="false">IF($P55="","",IF(INDEX(PART_RISK!$B$5:$B$304,$P55)="","",INDEX(PART_RISK!$B$5:$B$304,$P55)))</f>
        <v>666541</v>
      </c>
      <c r="D55" s="11" t="str">
        <f aca="false">IF($P55="","",IF(INDEX(PART_RISK!$E$5:$E$304,$P55)="","",INDEX(PART_RISK!$E$5:$E$304,$P55)))</f>
        <v>Martin's Pork Products</v>
      </c>
      <c r="E55" s="13" t="n">
        <f aca="false">IF($P55="","",IF(INDEX(PART_RISK!$P$5:$P$304,$P55)="","",INDEX(PART_RISK!$P$5:$P$304,$P55)))</f>
        <v>8.4</v>
      </c>
      <c r="F55" s="14" t="str">
        <f aca="false">IF($P55="","",IF(INDEX(PART_RISK!$Q$5:$Q$304,$P55)="","",INDEX(PART_RISK!$Q$5:$Q$304,$P55)))</f>
        <v>MONITOR</v>
      </c>
      <c r="G55" s="12" t="str">
        <f aca="false">IF($P55="","",IF(INDEX(PART_RISK!$R$5:$R$304,$P55)="","",INDEX(PART_RISK!$R$5:$R$304,$P55)))</f>
        <v>Supplier Stability</v>
      </c>
      <c r="P55" s="2" t="n">
        <f aca="false">IFERROR(MATCH(LARGE(PART_RISK!$V$5:$V$304,$A55),PART_RISK!$V$5:$V$304,0),"")</f>
        <v>3</v>
      </c>
    </row>
    <row r="56" customFormat="false" ht="22.35" hidden="false" customHeight="false" outlineLevel="0" collapsed="false">
      <c r="A56" s="12" t="n">
        <v>5</v>
      </c>
      <c r="B56" s="11" t="str">
        <f aca="false">IF($P56="","",IF(INDEX(PART_RISK!$A$5:$A$304,$P56)="","",INDEX(PART_RISK!$A$5:$A$304,$P56)))</f>
        <v>Dv_Tech</v>
      </c>
      <c r="C56" s="12" t="str">
        <f aca="false">IF($P56="","",IF(INDEX(PART_RISK!$B$5:$B$304,$P56)="","",INDEX(PART_RISK!$B$5:$B$304,$P56)))</f>
        <v>666800-01</v>
      </c>
      <c r="D56" s="11" t="str">
        <f aca="false">IF($P56="","",IF(INDEX(PART_RISK!$E$5:$E$304,$P56)="","",INDEX(PART_RISK!$E$5:$E$304,$P56)))</f>
        <v>Midland Plastics</v>
      </c>
      <c r="E56" s="13" t="str">
        <f aca="false">IF($P56="","",IF(INDEX(PART_RISK!$P$5:$P$304,$P56)="","",INDEX(PART_RISK!$P$5:$P$304,$P56)))</f>
        <v/>
      </c>
      <c r="F56" s="14" t="str">
        <f aca="false">IF($P56="","",IF(INDEX(PART_RISK!$Q$5:$Q$304,$P56)="","",INDEX(PART_RISK!$Q$5:$Q$304,$P56)))</f>
        <v>NOT SCORED</v>
      </c>
      <c r="G56" s="12" t="str">
        <f aca="false">IF($P56="","",IF(INDEX(PART_RISK!$R$5:$R$304,$P56)="","",INDEX(PART_RISK!$R$5:$R$304,$P56)))</f>
        <v/>
      </c>
      <c r="P56" s="2" t="n">
        <f aca="false">IFERROR(MATCH(LARGE(PART_RISK!$V$5:$V$304,$A56),PART_RISK!$V$5:$V$304,0),"")</f>
        <v>6</v>
      </c>
    </row>
    <row r="57" customFormat="false" ht="22.35" hidden="false" customHeight="false" outlineLevel="0" collapsed="false">
      <c r="A57" s="12" t="n">
        <v>6</v>
      </c>
      <c r="B57" s="11" t="str">
        <f aca="false">IF($P57="","",IF(INDEX(PART_RISK!$A$5:$A$304,$P57)="","",INDEX(PART_RISK!$A$5:$A$304,$P57)))</f>
        <v>Dv_Tech</v>
      </c>
      <c r="C57" s="12" t="n">
        <f aca="false">IF($P57="","",IF(INDEX(PART_RISK!$B$5:$B$304,$P57)="","",INDEX(PART_RISK!$B$5:$B$304,$P57)))</f>
        <v>666512</v>
      </c>
      <c r="D57" s="11" t="str">
        <f aca="false">IF($P57="","",IF(INDEX(PART_RISK!$E$5:$E$304,$P57)="","",INDEX(PART_RISK!$E$5:$E$304,$P57)))</f>
        <v>Qosina Corp.</v>
      </c>
      <c r="E57" s="13" t="str">
        <f aca="false">IF($P57="","",IF(INDEX(PART_RISK!$P$5:$P$304,$P57)="","",INDEX(PART_RISK!$P$5:$P$304,$P57)))</f>
        <v/>
      </c>
      <c r="F57" s="14" t="str">
        <f aca="false">IF($P57="","",IF(INDEX(PART_RISK!$Q$5:$Q$304,$P57)="","",INDEX(PART_RISK!$Q$5:$Q$304,$P57)))</f>
        <v>NOT SCORED</v>
      </c>
      <c r="G57" s="12" t="str">
        <f aca="false">IF($P57="","",IF(INDEX(PART_RISK!$R$5:$R$304,$P57)="","",INDEX(PART_RISK!$R$5:$R$304,$P57)))</f>
        <v/>
      </c>
      <c r="P57" s="2" t="n">
        <f aca="false">IFERROR(MATCH(LARGE(PART_RISK!$V$5:$V$304,$A57),PART_RISK!$V$5:$V$304,0),"")</f>
        <v>4</v>
      </c>
    </row>
    <row r="58" customFormat="false" ht="15" hidden="false" customHeight="false" outlineLevel="0" collapsed="false">
      <c r="A58" s="12" t="n">
        <v>7</v>
      </c>
      <c r="B58" s="11" t="str">
        <f aca="false">IF($P58="","",IF(INDEX(PART_RISK!$A$5:$A$304,$P58)="","",INDEX(PART_RISK!$A$5:$A$304,$P58)))</f>
        <v/>
      </c>
      <c r="C58" s="12" t="str">
        <f aca="false">IF($P58="","",IF(INDEX(PART_RISK!$B$5:$B$304,$P58)="","",INDEX(PART_RISK!$B$5:$B$304,$P58)))</f>
        <v/>
      </c>
      <c r="D58" s="11" t="str">
        <f aca="false">IF($P58="","",IF(INDEX(PART_RISK!$E$5:$E$304,$P58)="","",INDEX(PART_RISK!$E$5:$E$304,$P58)))</f>
        <v/>
      </c>
      <c r="E58" s="13" t="str">
        <f aca="false">IF($P58="","",IF(INDEX(PART_RISK!$P$5:$P$304,$P58)="","",INDEX(PART_RISK!$P$5:$P$304,$P58)))</f>
        <v/>
      </c>
      <c r="F58" s="14" t="str">
        <f aca="false">IF($P58="","",IF(INDEX(PART_RISK!$Q$5:$Q$304,$P58)="","",INDEX(PART_RISK!$Q$5:$Q$304,$P58)))</f>
        <v/>
      </c>
      <c r="G58" s="12" t="str">
        <f aca="false">IF($P58="","",IF(INDEX(PART_RISK!$R$5:$R$304,$P58)="","",INDEX(PART_RISK!$R$5:$R$304,$P58)))</f>
        <v/>
      </c>
      <c r="P58" s="2" t="str">
        <f aca="false">IFERROR(MATCH(LARGE(PART_RISK!$V$5:$V$304,$A58),PART_RISK!$V$5:$V$304,0),"")</f>
        <v/>
      </c>
    </row>
    <row r="59" customFormat="false" ht="15" hidden="false" customHeight="false" outlineLevel="0" collapsed="false">
      <c r="A59" s="12" t="n">
        <v>8</v>
      </c>
      <c r="B59" s="11" t="str">
        <f aca="false">IF($P59="","",IF(INDEX(PART_RISK!$A$5:$A$304,$P59)="","",INDEX(PART_RISK!$A$5:$A$304,$P59)))</f>
        <v/>
      </c>
      <c r="C59" s="12" t="str">
        <f aca="false">IF($P59="","",IF(INDEX(PART_RISK!$B$5:$B$304,$P59)="","",INDEX(PART_RISK!$B$5:$B$304,$P59)))</f>
        <v/>
      </c>
      <c r="D59" s="11" t="str">
        <f aca="false">IF($P59="","",IF(INDEX(PART_RISK!$E$5:$E$304,$P59)="","",INDEX(PART_RISK!$E$5:$E$304,$P59)))</f>
        <v/>
      </c>
      <c r="E59" s="13" t="str">
        <f aca="false">IF($P59="","",IF(INDEX(PART_RISK!$P$5:$P$304,$P59)="","",INDEX(PART_RISK!$P$5:$P$304,$P59)))</f>
        <v/>
      </c>
      <c r="F59" s="14" t="str">
        <f aca="false">IF($P59="","",IF(INDEX(PART_RISK!$Q$5:$Q$304,$P59)="","",INDEX(PART_RISK!$Q$5:$Q$304,$P59)))</f>
        <v/>
      </c>
      <c r="G59" s="12" t="str">
        <f aca="false">IF($P59="","",IF(INDEX(PART_RISK!$R$5:$R$304,$P59)="","",INDEX(PART_RISK!$R$5:$R$304,$P59)))</f>
        <v/>
      </c>
      <c r="P59" s="2" t="str">
        <f aca="false">IFERROR(MATCH(LARGE(PART_RISK!$V$5:$V$304,$A59),PART_RISK!$V$5:$V$304,0),"")</f>
        <v/>
      </c>
    </row>
    <row r="60" customFormat="false" ht="15" hidden="false" customHeight="false" outlineLevel="0" collapsed="false">
      <c r="A60" s="12" t="n">
        <v>9</v>
      </c>
      <c r="B60" s="11" t="str">
        <f aca="false">IF($P60="","",IF(INDEX(PART_RISK!$A$5:$A$304,$P60)="","",INDEX(PART_RISK!$A$5:$A$304,$P60)))</f>
        <v/>
      </c>
      <c r="C60" s="12" t="str">
        <f aca="false">IF($P60="","",IF(INDEX(PART_RISK!$B$5:$B$304,$P60)="","",INDEX(PART_RISK!$B$5:$B$304,$P60)))</f>
        <v/>
      </c>
      <c r="D60" s="11" t="str">
        <f aca="false">IF($P60="","",IF(INDEX(PART_RISK!$E$5:$E$304,$P60)="","",INDEX(PART_RISK!$E$5:$E$304,$P60)))</f>
        <v/>
      </c>
      <c r="E60" s="13" t="str">
        <f aca="false">IF($P60="","",IF(INDEX(PART_RISK!$P$5:$P$304,$P60)="","",INDEX(PART_RISK!$P$5:$P$304,$P60)))</f>
        <v/>
      </c>
      <c r="F60" s="14" t="str">
        <f aca="false">IF($P60="","",IF(INDEX(PART_RISK!$Q$5:$Q$304,$P60)="","",INDEX(PART_RISK!$Q$5:$Q$304,$P60)))</f>
        <v/>
      </c>
      <c r="G60" s="12" t="str">
        <f aca="false">IF($P60="","",IF(INDEX(PART_RISK!$R$5:$R$304,$P60)="","",INDEX(PART_RISK!$R$5:$R$304,$P60)))</f>
        <v/>
      </c>
      <c r="P60" s="2" t="str">
        <f aca="false">IFERROR(MATCH(LARGE(PART_RISK!$V$5:$V$304,$A60),PART_RISK!$V$5:$V$304,0),"")</f>
        <v/>
      </c>
    </row>
    <row r="61" customFormat="false" ht="15" hidden="false" customHeight="false" outlineLevel="0" collapsed="false">
      <c r="A61" s="12" t="n">
        <v>10</v>
      </c>
      <c r="B61" s="11" t="str">
        <f aca="false">IF($P61="","",IF(INDEX(PART_RISK!$A$5:$A$304,$P61)="","",INDEX(PART_RISK!$A$5:$A$304,$P61)))</f>
        <v/>
      </c>
      <c r="C61" s="12" t="str">
        <f aca="false">IF($P61="","",IF(INDEX(PART_RISK!$B$5:$B$304,$P61)="","",INDEX(PART_RISK!$B$5:$B$304,$P61)))</f>
        <v/>
      </c>
      <c r="D61" s="11" t="str">
        <f aca="false">IF($P61="","",IF(INDEX(PART_RISK!$E$5:$E$304,$P61)="","",INDEX(PART_RISK!$E$5:$E$304,$P61)))</f>
        <v/>
      </c>
      <c r="E61" s="13" t="str">
        <f aca="false">IF($P61="","",IF(INDEX(PART_RISK!$P$5:$P$304,$P61)="","",INDEX(PART_RISK!$P$5:$P$304,$P61)))</f>
        <v/>
      </c>
      <c r="F61" s="14" t="str">
        <f aca="false">IF($P61="","",IF(INDEX(PART_RISK!$Q$5:$Q$304,$P61)="","",INDEX(PART_RISK!$Q$5:$Q$304,$P61)))</f>
        <v/>
      </c>
      <c r="G61" s="12" t="str">
        <f aca="false">IF($P61="","",IF(INDEX(PART_RISK!$R$5:$R$304,$P61)="","",INDEX(PART_RISK!$R$5:$R$304,$P61)))</f>
        <v/>
      </c>
      <c r="P61" s="2" t="str">
        <f aca="false">IFERROR(MATCH(LARGE(PART_RISK!$V$5:$V$304,$A61),PART_RISK!$V$5:$V$304,0),"")</f>
        <v/>
      </c>
    </row>
  </sheetData>
  <mergeCells count="1">
    <mergeCell ref="B26:D26"/>
  </mergeCells>
  <conditionalFormatting sqref="J9:J23">
    <cfRule type="containsText" priority="2" operator="containsText" aboveAverage="0" equalAverage="0" bottom="0" percent="0" rank="0" text="CRITICAL" dxfId="0">
      <formula>NOT(ISERROR(SEARCH("CRITICAL",J9)))</formula>
    </cfRule>
    <cfRule type="containsText" priority="3" operator="containsText" aboveAverage="0" equalAverage="0" bottom="0" percent="0" rank="0" text="MONITOR" dxfId="1">
      <formula>NOT(ISERROR(SEARCH("MONITOR",J9)))</formula>
    </cfRule>
    <cfRule type="containsText" priority="4" operator="containsText" aboveAverage="0" equalAverage="0" bottom="0" percent="0" rank="0" text="LOW" dxfId="2">
      <formula>NOT(ISERROR(SEARCH("LOW",J9)))</formula>
    </cfRule>
  </conditionalFormatting>
  <conditionalFormatting sqref="J29:J48">
    <cfRule type="containsText" priority="5" operator="containsText" aboveAverage="0" equalAverage="0" bottom="0" percent="0" rank="0" text="CRITICAL" dxfId="0">
      <formula>NOT(ISERROR(SEARCH("CRITICAL",J29)))</formula>
    </cfRule>
    <cfRule type="containsText" priority="6" operator="containsText" aboveAverage="0" equalAverage="0" bottom="0" percent="0" rank="0" text="MONITOR" dxfId="1">
      <formula>NOT(ISERROR(SEARCH("MONITOR",J29)))</formula>
    </cfRule>
    <cfRule type="containsText" priority="7" operator="containsText" aboveAverage="0" equalAverage="0" bottom="0" percent="0" rank="0" text="LOW" dxfId="2">
      <formula>NOT(ISERROR(SEARCH("LOW",J29)))</formula>
    </cfRule>
  </conditionalFormatting>
  <conditionalFormatting sqref="F52:F61">
    <cfRule type="containsText" priority="8" operator="containsText" aboveAverage="0" equalAverage="0" bottom="0" percent="0" rank="0" text="CRITICAL" dxfId="0">
      <formula>NOT(ISERROR(SEARCH("CRITICAL",F52)))</formula>
    </cfRule>
    <cfRule type="containsText" priority="9" operator="containsText" aboveAverage="0" equalAverage="0" bottom="0" percent="0" rank="0" text="MONITOR" dxfId="1">
      <formula>NOT(ISERROR(SEARCH("MONITOR",F52)))</formula>
    </cfRule>
    <cfRule type="containsText" priority="10" operator="containsText" aboveAverage="0" equalAverage="0" bottom="0" percent="0" rank="0" text="LOW" dxfId="2">
      <formula>NOT(ISERROR(SEARCH("LOW",F52)))</formula>
    </cfRule>
  </conditionalFormatting>
  <conditionalFormatting sqref="I29:I48">
    <cfRule type="colorScale" priority="11">
      <colorScale>
        <cfvo type="num" val="1"/>
        <cfvo type="num" val="13"/>
        <cfvo type="num" val="25"/>
        <color rgb="FF63BE7B"/>
        <color rgb="FFFFEB84"/>
        <color rgb="FFF8696B"/>
      </colorScale>
    </cfRule>
  </conditionalFormatting>
  <conditionalFormatting sqref="E52:E61">
    <cfRule type="colorScale" priority="12">
      <colorScale>
        <cfvo type="num" val="1"/>
        <cfvo type="num" val="13"/>
        <cfvo type="num" val="25"/>
        <color rgb="FF63BE7B"/>
        <color rgb="FFFFEB84"/>
        <color rgb="FFF8696B"/>
      </colorScale>
    </cfRule>
  </conditionalFormatting>
  <dataValidations count="1">
    <dataValidation allowBlank="true" errorStyle="stop" operator="between" showDropDown="false" showErrorMessage="false" showInputMessage="false" sqref="B26" type="list">
      <formula1>ModelList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W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30"/>
    <col collapsed="false" customWidth="true" hidden="false" outlineLevel="0" max="4" min="4" style="0" width="18"/>
    <col collapsed="false" customWidth="true" hidden="false" outlineLevel="0" max="5" min="5" style="0" width="24"/>
    <col collapsed="false" customWidth="true" hidden="false" outlineLevel="0" max="6" min="6" style="0" width="12"/>
    <col collapsed="false" customWidth="true" hidden="false" outlineLevel="0" max="7" min="7" style="0" width="13"/>
    <col collapsed="false" customWidth="true" hidden="false" outlineLevel="0" max="8" min="8" style="0" width="10"/>
    <col collapsed="false" customWidth="true" hidden="false" outlineLevel="0" max="9" min="9" style="0" width="11"/>
    <col collapsed="false" customWidth="true" hidden="false" outlineLevel="0" max="12" min="10" style="0" width="10"/>
    <col collapsed="false" customWidth="true" hidden="false" outlineLevel="0" max="13" min="13" style="0" width="9"/>
    <col collapsed="false" customWidth="true" hidden="false" outlineLevel="0" max="14" min="14" style="0" width="28"/>
    <col collapsed="false" customWidth="true" hidden="false" outlineLevel="0" max="15" min="15" style="0" width="10"/>
    <col collapsed="false" customWidth="true" hidden="false" outlineLevel="0" max="16" min="16" style="0" width="9"/>
    <col collapsed="false" customWidth="true" hidden="false" outlineLevel="0" max="17" min="17" style="0" width="16"/>
    <col collapsed="false" customWidth="true" hidden="false" outlineLevel="0" max="18" min="18" style="0" width="18"/>
    <col collapsed="false" customWidth="true" hidden="false" outlineLevel="0" max="19" min="19" style="0" width="40"/>
    <col collapsed="false" customWidth="true" hidden="false" outlineLevel="0" max="20" min="20" style="0" width="13"/>
    <col collapsed="false" customWidth="true" hidden="true" outlineLevel="0" max="21" min="21" style="0" width="4"/>
    <col collapsed="false" customWidth="true" hidden="true" outlineLevel="0" max="23" min="22" style="0" width="5"/>
  </cols>
  <sheetData>
    <row r="1" customFormat="false" ht="17.35" hidden="false" customHeight="false" outlineLevel="0" collapsed="false">
      <c r="A1" s="1" t="s">
        <v>50</v>
      </c>
    </row>
    <row r="2" customFormat="false" ht="15" hidden="false" customHeight="false" outlineLevel="0" collapsed="false">
      <c r="A2" s="2" t="s">
        <v>51</v>
      </c>
    </row>
    <row r="3" customFormat="false" ht="21.75" hidden="false" customHeight="true" outlineLevel="0" collapsed="false">
      <c r="A3" s="18" t="s">
        <v>52</v>
      </c>
      <c r="B3" s="18"/>
      <c r="C3" s="18"/>
      <c r="D3" s="18"/>
      <c r="E3" s="18"/>
      <c r="F3" s="18" t="s">
        <v>53</v>
      </c>
      <c r="G3" s="18"/>
      <c r="H3" s="18" t="s">
        <v>54</v>
      </c>
      <c r="I3" s="18"/>
      <c r="J3" s="18"/>
      <c r="K3" s="18" t="s">
        <v>55</v>
      </c>
      <c r="L3" s="18"/>
      <c r="M3" s="19" t="s">
        <v>56</v>
      </c>
      <c r="N3" s="19" t="s">
        <v>57</v>
      </c>
      <c r="O3" s="18" t="s">
        <v>58</v>
      </c>
      <c r="P3" s="18"/>
      <c r="Q3" s="18"/>
      <c r="R3" s="18"/>
      <c r="S3" s="18" t="s">
        <v>59</v>
      </c>
      <c r="T3" s="18"/>
    </row>
    <row r="4" customFormat="false" ht="27.75" hidden="false" customHeight="true" outlineLevel="0" collapsed="false">
      <c r="A4" s="5" t="s">
        <v>28</v>
      </c>
      <c r="B4" s="5" t="s">
        <v>60</v>
      </c>
      <c r="C4" s="5" t="s">
        <v>61</v>
      </c>
      <c r="D4" s="5" t="s">
        <v>62</v>
      </c>
      <c r="E4" s="5" t="s">
        <v>42</v>
      </c>
      <c r="F4" s="5" t="s">
        <v>63</v>
      </c>
      <c r="G4" s="5" t="s">
        <v>64</v>
      </c>
      <c r="H4" s="5" t="s">
        <v>65</v>
      </c>
      <c r="I4" s="5" t="s">
        <v>66</v>
      </c>
      <c r="J4" s="5" t="s">
        <v>67</v>
      </c>
      <c r="K4" s="5" t="s">
        <v>68</v>
      </c>
      <c r="L4" s="5" t="s">
        <v>69</v>
      </c>
      <c r="M4" s="5" t="s">
        <v>70</v>
      </c>
      <c r="N4" s="5" t="s">
        <v>71</v>
      </c>
      <c r="O4" s="5" t="s">
        <v>45</v>
      </c>
      <c r="P4" s="5" t="s">
        <v>72</v>
      </c>
      <c r="Q4" s="5" t="s">
        <v>73</v>
      </c>
      <c r="R4" s="5" t="s">
        <v>74</v>
      </c>
      <c r="S4" s="5" t="s">
        <v>75</v>
      </c>
      <c r="T4" s="5" t="s">
        <v>76</v>
      </c>
      <c r="U4" s="2" t="s">
        <v>77</v>
      </c>
      <c r="V4" s="2" t="s">
        <v>78</v>
      </c>
      <c r="W4" s="2" t="s">
        <v>79</v>
      </c>
    </row>
    <row r="5" customFormat="false" ht="22.35" hidden="false" customHeight="false" outlineLevel="0" collapsed="false">
      <c r="A5" s="20" t="s">
        <v>36</v>
      </c>
      <c r="B5" s="21" t="n">
        <v>666501</v>
      </c>
      <c r="C5" s="22" t="s">
        <v>80</v>
      </c>
      <c r="D5" s="21" t="s">
        <v>81</v>
      </c>
      <c r="E5" s="20" t="s">
        <v>82</v>
      </c>
      <c r="F5" s="23"/>
      <c r="G5" s="24" t="str">
        <f aca="false">IF(OR($A5="",$F5=""),"",IFERROR(IF(INDEX(MODELS!$K$4:$K$28,MATCH($A5,MODELS!$A$4:$A$28,0))="","",$F5*INDEX(MODELS!$K$4:$K$28,MATCH($A5,MODELS!$A$4:$A$28,0))),""))</f>
        <v/>
      </c>
      <c r="H5" s="21" t="n">
        <v>4</v>
      </c>
      <c r="I5" s="21" t="n">
        <v>3</v>
      </c>
      <c r="J5" s="21" t="n">
        <v>2</v>
      </c>
      <c r="K5" s="25" t="n">
        <f aca="false">IF($E5="","",IFERROR(IF(INDEX(SUPPLIERS!$K$4:$K$63,MATCH($E5,SUPPLIERS!$A$4:$A$63,0))="","",INDEX(SUPPLIERS!$K$4:$K$63,MATCH($E5,SUPPLIERS!$A$4:$A$63,0))),""))</f>
        <v>4</v>
      </c>
      <c r="L5" s="25" t="n">
        <f aca="false">IF($E5="","",IFERROR(IF(INDEX(SUPPLIERS!$L$4:$L$63,MATCH($E5,SUPPLIERS!$A$4:$A$63,0))="","",INDEX(SUPPLIERS!$L$4:$L$63,MATCH($E5,SUPPLIERS!$A$4:$A$63,0))),""))</f>
        <v>4</v>
      </c>
      <c r="M5" s="21" t="n">
        <v>3</v>
      </c>
      <c r="N5" s="11" t="str">
        <f aca="false">IF($E5="","",IFERROR(_xlfn.TEXTJOIN("; ",TRUE(),INDEX(SUPPLIERS!$F$4:$F$63,MATCH($E5,SUPPLIERS!$A$4:$A$63,0)),INDEX(SUPPLIERS!$G$4:$G$63,MATCH($E5,SUPPLIERS!$A$4:$A$63,0)),INDEX(SUPPLIERS!$H$4:$H$63,MATCH($E5,SUPPLIERS!$A$4:$A$63,0)),INDEX(SUPPLIERS!$I$4:$I$63,MATCH($E5,SUPPLIERS!$A$4:$A$63,0)),INDEX(SUPPLIERS!$J$4:$J$63,MATCH($E5,SUPPLIERS!$A$4:$A$63,0))),""))</f>
        <v/>
      </c>
      <c r="O5" s="26" t="n">
        <f aca="false">IF(COUNT($H5:$L5)&lt;5,"",ROUND($H5*W_SRC+$I5*W_QC+$J5*W_CAP+$K5*W_SUP+$L5*W_EXT,1))</f>
        <v>3.4</v>
      </c>
      <c r="P5" s="27" t="n">
        <f aca="false">IF(OR($O5="",$M5=""),"",ROUND($O5*$M5,1))</f>
        <v>10.2</v>
      </c>
      <c r="Q5" s="28" t="str">
        <f aca="false">IF($E5="","",IF($U5&gt;0,"CRITICAL (FLAG)",IF(OR($O5="",$M5=""),"NOT SCORED",IF($P5&gt;=T_CRIT,"CRITICAL",IF($P5&gt;=T_MON,"MONITOR","LOW")))))</f>
        <v>MONITOR</v>
      </c>
      <c r="R5" s="12" t="str">
        <f aca="false">IF($O5="","",INDEX(DriverNames,MATCH(MAX($H5:$L5),$H5:$L5,0)))</f>
        <v>Sourcing &amp; Backup</v>
      </c>
      <c r="S5" s="22" t="s">
        <v>83</v>
      </c>
      <c r="T5" s="29" t="n">
        <v>46241</v>
      </c>
      <c r="U5" s="2" t="n">
        <f aca="false">IF($E5="","",IFERROR(INDEX(SUPPLIERS!$Q$4:$Q$63,MATCH($E5,SUPPLIERS!$A$4:$A$63,0)),0))</f>
        <v>0</v>
      </c>
      <c r="V5" s="2" t="n">
        <f aca="false">IF($Q5="","",IF($U5&gt;0,100,0)+IF($P5="",0,$P5)+ROW()/100000)</f>
        <v>10.20005</v>
      </c>
      <c r="W5" s="2" t="n">
        <f aca="false">IF($V5="","",IF($A5=SEL_MODEL,$V5,""))</f>
        <v>10.20005</v>
      </c>
    </row>
    <row r="6" customFormat="false" ht="22.35" hidden="false" customHeight="false" outlineLevel="0" collapsed="false">
      <c r="A6" s="20" t="s">
        <v>36</v>
      </c>
      <c r="B6" s="21" t="n">
        <v>666502</v>
      </c>
      <c r="C6" s="22" t="s">
        <v>84</v>
      </c>
      <c r="D6" s="21" t="s">
        <v>81</v>
      </c>
      <c r="E6" s="20" t="s">
        <v>82</v>
      </c>
      <c r="F6" s="23"/>
      <c r="G6" s="24" t="str">
        <f aca="false">IF(OR($A6="",$F6=""),"",IFERROR(IF(INDEX(MODELS!$K$4:$K$28,MATCH($A6,MODELS!$A$4:$A$28,0))="","",$F6*INDEX(MODELS!$K$4:$K$28,MATCH($A6,MODELS!$A$4:$A$28,0))),""))</f>
        <v/>
      </c>
      <c r="H6" s="21" t="n">
        <v>5</v>
      </c>
      <c r="I6" s="21" t="n">
        <v>4</v>
      </c>
      <c r="J6" s="21" t="n">
        <v>3</v>
      </c>
      <c r="K6" s="25" t="n">
        <f aca="false">IF($E6="","",IFERROR(IF(INDEX(SUPPLIERS!$K$4:$K$63,MATCH($E6,SUPPLIERS!$A$4:$A$63,0))="","",INDEX(SUPPLIERS!$K$4:$K$63,MATCH($E6,SUPPLIERS!$A$4:$A$63,0))),""))</f>
        <v>4</v>
      </c>
      <c r="L6" s="25" t="n">
        <f aca="false">IF($E6="","",IFERROR(IF(INDEX(SUPPLIERS!$L$4:$L$63,MATCH($E6,SUPPLIERS!$A$4:$A$63,0))="","",INDEX(SUPPLIERS!$L$4:$L$63,MATCH($E6,SUPPLIERS!$A$4:$A$63,0))),""))</f>
        <v>4</v>
      </c>
      <c r="M6" s="21" t="n">
        <v>5</v>
      </c>
      <c r="N6" s="11" t="str">
        <f aca="false">IF($E6="","",IFERROR(_xlfn.TEXTJOIN("; ",TRUE(),INDEX(SUPPLIERS!$F$4:$F$63,MATCH($E6,SUPPLIERS!$A$4:$A$63,0)),INDEX(SUPPLIERS!$G$4:$G$63,MATCH($E6,SUPPLIERS!$A$4:$A$63,0)),INDEX(SUPPLIERS!$H$4:$H$63,MATCH($E6,SUPPLIERS!$A$4:$A$63,0)),INDEX(SUPPLIERS!$I$4:$I$63,MATCH($E6,SUPPLIERS!$A$4:$A$63,0)),INDEX(SUPPLIERS!$J$4:$J$63,MATCH($E6,SUPPLIERS!$A$4:$A$63,0))),""))</f>
        <v/>
      </c>
      <c r="O6" s="26" t="n">
        <f aca="false">IF(COUNT($H6:$L6)&lt;5,"",ROUND($H6*W_SRC+$I6*W_QC+$J6*W_CAP+$K6*W_SUP+$L6*W_EXT,1))</f>
        <v>4.1</v>
      </c>
      <c r="P6" s="27" t="n">
        <f aca="false">IF(OR($O6="",$M6=""),"",ROUND($O6*$M6,1))</f>
        <v>20.5</v>
      </c>
      <c r="Q6" s="28" t="str">
        <f aca="false">IF($E6="","",IF($U6&gt;0,"CRITICAL (FLAG)",IF(OR($O6="",$M6=""),"NOT SCORED",IF($P6&gt;=T_CRIT,"CRITICAL",IF($P6&gt;=T_MON,"MONITOR","LOW")))))</f>
        <v>CRITICAL</v>
      </c>
      <c r="R6" s="12" t="str">
        <f aca="false">IF($O6="","",INDEX(DriverNames,MATCH(MAX($H6:$L6),$H6:$L6,0)))</f>
        <v>Sourcing &amp; Backup</v>
      </c>
      <c r="S6" s="22" t="s">
        <v>85</v>
      </c>
      <c r="T6" s="29" t="n">
        <v>46241</v>
      </c>
      <c r="U6" s="2" t="n">
        <f aca="false">IF($E6="","",IFERROR(INDEX(SUPPLIERS!$Q$4:$Q$63,MATCH($E6,SUPPLIERS!$A$4:$A$63,0)),0))</f>
        <v>0</v>
      </c>
      <c r="V6" s="2" t="n">
        <f aca="false">IF($Q6="","",IF($U6&gt;0,100,0)+IF($P6="",0,$P6)+ROW()/100000)</f>
        <v>20.50006</v>
      </c>
      <c r="W6" s="2" t="n">
        <f aca="false">IF($V6="","",IF($A6=SEL_MODEL,$V6,""))</f>
        <v>20.50006</v>
      </c>
    </row>
    <row r="7" customFormat="false" ht="22.35" hidden="false" customHeight="false" outlineLevel="0" collapsed="false">
      <c r="A7" s="20" t="s">
        <v>36</v>
      </c>
      <c r="B7" s="21" t="n">
        <v>666541</v>
      </c>
      <c r="C7" s="22" t="s">
        <v>86</v>
      </c>
      <c r="D7" s="21" t="s">
        <v>87</v>
      </c>
      <c r="E7" s="20" t="s">
        <v>82</v>
      </c>
      <c r="F7" s="23"/>
      <c r="G7" s="24" t="str">
        <f aca="false">IF(OR($A7="",$F7=""),"",IFERROR(IF(INDEX(MODELS!$K$4:$K$28,MATCH($A7,MODELS!$A$4:$A$28,0))="","",$F7*INDEX(MODELS!$K$4:$K$28,MATCH($A7,MODELS!$A$4:$A$28,0))),""))</f>
        <v/>
      </c>
      <c r="H7" s="21" t="n">
        <v>2</v>
      </c>
      <c r="I7" s="21" t="n">
        <v>2</v>
      </c>
      <c r="J7" s="21" t="n">
        <v>3</v>
      </c>
      <c r="K7" s="25" t="n">
        <f aca="false">IF($E7="","",IFERROR(IF(INDEX(SUPPLIERS!$K$4:$K$63,MATCH($E7,SUPPLIERS!$A$4:$A$63,0))="","",INDEX(SUPPLIERS!$K$4:$K$63,MATCH($E7,SUPPLIERS!$A$4:$A$63,0))),""))</f>
        <v>4</v>
      </c>
      <c r="L7" s="25" t="n">
        <f aca="false">IF($E7="","",IFERROR(IF(INDEX(SUPPLIERS!$L$4:$L$63,MATCH($E7,SUPPLIERS!$A$4:$A$63,0))="","",INDEX(SUPPLIERS!$L$4:$L$63,MATCH($E7,SUPPLIERS!$A$4:$A$63,0))),""))</f>
        <v>4</v>
      </c>
      <c r="M7" s="21" t="n">
        <v>3</v>
      </c>
      <c r="N7" s="11" t="str">
        <f aca="false">IF($E7="","",IFERROR(_xlfn.TEXTJOIN("; ",TRUE(),INDEX(SUPPLIERS!$F$4:$F$63,MATCH($E7,SUPPLIERS!$A$4:$A$63,0)),INDEX(SUPPLIERS!$G$4:$G$63,MATCH($E7,SUPPLIERS!$A$4:$A$63,0)),INDEX(SUPPLIERS!$H$4:$H$63,MATCH($E7,SUPPLIERS!$A$4:$A$63,0)),INDEX(SUPPLIERS!$I$4:$I$63,MATCH($E7,SUPPLIERS!$A$4:$A$63,0)),INDEX(SUPPLIERS!$J$4:$J$63,MATCH($E7,SUPPLIERS!$A$4:$A$63,0))),""))</f>
        <v/>
      </c>
      <c r="O7" s="26" t="n">
        <f aca="false">IF(COUNT($H7:$L7)&lt;5,"",ROUND($H7*W_SRC+$I7*W_QC+$J7*W_CAP+$K7*W_SUP+$L7*W_EXT,1))</f>
        <v>2.8</v>
      </c>
      <c r="P7" s="27" t="n">
        <f aca="false">IF(OR($O7="",$M7=""),"",ROUND($O7*$M7,1))</f>
        <v>8.4</v>
      </c>
      <c r="Q7" s="28" t="str">
        <f aca="false">IF($E7="","",IF($U7&gt;0,"CRITICAL (FLAG)",IF(OR($O7="",$M7=""),"NOT SCORED",IF($P7&gt;=T_CRIT,"CRITICAL",IF($P7&gt;=T_MON,"MONITOR","LOW")))))</f>
        <v>MONITOR</v>
      </c>
      <c r="R7" s="12" t="str">
        <f aca="false">IF($O7="","",INDEX(DriverNames,MATCH(MAX($H7:$L7),$H7:$L7,0)))</f>
        <v>Supplier Stability</v>
      </c>
      <c r="S7" s="22" t="s">
        <v>88</v>
      </c>
      <c r="T7" s="29" t="n">
        <v>46241</v>
      </c>
      <c r="U7" s="2" t="n">
        <f aca="false">IF($E7="","",IFERROR(INDEX(SUPPLIERS!$Q$4:$Q$63,MATCH($E7,SUPPLIERS!$A$4:$A$63,0)),0))</f>
        <v>0</v>
      </c>
      <c r="V7" s="2" t="n">
        <f aca="false">IF($Q7="","",IF($U7&gt;0,100,0)+IF($P7="",0,$P7)+ROW()/100000)</f>
        <v>8.40007</v>
      </c>
      <c r="W7" s="2" t="n">
        <f aca="false">IF($V7="","",IF($A7=SEL_MODEL,$V7,""))</f>
        <v>8.40007</v>
      </c>
    </row>
    <row r="8" customFormat="false" ht="43.25" hidden="false" customHeight="false" outlineLevel="0" collapsed="false">
      <c r="A8" s="20" t="s">
        <v>36</v>
      </c>
      <c r="B8" s="21" t="n">
        <v>666512</v>
      </c>
      <c r="C8" s="22" t="s">
        <v>89</v>
      </c>
      <c r="D8" s="21" t="s">
        <v>90</v>
      </c>
      <c r="E8" s="20" t="s">
        <v>91</v>
      </c>
      <c r="F8" s="23"/>
      <c r="G8" s="24" t="str">
        <f aca="false">IF(OR($A8="",$F8=""),"",IFERROR(IF(INDEX(MODELS!$K$4:$K$28,MATCH($A8,MODELS!$A$4:$A$28,0))="","",$F8*INDEX(MODELS!$K$4:$K$28,MATCH($A8,MODELS!$A$4:$A$28,0))),""))</f>
        <v/>
      </c>
      <c r="H8" s="21" t="n">
        <v>1</v>
      </c>
      <c r="I8" s="21" t="n">
        <v>1</v>
      </c>
      <c r="J8" s="21" t="n">
        <v>1</v>
      </c>
      <c r="K8" s="25" t="str">
        <f aca="false">IF($E8="","",IFERROR(IF(INDEX(SUPPLIERS!$K$4:$K$63,MATCH($E8,SUPPLIERS!$A$4:$A$63,0))="","",INDEX(SUPPLIERS!$K$4:$K$63,MATCH($E8,SUPPLIERS!$A$4:$A$63,0))),""))</f>
        <v/>
      </c>
      <c r="L8" s="25" t="str">
        <f aca="false">IF($E8="","",IFERROR(IF(INDEX(SUPPLIERS!$L$4:$L$63,MATCH($E8,SUPPLIERS!$A$4:$A$63,0))="","",INDEX(SUPPLIERS!$L$4:$L$63,MATCH($E8,SUPPLIERS!$A$4:$A$63,0))),""))</f>
        <v/>
      </c>
      <c r="M8" s="21" t="n">
        <v>2</v>
      </c>
      <c r="N8" s="11" t="str">
        <f aca="false">IF($E8="","",IFERROR(_xlfn.TEXTJOIN("; ",TRUE(),INDEX(SUPPLIERS!$F$4:$F$63,MATCH($E8,SUPPLIERS!$A$4:$A$63,0)),INDEX(SUPPLIERS!$G$4:$G$63,MATCH($E8,SUPPLIERS!$A$4:$A$63,0)),INDEX(SUPPLIERS!$H$4:$H$63,MATCH($E8,SUPPLIERS!$A$4:$A$63,0)),INDEX(SUPPLIERS!$I$4:$I$63,MATCH($E8,SUPPLIERS!$A$4:$A$63,0)),INDEX(SUPPLIERS!$J$4:$J$63,MATCH($E8,SUPPLIERS!$A$4:$A$63,0))),""))</f>
        <v/>
      </c>
      <c r="O8" s="26" t="str">
        <f aca="false">IF(COUNT($H8:$L8)&lt;5,"",ROUND($H8*W_SRC+$I8*W_QC+$J8*W_CAP+$K8*W_SUP+$L8*W_EXT,1))</f>
        <v/>
      </c>
      <c r="P8" s="27" t="str">
        <f aca="false">IF(OR($O8="",$M8=""),"",ROUND($O8*$M8,1))</f>
        <v/>
      </c>
      <c r="Q8" s="28" t="str">
        <f aca="false">IF($E8="","",IF($U8&gt;0,"CRITICAL (FLAG)",IF(OR($O8="",$M8=""),"NOT SCORED",IF($P8&gt;=T_CRIT,"CRITICAL",IF($P8&gt;=T_MON,"MONITOR","LOW")))))</f>
        <v>NOT SCORED</v>
      </c>
      <c r="R8" s="12" t="str">
        <f aca="false">IF($O8="","",INDEX(DriverNames,MATCH(MAX($H8:$L8),$H8:$L8,0)))</f>
        <v/>
      </c>
      <c r="S8" s="22" t="s">
        <v>92</v>
      </c>
      <c r="T8" s="29" t="n">
        <v>46241</v>
      </c>
      <c r="U8" s="2" t="n">
        <f aca="false">IF($E8="","",IFERROR(INDEX(SUPPLIERS!$Q$4:$Q$63,MATCH($E8,SUPPLIERS!$A$4:$A$63,0)),0))</f>
        <v>0</v>
      </c>
      <c r="V8" s="2" t="n">
        <f aca="false">IF($Q8="","",IF($U8&gt;0,100,0)+IF($P8="",0,$P8)+ROW()/100000)</f>
        <v>8E-005</v>
      </c>
      <c r="W8" s="2" t="n">
        <f aca="false">IF($V8="","",IF($A8=SEL_MODEL,$V8,""))</f>
        <v>8E-005</v>
      </c>
    </row>
    <row r="9" customFormat="false" ht="22.35" hidden="false" customHeight="false" outlineLevel="0" collapsed="false">
      <c r="A9" s="20" t="s">
        <v>36</v>
      </c>
      <c r="B9" s="21" t="s">
        <v>93</v>
      </c>
      <c r="C9" s="22" t="s">
        <v>94</v>
      </c>
      <c r="D9" s="21" t="s">
        <v>87</v>
      </c>
      <c r="E9" s="20" t="s">
        <v>95</v>
      </c>
      <c r="F9" s="23"/>
      <c r="G9" s="24" t="str">
        <f aca="false">IF(OR($A9="",$F9=""),"",IFERROR(IF(INDEX(MODELS!$K$4:$K$28,MATCH($A9,MODELS!$A$4:$A$28,0))="","",$F9*INDEX(MODELS!$K$4:$K$28,MATCH($A9,MODELS!$A$4:$A$28,0))),""))</f>
        <v/>
      </c>
      <c r="H9" s="21" t="n">
        <v>4</v>
      </c>
      <c r="I9" s="21" t="n">
        <v>2</v>
      </c>
      <c r="J9" s="21" t="n">
        <v>3</v>
      </c>
      <c r="K9" s="25" t="n">
        <f aca="false">IF($E9="","",IFERROR(IF(INDEX(SUPPLIERS!$K$4:$K$63,MATCH($E9,SUPPLIERS!$A$4:$A$63,0))="","",INDEX(SUPPLIERS!$K$4:$K$63,MATCH($E9,SUPPLIERS!$A$4:$A$63,0))),""))</f>
        <v>3</v>
      </c>
      <c r="L9" s="25" t="n">
        <f aca="false">IF($E9="","",IFERROR(IF(INDEX(SUPPLIERS!$L$4:$L$63,MATCH($E9,SUPPLIERS!$A$4:$A$63,0))="","",INDEX(SUPPLIERS!$L$4:$L$63,MATCH($E9,SUPPLIERS!$A$4:$A$63,0))),""))</f>
        <v>2</v>
      </c>
      <c r="M9" s="21" t="n">
        <v>4</v>
      </c>
      <c r="N9" s="11" t="str">
        <f aca="false">IF($E9="","",IFERROR(_xlfn.TEXTJOIN("; ",TRUE(),INDEX(SUPPLIERS!$F$4:$F$63,MATCH($E9,SUPPLIERS!$A$4:$A$63,0)),INDEX(SUPPLIERS!$G$4:$G$63,MATCH($E9,SUPPLIERS!$A$4:$A$63,0)),INDEX(SUPPLIERS!$H$4:$H$63,MATCH($E9,SUPPLIERS!$A$4:$A$63,0)),INDEX(SUPPLIERS!$I$4:$I$63,MATCH($E9,SUPPLIERS!$A$4:$A$63,0)),INDEX(SUPPLIERS!$J$4:$J$63,MATCH($E9,SUPPLIERS!$A$4:$A$63,0))),""))</f>
        <v/>
      </c>
      <c r="O9" s="26" t="n">
        <f aca="false">IF(COUNT($H9:$L9)&lt;5,"",ROUND($H9*W_SRC+$I9*W_QC+$J9*W_CAP+$K9*W_SUP+$L9*W_EXT,1))</f>
        <v>2.9</v>
      </c>
      <c r="P9" s="27" t="n">
        <f aca="false">IF(OR($O9="",$M9=""),"",ROUND($O9*$M9,1))</f>
        <v>11.6</v>
      </c>
      <c r="Q9" s="28" t="str">
        <f aca="false">IF($E9="","",IF($U9&gt;0,"CRITICAL (FLAG)",IF(OR($O9="",$M9=""),"NOT SCORED",IF($P9&gt;=T_CRIT,"CRITICAL",IF($P9&gt;=T_MON,"MONITOR","LOW")))))</f>
        <v>MONITOR</v>
      </c>
      <c r="R9" s="12" t="str">
        <f aca="false">IF($O9="","",INDEX(DriverNames,MATCH(MAX($H9:$L9),$H9:$L9,0)))</f>
        <v>Sourcing &amp; Backup</v>
      </c>
      <c r="S9" s="22" t="s">
        <v>96</v>
      </c>
      <c r="T9" s="29" t="n">
        <v>46241</v>
      </c>
      <c r="U9" s="2" t="n">
        <f aca="false">IF($E9="","",IFERROR(INDEX(SUPPLIERS!$Q$4:$Q$63,MATCH($E9,SUPPLIERS!$A$4:$A$63,0)),0))</f>
        <v>0</v>
      </c>
      <c r="V9" s="2" t="n">
        <f aca="false">IF($Q9="","",IF($U9&gt;0,100,0)+IF($P9="",0,$P9)+ROW()/100000)</f>
        <v>11.60009</v>
      </c>
      <c r="W9" s="2" t="n">
        <f aca="false">IF($V9="","",IF($A9=SEL_MODEL,$V9,""))</f>
        <v>11.60009</v>
      </c>
    </row>
    <row r="10" customFormat="false" ht="22.35" hidden="false" customHeight="false" outlineLevel="0" collapsed="false">
      <c r="A10" s="20" t="s">
        <v>36</v>
      </c>
      <c r="B10" s="21" t="s">
        <v>97</v>
      </c>
      <c r="C10" s="22" t="s">
        <v>98</v>
      </c>
      <c r="D10" s="21" t="s">
        <v>87</v>
      </c>
      <c r="E10" s="20" t="s">
        <v>99</v>
      </c>
      <c r="F10" s="23"/>
      <c r="G10" s="24" t="str">
        <f aca="false">IF(OR($A10="",$F10=""),"",IFERROR(IF(INDEX(MODELS!$K$4:$K$28,MATCH($A10,MODELS!$A$4:$A$28,0))="","",$F10*INDEX(MODELS!$K$4:$K$28,MATCH($A10,MODELS!$A$4:$A$28,0))),""))</f>
        <v/>
      </c>
      <c r="H10" s="21" t="n">
        <v>3</v>
      </c>
      <c r="I10" s="21" t="n">
        <v>3</v>
      </c>
      <c r="J10" s="21" t="n">
        <v>2</v>
      </c>
      <c r="K10" s="25" t="str">
        <f aca="false">IF($E10="","",IFERROR(IF(INDEX(SUPPLIERS!$K$4:$K$63,MATCH($E10,SUPPLIERS!$A$4:$A$63,0))="","",INDEX(SUPPLIERS!$K$4:$K$63,MATCH($E10,SUPPLIERS!$A$4:$A$63,0))),""))</f>
        <v/>
      </c>
      <c r="L10" s="25" t="str">
        <f aca="false">IF($E10="","",IFERROR(IF(INDEX(SUPPLIERS!$L$4:$L$63,MATCH($E10,SUPPLIERS!$A$4:$A$63,0))="","",INDEX(SUPPLIERS!$L$4:$L$63,MATCH($E10,SUPPLIERS!$A$4:$A$63,0))),""))</f>
        <v/>
      </c>
      <c r="M10" s="21" t="n">
        <v>3</v>
      </c>
      <c r="N10" s="11" t="str">
        <f aca="false">IF($E10="","",IFERROR(_xlfn.TEXTJOIN("; ",TRUE(),INDEX(SUPPLIERS!$F$4:$F$63,MATCH($E10,SUPPLIERS!$A$4:$A$63,0)),INDEX(SUPPLIERS!$G$4:$G$63,MATCH($E10,SUPPLIERS!$A$4:$A$63,0)),INDEX(SUPPLIERS!$H$4:$H$63,MATCH($E10,SUPPLIERS!$A$4:$A$63,0)),INDEX(SUPPLIERS!$I$4:$I$63,MATCH($E10,SUPPLIERS!$A$4:$A$63,0)),INDEX(SUPPLIERS!$J$4:$J$63,MATCH($E10,SUPPLIERS!$A$4:$A$63,0))),""))</f>
        <v/>
      </c>
      <c r="O10" s="26" t="str">
        <f aca="false">IF(COUNT($H10:$L10)&lt;5,"",ROUND($H10*W_SRC+$I10*W_QC+$J10*W_CAP+$K10*W_SUP+$L10*W_EXT,1))</f>
        <v/>
      </c>
      <c r="P10" s="27" t="str">
        <f aca="false">IF(OR($O10="",$M10=""),"",ROUND($O10*$M10,1))</f>
        <v/>
      </c>
      <c r="Q10" s="28" t="str">
        <f aca="false">IF($E10="","",IF($U10&gt;0,"CRITICAL (FLAG)",IF(OR($O10="",$M10=""),"NOT SCORED",IF($P10&gt;=T_CRIT,"CRITICAL",IF($P10&gt;=T_MON,"MONITOR","LOW")))))</f>
        <v>NOT SCORED</v>
      </c>
      <c r="R10" s="12" t="str">
        <f aca="false">IF($O10="","",INDEX(DriverNames,MATCH(MAX($H10:$L10),$H10:$L10,0)))</f>
        <v/>
      </c>
      <c r="S10" s="22" t="s">
        <v>100</v>
      </c>
      <c r="T10" s="29" t="n">
        <v>46241</v>
      </c>
      <c r="U10" s="2" t="n">
        <f aca="false">IF($E10="","",IFERROR(INDEX(SUPPLIERS!$Q$4:$Q$63,MATCH($E10,SUPPLIERS!$A$4:$A$63,0)),0))</f>
        <v>0</v>
      </c>
      <c r="V10" s="2" t="n">
        <f aca="false">IF($Q10="","",IF($U10&gt;0,100,0)+IF($P10="",0,$P10)+ROW()/100000)</f>
        <v>0.0001</v>
      </c>
      <c r="W10" s="2" t="n">
        <f aca="false">IF($V10="","",IF($A10=SEL_MODEL,$V10,""))</f>
        <v>0.0001</v>
      </c>
    </row>
    <row r="11" customFormat="false" ht="15" hidden="false" customHeight="false" outlineLevel="0" collapsed="false">
      <c r="A11" s="20"/>
      <c r="B11" s="21"/>
      <c r="C11" s="22"/>
      <c r="D11" s="21"/>
      <c r="E11" s="20"/>
      <c r="F11" s="23"/>
      <c r="G11" s="24" t="str">
        <f aca="false">IF(OR($A11="",$F11=""),"",IFERROR(IF(INDEX(MODELS!$K$4:$K$28,MATCH($A11,MODELS!$A$4:$A$28,0))="","",$F11*INDEX(MODELS!$K$4:$K$28,MATCH($A11,MODELS!$A$4:$A$28,0))),""))</f>
        <v/>
      </c>
      <c r="H11" s="21"/>
      <c r="I11" s="21"/>
      <c r="J11" s="21"/>
      <c r="K11" s="25" t="str">
        <f aca="false">IF($E11="","",IFERROR(IF(INDEX(SUPPLIERS!$K$4:$K$63,MATCH($E11,SUPPLIERS!$A$4:$A$63,0))="","",INDEX(SUPPLIERS!$K$4:$K$63,MATCH($E11,SUPPLIERS!$A$4:$A$63,0))),""))</f>
        <v/>
      </c>
      <c r="L11" s="25" t="str">
        <f aca="false">IF($E11="","",IFERROR(IF(INDEX(SUPPLIERS!$L$4:$L$63,MATCH($E11,SUPPLIERS!$A$4:$A$63,0))="","",INDEX(SUPPLIERS!$L$4:$L$63,MATCH($E11,SUPPLIERS!$A$4:$A$63,0))),""))</f>
        <v/>
      </c>
      <c r="M11" s="21"/>
      <c r="N11" s="11" t="str">
        <f aca="false">IF($E11="","",IFERROR(_xlfn.TEXTJOIN("; ",TRUE(),INDEX(SUPPLIERS!$F$4:$F$63,MATCH($E11,SUPPLIERS!$A$4:$A$63,0)),INDEX(SUPPLIERS!$G$4:$G$63,MATCH($E11,SUPPLIERS!$A$4:$A$63,0)),INDEX(SUPPLIERS!$H$4:$H$63,MATCH($E11,SUPPLIERS!$A$4:$A$63,0)),INDEX(SUPPLIERS!$I$4:$I$63,MATCH($E11,SUPPLIERS!$A$4:$A$63,0)),INDEX(SUPPLIERS!$J$4:$J$63,MATCH($E11,SUPPLIERS!$A$4:$A$63,0))),""))</f>
        <v/>
      </c>
      <c r="O11" s="26" t="str">
        <f aca="false">IF(COUNT($H11:$L11)&lt;5,"",ROUND($H11*W_SRC+$I11*W_QC+$J11*W_CAP+$K11*W_SUP+$L11*W_EXT,1))</f>
        <v/>
      </c>
      <c r="P11" s="27" t="str">
        <f aca="false">IF(OR($O11="",$M11=""),"",ROUND($O11*$M11,1))</f>
        <v/>
      </c>
      <c r="Q11" s="28" t="str">
        <f aca="false">IF($E11="","",IF($U11&gt;0,"CRITICAL (FLAG)",IF(OR($O11="",$M11=""),"NOT SCORED",IF($P11&gt;=T_CRIT,"CRITICAL",IF($P11&gt;=T_MON,"MONITOR","LOW")))))</f>
        <v/>
      </c>
      <c r="R11" s="12" t="str">
        <f aca="false">IF($O11="","",INDEX(DriverNames,MATCH(MAX($H11:$L11),$H11:$L11,0)))</f>
        <v/>
      </c>
      <c r="S11" s="22"/>
      <c r="T11" s="29"/>
      <c r="U11" s="2" t="str">
        <f aca="false">IF($E11="","",IFERROR(INDEX(SUPPLIERS!$Q$4:$Q$63,MATCH($E11,SUPPLIERS!$A$4:$A$63,0)),0))</f>
        <v/>
      </c>
      <c r="V11" s="2" t="str">
        <f aca="false">IF($Q11="","",IF($U11&gt;0,100,0)+IF($P11="",0,$P11)+ROW()/100000)</f>
        <v/>
      </c>
      <c r="W11" s="2" t="str">
        <f aca="false">IF($V11="","",IF($A11=SEL_MODEL,$V11,""))</f>
        <v/>
      </c>
    </row>
    <row r="12" customFormat="false" ht="15" hidden="false" customHeight="false" outlineLevel="0" collapsed="false">
      <c r="A12" s="20"/>
      <c r="B12" s="21"/>
      <c r="C12" s="22"/>
      <c r="D12" s="21"/>
      <c r="E12" s="20"/>
      <c r="F12" s="23"/>
      <c r="G12" s="24" t="str">
        <f aca="false">IF(OR($A12="",$F12=""),"",IFERROR(IF(INDEX(MODELS!$K$4:$K$28,MATCH($A12,MODELS!$A$4:$A$28,0))="","",$F12*INDEX(MODELS!$K$4:$K$28,MATCH($A12,MODELS!$A$4:$A$28,0))),""))</f>
        <v/>
      </c>
      <c r="H12" s="21"/>
      <c r="I12" s="21"/>
      <c r="J12" s="21"/>
      <c r="K12" s="25" t="str">
        <f aca="false">IF($E12="","",IFERROR(IF(INDEX(SUPPLIERS!$K$4:$K$63,MATCH($E12,SUPPLIERS!$A$4:$A$63,0))="","",INDEX(SUPPLIERS!$K$4:$K$63,MATCH($E12,SUPPLIERS!$A$4:$A$63,0))),""))</f>
        <v/>
      </c>
      <c r="L12" s="25" t="str">
        <f aca="false">IF($E12="","",IFERROR(IF(INDEX(SUPPLIERS!$L$4:$L$63,MATCH($E12,SUPPLIERS!$A$4:$A$63,0))="","",INDEX(SUPPLIERS!$L$4:$L$63,MATCH($E12,SUPPLIERS!$A$4:$A$63,0))),""))</f>
        <v/>
      </c>
      <c r="M12" s="21"/>
      <c r="N12" s="11" t="str">
        <f aca="false">IF($E12="","",IFERROR(_xlfn.TEXTJOIN("; ",TRUE(),INDEX(SUPPLIERS!$F$4:$F$63,MATCH($E12,SUPPLIERS!$A$4:$A$63,0)),INDEX(SUPPLIERS!$G$4:$G$63,MATCH($E12,SUPPLIERS!$A$4:$A$63,0)),INDEX(SUPPLIERS!$H$4:$H$63,MATCH($E12,SUPPLIERS!$A$4:$A$63,0)),INDEX(SUPPLIERS!$I$4:$I$63,MATCH($E12,SUPPLIERS!$A$4:$A$63,0)),INDEX(SUPPLIERS!$J$4:$J$63,MATCH($E12,SUPPLIERS!$A$4:$A$63,0))),""))</f>
        <v/>
      </c>
      <c r="O12" s="26" t="str">
        <f aca="false">IF(COUNT($H12:$L12)&lt;5,"",ROUND($H12*W_SRC+$I12*W_QC+$J12*W_CAP+$K12*W_SUP+$L12*W_EXT,1))</f>
        <v/>
      </c>
      <c r="P12" s="27" t="str">
        <f aca="false">IF(OR($O12="",$M12=""),"",ROUND($O12*$M12,1))</f>
        <v/>
      </c>
      <c r="Q12" s="28" t="str">
        <f aca="false">IF($E12="","",IF($U12&gt;0,"CRITICAL (FLAG)",IF(OR($O12="",$M12=""),"NOT SCORED",IF($P12&gt;=T_CRIT,"CRITICAL",IF($P12&gt;=T_MON,"MONITOR","LOW")))))</f>
        <v/>
      </c>
      <c r="R12" s="12" t="str">
        <f aca="false">IF($O12="","",INDEX(DriverNames,MATCH(MAX($H12:$L12),$H12:$L12,0)))</f>
        <v/>
      </c>
      <c r="S12" s="22"/>
      <c r="T12" s="29"/>
      <c r="U12" s="2" t="str">
        <f aca="false">IF($E12="","",IFERROR(INDEX(SUPPLIERS!$Q$4:$Q$63,MATCH($E12,SUPPLIERS!$A$4:$A$63,0)),0))</f>
        <v/>
      </c>
      <c r="V12" s="2" t="str">
        <f aca="false">IF($Q12="","",IF($U12&gt;0,100,0)+IF($P12="",0,$P12)+ROW()/100000)</f>
        <v/>
      </c>
      <c r="W12" s="2" t="str">
        <f aca="false">IF($V12="","",IF($A12=SEL_MODEL,$V12,""))</f>
        <v/>
      </c>
    </row>
    <row r="13" customFormat="false" ht="15" hidden="false" customHeight="false" outlineLevel="0" collapsed="false">
      <c r="A13" s="20"/>
      <c r="B13" s="21"/>
      <c r="C13" s="22"/>
      <c r="D13" s="21"/>
      <c r="E13" s="20"/>
      <c r="F13" s="23"/>
      <c r="G13" s="24" t="str">
        <f aca="false">IF(OR($A13="",$F13=""),"",IFERROR(IF(INDEX(MODELS!$K$4:$K$28,MATCH($A13,MODELS!$A$4:$A$28,0))="","",$F13*INDEX(MODELS!$K$4:$K$28,MATCH($A13,MODELS!$A$4:$A$28,0))),""))</f>
        <v/>
      </c>
      <c r="H13" s="21"/>
      <c r="I13" s="21"/>
      <c r="J13" s="21"/>
      <c r="K13" s="25" t="str">
        <f aca="false">IF($E13="","",IFERROR(IF(INDEX(SUPPLIERS!$K$4:$K$63,MATCH($E13,SUPPLIERS!$A$4:$A$63,0))="","",INDEX(SUPPLIERS!$K$4:$K$63,MATCH($E13,SUPPLIERS!$A$4:$A$63,0))),""))</f>
        <v/>
      </c>
      <c r="L13" s="25" t="str">
        <f aca="false">IF($E13="","",IFERROR(IF(INDEX(SUPPLIERS!$L$4:$L$63,MATCH($E13,SUPPLIERS!$A$4:$A$63,0))="","",INDEX(SUPPLIERS!$L$4:$L$63,MATCH($E13,SUPPLIERS!$A$4:$A$63,0))),""))</f>
        <v/>
      </c>
      <c r="M13" s="21"/>
      <c r="N13" s="11" t="str">
        <f aca="false">IF($E13="","",IFERROR(_xlfn.TEXTJOIN("; ",TRUE(),INDEX(SUPPLIERS!$F$4:$F$63,MATCH($E13,SUPPLIERS!$A$4:$A$63,0)),INDEX(SUPPLIERS!$G$4:$G$63,MATCH($E13,SUPPLIERS!$A$4:$A$63,0)),INDEX(SUPPLIERS!$H$4:$H$63,MATCH($E13,SUPPLIERS!$A$4:$A$63,0)),INDEX(SUPPLIERS!$I$4:$I$63,MATCH($E13,SUPPLIERS!$A$4:$A$63,0)),INDEX(SUPPLIERS!$J$4:$J$63,MATCH($E13,SUPPLIERS!$A$4:$A$63,0))),""))</f>
        <v/>
      </c>
      <c r="O13" s="26" t="str">
        <f aca="false">IF(COUNT($H13:$L13)&lt;5,"",ROUND($H13*W_SRC+$I13*W_QC+$J13*W_CAP+$K13*W_SUP+$L13*W_EXT,1))</f>
        <v/>
      </c>
      <c r="P13" s="27" t="str">
        <f aca="false">IF(OR($O13="",$M13=""),"",ROUND($O13*$M13,1))</f>
        <v/>
      </c>
      <c r="Q13" s="28" t="str">
        <f aca="false">IF($E13="","",IF($U13&gt;0,"CRITICAL (FLAG)",IF(OR($O13="",$M13=""),"NOT SCORED",IF($P13&gt;=T_CRIT,"CRITICAL",IF($P13&gt;=T_MON,"MONITOR","LOW")))))</f>
        <v/>
      </c>
      <c r="R13" s="12" t="str">
        <f aca="false">IF($O13="","",INDEX(DriverNames,MATCH(MAX($H13:$L13),$H13:$L13,0)))</f>
        <v/>
      </c>
      <c r="S13" s="22"/>
      <c r="T13" s="29"/>
      <c r="U13" s="2" t="str">
        <f aca="false">IF($E13="","",IFERROR(INDEX(SUPPLIERS!$Q$4:$Q$63,MATCH($E13,SUPPLIERS!$A$4:$A$63,0)),0))</f>
        <v/>
      </c>
      <c r="V13" s="2" t="str">
        <f aca="false">IF($Q13="","",IF($U13&gt;0,100,0)+IF($P13="",0,$P13)+ROW()/100000)</f>
        <v/>
      </c>
      <c r="W13" s="2" t="str">
        <f aca="false">IF($V13="","",IF($A13=SEL_MODEL,$V13,""))</f>
        <v/>
      </c>
    </row>
    <row r="14" customFormat="false" ht="15" hidden="false" customHeight="false" outlineLevel="0" collapsed="false">
      <c r="A14" s="20"/>
      <c r="B14" s="21"/>
      <c r="C14" s="22"/>
      <c r="D14" s="21"/>
      <c r="E14" s="20"/>
      <c r="F14" s="23"/>
      <c r="G14" s="24" t="str">
        <f aca="false">IF(OR($A14="",$F14=""),"",IFERROR(IF(INDEX(MODELS!$K$4:$K$28,MATCH($A14,MODELS!$A$4:$A$28,0))="","",$F14*INDEX(MODELS!$K$4:$K$28,MATCH($A14,MODELS!$A$4:$A$28,0))),""))</f>
        <v/>
      </c>
      <c r="H14" s="21"/>
      <c r="I14" s="21"/>
      <c r="J14" s="21"/>
      <c r="K14" s="25" t="str">
        <f aca="false">IF($E14="","",IFERROR(IF(INDEX(SUPPLIERS!$K$4:$K$63,MATCH($E14,SUPPLIERS!$A$4:$A$63,0))="","",INDEX(SUPPLIERS!$K$4:$K$63,MATCH($E14,SUPPLIERS!$A$4:$A$63,0))),""))</f>
        <v/>
      </c>
      <c r="L14" s="25" t="str">
        <f aca="false">IF($E14="","",IFERROR(IF(INDEX(SUPPLIERS!$L$4:$L$63,MATCH($E14,SUPPLIERS!$A$4:$A$63,0))="","",INDEX(SUPPLIERS!$L$4:$L$63,MATCH($E14,SUPPLIERS!$A$4:$A$63,0))),""))</f>
        <v/>
      </c>
      <c r="M14" s="21"/>
      <c r="N14" s="11" t="str">
        <f aca="false">IF($E14="","",IFERROR(_xlfn.TEXTJOIN("; ",TRUE(),INDEX(SUPPLIERS!$F$4:$F$63,MATCH($E14,SUPPLIERS!$A$4:$A$63,0)),INDEX(SUPPLIERS!$G$4:$G$63,MATCH($E14,SUPPLIERS!$A$4:$A$63,0)),INDEX(SUPPLIERS!$H$4:$H$63,MATCH($E14,SUPPLIERS!$A$4:$A$63,0)),INDEX(SUPPLIERS!$I$4:$I$63,MATCH($E14,SUPPLIERS!$A$4:$A$63,0)),INDEX(SUPPLIERS!$J$4:$J$63,MATCH($E14,SUPPLIERS!$A$4:$A$63,0))),""))</f>
        <v/>
      </c>
      <c r="O14" s="26" t="str">
        <f aca="false">IF(COUNT($H14:$L14)&lt;5,"",ROUND($H14*W_SRC+$I14*W_QC+$J14*W_CAP+$K14*W_SUP+$L14*W_EXT,1))</f>
        <v/>
      </c>
      <c r="P14" s="27" t="str">
        <f aca="false">IF(OR($O14="",$M14=""),"",ROUND($O14*$M14,1))</f>
        <v/>
      </c>
      <c r="Q14" s="28" t="str">
        <f aca="false">IF($E14="","",IF($U14&gt;0,"CRITICAL (FLAG)",IF(OR($O14="",$M14=""),"NOT SCORED",IF($P14&gt;=T_CRIT,"CRITICAL",IF($P14&gt;=T_MON,"MONITOR","LOW")))))</f>
        <v/>
      </c>
      <c r="R14" s="12" t="str">
        <f aca="false">IF($O14="","",INDEX(DriverNames,MATCH(MAX($H14:$L14),$H14:$L14,0)))</f>
        <v/>
      </c>
      <c r="S14" s="22"/>
      <c r="T14" s="29"/>
      <c r="U14" s="2" t="str">
        <f aca="false">IF($E14="","",IFERROR(INDEX(SUPPLIERS!$Q$4:$Q$63,MATCH($E14,SUPPLIERS!$A$4:$A$63,0)),0))</f>
        <v/>
      </c>
      <c r="V14" s="2" t="str">
        <f aca="false">IF($Q14="","",IF($U14&gt;0,100,0)+IF($P14="",0,$P14)+ROW()/100000)</f>
        <v/>
      </c>
      <c r="W14" s="2" t="str">
        <f aca="false">IF($V14="","",IF($A14=SEL_MODEL,$V14,""))</f>
        <v/>
      </c>
    </row>
    <row r="15" customFormat="false" ht="15" hidden="false" customHeight="false" outlineLevel="0" collapsed="false">
      <c r="A15" s="20"/>
      <c r="B15" s="21"/>
      <c r="C15" s="22"/>
      <c r="D15" s="21"/>
      <c r="E15" s="20"/>
      <c r="F15" s="23"/>
      <c r="G15" s="24" t="str">
        <f aca="false">IF(OR($A15="",$F15=""),"",IFERROR(IF(INDEX(MODELS!$K$4:$K$28,MATCH($A15,MODELS!$A$4:$A$28,0))="","",$F15*INDEX(MODELS!$K$4:$K$28,MATCH($A15,MODELS!$A$4:$A$28,0))),""))</f>
        <v/>
      </c>
      <c r="H15" s="21"/>
      <c r="I15" s="21"/>
      <c r="J15" s="21"/>
      <c r="K15" s="25" t="str">
        <f aca="false">IF($E15="","",IFERROR(IF(INDEX(SUPPLIERS!$K$4:$K$63,MATCH($E15,SUPPLIERS!$A$4:$A$63,0))="","",INDEX(SUPPLIERS!$K$4:$K$63,MATCH($E15,SUPPLIERS!$A$4:$A$63,0))),""))</f>
        <v/>
      </c>
      <c r="L15" s="25" t="str">
        <f aca="false">IF($E15="","",IFERROR(IF(INDEX(SUPPLIERS!$L$4:$L$63,MATCH($E15,SUPPLIERS!$A$4:$A$63,0))="","",INDEX(SUPPLIERS!$L$4:$L$63,MATCH($E15,SUPPLIERS!$A$4:$A$63,0))),""))</f>
        <v/>
      </c>
      <c r="M15" s="21"/>
      <c r="N15" s="11" t="str">
        <f aca="false">IF($E15="","",IFERROR(_xlfn.TEXTJOIN("; ",TRUE(),INDEX(SUPPLIERS!$F$4:$F$63,MATCH($E15,SUPPLIERS!$A$4:$A$63,0)),INDEX(SUPPLIERS!$G$4:$G$63,MATCH($E15,SUPPLIERS!$A$4:$A$63,0)),INDEX(SUPPLIERS!$H$4:$H$63,MATCH($E15,SUPPLIERS!$A$4:$A$63,0)),INDEX(SUPPLIERS!$I$4:$I$63,MATCH($E15,SUPPLIERS!$A$4:$A$63,0)),INDEX(SUPPLIERS!$J$4:$J$63,MATCH($E15,SUPPLIERS!$A$4:$A$63,0))),""))</f>
        <v/>
      </c>
      <c r="O15" s="26" t="str">
        <f aca="false">IF(COUNT($H15:$L15)&lt;5,"",ROUND($H15*W_SRC+$I15*W_QC+$J15*W_CAP+$K15*W_SUP+$L15*W_EXT,1))</f>
        <v/>
      </c>
      <c r="P15" s="27" t="str">
        <f aca="false">IF(OR($O15="",$M15=""),"",ROUND($O15*$M15,1))</f>
        <v/>
      </c>
      <c r="Q15" s="28" t="str">
        <f aca="false">IF($E15="","",IF($U15&gt;0,"CRITICAL (FLAG)",IF(OR($O15="",$M15=""),"NOT SCORED",IF($P15&gt;=T_CRIT,"CRITICAL",IF($P15&gt;=T_MON,"MONITOR","LOW")))))</f>
        <v/>
      </c>
      <c r="R15" s="12" t="str">
        <f aca="false">IF($O15="","",INDEX(DriverNames,MATCH(MAX($H15:$L15),$H15:$L15,0)))</f>
        <v/>
      </c>
      <c r="S15" s="22"/>
      <c r="T15" s="29"/>
      <c r="U15" s="2" t="str">
        <f aca="false">IF($E15="","",IFERROR(INDEX(SUPPLIERS!$Q$4:$Q$63,MATCH($E15,SUPPLIERS!$A$4:$A$63,0)),0))</f>
        <v/>
      </c>
      <c r="V15" s="2" t="str">
        <f aca="false">IF($Q15="","",IF($U15&gt;0,100,0)+IF($P15="",0,$P15)+ROW()/100000)</f>
        <v/>
      </c>
      <c r="W15" s="2" t="str">
        <f aca="false">IF($V15="","",IF($A15=SEL_MODEL,$V15,""))</f>
        <v/>
      </c>
    </row>
    <row r="16" customFormat="false" ht="15" hidden="false" customHeight="false" outlineLevel="0" collapsed="false">
      <c r="A16" s="20"/>
      <c r="B16" s="21"/>
      <c r="C16" s="22"/>
      <c r="D16" s="21"/>
      <c r="E16" s="20"/>
      <c r="F16" s="23"/>
      <c r="G16" s="24" t="str">
        <f aca="false">IF(OR($A16="",$F16=""),"",IFERROR(IF(INDEX(MODELS!$K$4:$K$28,MATCH($A16,MODELS!$A$4:$A$28,0))="","",$F16*INDEX(MODELS!$K$4:$K$28,MATCH($A16,MODELS!$A$4:$A$28,0))),""))</f>
        <v/>
      </c>
      <c r="H16" s="21"/>
      <c r="I16" s="21"/>
      <c r="J16" s="21"/>
      <c r="K16" s="25" t="str">
        <f aca="false">IF($E16="","",IFERROR(IF(INDEX(SUPPLIERS!$K$4:$K$63,MATCH($E16,SUPPLIERS!$A$4:$A$63,0))="","",INDEX(SUPPLIERS!$K$4:$K$63,MATCH($E16,SUPPLIERS!$A$4:$A$63,0))),""))</f>
        <v/>
      </c>
      <c r="L16" s="25" t="str">
        <f aca="false">IF($E16="","",IFERROR(IF(INDEX(SUPPLIERS!$L$4:$L$63,MATCH($E16,SUPPLIERS!$A$4:$A$63,0))="","",INDEX(SUPPLIERS!$L$4:$L$63,MATCH($E16,SUPPLIERS!$A$4:$A$63,0))),""))</f>
        <v/>
      </c>
      <c r="M16" s="21"/>
      <c r="N16" s="11" t="str">
        <f aca="false">IF($E16="","",IFERROR(_xlfn.TEXTJOIN("; ",TRUE(),INDEX(SUPPLIERS!$F$4:$F$63,MATCH($E16,SUPPLIERS!$A$4:$A$63,0)),INDEX(SUPPLIERS!$G$4:$G$63,MATCH($E16,SUPPLIERS!$A$4:$A$63,0)),INDEX(SUPPLIERS!$H$4:$H$63,MATCH($E16,SUPPLIERS!$A$4:$A$63,0)),INDEX(SUPPLIERS!$I$4:$I$63,MATCH($E16,SUPPLIERS!$A$4:$A$63,0)),INDEX(SUPPLIERS!$J$4:$J$63,MATCH($E16,SUPPLIERS!$A$4:$A$63,0))),""))</f>
        <v/>
      </c>
      <c r="O16" s="26" t="str">
        <f aca="false">IF(COUNT($H16:$L16)&lt;5,"",ROUND($H16*W_SRC+$I16*W_QC+$J16*W_CAP+$K16*W_SUP+$L16*W_EXT,1))</f>
        <v/>
      </c>
      <c r="P16" s="27" t="str">
        <f aca="false">IF(OR($O16="",$M16=""),"",ROUND($O16*$M16,1))</f>
        <v/>
      </c>
      <c r="Q16" s="28" t="str">
        <f aca="false">IF($E16="","",IF($U16&gt;0,"CRITICAL (FLAG)",IF(OR($O16="",$M16=""),"NOT SCORED",IF($P16&gt;=T_CRIT,"CRITICAL",IF($P16&gt;=T_MON,"MONITOR","LOW")))))</f>
        <v/>
      </c>
      <c r="R16" s="12" t="str">
        <f aca="false">IF($O16="","",INDEX(DriverNames,MATCH(MAX($H16:$L16),$H16:$L16,0)))</f>
        <v/>
      </c>
      <c r="S16" s="22"/>
      <c r="T16" s="29"/>
      <c r="U16" s="2" t="str">
        <f aca="false">IF($E16="","",IFERROR(INDEX(SUPPLIERS!$Q$4:$Q$63,MATCH($E16,SUPPLIERS!$A$4:$A$63,0)),0))</f>
        <v/>
      </c>
      <c r="V16" s="2" t="str">
        <f aca="false">IF($Q16="","",IF($U16&gt;0,100,0)+IF($P16="",0,$P16)+ROW()/100000)</f>
        <v/>
      </c>
      <c r="W16" s="2" t="str">
        <f aca="false">IF($V16="","",IF($A16=SEL_MODEL,$V16,""))</f>
        <v/>
      </c>
    </row>
    <row r="17" customFormat="false" ht="15" hidden="false" customHeight="false" outlineLevel="0" collapsed="false">
      <c r="A17" s="20"/>
      <c r="B17" s="21"/>
      <c r="C17" s="22"/>
      <c r="D17" s="21"/>
      <c r="E17" s="20"/>
      <c r="F17" s="23"/>
      <c r="G17" s="24" t="str">
        <f aca="false">IF(OR($A17="",$F17=""),"",IFERROR(IF(INDEX(MODELS!$K$4:$K$28,MATCH($A17,MODELS!$A$4:$A$28,0))="","",$F17*INDEX(MODELS!$K$4:$K$28,MATCH($A17,MODELS!$A$4:$A$28,0))),""))</f>
        <v/>
      </c>
      <c r="H17" s="21"/>
      <c r="I17" s="21"/>
      <c r="J17" s="21"/>
      <c r="K17" s="25" t="str">
        <f aca="false">IF($E17="","",IFERROR(IF(INDEX(SUPPLIERS!$K$4:$K$63,MATCH($E17,SUPPLIERS!$A$4:$A$63,0))="","",INDEX(SUPPLIERS!$K$4:$K$63,MATCH($E17,SUPPLIERS!$A$4:$A$63,0))),""))</f>
        <v/>
      </c>
      <c r="L17" s="25" t="str">
        <f aca="false">IF($E17="","",IFERROR(IF(INDEX(SUPPLIERS!$L$4:$L$63,MATCH($E17,SUPPLIERS!$A$4:$A$63,0))="","",INDEX(SUPPLIERS!$L$4:$L$63,MATCH($E17,SUPPLIERS!$A$4:$A$63,0))),""))</f>
        <v/>
      </c>
      <c r="M17" s="21"/>
      <c r="N17" s="11" t="str">
        <f aca="false">IF($E17="","",IFERROR(_xlfn.TEXTJOIN("; ",TRUE(),INDEX(SUPPLIERS!$F$4:$F$63,MATCH($E17,SUPPLIERS!$A$4:$A$63,0)),INDEX(SUPPLIERS!$G$4:$G$63,MATCH($E17,SUPPLIERS!$A$4:$A$63,0)),INDEX(SUPPLIERS!$H$4:$H$63,MATCH($E17,SUPPLIERS!$A$4:$A$63,0)),INDEX(SUPPLIERS!$I$4:$I$63,MATCH($E17,SUPPLIERS!$A$4:$A$63,0)),INDEX(SUPPLIERS!$J$4:$J$63,MATCH($E17,SUPPLIERS!$A$4:$A$63,0))),""))</f>
        <v/>
      </c>
      <c r="O17" s="26" t="str">
        <f aca="false">IF(COUNT($H17:$L17)&lt;5,"",ROUND($H17*W_SRC+$I17*W_QC+$J17*W_CAP+$K17*W_SUP+$L17*W_EXT,1))</f>
        <v/>
      </c>
      <c r="P17" s="27" t="str">
        <f aca="false">IF(OR($O17="",$M17=""),"",ROUND($O17*$M17,1))</f>
        <v/>
      </c>
      <c r="Q17" s="28" t="str">
        <f aca="false">IF($E17="","",IF($U17&gt;0,"CRITICAL (FLAG)",IF(OR($O17="",$M17=""),"NOT SCORED",IF($P17&gt;=T_CRIT,"CRITICAL",IF($P17&gt;=T_MON,"MONITOR","LOW")))))</f>
        <v/>
      </c>
      <c r="R17" s="12" t="str">
        <f aca="false">IF($O17="","",INDEX(DriverNames,MATCH(MAX($H17:$L17),$H17:$L17,0)))</f>
        <v/>
      </c>
      <c r="S17" s="22"/>
      <c r="T17" s="29"/>
      <c r="U17" s="2" t="str">
        <f aca="false">IF($E17="","",IFERROR(INDEX(SUPPLIERS!$Q$4:$Q$63,MATCH($E17,SUPPLIERS!$A$4:$A$63,0)),0))</f>
        <v/>
      </c>
      <c r="V17" s="2" t="str">
        <f aca="false">IF($Q17="","",IF($U17&gt;0,100,0)+IF($P17="",0,$P17)+ROW()/100000)</f>
        <v/>
      </c>
      <c r="W17" s="2" t="str">
        <f aca="false">IF($V17="","",IF($A17=SEL_MODEL,$V17,""))</f>
        <v/>
      </c>
    </row>
    <row r="18" customFormat="false" ht="15" hidden="false" customHeight="false" outlineLevel="0" collapsed="false">
      <c r="A18" s="20"/>
      <c r="B18" s="21"/>
      <c r="C18" s="22"/>
      <c r="D18" s="21"/>
      <c r="E18" s="20"/>
      <c r="F18" s="23"/>
      <c r="G18" s="24" t="str">
        <f aca="false">IF(OR($A18="",$F18=""),"",IFERROR(IF(INDEX(MODELS!$K$4:$K$28,MATCH($A18,MODELS!$A$4:$A$28,0))="","",$F18*INDEX(MODELS!$K$4:$K$28,MATCH($A18,MODELS!$A$4:$A$28,0))),""))</f>
        <v/>
      </c>
      <c r="H18" s="21"/>
      <c r="I18" s="21"/>
      <c r="J18" s="21"/>
      <c r="K18" s="25" t="str">
        <f aca="false">IF($E18="","",IFERROR(IF(INDEX(SUPPLIERS!$K$4:$K$63,MATCH($E18,SUPPLIERS!$A$4:$A$63,0))="","",INDEX(SUPPLIERS!$K$4:$K$63,MATCH($E18,SUPPLIERS!$A$4:$A$63,0))),""))</f>
        <v/>
      </c>
      <c r="L18" s="25" t="str">
        <f aca="false">IF($E18="","",IFERROR(IF(INDEX(SUPPLIERS!$L$4:$L$63,MATCH($E18,SUPPLIERS!$A$4:$A$63,0))="","",INDEX(SUPPLIERS!$L$4:$L$63,MATCH($E18,SUPPLIERS!$A$4:$A$63,0))),""))</f>
        <v/>
      </c>
      <c r="M18" s="21"/>
      <c r="N18" s="11" t="str">
        <f aca="false">IF($E18="","",IFERROR(_xlfn.TEXTJOIN("; ",TRUE(),INDEX(SUPPLIERS!$F$4:$F$63,MATCH($E18,SUPPLIERS!$A$4:$A$63,0)),INDEX(SUPPLIERS!$G$4:$G$63,MATCH($E18,SUPPLIERS!$A$4:$A$63,0)),INDEX(SUPPLIERS!$H$4:$H$63,MATCH($E18,SUPPLIERS!$A$4:$A$63,0)),INDEX(SUPPLIERS!$I$4:$I$63,MATCH($E18,SUPPLIERS!$A$4:$A$63,0)),INDEX(SUPPLIERS!$J$4:$J$63,MATCH($E18,SUPPLIERS!$A$4:$A$63,0))),""))</f>
        <v/>
      </c>
      <c r="O18" s="26" t="str">
        <f aca="false">IF(COUNT($H18:$L18)&lt;5,"",ROUND($H18*W_SRC+$I18*W_QC+$J18*W_CAP+$K18*W_SUP+$L18*W_EXT,1))</f>
        <v/>
      </c>
      <c r="P18" s="27" t="str">
        <f aca="false">IF(OR($O18="",$M18=""),"",ROUND($O18*$M18,1))</f>
        <v/>
      </c>
      <c r="Q18" s="28" t="str">
        <f aca="false">IF($E18="","",IF($U18&gt;0,"CRITICAL (FLAG)",IF(OR($O18="",$M18=""),"NOT SCORED",IF($P18&gt;=T_CRIT,"CRITICAL",IF($P18&gt;=T_MON,"MONITOR","LOW")))))</f>
        <v/>
      </c>
      <c r="R18" s="12" t="str">
        <f aca="false">IF($O18="","",INDEX(DriverNames,MATCH(MAX($H18:$L18),$H18:$L18,0)))</f>
        <v/>
      </c>
      <c r="S18" s="22"/>
      <c r="T18" s="29"/>
      <c r="U18" s="2" t="str">
        <f aca="false">IF($E18="","",IFERROR(INDEX(SUPPLIERS!$Q$4:$Q$63,MATCH($E18,SUPPLIERS!$A$4:$A$63,0)),0))</f>
        <v/>
      </c>
      <c r="V18" s="2" t="str">
        <f aca="false">IF($Q18="","",IF($U18&gt;0,100,0)+IF($P18="",0,$P18)+ROW()/100000)</f>
        <v/>
      </c>
      <c r="W18" s="2" t="str">
        <f aca="false">IF($V18="","",IF($A18=SEL_MODEL,$V18,""))</f>
        <v/>
      </c>
    </row>
    <row r="19" customFormat="false" ht="15" hidden="false" customHeight="false" outlineLevel="0" collapsed="false">
      <c r="A19" s="20"/>
      <c r="B19" s="21"/>
      <c r="C19" s="22"/>
      <c r="D19" s="21"/>
      <c r="E19" s="20"/>
      <c r="F19" s="23"/>
      <c r="G19" s="24" t="str">
        <f aca="false">IF(OR($A19="",$F19=""),"",IFERROR(IF(INDEX(MODELS!$K$4:$K$28,MATCH($A19,MODELS!$A$4:$A$28,0))="","",$F19*INDEX(MODELS!$K$4:$K$28,MATCH($A19,MODELS!$A$4:$A$28,0))),""))</f>
        <v/>
      </c>
      <c r="H19" s="21"/>
      <c r="I19" s="21"/>
      <c r="J19" s="21"/>
      <c r="K19" s="25" t="str">
        <f aca="false">IF($E19="","",IFERROR(IF(INDEX(SUPPLIERS!$K$4:$K$63,MATCH($E19,SUPPLIERS!$A$4:$A$63,0))="","",INDEX(SUPPLIERS!$K$4:$K$63,MATCH($E19,SUPPLIERS!$A$4:$A$63,0))),""))</f>
        <v/>
      </c>
      <c r="L19" s="25" t="str">
        <f aca="false">IF($E19="","",IFERROR(IF(INDEX(SUPPLIERS!$L$4:$L$63,MATCH($E19,SUPPLIERS!$A$4:$A$63,0))="","",INDEX(SUPPLIERS!$L$4:$L$63,MATCH($E19,SUPPLIERS!$A$4:$A$63,0))),""))</f>
        <v/>
      </c>
      <c r="M19" s="21"/>
      <c r="N19" s="11" t="str">
        <f aca="false">IF($E19="","",IFERROR(_xlfn.TEXTJOIN("; ",TRUE(),INDEX(SUPPLIERS!$F$4:$F$63,MATCH($E19,SUPPLIERS!$A$4:$A$63,0)),INDEX(SUPPLIERS!$G$4:$G$63,MATCH($E19,SUPPLIERS!$A$4:$A$63,0)),INDEX(SUPPLIERS!$H$4:$H$63,MATCH($E19,SUPPLIERS!$A$4:$A$63,0)),INDEX(SUPPLIERS!$I$4:$I$63,MATCH($E19,SUPPLIERS!$A$4:$A$63,0)),INDEX(SUPPLIERS!$J$4:$J$63,MATCH($E19,SUPPLIERS!$A$4:$A$63,0))),""))</f>
        <v/>
      </c>
      <c r="O19" s="26" t="str">
        <f aca="false">IF(COUNT($H19:$L19)&lt;5,"",ROUND($H19*W_SRC+$I19*W_QC+$J19*W_CAP+$K19*W_SUP+$L19*W_EXT,1))</f>
        <v/>
      </c>
      <c r="P19" s="27" t="str">
        <f aca="false">IF(OR($O19="",$M19=""),"",ROUND($O19*$M19,1))</f>
        <v/>
      </c>
      <c r="Q19" s="28" t="str">
        <f aca="false">IF($E19="","",IF($U19&gt;0,"CRITICAL (FLAG)",IF(OR($O19="",$M19=""),"NOT SCORED",IF($P19&gt;=T_CRIT,"CRITICAL",IF($P19&gt;=T_MON,"MONITOR","LOW")))))</f>
        <v/>
      </c>
      <c r="R19" s="12" t="str">
        <f aca="false">IF($O19="","",INDEX(DriverNames,MATCH(MAX($H19:$L19),$H19:$L19,0)))</f>
        <v/>
      </c>
      <c r="S19" s="22"/>
      <c r="T19" s="29"/>
      <c r="U19" s="2" t="str">
        <f aca="false">IF($E19="","",IFERROR(INDEX(SUPPLIERS!$Q$4:$Q$63,MATCH($E19,SUPPLIERS!$A$4:$A$63,0)),0))</f>
        <v/>
      </c>
      <c r="V19" s="2" t="str">
        <f aca="false">IF($Q19="","",IF($U19&gt;0,100,0)+IF($P19="",0,$P19)+ROW()/100000)</f>
        <v/>
      </c>
      <c r="W19" s="2" t="str">
        <f aca="false">IF($V19="","",IF($A19=SEL_MODEL,$V19,""))</f>
        <v/>
      </c>
    </row>
    <row r="20" customFormat="false" ht="15" hidden="false" customHeight="false" outlineLevel="0" collapsed="false">
      <c r="A20" s="20"/>
      <c r="B20" s="21"/>
      <c r="C20" s="22"/>
      <c r="D20" s="21"/>
      <c r="E20" s="20"/>
      <c r="F20" s="23"/>
      <c r="G20" s="24" t="str">
        <f aca="false">IF(OR($A20="",$F20=""),"",IFERROR(IF(INDEX(MODELS!$K$4:$K$28,MATCH($A20,MODELS!$A$4:$A$28,0))="","",$F20*INDEX(MODELS!$K$4:$K$28,MATCH($A20,MODELS!$A$4:$A$28,0))),""))</f>
        <v/>
      </c>
      <c r="H20" s="21"/>
      <c r="I20" s="21"/>
      <c r="J20" s="21"/>
      <c r="K20" s="25" t="str">
        <f aca="false">IF($E20="","",IFERROR(IF(INDEX(SUPPLIERS!$K$4:$K$63,MATCH($E20,SUPPLIERS!$A$4:$A$63,0))="","",INDEX(SUPPLIERS!$K$4:$K$63,MATCH($E20,SUPPLIERS!$A$4:$A$63,0))),""))</f>
        <v/>
      </c>
      <c r="L20" s="25" t="str">
        <f aca="false">IF($E20="","",IFERROR(IF(INDEX(SUPPLIERS!$L$4:$L$63,MATCH($E20,SUPPLIERS!$A$4:$A$63,0))="","",INDEX(SUPPLIERS!$L$4:$L$63,MATCH($E20,SUPPLIERS!$A$4:$A$63,0))),""))</f>
        <v/>
      </c>
      <c r="M20" s="21"/>
      <c r="N20" s="11" t="str">
        <f aca="false">IF($E20="","",IFERROR(_xlfn.TEXTJOIN("; ",TRUE(),INDEX(SUPPLIERS!$F$4:$F$63,MATCH($E20,SUPPLIERS!$A$4:$A$63,0)),INDEX(SUPPLIERS!$G$4:$G$63,MATCH($E20,SUPPLIERS!$A$4:$A$63,0)),INDEX(SUPPLIERS!$H$4:$H$63,MATCH($E20,SUPPLIERS!$A$4:$A$63,0)),INDEX(SUPPLIERS!$I$4:$I$63,MATCH($E20,SUPPLIERS!$A$4:$A$63,0)),INDEX(SUPPLIERS!$J$4:$J$63,MATCH($E20,SUPPLIERS!$A$4:$A$63,0))),""))</f>
        <v/>
      </c>
      <c r="O20" s="26" t="str">
        <f aca="false">IF(COUNT($H20:$L20)&lt;5,"",ROUND($H20*W_SRC+$I20*W_QC+$J20*W_CAP+$K20*W_SUP+$L20*W_EXT,1))</f>
        <v/>
      </c>
      <c r="P20" s="27" t="str">
        <f aca="false">IF(OR($O20="",$M20=""),"",ROUND($O20*$M20,1))</f>
        <v/>
      </c>
      <c r="Q20" s="28" t="str">
        <f aca="false">IF($E20="","",IF($U20&gt;0,"CRITICAL (FLAG)",IF(OR($O20="",$M20=""),"NOT SCORED",IF($P20&gt;=T_CRIT,"CRITICAL",IF($P20&gt;=T_MON,"MONITOR","LOW")))))</f>
        <v/>
      </c>
      <c r="R20" s="12" t="str">
        <f aca="false">IF($O20="","",INDEX(DriverNames,MATCH(MAX($H20:$L20),$H20:$L20,0)))</f>
        <v/>
      </c>
      <c r="S20" s="22"/>
      <c r="T20" s="29"/>
      <c r="U20" s="2" t="str">
        <f aca="false">IF($E20="","",IFERROR(INDEX(SUPPLIERS!$Q$4:$Q$63,MATCH($E20,SUPPLIERS!$A$4:$A$63,0)),0))</f>
        <v/>
      </c>
      <c r="V20" s="2" t="str">
        <f aca="false">IF($Q20="","",IF($U20&gt;0,100,0)+IF($P20="",0,$P20)+ROW()/100000)</f>
        <v/>
      </c>
      <c r="W20" s="2" t="str">
        <f aca="false">IF($V20="","",IF($A20=SEL_MODEL,$V20,""))</f>
        <v/>
      </c>
    </row>
    <row r="21" customFormat="false" ht="15" hidden="false" customHeight="false" outlineLevel="0" collapsed="false">
      <c r="A21" s="20"/>
      <c r="B21" s="21"/>
      <c r="C21" s="22"/>
      <c r="D21" s="21"/>
      <c r="E21" s="20"/>
      <c r="F21" s="23"/>
      <c r="G21" s="24" t="str">
        <f aca="false">IF(OR($A21="",$F21=""),"",IFERROR(IF(INDEX(MODELS!$K$4:$K$28,MATCH($A21,MODELS!$A$4:$A$28,0))="","",$F21*INDEX(MODELS!$K$4:$K$28,MATCH($A21,MODELS!$A$4:$A$28,0))),""))</f>
        <v/>
      </c>
      <c r="H21" s="21"/>
      <c r="I21" s="21"/>
      <c r="J21" s="21"/>
      <c r="K21" s="25" t="str">
        <f aca="false">IF($E21="","",IFERROR(IF(INDEX(SUPPLIERS!$K$4:$K$63,MATCH($E21,SUPPLIERS!$A$4:$A$63,0))="","",INDEX(SUPPLIERS!$K$4:$K$63,MATCH($E21,SUPPLIERS!$A$4:$A$63,0))),""))</f>
        <v/>
      </c>
      <c r="L21" s="25" t="str">
        <f aca="false">IF($E21="","",IFERROR(IF(INDEX(SUPPLIERS!$L$4:$L$63,MATCH($E21,SUPPLIERS!$A$4:$A$63,0))="","",INDEX(SUPPLIERS!$L$4:$L$63,MATCH($E21,SUPPLIERS!$A$4:$A$63,0))),""))</f>
        <v/>
      </c>
      <c r="M21" s="21"/>
      <c r="N21" s="11" t="str">
        <f aca="false">IF($E21="","",IFERROR(_xlfn.TEXTJOIN("; ",TRUE(),INDEX(SUPPLIERS!$F$4:$F$63,MATCH($E21,SUPPLIERS!$A$4:$A$63,0)),INDEX(SUPPLIERS!$G$4:$G$63,MATCH($E21,SUPPLIERS!$A$4:$A$63,0)),INDEX(SUPPLIERS!$H$4:$H$63,MATCH($E21,SUPPLIERS!$A$4:$A$63,0)),INDEX(SUPPLIERS!$I$4:$I$63,MATCH($E21,SUPPLIERS!$A$4:$A$63,0)),INDEX(SUPPLIERS!$J$4:$J$63,MATCH($E21,SUPPLIERS!$A$4:$A$63,0))),""))</f>
        <v/>
      </c>
      <c r="O21" s="26" t="str">
        <f aca="false">IF(COUNT($H21:$L21)&lt;5,"",ROUND($H21*W_SRC+$I21*W_QC+$J21*W_CAP+$K21*W_SUP+$L21*W_EXT,1))</f>
        <v/>
      </c>
      <c r="P21" s="27" t="str">
        <f aca="false">IF(OR($O21="",$M21=""),"",ROUND($O21*$M21,1))</f>
        <v/>
      </c>
      <c r="Q21" s="28" t="str">
        <f aca="false">IF($E21="","",IF($U21&gt;0,"CRITICAL (FLAG)",IF(OR($O21="",$M21=""),"NOT SCORED",IF($P21&gt;=T_CRIT,"CRITICAL",IF($P21&gt;=T_MON,"MONITOR","LOW")))))</f>
        <v/>
      </c>
      <c r="R21" s="12" t="str">
        <f aca="false">IF($O21="","",INDEX(DriverNames,MATCH(MAX($H21:$L21),$H21:$L21,0)))</f>
        <v/>
      </c>
      <c r="S21" s="22"/>
      <c r="T21" s="29"/>
      <c r="U21" s="2" t="str">
        <f aca="false">IF($E21="","",IFERROR(INDEX(SUPPLIERS!$Q$4:$Q$63,MATCH($E21,SUPPLIERS!$A$4:$A$63,0)),0))</f>
        <v/>
      </c>
      <c r="V21" s="2" t="str">
        <f aca="false">IF($Q21="","",IF($U21&gt;0,100,0)+IF($P21="",0,$P21)+ROW()/100000)</f>
        <v/>
      </c>
      <c r="W21" s="2" t="str">
        <f aca="false">IF($V21="","",IF($A21=SEL_MODEL,$V21,""))</f>
        <v/>
      </c>
    </row>
    <row r="22" customFormat="false" ht="15" hidden="false" customHeight="false" outlineLevel="0" collapsed="false">
      <c r="A22" s="20"/>
      <c r="B22" s="21"/>
      <c r="C22" s="22"/>
      <c r="D22" s="21"/>
      <c r="E22" s="20"/>
      <c r="F22" s="23"/>
      <c r="G22" s="24" t="str">
        <f aca="false">IF(OR($A22="",$F22=""),"",IFERROR(IF(INDEX(MODELS!$K$4:$K$28,MATCH($A22,MODELS!$A$4:$A$28,0))="","",$F22*INDEX(MODELS!$K$4:$K$28,MATCH($A22,MODELS!$A$4:$A$28,0))),""))</f>
        <v/>
      </c>
      <c r="H22" s="21"/>
      <c r="I22" s="21"/>
      <c r="J22" s="21"/>
      <c r="K22" s="25" t="str">
        <f aca="false">IF($E22="","",IFERROR(IF(INDEX(SUPPLIERS!$K$4:$K$63,MATCH($E22,SUPPLIERS!$A$4:$A$63,0))="","",INDEX(SUPPLIERS!$K$4:$K$63,MATCH($E22,SUPPLIERS!$A$4:$A$63,0))),""))</f>
        <v/>
      </c>
      <c r="L22" s="25" t="str">
        <f aca="false">IF($E22="","",IFERROR(IF(INDEX(SUPPLIERS!$L$4:$L$63,MATCH($E22,SUPPLIERS!$A$4:$A$63,0))="","",INDEX(SUPPLIERS!$L$4:$L$63,MATCH($E22,SUPPLIERS!$A$4:$A$63,0))),""))</f>
        <v/>
      </c>
      <c r="M22" s="21"/>
      <c r="N22" s="11" t="str">
        <f aca="false">IF($E22="","",IFERROR(_xlfn.TEXTJOIN("; ",TRUE(),INDEX(SUPPLIERS!$F$4:$F$63,MATCH($E22,SUPPLIERS!$A$4:$A$63,0)),INDEX(SUPPLIERS!$G$4:$G$63,MATCH($E22,SUPPLIERS!$A$4:$A$63,0)),INDEX(SUPPLIERS!$H$4:$H$63,MATCH($E22,SUPPLIERS!$A$4:$A$63,0)),INDEX(SUPPLIERS!$I$4:$I$63,MATCH($E22,SUPPLIERS!$A$4:$A$63,0)),INDEX(SUPPLIERS!$J$4:$J$63,MATCH($E22,SUPPLIERS!$A$4:$A$63,0))),""))</f>
        <v/>
      </c>
      <c r="O22" s="26" t="str">
        <f aca="false">IF(COUNT($H22:$L22)&lt;5,"",ROUND($H22*W_SRC+$I22*W_QC+$J22*W_CAP+$K22*W_SUP+$L22*W_EXT,1))</f>
        <v/>
      </c>
      <c r="P22" s="27" t="str">
        <f aca="false">IF(OR($O22="",$M22=""),"",ROUND($O22*$M22,1))</f>
        <v/>
      </c>
      <c r="Q22" s="28" t="str">
        <f aca="false">IF($E22="","",IF($U22&gt;0,"CRITICAL (FLAG)",IF(OR($O22="",$M22=""),"NOT SCORED",IF($P22&gt;=T_CRIT,"CRITICAL",IF($P22&gt;=T_MON,"MONITOR","LOW")))))</f>
        <v/>
      </c>
      <c r="R22" s="12" t="str">
        <f aca="false">IF($O22="","",INDEX(DriverNames,MATCH(MAX($H22:$L22),$H22:$L22,0)))</f>
        <v/>
      </c>
      <c r="S22" s="22"/>
      <c r="T22" s="29"/>
      <c r="U22" s="2" t="str">
        <f aca="false">IF($E22="","",IFERROR(INDEX(SUPPLIERS!$Q$4:$Q$63,MATCH($E22,SUPPLIERS!$A$4:$A$63,0)),0))</f>
        <v/>
      </c>
      <c r="V22" s="2" t="str">
        <f aca="false">IF($Q22="","",IF($U22&gt;0,100,0)+IF($P22="",0,$P22)+ROW()/100000)</f>
        <v/>
      </c>
      <c r="W22" s="2" t="str">
        <f aca="false">IF($V22="","",IF($A22=SEL_MODEL,$V22,""))</f>
        <v/>
      </c>
    </row>
    <row r="23" customFormat="false" ht="15" hidden="false" customHeight="false" outlineLevel="0" collapsed="false">
      <c r="A23" s="20"/>
      <c r="B23" s="21"/>
      <c r="C23" s="22"/>
      <c r="D23" s="21"/>
      <c r="E23" s="20"/>
      <c r="F23" s="23"/>
      <c r="G23" s="24" t="str">
        <f aca="false">IF(OR($A23="",$F23=""),"",IFERROR(IF(INDEX(MODELS!$K$4:$K$28,MATCH($A23,MODELS!$A$4:$A$28,0))="","",$F23*INDEX(MODELS!$K$4:$K$28,MATCH($A23,MODELS!$A$4:$A$28,0))),""))</f>
        <v/>
      </c>
      <c r="H23" s="21"/>
      <c r="I23" s="21"/>
      <c r="J23" s="21"/>
      <c r="K23" s="25" t="str">
        <f aca="false">IF($E23="","",IFERROR(IF(INDEX(SUPPLIERS!$K$4:$K$63,MATCH($E23,SUPPLIERS!$A$4:$A$63,0))="","",INDEX(SUPPLIERS!$K$4:$K$63,MATCH($E23,SUPPLIERS!$A$4:$A$63,0))),""))</f>
        <v/>
      </c>
      <c r="L23" s="25" t="str">
        <f aca="false">IF($E23="","",IFERROR(IF(INDEX(SUPPLIERS!$L$4:$L$63,MATCH($E23,SUPPLIERS!$A$4:$A$63,0))="","",INDEX(SUPPLIERS!$L$4:$L$63,MATCH($E23,SUPPLIERS!$A$4:$A$63,0))),""))</f>
        <v/>
      </c>
      <c r="M23" s="21"/>
      <c r="N23" s="11" t="str">
        <f aca="false">IF($E23="","",IFERROR(_xlfn.TEXTJOIN("; ",TRUE(),INDEX(SUPPLIERS!$F$4:$F$63,MATCH($E23,SUPPLIERS!$A$4:$A$63,0)),INDEX(SUPPLIERS!$G$4:$G$63,MATCH($E23,SUPPLIERS!$A$4:$A$63,0)),INDEX(SUPPLIERS!$H$4:$H$63,MATCH($E23,SUPPLIERS!$A$4:$A$63,0)),INDEX(SUPPLIERS!$I$4:$I$63,MATCH($E23,SUPPLIERS!$A$4:$A$63,0)),INDEX(SUPPLIERS!$J$4:$J$63,MATCH($E23,SUPPLIERS!$A$4:$A$63,0))),""))</f>
        <v/>
      </c>
      <c r="O23" s="26" t="str">
        <f aca="false">IF(COUNT($H23:$L23)&lt;5,"",ROUND($H23*W_SRC+$I23*W_QC+$J23*W_CAP+$K23*W_SUP+$L23*W_EXT,1))</f>
        <v/>
      </c>
      <c r="P23" s="27" t="str">
        <f aca="false">IF(OR($O23="",$M23=""),"",ROUND($O23*$M23,1))</f>
        <v/>
      </c>
      <c r="Q23" s="28" t="str">
        <f aca="false">IF($E23="","",IF($U23&gt;0,"CRITICAL (FLAG)",IF(OR($O23="",$M23=""),"NOT SCORED",IF($P23&gt;=T_CRIT,"CRITICAL",IF($P23&gt;=T_MON,"MONITOR","LOW")))))</f>
        <v/>
      </c>
      <c r="R23" s="12" t="str">
        <f aca="false">IF($O23="","",INDEX(DriverNames,MATCH(MAX($H23:$L23),$H23:$L23,0)))</f>
        <v/>
      </c>
      <c r="S23" s="22"/>
      <c r="T23" s="29"/>
      <c r="U23" s="2" t="str">
        <f aca="false">IF($E23="","",IFERROR(INDEX(SUPPLIERS!$Q$4:$Q$63,MATCH($E23,SUPPLIERS!$A$4:$A$63,0)),0))</f>
        <v/>
      </c>
      <c r="V23" s="2" t="str">
        <f aca="false">IF($Q23="","",IF($U23&gt;0,100,0)+IF($P23="",0,$P23)+ROW()/100000)</f>
        <v/>
      </c>
      <c r="W23" s="2" t="str">
        <f aca="false">IF($V23="","",IF($A23=SEL_MODEL,$V23,""))</f>
        <v/>
      </c>
    </row>
    <row r="24" customFormat="false" ht="15" hidden="false" customHeight="false" outlineLevel="0" collapsed="false">
      <c r="A24" s="20"/>
      <c r="B24" s="21"/>
      <c r="C24" s="22"/>
      <c r="D24" s="21"/>
      <c r="E24" s="20"/>
      <c r="F24" s="23"/>
      <c r="G24" s="24" t="str">
        <f aca="false">IF(OR($A24="",$F24=""),"",IFERROR(IF(INDEX(MODELS!$K$4:$K$28,MATCH($A24,MODELS!$A$4:$A$28,0))="","",$F24*INDEX(MODELS!$K$4:$K$28,MATCH($A24,MODELS!$A$4:$A$28,0))),""))</f>
        <v/>
      </c>
      <c r="H24" s="21"/>
      <c r="I24" s="21"/>
      <c r="J24" s="21"/>
      <c r="K24" s="25" t="str">
        <f aca="false">IF($E24="","",IFERROR(IF(INDEX(SUPPLIERS!$K$4:$K$63,MATCH($E24,SUPPLIERS!$A$4:$A$63,0))="","",INDEX(SUPPLIERS!$K$4:$K$63,MATCH($E24,SUPPLIERS!$A$4:$A$63,0))),""))</f>
        <v/>
      </c>
      <c r="L24" s="25" t="str">
        <f aca="false">IF($E24="","",IFERROR(IF(INDEX(SUPPLIERS!$L$4:$L$63,MATCH($E24,SUPPLIERS!$A$4:$A$63,0))="","",INDEX(SUPPLIERS!$L$4:$L$63,MATCH($E24,SUPPLIERS!$A$4:$A$63,0))),""))</f>
        <v/>
      </c>
      <c r="M24" s="21"/>
      <c r="N24" s="11" t="str">
        <f aca="false">IF($E24="","",IFERROR(_xlfn.TEXTJOIN("; ",TRUE(),INDEX(SUPPLIERS!$F$4:$F$63,MATCH($E24,SUPPLIERS!$A$4:$A$63,0)),INDEX(SUPPLIERS!$G$4:$G$63,MATCH($E24,SUPPLIERS!$A$4:$A$63,0)),INDEX(SUPPLIERS!$H$4:$H$63,MATCH($E24,SUPPLIERS!$A$4:$A$63,0)),INDEX(SUPPLIERS!$I$4:$I$63,MATCH($E24,SUPPLIERS!$A$4:$A$63,0)),INDEX(SUPPLIERS!$J$4:$J$63,MATCH($E24,SUPPLIERS!$A$4:$A$63,0))),""))</f>
        <v/>
      </c>
      <c r="O24" s="26" t="str">
        <f aca="false">IF(COUNT($H24:$L24)&lt;5,"",ROUND($H24*W_SRC+$I24*W_QC+$J24*W_CAP+$K24*W_SUP+$L24*W_EXT,1))</f>
        <v/>
      </c>
      <c r="P24" s="27" t="str">
        <f aca="false">IF(OR($O24="",$M24=""),"",ROUND($O24*$M24,1))</f>
        <v/>
      </c>
      <c r="Q24" s="28" t="str">
        <f aca="false">IF($E24="","",IF($U24&gt;0,"CRITICAL (FLAG)",IF(OR($O24="",$M24=""),"NOT SCORED",IF($P24&gt;=T_CRIT,"CRITICAL",IF($P24&gt;=T_MON,"MONITOR","LOW")))))</f>
        <v/>
      </c>
      <c r="R24" s="12" t="str">
        <f aca="false">IF($O24="","",INDEX(DriverNames,MATCH(MAX($H24:$L24),$H24:$L24,0)))</f>
        <v/>
      </c>
      <c r="S24" s="22"/>
      <c r="T24" s="29"/>
      <c r="U24" s="2" t="str">
        <f aca="false">IF($E24="","",IFERROR(INDEX(SUPPLIERS!$Q$4:$Q$63,MATCH($E24,SUPPLIERS!$A$4:$A$63,0)),0))</f>
        <v/>
      </c>
      <c r="V24" s="2" t="str">
        <f aca="false">IF($Q24="","",IF($U24&gt;0,100,0)+IF($P24="",0,$P24)+ROW()/100000)</f>
        <v/>
      </c>
      <c r="W24" s="2" t="str">
        <f aca="false">IF($V24="","",IF($A24=SEL_MODEL,$V24,""))</f>
        <v/>
      </c>
    </row>
    <row r="25" customFormat="false" ht="15" hidden="false" customHeight="false" outlineLevel="0" collapsed="false">
      <c r="A25" s="20"/>
      <c r="B25" s="21"/>
      <c r="C25" s="22"/>
      <c r="D25" s="21"/>
      <c r="E25" s="20"/>
      <c r="F25" s="23"/>
      <c r="G25" s="24" t="str">
        <f aca="false">IF(OR($A25="",$F25=""),"",IFERROR(IF(INDEX(MODELS!$K$4:$K$28,MATCH($A25,MODELS!$A$4:$A$28,0))="","",$F25*INDEX(MODELS!$K$4:$K$28,MATCH($A25,MODELS!$A$4:$A$28,0))),""))</f>
        <v/>
      </c>
      <c r="H25" s="21"/>
      <c r="I25" s="21"/>
      <c r="J25" s="21"/>
      <c r="K25" s="25" t="str">
        <f aca="false">IF($E25="","",IFERROR(IF(INDEX(SUPPLIERS!$K$4:$K$63,MATCH($E25,SUPPLIERS!$A$4:$A$63,0))="","",INDEX(SUPPLIERS!$K$4:$K$63,MATCH($E25,SUPPLIERS!$A$4:$A$63,0))),""))</f>
        <v/>
      </c>
      <c r="L25" s="25" t="str">
        <f aca="false">IF($E25="","",IFERROR(IF(INDEX(SUPPLIERS!$L$4:$L$63,MATCH($E25,SUPPLIERS!$A$4:$A$63,0))="","",INDEX(SUPPLIERS!$L$4:$L$63,MATCH($E25,SUPPLIERS!$A$4:$A$63,0))),""))</f>
        <v/>
      </c>
      <c r="M25" s="21"/>
      <c r="N25" s="11" t="str">
        <f aca="false">IF($E25="","",IFERROR(_xlfn.TEXTJOIN("; ",TRUE(),INDEX(SUPPLIERS!$F$4:$F$63,MATCH($E25,SUPPLIERS!$A$4:$A$63,0)),INDEX(SUPPLIERS!$G$4:$G$63,MATCH($E25,SUPPLIERS!$A$4:$A$63,0)),INDEX(SUPPLIERS!$H$4:$H$63,MATCH($E25,SUPPLIERS!$A$4:$A$63,0)),INDEX(SUPPLIERS!$I$4:$I$63,MATCH($E25,SUPPLIERS!$A$4:$A$63,0)),INDEX(SUPPLIERS!$J$4:$J$63,MATCH($E25,SUPPLIERS!$A$4:$A$63,0))),""))</f>
        <v/>
      </c>
      <c r="O25" s="26" t="str">
        <f aca="false">IF(COUNT($H25:$L25)&lt;5,"",ROUND($H25*W_SRC+$I25*W_QC+$J25*W_CAP+$K25*W_SUP+$L25*W_EXT,1))</f>
        <v/>
      </c>
      <c r="P25" s="27" t="str">
        <f aca="false">IF(OR($O25="",$M25=""),"",ROUND($O25*$M25,1))</f>
        <v/>
      </c>
      <c r="Q25" s="28" t="str">
        <f aca="false">IF($E25="","",IF($U25&gt;0,"CRITICAL (FLAG)",IF(OR($O25="",$M25=""),"NOT SCORED",IF($P25&gt;=T_CRIT,"CRITICAL",IF($P25&gt;=T_MON,"MONITOR","LOW")))))</f>
        <v/>
      </c>
      <c r="R25" s="12" t="str">
        <f aca="false">IF($O25="","",INDEX(DriverNames,MATCH(MAX($H25:$L25),$H25:$L25,0)))</f>
        <v/>
      </c>
      <c r="S25" s="22"/>
      <c r="T25" s="29"/>
      <c r="U25" s="2" t="str">
        <f aca="false">IF($E25="","",IFERROR(INDEX(SUPPLIERS!$Q$4:$Q$63,MATCH($E25,SUPPLIERS!$A$4:$A$63,0)),0))</f>
        <v/>
      </c>
      <c r="V25" s="2" t="str">
        <f aca="false">IF($Q25="","",IF($U25&gt;0,100,0)+IF($P25="",0,$P25)+ROW()/100000)</f>
        <v/>
      </c>
      <c r="W25" s="2" t="str">
        <f aca="false">IF($V25="","",IF($A25=SEL_MODEL,$V25,""))</f>
        <v/>
      </c>
    </row>
    <row r="26" customFormat="false" ht="15" hidden="false" customHeight="false" outlineLevel="0" collapsed="false">
      <c r="A26" s="20"/>
      <c r="B26" s="21"/>
      <c r="C26" s="22"/>
      <c r="D26" s="21"/>
      <c r="E26" s="20"/>
      <c r="F26" s="23"/>
      <c r="G26" s="24" t="str">
        <f aca="false">IF(OR($A26="",$F26=""),"",IFERROR(IF(INDEX(MODELS!$K$4:$K$28,MATCH($A26,MODELS!$A$4:$A$28,0))="","",$F26*INDEX(MODELS!$K$4:$K$28,MATCH($A26,MODELS!$A$4:$A$28,0))),""))</f>
        <v/>
      </c>
      <c r="H26" s="21"/>
      <c r="I26" s="21"/>
      <c r="J26" s="21"/>
      <c r="K26" s="25" t="str">
        <f aca="false">IF($E26="","",IFERROR(IF(INDEX(SUPPLIERS!$K$4:$K$63,MATCH($E26,SUPPLIERS!$A$4:$A$63,0))="","",INDEX(SUPPLIERS!$K$4:$K$63,MATCH($E26,SUPPLIERS!$A$4:$A$63,0))),""))</f>
        <v/>
      </c>
      <c r="L26" s="25" t="str">
        <f aca="false">IF($E26="","",IFERROR(IF(INDEX(SUPPLIERS!$L$4:$L$63,MATCH($E26,SUPPLIERS!$A$4:$A$63,0))="","",INDEX(SUPPLIERS!$L$4:$L$63,MATCH($E26,SUPPLIERS!$A$4:$A$63,0))),""))</f>
        <v/>
      </c>
      <c r="M26" s="21"/>
      <c r="N26" s="11" t="str">
        <f aca="false">IF($E26="","",IFERROR(_xlfn.TEXTJOIN("; ",TRUE(),INDEX(SUPPLIERS!$F$4:$F$63,MATCH($E26,SUPPLIERS!$A$4:$A$63,0)),INDEX(SUPPLIERS!$G$4:$G$63,MATCH($E26,SUPPLIERS!$A$4:$A$63,0)),INDEX(SUPPLIERS!$H$4:$H$63,MATCH($E26,SUPPLIERS!$A$4:$A$63,0)),INDEX(SUPPLIERS!$I$4:$I$63,MATCH($E26,SUPPLIERS!$A$4:$A$63,0)),INDEX(SUPPLIERS!$J$4:$J$63,MATCH($E26,SUPPLIERS!$A$4:$A$63,0))),""))</f>
        <v/>
      </c>
      <c r="O26" s="26" t="str">
        <f aca="false">IF(COUNT($H26:$L26)&lt;5,"",ROUND($H26*W_SRC+$I26*W_QC+$J26*W_CAP+$K26*W_SUP+$L26*W_EXT,1))</f>
        <v/>
      </c>
      <c r="P26" s="27" t="str">
        <f aca="false">IF(OR($O26="",$M26=""),"",ROUND($O26*$M26,1))</f>
        <v/>
      </c>
      <c r="Q26" s="28" t="str">
        <f aca="false">IF($E26="","",IF($U26&gt;0,"CRITICAL (FLAG)",IF(OR($O26="",$M26=""),"NOT SCORED",IF($P26&gt;=T_CRIT,"CRITICAL",IF($P26&gt;=T_MON,"MONITOR","LOW")))))</f>
        <v/>
      </c>
      <c r="R26" s="12" t="str">
        <f aca="false">IF($O26="","",INDEX(DriverNames,MATCH(MAX($H26:$L26),$H26:$L26,0)))</f>
        <v/>
      </c>
      <c r="S26" s="22"/>
      <c r="T26" s="29"/>
      <c r="U26" s="2" t="str">
        <f aca="false">IF($E26="","",IFERROR(INDEX(SUPPLIERS!$Q$4:$Q$63,MATCH($E26,SUPPLIERS!$A$4:$A$63,0)),0))</f>
        <v/>
      </c>
      <c r="V26" s="2" t="str">
        <f aca="false">IF($Q26="","",IF($U26&gt;0,100,0)+IF($P26="",0,$P26)+ROW()/100000)</f>
        <v/>
      </c>
      <c r="W26" s="2" t="str">
        <f aca="false">IF($V26="","",IF($A26=SEL_MODEL,$V26,""))</f>
        <v/>
      </c>
    </row>
    <row r="27" customFormat="false" ht="15" hidden="false" customHeight="false" outlineLevel="0" collapsed="false">
      <c r="A27" s="20"/>
      <c r="B27" s="21"/>
      <c r="C27" s="22"/>
      <c r="D27" s="21"/>
      <c r="E27" s="20"/>
      <c r="F27" s="23"/>
      <c r="G27" s="24" t="str">
        <f aca="false">IF(OR($A27="",$F27=""),"",IFERROR(IF(INDEX(MODELS!$K$4:$K$28,MATCH($A27,MODELS!$A$4:$A$28,0))="","",$F27*INDEX(MODELS!$K$4:$K$28,MATCH($A27,MODELS!$A$4:$A$28,0))),""))</f>
        <v/>
      </c>
      <c r="H27" s="21"/>
      <c r="I27" s="21"/>
      <c r="J27" s="21"/>
      <c r="K27" s="25" t="str">
        <f aca="false">IF($E27="","",IFERROR(IF(INDEX(SUPPLIERS!$K$4:$K$63,MATCH($E27,SUPPLIERS!$A$4:$A$63,0))="","",INDEX(SUPPLIERS!$K$4:$K$63,MATCH($E27,SUPPLIERS!$A$4:$A$63,0))),""))</f>
        <v/>
      </c>
      <c r="L27" s="25" t="str">
        <f aca="false">IF($E27="","",IFERROR(IF(INDEX(SUPPLIERS!$L$4:$L$63,MATCH($E27,SUPPLIERS!$A$4:$A$63,0))="","",INDEX(SUPPLIERS!$L$4:$L$63,MATCH($E27,SUPPLIERS!$A$4:$A$63,0))),""))</f>
        <v/>
      </c>
      <c r="M27" s="21"/>
      <c r="N27" s="11" t="str">
        <f aca="false">IF($E27="","",IFERROR(_xlfn.TEXTJOIN("; ",TRUE(),INDEX(SUPPLIERS!$F$4:$F$63,MATCH($E27,SUPPLIERS!$A$4:$A$63,0)),INDEX(SUPPLIERS!$G$4:$G$63,MATCH($E27,SUPPLIERS!$A$4:$A$63,0)),INDEX(SUPPLIERS!$H$4:$H$63,MATCH($E27,SUPPLIERS!$A$4:$A$63,0)),INDEX(SUPPLIERS!$I$4:$I$63,MATCH($E27,SUPPLIERS!$A$4:$A$63,0)),INDEX(SUPPLIERS!$J$4:$J$63,MATCH($E27,SUPPLIERS!$A$4:$A$63,0))),""))</f>
        <v/>
      </c>
      <c r="O27" s="26" t="str">
        <f aca="false">IF(COUNT($H27:$L27)&lt;5,"",ROUND($H27*W_SRC+$I27*W_QC+$J27*W_CAP+$K27*W_SUP+$L27*W_EXT,1))</f>
        <v/>
      </c>
      <c r="P27" s="27" t="str">
        <f aca="false">IF(OR($O27="",$M27=""),"",ROUND($O27*$M27,1))</f>
        <v/>
      </c>
      <c r="Q27" s="28" t="str">
        <f aca="false">IF($E27="","",IF($U27&gt;0,"CRITICAL (FLAG)",IF(OR($O27="",$M27=""),"NOT SCORED",IF($P27&gt;=T_CRIT,"CRITICAL",IF($P27&gt;=T_MON,"MONITOR","LOW")))))</f>
        <v/>
      </c>
      <c r="R27" s="12" t="str">
        <f aca="false">IF($O27="","",INDEX(DriverNames,MATCH(MAX($H27:$L27),$H27:$L27,0)))</f>
        <v/>
      </c>
      <c r="S27" s="22"/>
      <c r="T27" s="29"/>
      <c r="U27" s="2" t="str">
        <f aca="false">IF($E27="","",IFERROR(INDEX(SUPPLIERS!$Q$4:$Q$63,MATCH($E27,SUPPLIERS!$A$4:$A$63,0)),0))</f>
        <v/>
      </c>
      <c r="V27" s="2" t="str">
        <f aca="false">IF($Q27="","",IF($U27&gt;0,100,0)+IF($P27="",0,$P27)+ROW()/100000)</f>
        <v/>
      </c>
      <c r="W27" s="2" t="str">
        <f aca="false">IF($V27="","",IF($A27=SEL_MODEL,$V27,""))</f>
        <v/>
      </c>
    </row>
    <row r="28" customFormat="false" ht="15" hidden="false" customHeight="false" outlineLevel="0" collapsed="false">
      <c r="A28" s="20"/>
      <c r="B28" s="21"/>
      <c r="C28" s="22"/>
      <c r="D28" s="21"/>
      <c r="E28" s="20"/>
      <c r="F28" s="23"/>
      <c r="G28" s="24" t="str">
        <f aca="false">IF(OR($A28="",$F28=""),"",IFERROR(IF(INDEX(MODELS!$K$4:$K$28,MATCH($A28,MODELS!$A$4:$A$28,0))="","",$F28*INDEX(MODELS!$K$4:$K$28,MATCH($A28,MODELS!$A$4:$A$28,0))),""))</f>
        <v/>
      </c>
      <c r="H28" s="21"/>
      <c r="I28" s="21"/>
      <c r="J28" s="21"/>
      <c r="K28" s="25" t="str">
        <f aca="false">IF($E28="","",IFERROR(IF(INDEX(SUPPLIERS!$K$4:$K$63,MATCH($E28,SUPPLIERS!$A$4:$A$63,0))="","",INDEX(SUPPLIERS!$K$4:$K$63,MATCH($E28,SUPPLIERS!$A$4:$A$63,0))),""))</f>
        <v/>
      </c>
      <c r="L28" s="25" t="str">
        <f aca="false">IF($E28="","",IFERROR(IF(INDEX(SUPPLIERS!$L$4:$L$63,MATCH($E28,SUPPLIERS!$A$4:$A$63,0))="","",INDEX(SUPPLIERS!$L$4:$L$63,MATCH($E28,SUPPLIERS!$A$4:$A$63,0))),""))</f>
        <v/>
      </c>
      <c r="M28" s="21"/>
      <c r="N28" s="11" t="str">
        <f aca="false">IF($E28="","",IFERROR(_xlfn.TEXTJOIN("; ",TRUE(),INDEX(SUPPLIERS!$F$4:$F$63,MATCH($E28,SUPPLIERS!$A$4:$A$63,0)),INDEX(SUPPLIERS!$G$4:$G$63,MATCH($E28,SUPPLIERS!$A$4:$A$63,0)),INDEX(SUPPLIERS!$H$4:$H$63,MATCH($E28,SUPPLIERS!$A$4:$A$63,0)),INDEX(SUPPLIERS!$I$4:$I$63,MATCH($E28,SUPPLIERS!$A$4:$A$63,0)),INDEX(SUPPLIERS!$J$4:$J$63,MATCH($E28,SUPPLIERS!$A$4:$A$63,0))),""))</f>
        <v/>
      </c>
      <c r="O28" s="26" t="str">
        <f aca="false">IF(COUNT($H28:$L28)&lt;5,"",ROUND($H28*W_SRC+$I28*W_QC+$J28*W_CAP+$K28*W_SUP+$L28*W_EXT,1))</f>
        <v/>
      </c>
      <c r="P28" s="27" t="str">
        <f aca="false">IF(OR($O28="",$M28=""),"",ROUND($O28*$M28,1))</f>
        <v/>
      </c>
      <c r="Q28" s="28" t="str">
        <f aca="false">IF($E28="","",IF($U28&gt;0,"CRITICAL (FLAG)",IF(OR($O28="",$M28=""),"NOT SCORED",IF($P28&gt;=T_CRIT,"CRITICAL",IF($P28&gt;=T_MON,"MONITOR","LOW")))))</f>
        <v/>
      </c>
      <c r="R28" s="12" t="str">
        <f aca="false">IF($O28="","",INDEX(DriverNames,MATCH(MAX($H28:$L28),$H28:$L28,0)))</f>
        <v/>
      </c>
      <c r="S28" s="22"/>
      <c r="T28" s="29"/>
      <c r="U28" s="2" t="str">
        <f aca="false">IF($E28="","",IFERROR(INDEX(SUPPLIERS!$Q$4:$Q$63,MATCH($E28,SUPPLIERS!$A$4:$A$63,0)),0))</f>
        <v/>
      </c>
      <c r="V28" s="2" t="str">
        <f aca="false">IF($Q28="","",IF($U28&gt;0,100,0)+IF($P28="",0,$P28)+ROW()/100000)</f>
        <v/>
      </c>
      <c r="W28" s="2" t="str">
        <f aca="false">IF($V28="","",IF($A28=SEL_MODEL,$V28,""))</f>
        <v/>
      </c>
    </row>
    <row r="29" customFormat="false" ht="15" hidden="false" customHeight="false" outlineLevel="0" collapsed="false">
      <c r="A29" s="20"/>
      <c r="B29" s="21"/>
      <c r="C29" s="22"/>
      <c r="D29" s="21"/>
      <c r="E29" s="20"/>
      <c r="F29" s="23"/>
      <c r="G29" s="24" t="str">
        <f aca="false">IF(OR($A29="",$F29=""),"",IFERROR(IF(INDEX(MODELS!$K$4:$K$28,MATCH($A29,MODELS!$A$4:$A$28,0))="","",$F29*INDEX(MODELS!$K$4:$K$28,MATCH($A29,MODELS!$A$4:$A$28,0))),""))</f>
        <v/>
      </c>
      <c r="H29" s="21"/>
      <c r="I29" s="21"/>
      <c r="J29" s="21"/>
      <c r="K29" s="25" t="str">
        <f aca="false">IF($E29="","",IFERROR(IF(INDEX(SUPPLIERS!$K$4:$K$63,MATCH($E29,SUPPLIERS!$A$4:$A$63,0))="","",INDEX(SUPPLIERS!$K$4:$K$63,MATCH($E29,SUPPLIERS!$A$4:$A$63,0))),""))</f>
        <v/>
      </c>
      <c r="L29" s="25" t="str">
        <f aca="false">IF($E29="","",IFERROR(IF(INDEX(SUPPLIERS!$L$4:$L$63,MATCH($E29,SUPPLIERS!$A$4:$A$63,0))="","",INDEX(SUPPLIERS!$L$4:$L$63,MATCH($E29,SUPPLIERS!$A$4:$A$63,0))),""))</f>
        <v/>
      </c>
      <c r="M29" s="21"/>
      <c r="N29" s="11" t="str">
        <f aca="false">IF($E29="","",IFERROR(_xlfn.TEXTJOIN("; ",TRUE(),INDEX(SUPPLIERS!$F$4:$F$63,MATCH($E29,SUPPLIERS!$A$4:$A$63,0)),INDEX(SUPPLIERS!$G$4:$G$63,MATCH($E29,SUPPLIERS!$A$4:$A$63,0)),INDEX(SUPPLIERS!$H$4:$H$63,MATCH($E29,SUPPLIERS!$A$4:$A$63,0)),INDEX(SUPPLIERS!$I$4:$I$63,MATCH($E29,SUPPLIERS!$A$4:$A$63,0)),INDEX(SUPPLIERS!$J$4:$J$63,MATCH($E29,SUPPLIERS!$A$4:$A$63,0))),""))</f>
        <v/>
      </c>
      <c r="O29" s="26" t="str">
        <f aca="false">IF(COUNT($H29:$L29)&lt;5,"",ROUND($H29*W_SRC+$I29*W_QC+$J29*W_CAP+$K29*W_SUP+$L29*W_EXT,1))</f>
        <v/>
      </c>
      <c r="P29" s="27" t="str">
        <f aca="false">IF(OR($O29="",$M29=""),"",ROUND($O29*$M29,1))</f>
        <v/>
      </c>
      <c r="Q29" s="28" t="str">
        <f aca="false">IF($E29="","",IF($U29&gt;0,"CRITICAL (FLAG)",IF(OR($O29="",$M29=""),"NOT SCORED",IF($P29&gt;=T_CRIT,"CRITICAL",IF($P29&gt;=T_MON,"MONITOR","LOW")))))</f>
        <v/>
      </c>
      <c r="R29" s="12" t="str">
        <f aca="false">IF($O29="","",INDEX(DriverNames,MATCH(MAX($H29:$L29),$H29:$L29,0)))</f>
        <v/>
      </c>
      <c r="S29" s="22"/>
      <c r="T29" s="29"/>
      <c r="U29" s="2" t="str">
        <f aca="false">IF($E29="","",IFERROR(INDEX(SUPPLIERS!$Q$4:$Q$63,MATCH($E29,SUPPLIERS!$A$4:$A$63,0)),0))</f>
        <v/>
      </c>
      <c r="V29" s="2" t="str">
        <f aca="false">IF($Q29="","",IF($U29&gt;0,100,0)+IF($P29="",0,$P29)+ROW()/100000)</f>
        <v/>
      </c>
      <c r="W29" s="2" t="str">
        <f aca="false">IF($V29="","",IF($A29=SEL_MODEL,$V29,""))</f>
        <v/>
      </c>
    </row>
    <row r="30" customFormat="false" ht="15" hidden="false" customHeight="false" outlineLevel="0" collapsed="false">
      <c r="A30" s="20"/>
      <c r="B30" s="21"/>
      <c r="C30" s="22"/>
      <c r="D30" s="21"/>
      <c r="E30" s="20"/>
      <c r="F30" s="23"/>
      <c r="G30" s="24" t="str">
        <f aca="false">IF(OR($A30="",$F30=""),"",IFERROR(IF(INDEX(MODELS!$K$4:$K$28,MATCH($A30,MODELS!$A$4:$A$28,0))="","",$F30*INDEX(MODELS!$K$4:$K$28,MATCH($A30,MODELS!$A$4:$A$28,0))),""))</f>
        <v/>
      </c>
      <c r="H30" s="21"/>
      <c r="I30" s="21"/>
      <c r="J30" s="21"/>
      <c r="K30" s="25" t="str">
        <f aca="false">IF($E30="","",IFERROR(IF(INDEX(SUPPLIERS!$K$4:$K$63,MATCH($E30,SUPPLIERS!$A$4:$A$63,0))="","",INDEX(SUPPLIERS!$K$4:$K$63,MATCH($E30,SUPPLIERS!$A$4:$A$63,0))),""))</f>
        <v/>
      </c>
      <c r="L30" s="25" t="str">
        <f aca="false">IF($E30="","",IFERROR(IF(INDEX(SUPPLIERS!$L$4:$L$63,MATCH($E30,SUPPLIERS!$A$4:$A$63,0))="","",INDEX(SUPPLIERS!$L$4:$L$63,MATCH($E30,SUPPLIERS!$A$4:$A$63,0))),""))</f>
        <v/>
      </c>
      <c r="M30" s="21"/>
      <c r="N30" s="11" t="str">
        <f aca="false">IF($E30="","",IFERROR(_xlfn.TEXTJOIN("; ",TRUE(),INDEX(SUPPLIERS!$F$4:$F$63,MATCH($E30,SUPPLIERS!$A$4:$A$63,0)),INDEX(SUPPLIERS!$G$4:$G$63,MATCH($E30,SUPPLIERS!$A$4:$A$63,0)),INDEX(SUPPLIERS!$H$4:$H$63,MATCH($E30,SUPPLIERS!$A$4:$A$63,0)),INDEX(SUPPLIERS!$I$4:$I$63,MATCH($E30,SUPPLIERS!$A$4:$A$63,0)),INDEX(SUPPLIERS!$J$4:$J$63,MATCH($E30,SUPPLIERS!$A$4:$A$63,0))),""))</f>
        <v/>
      </c>
      <c r="O30" s="26" t="str">
        <f aca="false">IF(COUNT($H30:$L30)&lt;5,"",ROUND($H30*W_SRC+$I30*W_QC+$J30*W_CAP+$K30*W_SUP+$L30*W_EXT,1))</f>
        <v/>
      </c>
      <c r="P30" s="27" t="str">
        <f aca="false">IF(OR($O30="",$M30=""),"",ROUND($O30*$M30,1))</f>
        <v/>
      </c>
      <c r="Q30" s="28" t="str">
        <f aca="false">IF($E30="","",IF($U30&gt;0,"CRITICAL (FLAG)",IF(OR($O30="",$M30=""),"NOT SCORED",IF($P30&gt;=T_CRIT,"CRITICAL",IF($P30&gt;=T_MON,"MONITOR","LOW")))))</f>
        <v/>
      </c>
      <c r="R30" s="12" t="str">
        <f aca="false">IF($O30="","",INDEX(DriverNames,MATCH(MAX($H30:$L30),$H30:$L30,0)))</f>
        <v/>
      </c>
      <c r="S30" s="22"/>
      <c r="T30" s="29"/>
      <c r="U30" s="2" t="str">
        <f aca="false">IF($E30="","",IFERROR(INDEX(SUPPLIERS!$Q$4:$Q$63,MATCH($E30,SUPPLIERS!$A$4:$A$63,0)),0))</f>
        <v/>
      </c>
      <c r="V30" s="2" t="str">
        <f aca="false">IF($Q30="","",IF($U30&gt;0,100,0)+IF($P30="",0,$P30)+ROW()/100000)</f>
        <v/>
      </c>
      <c r="W30" s="2" t="str">
        <f aca="false">IF($V30="","",IF($A30=SEL_MODEL,$V30,""))</f>
        <v/>
      </c>
    </row>
    <row r="31" customFormat="false" ht="15" hidden="false" customHeight="false" outlineLevel="0" collapsed="false">
      <c r="A31" s="20"/>
      <c r="B31" s="21"/>
      <c r="C31" s="22"/>
      <c r="D31" s="21"/>
      <c r="E31" s="20"/>
      <c r="F31" s="23"/>
      <c r="G31" s="24" t="str">
        <f aca="false">IF(OR($A31="",$F31=""),"",IFERROR(IF(INDEX(MODELS!$K$4:$K$28,MATCH($A31,MODELS!$A$4:$A$28,0))="","",$F31*INDEX(MODELS!$K$4:$K$28,MATCH($A31,MODELS!$A$4:$A$28,0))),""))</f>
        <v/>
      </c>
      <c r="H31" s="21"/>
      <c r="I31" s="21"/>
      <c r="J31" s="21"/>
      <c r="K31" s="25" t="str">
        <f aca="false">IF($E31="","",IFERROR(IF(INDEX(SUPPLIERS!$K$4:$K$63,MATCH($E31,SUPPLIERS!$A$4:$A$63,0))="","",INDEX(SUPPLIERS!$K$4:$K$63,MATCH($E31,SUPPLIERS!$A$4:$A$63,0))),""))</f>
        <v/>
      </c>
      <c r="L31" s="25" t="str">
        <f aca="false">IF($E31="","",IFERROR(IF(INDEX(SUPPLIERS!$L$4:$L$63,MATCH($E31,SUPPLIERS!$A$4:$A$63,0))="","",INDEX(SUPPLIERS!$L$4:$L$63,MATCH($E31,SUPPLIERS!$A$4:$A$63,0))),""))</f>
        <v/>
      </c>
      <c r="M31" s="21"/>
      <c r="N31" s="11" t="str">
        <f aca="false">IF($E31="","",IFERROR(_xlfn.TEXTJOIN("; ",TRUE(),INDEX(SUPPLIERS!$F$4:$F$63,MATCH($E31,SUPPLIERS!$A$4:$A$63,0)),INDEX(SUPPLIERS!$G$4:$G$63,MATCH($E31,SUPPLIERS!$A$4:$A$63,0)),INDEX(SUPPLIERS!$H$4:$H$63,MATCH($E31,SUPPLIERS!$A$4:$A$63,0)),INDEX(SUPPLIERS!$I$4:$I$63,MATCH($E31,SUPPLIERS!$A$4:$A$63,0)),INDEX(SUPPLIERS!$J$4:$J$63,MATCH($E31,SUPPLIERS!$A$4:$A$63,0))),""))</f>
        <v/>
      </c>
      <c r="O31" s="26" t="str">
        <f aca="false">IF(COUNT($H31:$L31)&lt;5,"",ROUND($H31*W_SRC+$I31*W_QC+$J31*W_CAP+$K31*W_SUP+$L31*W_EXT,1))</f>
        <v/>
      </c>
      <c r="P31" s="27" t="str">
        <f aca="false">IF(OR($O31="",$M31=""),"",ROUND($O31*$M31,1))</f>
        <v/>
      </c>
      <c r="Q31" s="28" t="str">
        <f aca="false">IF($E31="","",IF($U31&gt;0,"CRITICAL (FLAG)",IF(OR($O31="",$M31=""),"NOT SCORED",IF($P31&gt;=T_CRIT,"CRITICAL",IF($P31&gt;=T_MON,"MONITOR","LOW")))))</f>
        <v/>
      </c>
      <c r="R31" s="12" t="str">
        <f aca="false">IF($O31="","",INDEX(DriverNames,MATCH(MAX($H31:$L31),$H31:$L31,0)))</f>
        <v/>
      </c>
      <c r="S31" s="22"/>
      <c r="T31" s="29"/>
      <c r="U31" s="2" t="str">
        <f aca="false">IF($E31="","",IFERROR(INDEX(SUPPLIERS!$Q$4:$Q$63,MATCH($E31,SUPPLIERS!$A$4:$A$63,0)),0))</f>
        <v/>
      </c>
      <c r="V31" s="2" t="str">
        <f aca="false">IF($Q31="","",IF($U31&gt;0,100,0)+IF($P31="",0,$P31)+ROW()/100000)</f>
        <v/>
      </c>
      <c r="W31" s="2" t="str">
        <f aca="false">IF($V31="","",IF($A31=SEL_MODEL,$V31,""))</f>
        <v/>
      </c>
    </row>
    <row r="32" customFormat="false" ht="15" hidden="false" customHeight="false" outlineLevel="0" collapsed="false">
      <c r="A32" s="20"/>
      <c r="B32" s="21"/>
      <c r="C32" s="22"/>
      <c r="D32" s="21"/>
      <c r="E32" s="20"/>
      <c r="F32" s="23"/>
      <c r="G32" s="24" t="str">
        <f aca="false">IF(OR($A32="",$F32=""),"",IFERROR(IF(INDEX(MODELS!$K$4:$K$28,MATCH($A32,MODELS!$A$4:$A$28,0))="","",$F32*INDEX(MODELS!$K$4:$K$28,MATCH($A32,MODELS!$A$4:$A$28,0))),""))</f>
        <v/>
      </c>
      <c r="H32" s="21"/>
      <c r="I32" s="21"/>
      <c r="J32" s="21"/>
      <c r="K32" s="25" t="str">
        <f aca="false">IF($E32="","",IFERROR(IF(INDEX(SUPPLIERS!$K$4:$K$63,MATCH($E32,SUPPLIERS!$A$4:$A$63,0))="","",INDEX(SUPPLIERS!$K$4:$K$63,MATCH($E32,SUPPLIERS!$A$4:$A$63,0))),""))</f>
        <v/>
      </c>
      <c r="L32" s="25" t="str">
        <f aca="false">IF($E32="","",IFERROR(IF(INDEX(SUPPLIERS!$L$4:$L$63,MATCH($E32,SUPPLIERS!$A$4:$A$63,0))="","",INDEX(SUPPLIERS!$L$4:$L$63,MATCH($E32,SUPPLIERS!$A$4:$A$63,0))),""))</f>
        <v/>
      </c>
      <c r="M32" s="21"/>
      <c r="N32" s="11" t="str">
        <f aca="false">IF($E32="","",IFERROR(_xlfn.TEXTJOIN("; ",TRUE(),INDEX(SUPPLIERS!$F$4:$F$63,MATCH($E32,SUPPLIERS!$A$4:$A$63,0)),INDEX(SUPPLIERS!$G$4:$G$63,MATCH($E32,SUPPLIERS!$A$4:$A$63,0)),INDEX(SUPPLIERS!$H$4:$H$63,MATCH($E32,SUPPLIERS!$A$4:$A$63,0)),INDEX(SUPPLIERS!$I$4:$I$63,MATCH($E32,SUPPLIERS!$A$4:$A$63,0)),INDEX(SUPPLIERS!$J$4:$J$63,MATCH($E32,SUPPLIERS!$A$4:$A$63,0))),""))</f>
        <v/>
      </c>
      <c r="O32" s="26" t="str">
        <f aca="false">IF(COUNT($H32:$L32)&lt;5,"",ROUND($H32*W_SRC+$I32*W_QC+$J32*W_CAP+$K32*W_SUP+$L32*W_EXT,1))</f>
        <v/>
      </c>
      <c r="P32" s="27" t="str">
        <f aca="false">IF(OR($O32="",$M32=""),"",ROUND($O32*$M32,1))</f>
        <v/>
      </c>
      <c r="Q32" s="28" t="str">
        <f aca="false">IF($E32="","",IF($U32&gt;0,"CRITICAL (FLAG)",IF(OR($O32="",$M32=""),"NOT SCORED",IF($P32&gt;=T_CRIT,"CRITICAL",IF($P32&gt;=T_MON,"MONITOR","LOW")))))</f>
        <v/>
      </c>
      <c r="R32" s="12" t="str">
        <f aca="false">IF($O32="","",INDEX(DriverNames,MATCH(MAX($H32:$L32),$H32:$L32,0)))</f>
        <v/>
      </c>
      <c r="S32" s="22"/>
      <c r="T32" s="29"/>
      <c r="U32" s="2" t="str">
        <f aca="false">IF($E32="","",IFERROR(INDEX(SUPPLIERS!$Q$4:$Q$63,MATCH($E32,SUPPLIERS!$A$4:$A$63,0)),0))</f>
        <v/>
      </c>
      <c r="V32" s="2" t="str">
        <f aca="false">IF($Q32="","",IF($U32&gt;0,100,0)+IF($P32="",0,$P32)+ROW()/100000)</f>
        <v/>
      </c>
      <c r="W32" s="2" t="str">
        <f aca="false">IF($V32="","",IF($A32=SEL_MODEL,$V32,""))</f>
        <v/>
      </c>
    </row>
    <row r="33" customFormat="false" ht="15" hidden="false" customHeight="false" outlineLevel="0" collapsed="false">
      <c r="A33" s="20"/>
      <c r="B33" s="21"/>
      <c r="C33" s="22"/>
      <c r="D33" s="21"/>
      <c r="E33" s="20"/>
      <c r="F33" s="23"/>
      <c r="G33" s="24" t="str">
        <f aca="false">IF(OR($A33="",$F33=""),"",IFERROR(IF(INDEX(MODELS!$K$4:$K$28,MATCH($A33,MODELS!$A$4:$A$28,0))="","",$F33*INDEX(MODELS!$K$4:$K$28,MATCH($A33,MODELS!$A$4:$A$28,0))),""))</f>
        <v/>
      </c>
      <c r="H33" s="21"/>
      <c r="I33" s="21"/>
      <c r="J33" s="21"/>
      <c r="K33" s="25" t="str">
        <f aca="false">IF($E33="","",IFERROR(IF(INDEX(SUPPLIERS!$K$4:$K$63,MATCH($E33,SUPPLIERS!$A$4:$A$63,0))="","",INDEX(SUPPLIERS!$K$4:$K$63,MATCH($E33,SUPPLIERS!$A$4:$A$63,0))),""))</f>
        <v/>
      </c>
      <c r="L33" s="25" t="str">
        <f aca="false">IF($E33="","",IFERROR(IF(INDEX(SUPPLIERS!$L$4:$L$63,MATCH($E33,SUPPLIERS!$A$4:$A$63,0))="","",INDEX(SUPPLIERS!$L$4:$L$63,MATCH($E33,SUPPLIERS!$A$4:$A$63,0))),""))</f>
        <v/>
      </c>
      <c r="M33" s="21"/>
      <c r="N33" s="11" t="str">
        <f aca="false">IF($E33="","",IFERROR(_xlfn.TEXTJOIN("; ",TRUE(),INDEX(SUPPLIERS!$F$4:$F$63,MATCH($E33,SUPPLIERS!$A$4:$A$63,0)),INDEX(SUPPLIERS!$G$4:$G$63,MATCH($E33,SUPPLIERS!$A$4:$A$63,0)),INDEX(SUPPLIERS!$H$4:$H$63,MATCH($E33,SUPPLIERS!$A$4:$A$63,0)),INDEX(SUPPLIERS!$I$4:$I$63,MATCH($E33,SUPPLIERS!$A$4:$A$63,0)),INDEX(SUPPLIERS!$J$4:$J$63,MATCH($E33,SUPPLIERS!$A$4:$A$63,0))),""))</f>
        <v/>
      </c>
      <c r="O33" s="26" t="str">
        <f aca="false">IF(COUNT($H33:$L33)&lt;5,"",ROUND($H33*W_SRC+$I33*W_QC+$J33*W_CAP+$K33*W_SUP+$L33*W_EXT,1))</f>
        <v/>
      </c>
      <c r="P33" s="27" t="str">
        <f aca="false">IF(OR($O33="",$M33=""),"",ROUND($O33*$M33,1))</f>
        <v/>
      </c>
      <c r="Q33" s="28" t="str">
        <f aca="false">IF($E33="","",IF($U33&gt;0,"CRITICAL (FLAG)",IF(OR($O33="",$M33=""),"NOT SCORED",IF($P33&gt;=T_CRIT,"CRITICAL",IF($P33&gt;=T_MON,"MONITOR","LOW")))))</f>
        <v/>
      </c>
      <c r="R33" s="12" t="str">
        <f aca="false">IF($O33="","",INDEX(DriverNames,MATCH(MAX($H33:$L33),$H33:$L33,0)))</f>
        <v/>
      </c>
      <c r="S33" s="22"/>
      <c r="T33" s="29"/>
      <c r="U33" s="2" t="str">
        <f aca="false">IF($E33="","",IFERROR(INDEX(SUPPLIERS!$Q$4:$Q$63,MATCH($E33,SUPPLIERS!$A$4:$A$63,0)),0))</f>
        <v/>
      </c>
      <c r="V33" s="2" t="str">
        <f aca="false">IF($Q33="","",IF($U33&gt;0,100,0)+IF($P33="",0,$P33)+ROW()/100000)</f>
        <v/>
      </c>
      <c r="W33" s="2" t="str">
        <f aca="false">IF($V33="","",IF($A33=SEL_MODEL,$V33,""))</f>
        <v/>
      </c>
    </row>
    <row r="34" customFormat="false" ht="15" hidden="false" customHeight="false" outlineLevel="0" collapsed="false">
      <c r="A34" s="20"/>
      <c r="B34" s="21"/>
      <c r="C34" s="22"/>
      <c r="D34" s="21"/>
      <c r="E34" s="20"/>
      <c r="F34" s="23"/>
      <c r="G34" s="24" t="str">
        <f aca="false">IF(OR($A34="",$F34=""),"",IFERROR(IF(INDEX(MODELS!$K$4:$K$28,MATCH($A34,MODELS!$A$4:$A$28,0))="","",$F34*INDEX(MODELS!$K$4:$K$28,MATCH($A34,MODELS!$A$4:$A$28,0))),""))</f>
        <v/>
      </c>
      <c r="H34" s="21"/>
      <c r="I34" s="21"/>
      <c r="J34" s="21"/>
      <c r="K34" s="25" t="str">
        <f aca="false">IF($E34="","",IFERROR(IF(INDEX(SUPPLIERS!$K$4:$K$63,MATCH($E34,SUPPLIERS!$A$4:$A$63,0))="","",INDEX(SUPPLIERS!$K$4:$K$63,MATCH($E34,SUPPLIERS!$A$4:$A$63,0))),""))</f>
        <v/>
      </c>
      <c r="L34" s="25" t="str">
        <f aca="false">IF($E34="","",IFERROR(IF(INDEX(SUPPLIERS!$L$4:$L$63,MATCH($E34,SUPPLIERS!$A$4:$A$63,0))="","",INDEX(SUPPLIERS!$L$4:$L$63,MATCH($E34,SUPPLIERS!$A$4:$A$63,0))),""))</f>
        <v/>
      </c>
      <c r="M34" s="21"/>
      <c r="N34" s="11" t="str">
        <f aca="false">IF($E34="","",IFERROR(_xlfn.TEXTJOIN("; ",TRUE(),INDEX(SUPPLIERS!$F$4:$F$63,MATCH($E34,SUPPLIERS!$A$4:$A$63,0)),INDEX(SUPPLIERS!$G$4:$G$63,MATCH($E34,SUPPLIERS!$A$4:$A$63,0)),INDEX(SUPPLIERS!$H$4:$H$63,MATCH($E34,SUPPLIERS!$A$4:$A$63,0)),INDEX(SUPPLIERS!$I$4:$I$63,MATCH($E34,SUPPLIERS!$A$4:$A$63,0)),INDEX(SUPPLIERS!$J$4:$J$63,MATCH($E34,SUPPLIERS!$A$4:$A$63,0))),""))</f>
        <v/>
      </c>
      <c r="O34" s="26" t="str">
        <f aca="false">IF(COUNT($H34:$L34)&lt;5,"",ROUND($H34*W_SRC+$I34*W_QC+$J34*W_CAP+$K34*W_SUP+$L34*W_EXT,1))</f>
        <v/>
      </c>
      <c r="P34" s="27" t="str">
        <f aca="false">IF(OR($O34="",$M34=""),"",ROUND($O34*$M34,1))</f>
        <v/>
      </c>
      <c r="Q34" s="28" t="str">
        <f aca="false">IF($E34="","",IF($U34&gt;0,"CRITICAL (FLAG)",IF(OR($O34="",$M34=""),"NOT SCORED",IF($P34&gt;=T_CRIT,"CRITICAL",IF($P34&gt;=T_MON,"MONITOR","LOW")))))</f>
        <v/>
      </c>
      <c r="R34" s="12" t="str">
        <f aca="false">IF($O34="","",INDEX(DriverNames,MATCH(MAX($H34:$L34),$H34:$L34,0)))</f>
        <v/>
      </c>
      <c r="S34" s="22"/>
      <c r="T34" s="29"/>
      <c r="U34" s="2" t="str">
        <f aca="false">IF($E34="","",IFERROR(INDEX(SUPPLIERS!$Q$4:$Q$63,MATCH($E34,SUPPLIERS!$A$4:$A$63,0)),0))</f>
        <v/>
      </c>
      <c r="V34" s="2" t="str">
        <f aca="false">IF($Q34="","",IF($U34&gt;0,100,0)+IF($P34="",0,$P34)+ROW()/100000)</f>
        <v/>
      </c>
      <c r="W34" s="2" t="str">
        <f aca="false">IF($V34="","",IF($A34=SEL_MODEL,$V34,""))</f>
        <v/>
      </c>
    </row>
    <row r="35" customFormat="false" ht="15" hidden="false" customHeight="false" outlineLevel="0" collapsed="false">
      <c r="A35" s="20"/>
      <c r="B35" s="21"/>
      <c r="C35" s="22"/>
      <c r="D35" s="21"/>
      <c r="E35" s="20"/>
      <c r="F35" s="23"/>
      <c r="G35" s="24" t="str">
        <f aca="false">IF(OR($A35="",$F35=""),"",IFERROR(IF(INDEX(MODELS!$K$4:$K$28,MATCH($A35,MODELS!$A$4:$A$28,0))="","",$F35*INDEX(MODELS!$K$4:$K$28,MATCH($A35,MODELS!$A$4:$A$28,0))),""))</f>
        <v/>
      </c>
      <c r="H35" s="21"/>
      <c r="I35" s="21"/>
      <c r="J35" s="21"/>
      <c r="K35" s="25" t="str">
        <f aca="false">IF($E35="","",IFERROR(IF(INDEX(SUPPLIERS!$K$4:$K$63,MATCH($E35,SUPPLIERS!$A$4:$A$63,0))="","",INDEX(SUPPLIERS!$K$4:$K$63,MATCH($E35,SUPPLIERS!$A$4:$A$63,0))),""))</f>
        <v/>
      </c>
      <c r="L35" s="25" t="str">
        <f aca="false">IF($E35="","",IFERROR(IF(INDEX(SUPPLIERS!$L$4:$L$63,MATCH($E35,SUPPLIERS!$A$4:$A$63,0))="","",INDEX(SUPPLIERS!$L$4:$L$63,MATCH($E35,SUPPLIERS!$A$4:$A$63,0))),""))</f>
        <v/>
      </c>
      <c r="M35" s="21"/>
      <c r="N35" s="11" t="str">
        <f aca="false">IF($E35="","",IFERROR(_xlfn.TEXTJOIN("; ",TRUE(),INDEX(SUPPLIERS!$F$4:$F$63,MATCH($E35,SUPPLIERS!$A$4:$A$63,0)),INDEX(SUPPLIERS!$G$4:$G$63,MATCH($E35,SUPPLIERS!$A$4:$A$63,0)),INDEX(SUPPLIERS!$H$4:$H$63,MATCH($E35,SUPPLIERS!$A$4:$A$63,0)),INDEX(SUPPLIERS!$I$4:$I$63,MATCH($E35,SUPPLIERS!$A$4:$A$63,0)),INDEX(SUPPLIERS!$J$4:$J$63,MATCH($E35,SUPPLIERS!$A$4:$A$63,0))),""))</f>
        <v/>
      </c>
      <c r="O35" s="26" t="str">
        <f aca="false">IF(COUNT($H35:$L35)&lt;5,"",ROUND($H35*W_SRC+$I35*W_QC+$J35*W_CAP+$K35*W_SUP+$L35*W_EXT,1))</f>
        <v/>
      </c>
      <c r="P35" s="27" t="str">
        <f aca="false">IF(OR($O35="",$M35=""),"",ROUND($O35*$M35,1))</f>
        <v/>
      </c>
      <c r="Q35" s="28" t="str">
        <f aca="false">IF($E35="","",IF($U35&gt;0,"CRITICAL (FLAG)",IF(OR($O35="",$M35=""),"NOT SCORED",IF($P35&gt;=T_CRIT,"CRITICAL",IF($P35&gt;=T_MON,"MONITOR","LOW")))))</f>
        <v/>
      </c>
      <c r="R35" s="12" t="str">
        <f aca="false">IF($O35="","",INDEX(DriverNames,MATCH(MAX($H35:$L35),$H35:$L35,0)))</f>
        <v/>
      </c>
      <c r="S35" s="22"/>
      <c r="T35" s="29"/>
      <c r="U35" s="2" t="str">
        <f aca="false">IF($E35="","",IFERROR(INDEX(SUPPLIERS!$Q$4:$Q$63,MATCH($E35,SUPPLIERS!$A$4:$A$63,0)),0))</f>
        <v/>
      </c>
      <c r="V35" s="2" t="str">
        <f aca="false">IF($Q35="","",IF($U35&gt;0,100,0)+IF($P35="",0,$P35)+ROW()/100000)</f>
        <v/>
      </c>
      <c r="W35" s="2" t="str">
        <f aca="false">IF($V35="","",IF($A35=SEL_MODEL,$V35,""))</f>
        <v/>
      </c>
    </row>
    <row r="36" customFormat="false" ht="15" hidden="false" customHeight="false" outlineLevel="0" collapsed="false">
      <c r="A36" s="20"/>
      <c r="B36" s="21"/>
      <c r="C36" s="22"/>
      <c r="D36" s="21"/>
      <c r="E36" s="20"/>
      <c r="F36" s="23"/>
      <c r="G36" s="24" t="str">
        <f aca="false">IF(OR($A36="",$F36=""),"",IFERROR(IF(INDEX(MODELS!$K$4:$K$28,MATCH($A36,MODELS!$A$4:$A$28,0))="","",$F36*INDEX(MODELS!$K$4:$K$28,MATCH($A36,MODELS!$A$4:$A$28,0))),""))</f>
        <v/>
      </c>
      <c r="H36" s="21"/>
      <c r="I36" s="21"/>
      <c r="J36" s="21"/>
      <c r="K36" s="25" t="str">
        <f aca="false">IF($E36="","",IFERROR(IF(INDEX(SUPPLIERS!$K$4:$K$63,MATCH($E36,SUPPLIERS!$A$4:$A$63,0))="","",INDEX(SUPPLIERS!$K$4:$K$63,MATCH($E36,SUPPLIERS!$A$4:$A$63,0))),""))</f>
        <v/>
      </c>
      <c r="L36" s="25" t="str">
        <f aca="false">IF($E36="","",IFERROR(IF(INDEX(SUPPLIERS!$L$4:$L$63,MATCH($E36,SUPPLIERS!$A$4:$A$63,0))="","",INDEX(SUPPLIERS!$L$4:$L$63,MATCH($E36,SUPPLIERS!$A$4:$A$63,0))),""))</f>
        <v/>
      </c>
      <c r="M36" s="21"/>
      <c r="N36" s="11" t="str">
        <f aca="false">IF($E36="","",IFERROR(_xlfn.TEXTJOIN("; ",TRUE(),INDEX(SUPPLIERS!$F$4:$F$63,MATCH($E36,SUPPLIERS!$A$4:$A$63,0)),INDEX(SUPPLIERS!$G$4:$G$63,MATCH($E36,SUPPLIERS!$A$4:$A$63,0)),INDEX(SUPPLIERS!$H$4:$H$63,MATCH($E36,SUPPLIERS!$A$4:$A$63,0)),INDEX(SUPPLIERS!$I$4:$I$63,MATCH($E36,SUPPLIERS!$A$4:$A$63,0)),INDEX(SUPPLIERS!$J$4:$J$63,MATCH($E36,SUPPLIERS!$A$4:$A$63,0))),""))</f>
        <v/>
      </c>
      <c r="O36" s="26" t="str">
        <f aca="false">IF(COUNT($H36:$L36)&lt;5,"",ROUND($H36*W_SRC+$I36*W_QC+$J36*W_CAP+$K36*W_SUP+$L36*W_EXT,1))</f>
        <v/>
      </c>
      <c r="P36" s="27" t="str">
        <f aca="false">IF(OR($O36="",$M36=""),"",ROUND($O36*$M36,1))</f>
        <v/>
      </c>
      <c r="Q36" s="28" t="str">
        <f aca="false">IF($E36="","",IF($U36&gt;0,"CRITICAL (FLAG)",IF(OR($O36="",$M36=""),"NOT SCORED",IF($P36&gt;=T_CRIT,"CRITICAL",IF($P36&gt;=T_MON,"MONITOR","LOW")))))</f>
        <v/>
      </c>
      <c r="R36" s="12" t="str">
        <f aca="false">IF($O36="","",INDEX(DriverNames,MATCH(MAX($H36:$L36),$H36:$L36,0)))</f>
        <v/>
      </c>
      <c r="S36" s="22"/>
      <c r="T36" s="29"/>
      <c r="U36" s="2" t="str">
        <f aca="false">IF($E36="","",IFERROR(INDEX(SUPPLIERS!$Q$4:$Q$63,MATCH($E36,SUPPLIERS!$A$4:$A$63,0)),0))</f>
        <v/>
      </c>
      <c r="V36" s="2" t="str">
        <f aca="false">IF($Q36="","",IF($U36&gt;0,100,0)+IF($P36="",0,$P36)+ROW()/100000)</f>
        <v/>
      </c>
      <c r="W36" s="2" t="str">
        <f aca="false">IF($V36="","",IF($A36=SEL_MODEL,$V36,""))</f>
        <v/>
      </c>
    </row>
    <row r="37" customFormat="false" ht="15" hidden="false" customHeight="false" outlineLevel="0" collapsed="false">
      <c r="A37" s="20"/>
      <c r="B37" s="21"/>
      <c r="C37" s="22"/>
      <c r="D37" s="21"/>
      <c r="E37" s="20"/>
      <c r="F37" s="23"/>
      <c r="G37" s="24" t="str">
        <f aca="false">IF(OR($A37="",$F37=""),"",IFERROR(IF(INDEX(MODELS!$K$4:$K$28,MATCH($A37,MODELS!$A$4:$A$28,0))="","",$F37*INDEX(MODELS!$K$4:$K$28,MATCH($A37,MODELS!$A$4:$A$28,0))),""))</f>
        <v/>
      </c>
      <c r="H37" s="21"/>
      <c r="I37" s="21"/>
      <c r="J37" s="21"/>
      <c r="K37" s="25" t="str">
        <f aca="false">IF($E37="","",IFERROR(IF(INDEX(SUPPLIERS!$K$4:$K$63,MATCH($E37,SUPPLIERS!$A$4:$A$63,0))="","",INDEX(SUPPLIERS!$K$4:$K$63,MATCH($E37,SUPPLIERS!$A$4:$A$63,0))),""))</f>
        <v/>
      </c>
      <c r="L37" s="25" t="str">
        <f aca="false">IF($E37="","",IFERROR(IF(INDEX(SUPPLIERS!$L$4:$L$63,MATCH($E37,SUPPLIERS!$A$4:$A$63,0))="","",INDEX(SUPPLIERS!$L$4:$L$63,MATCH($E37,SUPPLIERS!$A$4:$A$63,0))),""))</f>
        <v/>
      </c>
      <c r="M37" s="21"/>
      <c r="N37" s="11" t="str">
        <f aca="false">IF($E37="","",IFERROR(_xlfn.TEXTJOIN("; ",TRUE(),INDEX(SUPPLIERS!$F$4:$F$63,MATCH($E37,SUPPLIERS!$A$4:$A$63,0)),INDEX(SUPPLIERS!$G$4:$G$63,MATCH($E37,SUPPLIERS!$A$4:$A$63,0)),INDEX(SUPPLIERS!$H$4:$H$63,MATCH($E37,SUPPLIERS!$A$4:$A$63,0)),INDEX(SUPPLIERS!$I$4:$I$63,MATCH($E37,SUPPLIERS!$A$4:$A$63,0)),INDEX(SUPPLIERS!$J$4:$J$63,MATCH($E37,SUPPLIERS!$A$4:$A$63,0))),""))</f>
        <v/>
      </c>
      <c r="O37" s="26" t="str">
        <f aca="false">IF(COUNT($H37:$L37)&lt;5,"",ROUND($H37*W_SRC+$I37*W_QC+$J37*W_CAP+$K37*W_SUP+$L37*W_EXT,1))</f>
        <v/>
      </c>
      <c r="P37" s="27" t="str">
        <f aca="false">IF(OR($O37="",$M37=""),"",ROUND($O37*$M37,1))</f>
        <v/>
      </c>
      <c r="Q37" s="28" t="str">
        <f aca="false">IF($E37="","",IF($U37&gt;0,"CRITICAL (FLAG)",IF(OR($O37="",$M37=""),"NOT SCORED",IF($P37&gt;=T_CRIT,"CRITICAL",IF($P37&gt;=T_MON,"MONITOR","LOW")))))</f>
        <v/>
      </c>
      <c r="R37" s="12" t="str">
        <f aca="false">IF($O37="","",INDEX(DriverNames,MATCH(MAX($H37:$L37),$H37:$L37,0)))</f>
        <v/>
      </c>
      <c r="S37" s="22"/>
      <c r="T37" s="29"/>
      <c r="U37" s="2" t="str">
        <f aca="false">IF($E37="","",IFERROR(INDEX(SUPPLIERS!$Q$4:$Q$63,MATCH($E37,SUPPLIERS!$A$4:$A$63,0)),0))</f>
        <v/>
      </c>
      <c r="V37" s="2" t="str">
        <f aca="false">IF($Q37="","",IF($U37&gt;0,100,0)+IF($P37="",0,$P37)+ROW()/100000)</f>
        <v/>
      </c>
      <c r="W37" s="2" t="str">
        <f aca="false">IF($V37="","",IF($A37=SEL_MODEL,$V37,""))</f>
        <v/>
      </c>
    </row>
    <row r="38" customFormat="false" ht="15" hidden="false" customHeight="false" outlineLevel="0" collapsed="false">
      <c r="A38" s="20"/>
      <c r="B38" s="21"/>
      <c r="C38" s="22"/>
      <c r="D38" s="21"/>
      <c r="E38" s="20"/>
      <c r="F38" s="23"/>
      <c r="G38" s="24" t="str">
        <f aca="false">IF(OR($A38="",$F38=""),"",IFERROR(IF(INDEX(MODELS!$K$4:$K$28,MATCH($A38,MODELS!$A$4:$A$28,0))="","",$F38*INDEX(MODELS!$K$4:$K$28,MATCH($A38,MODELS!$A$4:$A$28,0))),""))</f>
        <v/>
      </c>
      <c r="H38" s="21"/>
      <c r="I38" s="21"/>
      <c r="J38" s="21"/>
      <c r="K38" s="25" t="str">
        <f aca="false">IF($E38="","",IFERROR(IF(INDEX(SUPPLIERS!$K$4:$K$63,MATCH($E38,SUPPLIERS!$A$4:$A$63,0))="","",INDEX(SUPPLIERS!$K$4:$K$63,MATCH($E38,SUPPLIERS!$A$4:$A$63,0))),""))</f>
        <v/>
      </c>
      <c r="L38" s="25" t="str">
        <f aca="false">IF($E38="","",IFERROR(IF(INDEX(SUPPLIERS!$L$4:$L$63,MATCH($E38,SUPPLIERS!$A$4:$A$63,0))="","",INDEX(SUPPLIERS!$L$4:$L$63,MATCH($E38,SUPPLIERS!$A$4:$A$63,0))),""))</f>
        <v/>
      </c>
      <c r="M38" s="21"/>
      <c r="N38" s="11" t="str">
        <f aca="false">IF($E38="","",IFERROR(_xlfn.TEXTJOIN("; ",TRUE(),INDEX(SUPPLIERS!$F$4:$F$63,MATCH($E38,SUPPLIERS!$A$4:$A$63,0)),INDEX(SUPPLIERS!$G$4:$G$63,MATCH($E38,SUPPLIERS!$A$4:$A$63,0)),INDEX(SUPPLIERS!$H$4:$H$63,MATCH($E38,SUPPLIERS!$A$4:$A$63,0)),INDEX(SUPPLIERS!$I$4:$I$63,MATCH($E38,SUPPLIERS!$A$4:$A$63,0)),INDEX(SUPPLIERS!$J$4:$J$63,MATCH($E38,SUPPLIERS!$A$4:$A$63,0))),""))</f>
        <v/>
      </c>
      <c r="O38" s="26" t="str">
        <f aca="false">IF(COUNT($H38:$L38)&lt;5,"",ROUND($H38*W_SRC+$I38*W_QC+$J38*W_CAP+$K38*W_SUP+$L38*W_EXT,1))</f>
        <v/>
      </c>
      <c r="P38" s="27" t="str">
        <f aca="false">IF(OR($O38="",$M38=""),"",ROUND($O38*$M38,1))</f>
        <v/>
      </c>
      <c r="Q38" s="28" t="str">
        <f aca="false">IF($E38="","",IF($U38&gt;0,"CRITICAL (FLAG)",IF(OR($O38="",$M38=""),"NOT SCORED",IF($P38&gt;=T_CRIT,"CRITICAL",IF($P38&gt;=T_MON,"MONITOR","LOW")))))</f>
        <v/>
      </c>
      <c r="R38" s="12" t="str">
        <f aca="false">IF($O38="","",INDEX(DriverNames,MATCH(MAX($H38:$L38),$H38:$L38,0)))</f>
        <v/>
      </c>
      <c r="S38" s="22"/>
      <c r="T38" s="29"/>
      <c r="U38" s="2" t="str">
        <f aca="false">IF($E38="","",IFERROR(INDEX(SUPPLIERS!$Q$4:$Q$63,MATCH($E38,SUPPLIERS!$A$4:$A$63,0)),0))</f>
        <v/>
      </c>
      <c r="V38" s="2" t="str">
        <f aca="false">IF($Q38="","",IF($U38&gt;0,100,0)+IF($P38="",0,$P38)+ROW()/100000)</f>
        <v/>
      </c>
      <c r="W38" s="2" t="str">
        <f aca="false">IF($V38="","",IF($A38=SEL_MODEL,$V38,""))</f>
        <v/>
      </c>
    </row>
    <row r="39" customFormat="false" ht="15" hidden="false" customHeight="false" outlineLevel="0" collapsed="false">
      <c r="A39" s="20"/>
      <c r="B39" s="21"/>
      <c r="C39" s="22"/>
      <c r="D39" s="21"/>
      <c r="E39" s="20"/>
      <c r="F39" s="23"/>
      <c r="G39" s="24" t="str">
        <f aca="false">IF(OR($A39="",$F39=""),"",IFERROR(IF(INDEX(MODELS!$K$4:$K$28,MATCH($A39,MODELS!$A$4:$A$28,0))="","",$F39*INDEX(MODELS!$K$4:$K$28,MATCH($A39,MODELS!$A$4:$A$28,0))),""))</f>
        <v/>
      </c>
      <c r="H39" s="21"/>
      <c r="I39" s="21"/>
      <c r="J39" s="21"/>
      <c r="K39" s="25" t="str">
        <f aca="false">IF($E39="","",IFERROR(IF(INDEX(SUPPLIERS!$K$4:$K$63,MATCH($E39,SUPPLIERS!$A$4:$A$63,0))="","",INDEX(SUPPLIERS!$K$4:$K$63,MATCH($E39,SUPPLIERS!$A$4:$A$63,0))),""))</f>
        <v/>
      </c>
      <c r="L39" s="25" t="str">
        <f aca="false">IF($E39="","",IFERROR(IF(INDEX(SUPPLIERS!$L$4:$L$63,MATCH($E39,SUPPLIERS!$A$4:$A$63,0))="","",INDEX(SUPPLIERS!$L$4:$L$63,MATCH($E39,SUPPLIERS!$A$4:$A$63,0))),""))</f>
        <v/>
      </c>
      <c r="M39" s="21"/>
      <c r="N39" s="11" t="str">
        <f aca="false">IF($E39="","",IFERROR(_xlfn.TEXTJOIN("; ",TRUE(),INDEX(SUPPLIERS!$F$4:$F$63,MATCH($E39,SUPPLIERS!$A$4:$A$63,0)),INDEX(SUPPLIERS!$G$4:$G$63,MATCH($E39,SUPPLIERS!$A$4:$A$63,0)),INDEX(SUPPLIERS!$H$4:$H$63,MATCH($E39,SUPPLIERS!$A$4:$A$63,0)),INDEX(SUPPLIERS!$I$4:$I$63,MATCH($E39,SUPPLIERS!$A$4:$A$63,0)),INDEX(SUPPLIERS!$J$4:$J$63,MATCH($E39,SUPPLIERS!$A$4:$A$63,0))),""))</f>
        <v/>
      </c>
      <c r="O39" s="26" t="str">
        <f aca="false">IF(COUNT($H39:$L39)&lt;5,"",ROUND($H39*W_SRC+$I39*W_QC+$J39*W_CAP+$K39*W_SUP+$L39*W_EXT,1))</f>
        <v/>
      </c>
      <c r="P39" s="27" t="str">
        <f aca="false">IF(OR($O39="",$M39=""),"",ROUND($O39*$M39,1))</f>
        <v/>
      </c>
      <c r="Q39" s="28" t="str">
        <f aca="false">IF($E39="","",IF($U39&gt;0,"CRITICAL (FLAG)",IF(OR($O39="",$M39=""),"NOT SCORED",IF($P39&gt;=T_CRIT,"CRITICAL",IF($P39&gt;=T_MON,"MONITOR","LOW")))))</f>
        <v/>
      </c>
      <c r="R39" s="12" t="str">
        <f aca="false">IF($O39="","",INDEX(DriverNames,MATCH(MAX($H39:$L39),$H39:$L39,0)))</f>
        <v/>
      </c>
      <c r="S39" s="22"/>
      <c r="T39" s="29"/>
      <c r="U39" s="2" t="str">
        <f aca="false">IF($E39="","",IFERROR(INDEX(SUPPLIERS!$Q$4:$Q$63,MATCH($E39,SUPPLIERS!$A$4:$A$63,0)),0))</f>
        <v/>
      </c>
      <c r="V39" s="2" t="str">
        <f aca="false">IF($Q39="","",IF($U39&gt;0,100,0)+IF($P39="",0,$P39)+ROW()/100000)</f>
        <v/>
      </c>
      <c r="W39" s="2" t="str">
        <f aca="false">IF($V39="","",IF($A39=SEL_MODEL,$V39,""))</f>
        <v/>
      </c>
    </row>
    <row r="40" customFormat="false" ht="15" hidden="false" customHeight="false" outlineLevel="0" collapsed="false">
      <c r="A40" s="20"/>
      <c r="B40" s="21"/>
      <c r="C40" s="22"/>
      <c r="D40" s="21"/>
      <c r="E40" s="20"/>
      <c r="F40" s="23"/>
      <c r="G40" s="24" t="str">
        <f aca="false">IF(OR($A40="",$F40=""),"",IFERROR(IF(INDEX(MODELS!$K$4:$K$28,MATCH($A40,MODELS!$A$4:$A$28,0))="","",$F40*INDEX(MODELS!$K$4:$K$28,MATCH($A40,MODELS!$A$4:$A$28,0))),""))</f>
        <v/>
      </c>
      <c r="H40" s="21"/>
      <c r="I40" s="21"/>
      <c r="J40" s="21"/>
      <c r="K40" s="25" t="str">
        <f aca="false">IF($E40="","",IFERROR(IF(INDEX(SUPPLIERS!$K$4:$K$63,MATCH($E40,SUPPLIERS!$A$4:$A$63,0))="","",INDEX(SUPPLIERS!$K$4:$K$63,MATCH($E40,SUPPLIERS!$A$4:$A$63,0))),""))</f>
        <v/>
      </c>
      <c r="L40" s="25" t="str">
        <f aca="false">IF($E40="","",IFERROR(IF(INDEX(SUPPLIERS!$L$4:$L$63,MATCH($E40,SUPPLIERS!$A$4:$A$63,0))="","",INDEX(SUPPLIERS!$L$4:$L$63,MATCH($E40,SUPPLIERS!$A$4:$A$63,0))),""))</f>
        <v/>
      </c>
      <c r="M40" s="21"/>
      <c r="N40" s="11" t="str">
        <f aca="false">IF($E40="","",IFERROR(_xlfn.TEXTJOIN("; ",TRUE(),INDEX(SUPPLIERS!$F$4:$F$63,MATCH($E40,SUPPLIERS!$A$4:$A$63,0)),INDEX(SUPPLIERS!$G$4:$G$63,MATCH($E40,SUPPLIERS!$A$4:$A$63,0)),INDEX(SUPPLIERS!$H$4:$H$63,MATCH($E40,SUPPLIERS!$A$4:$A$63,0)),INDEX(SUPPLIERS!$I$4:$I$63,MATCH($E40,SUPPLIERS!$A$4:$A$63,0)),INDEX(SUPPLIERS!$J$4:$J$63,MATCH($E40,SUPPLIERS!$A$4:$A$63,0))),""))</f>
        <v/>
      </c>
      <c r="O40" s="26" t="str">
        <f aca="false">IF(COUNT($H40:$L40)&lt;5,"",ROUND($H40*W_SRC+$I40*W_QC+$J40*W_CAP+$K40*W_SUP+$L40*W_EXT,1))</f>
        <v/>
      </c>
      <c r="P40" s="27" t="str">
        <f aca="false">IF(OR($O40="",$M40=""),"",ROUND($O40*$M40,1))</f>
        <v/>
      </c>
      <c r="Q40" s="28" t="str">
        <f aca="false">IF($E40="","",IF($U40&gt;0,"CRITICAL (FLAG)",IF(OR($O40="",$M40=""),"NOT SCORED",IF($P40&gt;=T_CRIT,"CRITICAL",IF($P40&gt;=T_MON,"MONITOR","LOW")))))</f>
        <v/>
      </c>
      <c r="R40" s="12" t="str">
        <f aca="false">IF($O40="","",INDEX(DriverNames,MATCH(MAX($H40:$L40),$H40:$L40,0)))</f>
        <v/>
      </c>
      <c r="S40" s="22"/>
      <c r="T40" s="29"/>
      <c r="U40" s="2" t="str">
        <f aca="false">IF($E40="","",IFERROR(INDEX(SUPPLIERS!$Q$4:$Q$63,MATCH($E40,SUPPLIERS!$A$4:$A$63,0)),0))</f>
        <v/>
      </c>
      <c r="V40" s="2" t="str">
        <f aca="false">IF($Q40="","",IF($U40&gt;0,100,0)+IF($P40="",0,$P40)+ROW()/100000)</f>
        <v/>
      </c>
      <c r="W40" s="2" t="str">
        <f aca="false">IF($V40="","",IF($A40=SEL_MODEL,$V40,""))</f>
        <v/>
      </c>
    </row>
    <row r="41" customFormat="false" ht="15" hidden="false" customHeight="false" outlineLevel="0" collapsed="false">
      <c r="A41" s="20"/>
      <c r="B41" s="21"/>
      <c r="C41" s="22"/>
      <c r="D41" s="21"/>
      <c r="E41" s="20"/>
      <c r="F41" s="23"/>
      <c r="G41" s="24" t="str">
        <f aca="false">IF(OR($A41="",$F41=""),"",IFERROR(IF(INDEX(MODELS!$K$4:$K$28,MATCH($A41,MODELS!$A$4:$A$28,0))="","",$F41*INDEX(MODELS!$K$4:$K$28,MATCH($A41,MODELS!$A$4:$A$28,0))),""))</f>
        <v/>
      </c>
      <c r="H41" s="21"/>
      <c r="I41" s="21"/>
      <c r="J41" s="21"/>
      <c r="K41" s="25" t="str">
        <f aca="false">IF($E41="","",IFERROR(IF(INDEX(SUPPLIERS!$K$4:$K$63,MATCH($E41,SUPPLIERS!$A$4:$A$63,0))="","",INDEX(SUPPLIERS!$K$4:$K$63,MATCH($E41,SUPPLIERS!$A$4:$A$63,0))),""))</f>
        <v/>
      </c>
      <c r="L41" s="25" t="str">
        <f aca="false">IF($E41="","",IFERROR(IF(INDEX(SUPPLIERS!$L$4:$L$63,MATCH($E41,SUPPLIERS!$A$4:$A$63,0))="","",INDEX(SUPPLIERS!$L$4:$L$63,MATCH($E41,SUPPLIERS!$A$4:$A$63,0))),""))</f>
        <v/>
      </c>
      <c r="M41" s="21"/>
      <c r="N41" s="11" t="str">
        <f aca="false">IF($E41="","",IFERROR(_xlfn.TEXTJOIN("; ",TRUE(),INDEX(SUPPLIERS!$F$4:$F$63,MATCH($E41,SUPPLIERS!$A$4:$A$63,0)),INDEX(SUPPLIERS!$G$4:$G$63,MATCH($E41,SUPPLIERS!$A$4:$A$63,0)),INDEX(SUPPLIERS!$H$4:$H$63,MATCH($E41,SUPPLIERS!$A$4:$A$63,0)),INDEX(SUPPLIERS!$I$4:$I$63,MATCH($E41,SUPPLIERS!$A$4:$A$63,0)),INDEX(SUPPLIERS!$J$4:$J$63,MATCH($E41,SUPPLIERS!$A$4:$A$63,0))),""))</f>
        <v/>
      </c>
      <c r="O41" s="26" t="str">
        <f aca="false">IF(COUNT($H41:$L41)&lt;5,"",ROUND($H41*W_SRC+$I41*W_QC+$J41*W_CAP+$K41*W_SUP+$L41*W_EXT,1))</f>
        <v/>
      </c>
      <c r="P41" s="27" t="str">
        <f aca="false">IF(OR($O41="",$M41=""),"",ROUND($O41*$M41,1))</f>
        <v/>
      </c>
      <c r="Q41" s="28" t="str">
        <f aca="false">IF($E41="","",IF($U41&gt;0,"CRITICAL (FLAG)",IF(OR($O41="",$M41=""),"NOT SCORED",IF($P41&gt;=T_CRIT,"CRITICAL",IF($P41&gt;=T_MON,"MONITOR","LOW")))))</f>
        <v/>
      </c>
      <c r="R41" s="12" t="str">
        <f aca="false">IF($O41="","",INDEX(DriverNames,MATCH(MAX($H41:$L41),$H41:$L41,0)))</f>
        <v/>
      </c>
      <c r="S41" s="22"/>
      <c r="T41" s="29"/>
      <c r="U41" s="2" t="str">
        <f aca="false">IF($E41="","",IFERROR(INDEX(SUPPLIERS!$Q$4:$Q$63,MATCH($E41,SUPPLIERS!$A$4:$A$63,0)),0))</f>
        <v/>
      </c>
      <c r="V41" s="2" t="str">
        <f aca="false">IF($Q41="","",IF($U41&gt;0,100,0)+IF($P41="",0,$P41)+ROW()/100000)</f>
        <v/>
      </c>
      <c r="W41" s="2" t="str">
        <f aca="false">IF($V41="","",IF($A41=SEL_MODEL,$V41,""))</f>
        <v/>
      </c>
    </row>
    <row r="42" customFormat="false" ht="15" hidden="false" customHeight="false" outlineLevel="0" collapsed="false">
      <c r="A42" s="20"/>
      <c r="B42" s="21"/>
      <c r="C42" s="22"/>
      <c r="D42" s="21"/>
      <c r="E42" s="20"/>
      <c r="F42" s="23"/>
      <c r="G42" s="24" t="str">
        <f aca="false">IF(OR($A42="",$F42=""),"",IFERROR(IF(INDEX(MODELS!$K$4:$K$28,MATCH($A42,MODELS!$A$4:$A$28,0))="","",$F42*INDEX(MODELS!$K$4:$K$28,MATCH($A42,MODELS!$A$4:$A$28,0))),""))</f>
        <v/>
      </c>
      <c r="H42" s="21"/>
      <c r="I42" s="21"/>
      <c r="J42" s="21"/>
      <c r="K42" s="25" t="str">
        <f aca="false">IF($E42="","",IFERROR(IF(INDEX(SUPPLIERS!$K$4:$K$63,MATCH($E42,SUPPLIERS!$A$4:$A$63,0))="","",INDEX(SUPPLIERS!$K$4:$K$63,MATCH($E42,SUPPLIERS!$A$4:$A$63,0))),""))</f>
        <v/>
      </c>
      <c r="L42" s="25" t="str">
        <f aca="false">IF($E42="","",IFERROR(IF(INDEX(SUPPLIERS!$L$4:$L$63,MATCH($E42,SUPPLIERS!$A$4:$A$63,0))="","",INDEX(SUPPLIERS!$L$4:$L$63,MATCH($E42,SUPPLIERS!$A$4:$A$63,0))),""))</f>
        <v/>
      </c>
      <c r="M42" s="21"/>
      <c r="N42" s="11" t="str">
        <f aca="false">IF($E42="","",IFERROR(_xlfn.TEXTJOIN("; ",TRUE(),INDEX(SUPPLIERS!$F$4:$F$63,MATCH($E42,SUPPLIERS!$A$4:$A$63,0)),INDEX(SUPPLIERS!$G$4:$G$63,MATCH($E42,SUPPLIERS!$A$4:$A$63,0)),INDEX(SUPPLIERS!$H$4:$H$63,MATCH($E42,SUPPLIERS!$A$4:$A$63,0)),INDEX(SUPPLIERS!$I$4:$I$63,MATCH($E42,SUPPLIERS!$A$4:$A$63,0)),INDEX(SUPPLIERS!$J$4:$J$63,MATCH($E42,SUPPLIERS!$A$4:$A$63,0))),""))</f>
        <v/>
      </c>
      <c r="O42" s="26" t="str">
        <f aca="false">IF(COUNT($H42:$L42)&lt;5,"",ROUND($H42*W_SRC+$I42*W_QC+$J42*W_CAP+$K42*W_SUP+$L42*W_EXT,1))</f>
        <v/>
      </c>
      <c r="P42" s="27" t="str">
        <f aca="false">IF(OR($O42="",$M42=""),"",ROUND($O42*$M42,1))</f>
        <v/>
      </c>
      <c r="Q42" s="28" t="str">
        <f aca="false">IF($E42="","",IF($U42&gt;0,"CRITICAL (FLAG)",IF(OR($O42="",$M42=""),"NOT SCORED",IF($P42&gt;=T_CRIT,"CRITICAL",IF($P42&gt;=T_MON,"MONITOR","LOW")))))</f>
        <v/>
      </c>
      <c r="R42" s="12" t="str">
        <f aca="false">IF($O42="","",INDEX(DriverNames,MATCH(MAX($H42:$L42),$H42:$L42,0)))</f>
        <v/>
      </c>
      <c r="S42" s="22"/>
      <c r="T42" s="29"/>
      <c r="U42" s="2" t="str">
        <f aca="false">IF($E42="","",IFERROR(INDEX(SUPPLIERS!$Q$4:$Q$63,MATCH($E42,SUPPLIERS!$A$4:$A$63,0)),0))</f>
        <v/>
      </c>
      <c r="V42" s="2" t="str">
        <f aca="false">IF($Q42="","",IF($U42&gt;0,100,0)+IF($P42="",0,$P42)+ROW()/100000)</f>
        <v/>
      </c>
      <c r="W42" s="2" t="str">
        <f aca="false">IF($V42="","",IF($A42=SEL_MODEL,$V42,""))</f>
        <v/>
      </c>
    </row>
    <row r="43" customFormat="false" ht="15" hidden="false" customHeight="false" outlineLevel="0" collapsed="false">
      <c r="A43" s="20"/>
      <c r="B43" s="21"/>
      <c r="C43" s="22"/>
      <c r="D43" s="21"/>
      <c r="E43" s="20"/>
      <c r="F43" s="23"/>
      <c r="G43" s="24" t="str">
        <f aca="false">IF(OR($A43="",$F43=""),"",IFERROR(IF(INDEX(MODELS!$K$4:$K$28,MATCH($A43,MODELS!$A$4:$A$28,0))="","",$F43*INDEX(MODELS!$K$4:$K$28,MATCH($A43,MODELS!$A$4:$A$28,0))),""))</f>
        <v/>
      </c>
      <c r="H43" s="21"/>
      <c r="I43" s="21"/>
      <c r="J43" s="21"/>
      <c r="K43" s="25" t="str">
        <f aca="false">IF($E43="","",IFERROR(IF(INDEX(SUPPLIERS!$K$4:$K$63,MATCH($E43,SUPPLIERS!$A$4:$A$63,0))="","",INDEX(SUPPLIERS!$K$4:$K$63,MATCH($E43,SUPPLIERS!$A$4:$A$63,0))),""))</f>
        <v/>
      </c>
      <c r="L43" s="25" t="str">
        <f aca="false">IF($E43="","",IFERROR(IF(INDEX(SUPPLIERS!$L$4:$L$63,MATCH($E43,SUPPLIERS!$A$4:$A$63,0))="","",INDEX(SUPPLIERS!$L$4:$L$63,MATCH($E43,SUPPLIERS!$A$4:$A$63,0))),""))</f>
        <v/>
      </c>
      <c r="M43" s="21"/>
      <c r="N43" s="11" t="str">
        <f aca="false">IF($E43="","",IFERROR(_xlfn.TEXTJOIN("; ",TRUE(),INDEX(SUPPLIERS!$F$4:$F$63,MATCH($E43,SUPPLIERS!$A$4:$A$63,0)),INDEX(SUPPLIERS!$G$4:$G$63,MATCH($E43,SUPPLIERS!$A$4:$A$63,0)),INDEX(SUPPLIERS!$H$4:$H$63,MATCH($E43,SUPPLIERS!$A$4:$A$63,0)),INDEX(SUPPLIERS!$I$4:$I$63,MATCH($E43,SUPPLIERS!$A$4:$A$63,0)),INDEX(SUPPLIERS!$J$4:$J$63,MATCH($E43,SUPPLIERS!$A$4:$A$63,0))),""))</f>
        <v/>
      </c>
      <c r="O43" s="26" t="str">
        <f aca="false">IF(COUNT($H43:$L43)&lt;5,"",ROUND($H43*W_SRC+$I43*W_QC+$J43*W_CAP+$K43*W_SUP+$L43*W_EXT,1))</f>
        <v/>
      </c>
      <c r="P43" s="27" t="str">
        <f aca="false">IF(OR($O43="",$M43=""),"",ROUND($O43*$M43,1))</f>
        <v/>
      </c>
      <c r="Q43" s="28" t="str">
        <f aca="false">IF($E43="","",IF($U43&gt;0,"CRITICAL (FLAG)",IF(OR($O43="",$M43=""),"NOT SCORED",IF($P43&gt;=T_CRIT,"CRITICAL",IF($P43&gt;=T_MON,"MONITOR","LOW")))))</f>
        <v/>
      </c>
      <c r="R43" s="12" t="str">
        <f aca="false">IF($O43="","",INDEX(DriverNames,MATCH(MAX($H43:$L43),$H43:$L43,0)))</f>
        <v/>
      </c>
      <c r="S43" s="22"/>
      <c r="T43" s="29"/>
      <c r="U43" s="2" t="str">
        <f aca="false">IF($E43="","",IFERROR(INDEX(SUPPLIERS!$Q$4:$Q$63,MATCH($E43,SUPPLIERS!$A$4:$A$63,0)),0))</f>
        <v/>
      </c>
      <c r="V43" s="2" t="str">
        <f aca="false">IF($Q43="","",IF($U43&gt;0,100,0)+IF($P43="",0,$P43)+ROW()/100000)</f>
        <v/>
      </c>
      <c r="W43" s="2" t="str">
        <f aca="false">IF($V43="","",IF($A43=SEL_MODEL,$V43,""))</f>
        <v/>
      </c>
    </row>
    <row r="44" customFormat="false" ht="15" hidden="false" customHeight="false" outlineLevel="0" collapsed="false">
      <c r="A44" s="20"/>
      <c r="B44" s="21"/>
      <c r="C44" s="22"/>
      <c r="D44" s="21"/>
      <c r="E44" s="20"/>
      <c r="F44" s="23"/>
      <c r="G44" s="24" t="str">
        <f aca="false">IF(OR($A44="",$F44=""),"",IFERROR(IF(INDEX(MODELS!$K$4:$K$28,MATCH($A44,MODELS!$A$4:$A$28,0))="","",$F44*INDEX(MODELS!$K$4:$K$28,MATCH($A44,MODELS!$A$4:$A$28,0))),""))</f>
        <v/>
      </c>
      <c r="H44" s="21"/>
      <c r="I44" s="21"/>
      <c r="J44" s="21"/>
      <c r="K44" s="25" t="str">
        <f aca="false">IF($E44="","",IFERROR(IF(INDEX(SUPPLIERS!$K$4:$K$63,MATCH($E44,SUPPLIERS!$A$4:$A$63,0))="","",INDEX(SUPPLIERS!$K$4:$K$63,MATCH($E44,SUPPLIERS!$A$4:$A$63,0))),""))</f>
        <v/>
      </c>
      <c r="L44" s="25" t="str">
        <f aca="false">IF($E44="","",IFERROR(IF(INDEX(SUPPLIERS!$L$4:$L$63,MATCH($E44,SUPPLIERS!$A$4:$A$63,0))="","",INDEX(SUPPLIERS!$L$4:$L$63,MATCH($E44,SUPPLIERS!$A$4:$A$63,0))),""))</f>
        <v/>
      </c>
      <c r="M44" s="21"/>
      <c r="N44" s="11" t="str">
        <f aca="false">IF($E44="","",IFERROR(_xlfn.TEXTJOIN("; ",TRUE(),INDEX(SUPPLIERS!$F$4:$F$63,MATCH($E44,SUPPLIERS!$A$4:$A$63,0)),INDEX(SUPPLIERS!$G$4:$G$63,MATCH($E44,SUPPLIERS!$A$4:$A$63,0)),INDEX(SUPPLIERS!$H$4:$H$63,MATCH($E44,SUPPLIERS!$A$4:$A$63,0)),INDEX(SUPPLIERS!$I$4:$I$63,MATCH($E44,SUPPLIERS!$A$4:$A$63,0)),INDEX(SUPPLIERS!$J$4:$J$63,MATCH($E44,SUPPLIERS!$A$4:$A$63,0))),""))</f>
        <v/>
      </c>
      <c r="O44" s="26" t="str">
        <f aca="false">IF(COUNT($H44:$L44)&lt;5,"",ROUND($H44*W_SRC+$I44*W_QC+$J44*W_CAP+$K44*W_SUP+$L44*W_EXT,1))</f>
        <v/>
      </c>
      <c r="P44" s="27" t="str">
        <f aca="false">IF(OR($O44="",$M44=""),"",ROUND($O44*$M44,1))</f>
        <v/>
      </c>
      <c r="Q44" s="28" t="str">
        <f aca="false">IF($E44="","",IF($U44&gt;0,"CRITICAL (FLAG)",IF(OR($O44="",$M44=""),"NOT SCORED",IF($P44&gt;=T_CRIT,"CRITICAL",IF($P44&gt;=T_MON,"MONITOR","LOW")))))</f>
        <v/>
      </c>
      <c r="R44" s="12" t="str">
        <f aca="false">IF($O44="","",INDEX(DriverNames,MATCH(MAX($H44:$L44),$H44:$L44,0)))</f>
        <v/>
      </c>
      <c r="S44" s="22"/>
      <c r="T44" s="29"/>
      <c r="U44" s="2" t="str">
        <f aca="false">IF($E44="","",IFERROR(INDEX(SUPPLIERS!$Q$4:$Q$63,MATCH($E44,SUPPLIERS!$A$4:$A$63,0)),0))</f>
        <v/>
      </c>
      <c r="V44" s="2" t="str">
        <f aca="false">IF($Q44="","",IF($U44&gt;0,100,0)+IF($P44="",0,$P44)+ROW()/100000)</f>
        <v/>
      </c>
      <c r="W44" s="2" t="str">
        <f aca="false">IF($V44="","",IF($A44=SEL_MODEL,$V44,""))</f>
        <v/>
      </c>
    </row>
    <row r="45" customFormat="false" ht="15" hidden="false" customHeight="false" outlineLevel="0" collapsed="false">
      <c r="A45" s="20"/>
      <c r="B45" s="21"/>
      <c r="C45" s="22"/>
      <c r="D45" s="21"/>
      <c r="E45" s="20"/>
      <c r="F45" s="23"/>
      <c r="G45" s="24" t="str">
        <f aca="false">IF(OR($A45="",$F45=""),"",IFERROR(IF(INDEX(MODELS!$K$4:$K$28,MATCH($A45,MODELS!$A$4:$A$28,0))="","",$F45*INDEX(MODELS!$K$4:$K$28,MATCH($A45,MODELS!$A$4:$A$28,0))),""))</f>
        <v/>
      </c>
      <c r="H45" s="21"/>
      <c r="I45" s="21"/>
      <c r="J45" s="21"/>
      <c r="K45" s="25" t="str">
        <f aca="false">IF($E45="","",IFERROR(IF(INDEX(SUPPLIERS!$K$4:$K$63,MATCH($E45,SUPPLIERS!$A$4:$A$63,0))="","",INDEX(SUPPLIERS!$K$4:$K$63,MATCH($E45,SUPPLIERS!$A$4:$A$63,0))),""))</f>
        <v/>
      </c>
      <c r="L45" s="25" t="str">
        <f aca="false">IF($E45="","",IFERROR(IF(INDEX(SUPPLIERS!$L$4:$L$63,MATCH($E45,SUPPLIERS!$A$4:$A$63,0))="","",INDEX(SUPPLIERS!$L$4:$L$63,MATCH($E45,SUPPLIERS!$A$4:$A$63,0))),""))</f>
        <v/>
      </c>
      <c r="M45" s="21"/>
      <c r="N45" s="11" t="str">
        <f aca="false">IF($E45="","",IFERROR(_xlfn.TEXTJOIN("; ",TRUE(),INDEX(SUPPLIERS!$F$4:$F$63,MATCH($E45,SUPPLIERS!$A$4:$A$63,0)),INDEX(SUPPLIERS!$G$4:$G$63,MATCH($E45,SUPPLIERS!$A$4:$A$63,0)),INDEX(SUPPLIERS!$H$4:$H$63,MATCH($E45,SUPPLIERS!$A$4:$A$63,0)),INDEX(SUPPLIERS!$I$4:$I$63,MATCH($E45,SUPPLIERS!$A$4:$A$63,0)),INDEX(SUPPLIERS!$J$4:$J$63,MATCH($E45,SUPPLIERS!$A$4:$A$63,0))),""))</f>
        <v/>
      </c>
      <c r="O45" s="26" t="str">
        <f aca="false">IF(COUNT($H45:$L45)&lt;5,"",ROUND($H45*W_SRC+$I45*W_QC+$J45*W_CAP+$K45*W_SUP+$L45*W_EXT,1))</f>
        <v/>
      </c>
      <c r="P45" s="27" t="str">
        <f aca="false">IF(OR($O45="",$M45=""),"",ROUND($O45*$M45,1))</f>
        <v/>
      </c>
      <c r="Q45" s="28" t="str">
        <f aca="false">IF($E45="","",IF($U45&gt;0,"CRITICAL (FLAG)",IF(OR($O45="",$M45=""),"NOT SCORED",IF($P45&gt;=T_CRIT,"CRITICAL",IF($P45&gt;=T_MON,"MONITOR","LOW")))))</f>
        <v/>
      </c>
      <c r="R45" s="12" t="str">
        <f aca="false">IF($O45="","",INDEX(DriverNames,MATCH(MAX($H45:$L45),$H45:$L45,0)))</f>
        <v/>
      </c>
      <c r="S45" s="22"/>
      <c r="T45" s="29"/>
      <c r="U45" s="2" t="str">
        <f aca="false">IF($E45="","",IFERROR(INDEX(SUPPLIERS!$Q$4:$Q$63,MATCH($E45,SUPPLIERS!$A$4:$A$63,0)),0))</f>
        <v/>
      </c>
      <c r="V45" s="2" t="str">
        <f aca="false">IF($Q45="","",IF($U45&gt;0,100,0)+IF($P45="",0,$P45)+ROW()/100000)</f>
        <v/>
      </c>
      <c r="W45" s="2" t="str">
        <f aca="false">IF($V45="","",IF($A45=SEL_MODEL,$V45,""))</f>
        <v/>
      </c>
    </row>
    <row r="46" customFormat="false" ht="15" hidden="false" customHeight="false" outlineLevel="0" collapsed="false">
      <c r="A46" s="20"/>
      <c r="B46" s="21"/>
      <c r="C46" s="22"/>
      <c r="D46" s="21"/>
      <c r="E46" s="20"/>
      <c r="F46" s="23"/>
      <c r="G46" s="24" t="str">
        <f aca="false">IF(OR($A46="",$F46=""),"",IFERROR(IF(INDEX(MODELS!$K$4:$K$28,MATCH($A46,MODELS!$A$4:$A$28,0))="","",$F46*INDEX(MODELS!$K$4:$K$28,MATCH($A46,MODELS!$A$4:$A$28,0))),""))</f>
        <v/>
      </c>
      <c r="H46" s="21"/>
      <c r="I46" s="21"/>
      <c r="J46" s="21"/>
      <c r="K46" s="25" t="str">
        <f aca="false">IF($E46="","",IFERROR(IF(INDEX(SUPPLIERS!$K$4:$K$63,MATCH($E46,SUPPLIERS!$A$4:$A$63,0))="","",INDEX(SUPPLIERS!$K$4:$K$63,MATCH($E46,SUPPLIERS!$A$4:$A$63,0))),""))</f>
        <v/>
      </c>
      <c r="L46" s="25" t="str">
        <f aca="false">IF($E46="","",IFERROR(IF(INDEX(SUPPLIERS!$L$4:$L$63,MATCH($E46,SUPPLIERS!$A$4:$A$63,0))="","",INDEX(SUPPLIERS!$L$4:$L$63,MATCH($E46,SUPPLIERS!$A$4:$A$63,0))),""))</f>
        <v/>
      </c>
      <c r="M46" s="21"/>
      <c r="N46" s="11" t="str">
        <f aca="false">IF($E46="","",IFERROR(_xlfn.TEXTJOIN("; ",TRUE(),INDEX(SUPPLIERS!$F$4:$F$63,MATCH($E46,SUPPLIERS!$A$4:$A$63,0)),INDEX(SUPPLIERS!$G$4:$G$63,MATCH($E46,SUPPLIERS!$A$4:$A$63,0)),INDEX(SUPPLIERS!$H$4:$H$63,MATCH($E46,SUPPLIERS!$A$4:$A$63,0)),INDEX(SUPPLIERS!$I$4:$I$63,MATCH($E46,SUPPLIERS!$A$4:$A$63,0)),INDEX(SUPPLIERS!$J$4:$J$63,MATCH($E46,SUPPLIERS!$A$4:$A$63,0))),""))</f>
        <v/>
      </c>
      <c r="O46" s="26" t="str">
        <f aca="false">IF(COUNT($H46:$L46)&lt;5,"",ROUND($H46*W_SRC+$I46*W_QC+$J46*W_CAP+$K46*W_SUP+$L46*W_EXT,1))</f>
        <v/>
      </c>
      <c r="P46" s="27" t="str">
        <f aca="false">IF(OR($O46="",$M46=""),"",ROUND($O46*$M46,1))</f>
        <v/>
      </c>
      <c r="Q46" s="28" t="str">
        <f aca="false">IF($E46="","",IF($U46&gt;0,"CRITICAL (FLAG)",IF(OR($O46="",$M46=""),"NOT SCORED",IF($P46&gt;=T_CRIT,"CRITICAL",IF($P46&gt;=T_MON,"MONITOR","LOW")))))</f>
        <v/>
      </c>
      <c r="R46" s="12" t="str">
        <f aca="false">IF($O46="","",INDEX(DriverNames,MATCH(MAX($H46:$L46),$H46:$L46,0)))</f>
        <v/>
      </c>
      <c r="S46" s="22"/>
      <c r="T46" s="29"/>
      <c r="U46" s="2" t="str">
        <f aca="false">IF($E46="","",IFERROR(INDEX(SUPPLIERS!$Q$4:$Q$63,MATCH($E46,SUPPLIERS!$A$4:$A$63,0)),0))</f>
        <v/>
      </c>
      <c r="V46" s="2" t="str">
        <f aca="false">IF($Q46="","",IF($U46&gt;0,100,0)+IF($P46="",0,$P46)+ROW()/100000)</f>
        <v/>
      </c>
      <c r="W46" s="2" t="str">
        <f aca="false">IF($V46="","",IF($A46=SEL_MODEL,$V46,""))</f>
        <v/>
      </c>
    </row>
    <row r="47" customFormat="false" ht="15" hidden="false" customHeight="false" outlineLevel="0" collapsed="false">
      <c r="A47" s="20"/>
      <c r="B47" s="21"/>
      <c r="C47" s="22"/>
      <c r="D47" s="21"/>
      <c r="E47" s="20"/>
      <c r="F47" s="23"/>
      <c r="G47" s="24" t="str">
        <f aca="false">IF(OR($A47="",$F47=""),"",IFERROR(IF(INDEX(MODELS!$K$4:$K$28,MATCH($A47,MODELS!$A$4:$A$28,0))="","",$F47*INDEX(MODELS!$K$4:$K$28,MATCH($A47,MODELS!$A$4:$A$28,0))),""))</f>
        <v/>
      </c>
      <c r="H47" s="21"/>
      <c r="I47" s="21"/>
      <c r="J47" s="21"/>
      <c r="K47" s="25" t="str">
        <f aca="false">IF($E47="","",IFERROR(IF(INDEX(SUPPLIERS!$K$4:$K$63,MATCH($E47,SUPPLIERS!$A$4:$A$63,0))="","",INDEX(SUPPLIERS!$K$4:$K$63,MATCH($E47,SUPPLIERS!$A$4:$A$63,0))),""))</f>
        <v/>
      </c>
      <c r="L47" s="25" t="str">
        <f aca="false">IF($E47="","",IFERROR(IF(INDEX(SUPPLIERS!$L$4:$L$63,MATCH($E47,SUPPLIERS!$A$4:$A$63,0))="","",INDEX(SUPPLIERS!$L$4:$L$63,MATCH($E47,SUPPLIERS!$A$4:$A$63,0))),""))</f>
        <v/>
      </c>
      <c r="M47" s="21"/>
      <c r="N47" s="11" t="str">
        <f aca="false">IF($E47="","",IFERROR(_xlfn.TEXTJOIN("; ",TRUE(),INDEX(SUPPLIERS!$F$4:$F$63,MATCH($E47,SUPPLIERS!$A$4:$A$63,0)),INDEX(SUPPLIERS!$G$4:$G$63,MATCH($E47,SUPPLIERS!$A$4:$A$63,0)),INDEX(SUPPLIERS!$H$4:$H$63,MATCH($E47,SUPPLIERS!$A$4:$A$63,0)),INDEX(SUPPLIERS!$I$4:$I$63,MATCH($E47,SUPPLIERS!$A$4:$A$63,0)),INDEX(SUPPLIERS!$J$4:$J$63,MATCH($E47,SUPPLIERS!$A$4:$A$63,0))),""))</f>
        <v/>
      </c>
      <c r="O47" s="26" t="str">
        <f aca="false">IF(COUNT($H47:$L47)&lt;5,"",ROUND($H47*W_SRC+$I47*W_QC+$J47*W_CAP+$K47*W_SUP+$L47*W_EXT,1))</f>
        <v/>
      </c>
      <c r="P47" s="27" t="str">
        <f aca="false">IF(OR($O47="",$M47=""),"",ROUND($O47*$M47,1))</f>
        <v/>
      </c>
      <c r="Q47" s="28" t="str">
        <f aca="false">IF($E47="","",IF($U47&gt;0,"CRITICAL (FLAG)",IF(OR($O47="",$M47=""),"NOT SCORED",IF($P47&gt;=T_CRIT,"CRITICAL",IF($P47&gt;=T_MON,"MONITOR","LOW")))))</f>
        <v/>
      </c>
      <c r="R47" s="12" t="str">
        <f aca="false">IF($O47="","",INDEX(DriverNames,MATCH(MAX($H47:$L47),$H47:$L47,0)))</f>
        <v/>
      </c>
      <c r="S47" s="22"/>
      <c r="T47" s="29"/>
      <c r="U47" s="2" t="str">
        <f aca="false">IF($E47="","",IFERROR(INDEX(SUPPLIERS!$Q$4:$Q$63,MATCH($E47,SUPPLIERS!$A$4:$A$63,0)),0))</f>
        <v/>
      </c>
      <c r="V47" s="2" t="str">
        <f aca="false">IF($Q47="","",IF($U47&gt;0,100,0)+IF($P47="",0,$P47)+ROW()/100000)</f>
        <v/>
      </c>
      <c r="W47" s="2" t="str">
        <f aca="false">IF($V47="","",IF($A47=SEL_MODEL,$V47,""))</f>
        <v/>
      </c>
    </row>
    <row r="48" customFormat="false" ht="15" hidden="false" customHeight="false" outlineLevel="0" collapsed="false">
      <c r="A48" s="20"/>
      <c r="B48" s="21"/>
      <c r="C48" s="22"/>
      <c r="D48" s="21"/>
      <c r="E48" s="20"/>
      <c r="F48" s="23"/>
      <c r="G48" s="24" t="str">
        <f aca="false">IF(OR($A48="",$F48=""),"",IFERROR(IF(INDEX(MODELS!$K$4:$K$28,MATCH($A48,MODELS!$A$4:$A$28,0))="","",$F48*INDEX(MODELS!$K$4:$K$28,MATCH($A48,MODELS!$A$4:$A$28,0))),""))</f>
        <v/>
      </c>
      <c r="H48" s="21"/>
      <c r="I48" s="21"/>
      <c r="J48" s="21"/>
      <c r="K48" s="25" t="str">
        <f aca="false">IF($E48="","",IFERROR(IF(INDEX(SUPPLIERS!$K$4:$K$63,MATCH($E48,SUPPLIERS!$A$4:$A$63,0))="","",INDEX(SUPPLIERS!$K$4:$K$63,MATCH($E48,SUPPLIERS!$A$4:$A$63,0))),""))</f>
        <v/>
      </c>
      <c r="L48" s="25" t="str">
        <f aca="false">IF($E48="","",IFERROR(IF(INDEX(SUPPLIERS!$L$4:$L$63,MATCH($E48,SUPPLIERS!$A$4:$A$63,0))="","",INDEX(SUPPLIERS!$L$4:$L$63,MATCH($E48,SUPPLIERS!$A$4:$A$63,0))),""))</f>
        <v/>
      </c>
      <c r="M48" s="21"/>
      <c r="N48" s="11" t="str">
        <f aca="false">IF($E48="","",IFERROR(_xlfn.TEXTJOIN("; ",TRUE(),INDEX(SUPPLIERS!$F$4:$F$63,MATCH($E48,SUPPLIERS!$A$4:$A$63,0)),INDEX(SUPPLIERS!$G$4:$G$63,MATCH($E48,SUPPLIERS!$A$4:$A$63,0)),INDEX(SUPPLIERS!$H$4:$H$63,MATCH($E48,SUPPLIERS!$A$4:$A$63,0)),INDEX(SUPPLIERS!$I$4:$I$63,MATCH($E48,SUPPLIERS!$A$4:$A$63,0)),INDEX(SUPPLIERS!$J$4:$J$63,MATCH($E48,SUPPLIERS!$A$4:$A$63,0))),""))</f>
        <v/>
      </c>
      <c r="O48" s="26" t="str">
        <f aca="false">IF(COUNT($H48:$L48)&lt;5,"",ROUND($H48*W_SRC+$I48*W_QC+$J48*W_CAP+$K48*W_SUP+$L48*W_EXT,1))</f>
        <v/>
      </c>
      <c r="P48" s="27" t="str">
        <f aca="false">IF(OR($O48="",$M48=""),"",ROUND($O48*$M48,1))</f>
        <v/>
      </c>
      <c r="Q48" s="28" t="str">
        <f aca="false">IF($E48="","",IF($U48&gt;0,"CRITICAL (FLAG)",IF(OR($O48="",$M48=""),"NOT SCORED",IF($P48&gt;=T_CRIT,"CRITICAL",IF($P48&gt;=T_MON,"MONITOR","LOW")))))</f>
        <v/>
      </c>
      <c r="R48" s="12" t="str">
        <f aca="false">IF($O48="","",INDEX(DriverNames,MATCH(MAX($H48:$L48),$H48:$L48,0)))</f>
        <v/>
      </c>
      <c r="S48" s="22"/>
      <c r="T48" s="29"/>
      <c r="U48" s="2" t="str">
        <f aca="false">IF($E48="","",IFERROR(INDEX(SUPPLIERS!$Q$4:$Q$63,MATCH($E48,SUPPLIERS!$A$4:$A$63,0)),0))</f>
        <v/>
      </c>
      <c r="V48" s="2" t="str">
        <f aca="false">IF($Q48="","",IF($U48&gt;0,100,0)+IF($P48="",0,$P48)+ROW()/100000)</f>
        <v/>
      </c>
      <c r="W48" s="2" t="str">
        <f aca="false">IF($V48="","",IF($A48=SEL_MODEL,$V48,""))</f>
        <v/>
      </c>
    </row>
    <row r="49" customFormat="false" ht="15" hidden="false" customHeight="false" outlineLevel="0" collapsed="false">
      <c r="A49" s="20"/>
      <c r="B49" s="21"/>
      <c r="C49" s="22"/>
      <c r="D49" s="21"/>
      <c r="E49" s="20"/>
      <c r="F49" s="23"/>
      <c r="G49" s="24" t="str">
        <f aca="false">IF(OR($A49="",$F49=""),"",IFERROR(IF(INDEX(MODELS!$K$4:$K$28,MATCH($A49,MODELS!$A$4:$A$28,0))="","",$F49*INDEX(MODELS!$K$4:$K$28,MATCH($A49,MODELS!$A$4:$A$28,0))),""))</f>
        <v/>
      </c>
      <c r="H49" s="21"/>
      <c r="I49" s="21"/>
      <c r="J49" s="21"/>
      <c r="K49" s="25" t="str">
        <f aca="false">IF($E49="","",IFERROR(IF(INDEX(SUPPLIERS!$K$4:$K$63,MATCH($E49,SUPPLIERS!$A$4:$A$63,0))="","",INDEX(SUPPLIERS!$K$4:$K$63,MATCH($E49,SUPPLIERS!$A$4:$A$63,0))),""))</f>
        <v/>
      </c>
      <c r="L49" s="25" t="str">
        <f aca="false">IF($E49="","",IFERROR(IF(INDEX(SUPPLIERS!$L$4:$L$63,MATCH($E49,SUPPLIERS!$A$4:$A$63,0))="","",INDEX(SUPPLIERS!$L$4:$L$63,MATCH($E49,SUPPLIERS!$A$4:$A$63,0))),""))</f>
        <v/>
      </c>
      <c r="M49" s="21"/>
      <c r="N49" s="11" t="str">
        <f aca="false">IF($E49="","",IFERROR(_xlfn.TEXTJOIN("; ",TRUE(),INDEX(SUPPLIERS!$F$4:$F$63,MATCH($E49,SUPPLIERS!$A$4:$A$63,0)),INDEX(SUPPLIERS!$G$4:$G$63,MATCH($E49,SUPPLIERS!$A$4:$A$63,0)),INDEX(SUPPLIERS!$H$4:$H$63,MATCH($E49,SUPPLIERS!$A$4:$A$63,0)),INDEX(SUPPLIERS!$I$4:$I$63,MATCH($E49,SUPPLIERS!$A$4:$A$63,0)),INDEX(SUPPLIERS!$J$4:$J$63,MATCH($E49,SUPPLIERS!$A$4:$A$63,0))),""))</f>
        <v/>
      </c>
      <c r="O49" s="26" t="str">
        <f aca="false">IF(COUNT($H49:$L49)&lt;5,"",ROUND($H49*W_SRC+$I49*W_QC+$J49*W_CAP+$K49*W_SUP+$L49*W_EXT,1))</f>
        <v/>
      </c>
      <c r="P49" s="27" t="str">
        <f aca="false">IF(OR($O49="",$M49=""),"",ROUND($O49*$M49,1))</f>
        <v/>
      </c>
      <c r="Q49" s="28" t="str">
        <f aca="false">IF($E49="","",IF($U49&gt;0,"CRITICAL (FLAG)",IF(OR($O49="",$M49=""),"NOT SCORED",IF($P49&gt;=T_CRIT,"CRITICAL",IF($P49&gt;=T_MON,"MONITOR","LOW")))))</f>
        <v/>
      </c>
      <c r="R49" s="12" t="str">
        <f aca="false">IF($O49="","",INDEX(DriverNames,MATCH(MAX($H49:$L49),$H49:$L49,0)))</f>
        <v/>
      </c>
      <c r="S49" s="22"/>
      <c r="T49" s="29"/>
      <c r="U49" s="2" t="str">
        <f aca="false">IF($E49="","",IFERROR(INDEX(SUPPLIERS!$Q$4:$Q$63,MATCH($E49,SUPPLIERS!$A$4:$A$63,0)),0))</f>
        <v/>
      </c>
      <c r="V49" s="2" t="str">
        <f aca="false">IF($Q49="","",IF($U49&gt;0,100,0)+IF($P49="",0,$P49)+ROW()/100000)</f>
        <v/>
      </c>
      <c r="W49" s="2" t="str">
        <f aca="false">IF($V49="","",IF($A49=SEL_MODEL,$V49,""))</f>
        <v/>
      </c>
    </row>
    <row r="50" customFormat="false" ht="15" hidden="false" customHeight="false" outlineLevel="0" collapsed="false">
      <c r="A50" s="20"/>
      <c r="B50" s="21"/>
      <c r="C50" s="22"/>
      <c r="D50" s="21"/>
      <c r="E50" s="20"/>
      <c r="F50" s="23"/>
      <c r="G50" s="24" t="str">
        <f aca="false">IF(OR($A50="",$F50=""),"",IFERROR(IF(INDEX(MODELS!$K$4:$K$28,MATCH($A50,MODELS!$A$4:$A$28,0))="","",$F50*INDEX(MODELS!$K$4:$K$28,MATCH($A50,MODELS!$A$4:$A$28,0))),""))</f>
        <v/>
      </c>
      <c r="H50" s="21"/>
      <c r="I50" s="21"/>
      <c r="J50" s="21"/>
      <c r="K50" s="25" t="str">
        <f aca="false">IF($E50="","",IFERROR(IF(INDEX(SUPPLIERS!$K$4:$K$63,MATCH($E50,SUPPLIERS!$A$4:$A$63,0))="","",INDEX(SUPPLIERS!$K$4:$K$63,MATCH($E50,SUPPLIERS!$A$4:$A$63,0))),""))</f>
        <v/>
      </c>
      <c r="L50" s="25" t="str">
        <f aca="false">IF($E50="","",IFERROR(IF(INDEX(SUPPLIERS!$L$4:$L$63,MATCH($E50,SUPPLIERS!$A$4:$A$63,0))="","",INDEX(SUPPLIERS!$L$4:$L$63,MATCH($E50,SUPPLIERS!$A$4:$A$63,0))),""))</f>
        <v/>
      </c>
      <c r="M50" s="21"/>
      <c r="N50" s="11" t="str">
        <f aca="false">IF($E50="","",IFERROR(_xlfn.TEXTJOIN("; ",TRUE(),INDEX(SUPPLIERS!$F$4:$F$63,MATCH($E50,SUPPLIERS!$A$4:$A$63,0)),INDEX(SUPPLIERS!$G$4:$G$63,MATCH($E50,SUPPLIERS!$A$4:$A$63,0)),INDEX(SUPPLIERS!$H$4:$H$63,MATCH($E50,SUPPLIERS!$A$4:$A$63,0)),INDEX(SUPPLIERS!$I$4:$I$63,MATCH($E50,SUPPLIERS!$A$4:$A$63,0)),INDEX(SUPPLIERS!$J$4:$J$63,MATCH($E50,SUPPLIERS!$A$4:$A$63,0))),""))</f>
        <v/>
      </c>
      <c r="O50" s="26" t="str">
        <f aca="false">IF(COUNT($H50:$L50)&lt;5,"",ROUND($H50*W_SRC+$I50*W_QC+$J50*W_CAP+$K50*W_SUP+$L50*W_EXT,1))</f>
        <v/>
      </c>
      <c r="P50" s="27" t="str">
        <f aca="false">IF(OR($O50="",$M50=""),"",ROUND($O50*$M50,1))</f>
        <v/>
      </c>
      <c r="Q50" s="28" t="str">
        <f aca="false">IF($E50="","",IF($U50&gt;0,"CRITICAL (FLAG)",IF(OR($O50="",$M50=""),"NOT SCORED",IF($P50&gt;=T_CRIT,"CRITICAL",IF($P50&gt;=T_MON,"MONITOR","LOW")))))</f>
        <v/>
      </c>
      <c r="R50" s="12" t="str">
        <f aca="false">IF($O50="","",INDEX(DriverNames,MATCH(MAX($H50:$L50),$H50:$L50,0)))</f>
        <v/>
      </c>
      <c r="S50" s="22"/>
      <c r="T50" s="29"/>
      <c r="U50" s="2" t="str">
        <f aca="false">IF($E50="","",IFERROR(INDEX(SUPPLIERS!$Q$4:$Q$63,MATCH($E50,SUPPLIERS!$A$4:$A$63,0)),0))</f>
        <v/>
      </c>
      <c r="V50" s="2" t="str">
        <f aca="false">IF($Q50="","",IF($U50&gt;0,100,0)+IF($P50="",0,$P50)+ROW()/100000)</f>
        <v/>
      </c>
      <c r="W50" s="2" t="str">
        <f aca="false">IF($V50="","",IF($A50=SEL_MODEL,$V50,""))</f>
        <v/>
      </c>
    </row>
    <row r="51" customFormat="false" ht="15" hidden="false" customHeight="false" outlineLevel="0" collapsed="false">
      <c r="A51" s="20"/>
      <c r="B51" s="21"/>
      <c r="C51" s="22"/>
      <c r="D51" s="21"/>
      <c r="E51" s="20"/>
      <c r="F51" s="23"/>
      <c r="G51" s="24" t="str">
        <f aca="false">IF(OR($A51="",$F51=""),"",IFERROR(IF(INDEX(MODELS!$K$4:$K$28,MATCH($A51,MODELS!$A$4:$A$28,0))="","",$F51*INDEX(MODELS!$K$4:$K$28,MATCH($A51,MODELS!$A$4:$A$28,0))),""))</f>
        <v/>
      </c>
      <c r="H51" s="21"/>
      <c r="I51" s="21"/>
      <c r="J51" s="21"/>
      <c r="K51" s="25" t="str">
        <f aca="false">IF($E51="","",IFERROR(IF(INDEX(SUPPLIERS!$K$4:$K$63,MATCH($E51,SUPPLIERS!$A$4:$A$63,0))="","",INDEX(SUPPLIERS!$K$4:$K$63,MATCH($E51,SUPPLIERS!$A$4:$A$63,0))),""))</f>
        <v/>
      </c>
      <c r="L51" s="25" t="str">
        <f aca="false">IF($E51="","",IFERROR(IF(INDEX(SUPPLIERS!$L$4:$L$63,MATCH($E51,SUPPLIERS!$A$4:$A$63,0))="","",INDEX(SUPPLIERS!$L$4:$L$63,MATCH($E51,SUPPLIERS!$A$4:$A$63,0))),""))</f>
        <v/>
      </c>
      <c r="M51" s="21"/>
      <c r="N51" s="11" t="str">
        <f aca="false">IF($E51="","",IFERROR(_xlfn.TEXTJOIN("; ",TRUE(),INDEX(SUPPLIERS!$F$4:$F$63,MATCH($E51,SUPPLIERS!$A$4:$A$63,0)),INDEX(SUPPLIERS!$G$4:$G$63,MATCH($E51,SUPPLIERS!$A$4:$A$63,0)),INDEX(SUPPLIERS!$H$4:$H$63,MATCH($E51,SUPPLIERS!$A$4:$A$63,0)),INDEX(SUPPLIERS!$I$4:$I$63,MATCH($E51,SUPPLIERS!$A$4:$A$63,0)),INDEX(SUPPLIERS!$J$4:$J$63,MATCH($E51,SUPPLIERS!$A$4:$A$63,0))),""))</f>
        <v/>
      </c>
      <c r="O51" s="26" t="str">
        <f aca="false">IF(COUNT($H51:$L51)&lt;5,"",ROUND($H51*W_SRC+$I51*W_QC+$J51*W_CAP+$K51*W_SUP+$L51*W_EXT,1))</f>
        <v/>
      </c>
      <c r="P51" s="27" t="str">
        <f aca="false">IF(OR($O51="",$M51=""),"",ROUND($O51*$M51,1))</f>
        <v/>
      </c>
      <c r="Q51" s="28" t="str">
        <f aca="false">IF($E51="","",IF($U51&gt;0,"CRITICAL (FLAG)",IF(OR($O51="",$M51=""),"NOT SCORED",IF($P51&gt;=T_CRIT,"CRITICAL",IF($P51&gt;=T_MON,"MONITOR","LOW")))))</f>
        <v/>
      </c>
      <c r="R51" s="12" t="str">
        <f aca="false">IF($O51="","",INDEX(DriverNames,MATCH(MAX($H51:$L51),$H51:$L51,0)))</f>
        <v/>
      </c>
      <c r="S51" s="22"/>
      <c r="T51" s="29"/>
      <c r="U51" s="2" t="str">
        <f aca="false">IF($E51="","",IFERROR(INDEX(SUPPLIERS!$Q$4:$Q$63,MATCH($E51,SUPPLIERS!$A$4:$A$63,0)),0))</f>
        <v/>
      </c>
      <c r="V51" s="2" t="str">
        <f aca="false">IF($Q51="","",IF($U51&gt;0,100,0)+IF($P51="",0,$P51)+ROW()/100000)</f>
        <v/>
      </c>
      <c r="W51" s="2" t="str">
        <f aca="false">IF($V51="","",IF($A51=SEL_MODEL,$V51,""))</f>
        <v/>
      </c>
    </row>
    <row r="52" customFormat="false" ht="15" hidden="false" customHeight="false" outlineLevel="0" collapsed="false">
      <c r="A52" s="20"/>
      <c r="B52" s="21"/>
      <c r="C52" s="22"/>
      <c r="D52" s="21"/>
      <c r="E52" s="20"/>
      <c r="F52" s="23"/>
      <c r="G52" s="24" t="str">
        <f aca="false">IF(OR($A52="",$F52=""),"",IFERROR(IF(INDEX(MODELS!$K$4:$K$28,MATCH($A52,MODELS!$A$4:$A$28,0))="","",$F52*INDEX(MODELS!$K$4:$K$28,MATCH($A52,MODELS!$A$4:$A$28,0))),""))</f>
        <v/>
      </c>
      <c r="H52" s="21"/>
      <c r="I52" s="21"/>
      <c r="J52" s="21"/>
      <c r="K52" s="25" t="str">
        <f aca="false">IF($E52="","",IFERROR(IF(INDEX(SUPPLIERS!$K$4:$K$63,MATCH($E52,SUPPLIERS!$A$4:$A$63,0))="","",INDEX(SUPPLIERS!$K$4:$K$63,MATCH($E52,SUPPLIERS!$A$4:$A$63,0))),""))</f>
        <v/>
      </c>
      <c r="L52" s="25" t="str">
        <f aca="false">IF($E52="","",IFERROR(IF(INDEX(SUPPLIERS!$L$4:$L$63,MATCH($E52,SUPPLIERS!$A$4:$A$63,0))="","",INDEX(SUPPLIERS!$L$4:$L$63,MATCH($E52,SUPPLIERS!$A$4:$A$63,0))),""))</f>
        <v/>
      </c>
      <c r="M52" s="21"/>
      <c r="N52" s="11" t="str">
        <f aca="false">IF($E52="","",IFERROR(_xlfn.TEXTJOIN("; ",TRUE(),INDEX(SUPPLIERS!$F$4:$F$63,MATCH($E52,SUPPLIERS!$A$4:$A$63,0)),INDEX(SUPPLIERS!$G$4:$G$63,MATCH($E52,SUPPLIERS!$A$4:$A$63,0)),INDEX(SUPPLIERS!$H$4:$H$63,MATCH($E52,SUPPLIERS!$A$4:$A$63,0)),INDEX(SUPPLIERS!$I$4:$I$63,MATCH($E52,SUPPLIERS!$A$4:$A$63,0)),INDEX(SUPPLIERS!$J$4:$J$63,MATCH($E52,SUPPLIERS!$A$4:$A$63,0))),""))</f>
        <v/>
      </c>
      <c r="O52" s="26" t="str">
        <f aca="false">IF(COUNT($H52:$L52)&lt;5,"",ROUND($H52*W_SRC+$I52*W_QC+$J52*W_CAP+$K52*W_SUP+$L52*W_EXT,1))</f>
        <v/>
      </c>
      <c r="P52" s="27" t="str">
        <f aca="false">IF(OR($O52="",$M52=""),"",ROUND($O52*$M52,1))</f>
        <v/>
      </c>
      <c r="Q52" s="28" t="str">
        <f aca="false">IF($E52="","",IF($U52&gt;0,"CRITICAL (FLAG)",IF(OR($O52="",$M52=""),"NOT SCORED",IF($P52&gt;=T_CRIT,"CRITICAL",IF($P52&gt;=T_MON,"MONITOR","LOW")))))</f>
        <v/>
      </c>
      <c r="R52" s="12" t="str">
        <f aca="false">IF($O52="","",INDEX(DriverNames,MATCH(MAX($H52:$L52),$H52:$L52,0)))</f>
        <v/>
      </c>
      <c r="S52" s="22"/>
      <c r="T52" s="29"/>
      <c r="U52" s="2" t="str">
        <f aca="false">IF($E52="","",IFERROR(INDEX(SUPPLIERS!$Q$4:$Q$63,MATCH($E52,SUPPLIERS!$A$4:$A$63,0)),0))</f>
        <v/>
      </c>
      <c r="V52" s="2" t="str">
        <f aca="false">IF($Q52="","",IF($U52&gt;0,100,0)+IF($P52="",0,$P52)+ROW()/100000)</f>
        <v/>
      </c>
      <c r="W52" s="2" t="str">
        <f aca="false">IF($V52="","",IF($A52=SEL_MODEL,$V52,""))</f>
        <v/>
      </c>
    </row>
    <row r="53" customFormat="false" ht="15" hidden="false" customHeight="false" outlineLevel="0" collapsed="false">
      <c r="A53" s="20"/>
      <c r="B53" s="21"/>
      <c r="C53" s="22"/>
      <c r="D53" s="21"/>
      <c r="E53" s="20"/>
      <c r="F53" s="23"/>
      <c r="G53" s="24" t="str">
        <f aca="false">IF(OR($A53="",$F53=""),"",IFERROR(IF(INDEX(MODELS!$K$4:$K$28,MATCH($A53,MODELS!$A$4:$A$28,0))="","",$F53*INDEX(MODELS!$K$4:$K$28,MATCH($A53,MODELS!$A$4:$A$28,0))),""))</f>
        <v/>
      </c>
      <c r="H53" s="21"/>
      <c r="I53" s="21"/>
      <c r="J53" s="21"/>
      <c r="K53" s="25" t="str">
        <f aca="false">IF($E53="","",IFERROR(IF(INDEX(SUPPLIERS!$K$4:$K$63,MATCH($E53,SUPPLIERS!$A$4:$A$63,0))="","",INDEX(SUPPLIERS!$K$4:$K$63,MATCH($E53,SUPPLIERS!$A$4:$A$63,0))),""))</f>
        <v/>
      </c>
      <c r="L53" s="25" t="str">
        <f aca="false">IF($E53="","",IFERROR(IF(INDEX(SUPPLIERS!$L$4:$L$63,MATCH($E53,SUPPLIERS!$A$4:$A$63,0))="","",INDEX(SUPPLIERS!$L$4:$L$63,MATCH($E53,SUPPLIERS!$A$4:$A$63,0))),""))</f>
        <v/>
      </c>
      <c r="M53" s="21"/>
      <c r="N53" s="11" t="str">
        <f aca="false">IF($E53="","",IFERROR(_xlfn.TEXTJOIN("; ",TRUE(),INDEX(SUPPLIERS!$F$4:$F$63,MATCH($E53,SUPPLIERS!$A$4:$A$63,0)),INDEX(SUPPLIERS!$G$4:$G$63,MATCH($E53,SUPPLIERS!$A$4:$A$63,0)),INDEX(SUPPLIERS!$H$4:$H$63,MATCH($E53,SUPPLIERS!$A$4:$A$63,0)),INDEX(SUPPLIERS!$I$4:$I$63,MATCH($E53,SUPPLIERS!$A$4:$A$63,0)),INDEX(SUPPLIERS!$J$4:$J$63,MATCH($E53,SUPPLIERS!$A$4:$A$63,0))),""))</f>
        <v/>
      </c>
      <c r="O53" s="26" t="str">
        <f aca="false">IF(COUNT($H53:$L53)&lt;5,"",ROUND($H53*W_SRC+$I53*W_QC+$J53*W_CAP+$K53*W_SUP+$L53*W_EXT,1))</f>
        <v/>
      </c>
      <c r="P53" s="27" t="str">
        <f aca="false">IF(OR($O53="",$M53=""),"",ROUND($O53*$M53,1))</f>
        <v/>
      </c>
      <c r="Q53" s="28" t="str">
        <f aca="false">IF($E53="","",IF($U53&gt;0,"CRITICAL (FLAG)",IF(OR($O53="",$M53=""),"NOT SCORED",IF($P53&gt;=T_CRIT,"CRITICAL",IF($P53&gt;=T_MON,"MONITOR","LOW")))))</f>
        <v/>
      </c>
      <c r="R53" s="12" t="str">
        <f aca="false">IF($O53="","",INDEX(DriverNames,MATCH(MAX($H53:$L53),$H53:$L53,0)))</f>
        <v/>
      </c>
      <c r="S53" s="22"/>
      <c r="T53" s="29"/>
      <c r="U53" s="2" t="str">
        <f aca="false">IF($E53="","",IFERROR(INDEX(SUPPLIERS!$Q$4:$Q$63,MATCH($E53,SUPPLIERS!$A$4:$A$63,0)),0))</f>
        <v/>
      </c>
      <c r="V53" s="2" t="str">
        <f aca="false">IF($Q53="","",IF($U53&gt;0,100,0)+IF($P53="",0,$P53)+ROW()/100000)</f>
        <v/>
      </c>
      <c r="W53" s="2" t="str">
        <f aca="false">IF($V53="","",IF($A53=SEL_MODEL,$V53,""))</f>
        <v/>
      </c>
    </row>
    <row r="54" customFormat="false" ht="15" hidden="false" customHeight="false" outlineLevel="0" collapsed="false">
      <c r="A54" s="20"/>
      <c r="B54" s="21"/>
      <c r="C54" s="22"/>
      <c r="D54" s="21"/>
      <c r="E54" s="20"/>
      <c r="F54" s="23"/>
      <c r="G54" s="24" t="str">
        <f aca="false">IF(OR($A54="",$F54=""),"",IFERROR(IF(INDEX(MODELS!$K$4:$K$28,MATCH($A54,MODELS!$A$4:$A$28,0))="","",$F54*INDEX(MODELS!$K$4:$K$28,MATCH($A54,MODELS!$A$4:$A$28,0))),""))</f>
        <v/>
      </c>
      <c r="H54" s="21"/>
      <c r="I54" s="21"/>
      <c r="J54" s="21"/>
      <c r="K54" s="25" t="str">
        <f aca="false">IF($E54="","",IFERROR(IF(INDEX(SUPPLIERS!$K$4:$K$63,MATCH($E54,SUPPLIERS!$A$4:$A$63,0))="","",INDEX(SUPPLIERS!$K$4:$K$63,MATCH($E54,SUPPLIERS!$A$4:$A$63,0))),""))</f>
        <v/>
      </c>
      <c r="L54" s="25" t="str">
        <f aca="false">IF($E54="","",IFERROR(IF(INDEX(SUPPLIERS!$L$4:$L$63,MATCH($E54,SUPPLIERS!$A$4:$A$63,0))="","",INDEX(SUPPLIERS!$L$4:$L$63,MATCH($E54,SUPPLIERS!$A$4:$A$63,0))),""))</f>
        <v/>
      </c>
      <c r="M54" s="21"/>
      <c r="N54" s="11" t="str">
        <f aca="false">IF($E54="","",IFERROR(_xlfn.TEXTJOIN("; ",TRUE(),INDEX(SUPPLIERS!$F$4:$F$63,MATCH($E54,SUPPLIERS!$A$4:$A$63,0)),INDEX(SUPPLIERS!$G$4:$G$63,MATCH($E54,SUPPLIERS!$A$4:$A$63,0)),INDEX(SUPPLIERS!$H$4:$H$63,MATCH($E54,SUPPLIERS!$A$4:$A$63,0)),INDEX(SUPPLIERS!$I$4:$I$63,MATCH($E54,SUPPLIERS!$A$4:$A$63,0)),INDEX(SUPPLIERS!$J$4:$J$63,MATCH($E54,SUPPLIERS!$A$4:$A$63,0))),""))</f>
        <v/>
      </c>
      <c r="O54" s="26" t="str">
        <f aca="false">IF(COUNT($H54:$L54)&lt;5,"",ROUND($H54*W_SRC+$I54*W_QC+$J54*W_CAP+$K54*W_SUP+$L54*W_EXT,1))</f>
        <v/>
      </c>
      <c r="P54" s="27" t="str">
        <f aca="false">IF(OR($O54="",$M54=""),"",ROUND($O54*$M54,1))</f>
        <v/>
      </c>
      <c r="Q54" s="28" t="str">
        <f aca="false">IF($E54="","",IF($U54&gt;0,"CRITICAL (FLAG)",IF(OR($O54="",$M54=""),"NOT SCORED",IF($P54&gt;=T_CRIT,"CRITICAL",IF($P54&gt;=T_MON,"MONITOR","LOW")))))</f>
        <v/>
      </c>
      <c r="R54" s="12" t="str">
        <f aca="false">IF($O54="","",INDEX(DriverNames,MATCH(MAX($H54:$L54),$H54:$L54,0)))</f>
        <v/>
      </c>
      <c r="S54" s="22"/>
      <c r="T54" s="29"/>
      <c r="U54" s="2" t="str">
        <f aca="false">IF($E54="","",IFERROR(INDEX(SUPPLIERS!$Q$4:$Q$63,MATCH($E54,SUPPLIERS!$A$4:$A$63,0)),0))</f>
        <v/>
      </c>
      <c r="V54" s="2" t="str">
        <f aca="false">IF($Q54="","",IF($U54&gt;0,100,0)+IF($P54="",0,$P54)+ROW()/100000)</f>
        <v/>
      </c>
      <c r="W54" s="2" t="str">
        <f aca="false">IF($V54="","",IF($A54=SEL_MODEL,$V54,""))</f>
        <v/>
      </c>
    </row>
    <row r="55" customFormat="false" ht="15" hidden="false" customHeight="false" outlineLevel="0" collapsed="false">
      <c r="A55" s="20"/>
      <c r="B55" s="21"/>
      <c r="C55" s="22"/>
      <c r="D55" s="21"/>
      <c r="E55" s="20"/>
      <c r="F55" s="23"/>
      <c r="G55" s="24" t="str">
        <f aca="false">IF(OR($A55="",$F55=""),"",IFERROR(IF(INDEX(MODELS!$K$4:$K$28,MATCH($A55,MODELS!$A$4:$A$28,0))="","",$F55*INDEX(MODELS!$K$4:$K$28,MATCH($A55,MODELS!$A$4:$A$28,0))),""))</f>
        <v/>
      </c>
      <c r="H55" s="21"/>
      <c r="I55" s="21"/>
      <c r="J55" s="21"/>
      <c r="K55" s="25" t="str">
        <f aca="false">IF($E55="","",IFERROR(IF(INDEX(SUPPLIERS!$K$4:$K$63,MATCH($E55,SUPPLIERS!$A$4:$A$63,0))="","",INDEX(SUPPLIERS!$K$4:$K$63,MATCH($E55,SUPPLIERS!$A$4:$A$63,0))),""))</f>
        <v/>
      </c>
      <c r="L55" s="25" t="str">
        <f aca="false">IF($E55="","",IFERROR(IF(INDEX(SUPPLIERS!$L$4:$L$63,MATCH($E55,SUPPLIERS!$A$4:$A$63,0))="","",INDEX(SUPPLIERS!$L$4:$L$63,MATCH($E55,SUPPLIERS!$A$4:$A$63,0))),""))</f>
        <v/>
      </c>
      <c r="M55" s="21"/>
      <c r="N55" s="11" t="str">
        <f aca="false">IF($E55="","",IFERROR(_xlfn.TEXTJOIN("; ",TRUE(),INDEX(SUPPLIERS!$F$4:$F$63,MATCH($E55,SUPPLIERS!$A$4:$A$63,0)),INDEX(SUPPLIERS!$G$4:$G$63,MATCH($E55,SUPPLIERS!$A$4:$A$63,0)),INDEX(SUPPLIERS!$H$4:$H$63,MATCH($E55,SUPPLIERS!$A$4:$A$63,0)),INDEX(SUPPLIERS!$I$4:$I$63,MATCH($E55,SUPPLIERS!$A$4:$A$63,0)),INDEX(SUPPLIERS!$J$4:$J$63,MATCH($E55,SUPPLIERS!$A$4:$A$63,0))),""))</f>
        <v/>
      </c>
      <c r="O55" s="26" t="str">
        <f aca="false">IF(COUNT($H55:$L55)&lt;5,"",ROUND($H55*W_SRC+$I55*W_QC+$J55*W_CAP+$K55*W_SUP+$L55*W_EXT,1))</f>
        <v/>
      </c>
      <c r="P55" s="27" t="str">
        <f aca="false">IF(OR($O55="",$M55=""),"",ROUND($O55*$M55,1))</f>
        <v/>
      </c>
      <c r="Q55" s="28" t="str">
        <f aca="false">IF($E55="","",IF($U55&gt;0,"CRITICAL (FLAG)",IF(OR($O55="",$M55=""),"NOT SCORED",IF($P55&gt;=T_CRIT,"CRITICAL",IF($P55&gt;=T_MON,"MONITOR","LOW")))))</f>
        <v/>
      </c>
      <c r="R55" s="12" t="str">
        <f aca="false">IF($O55="","",INDEX(DriverNames,MATCH(MAX($H55:$L55),$H55:$L55,0)))</f>
        <v/>
      </c>
      <c r="S55" s="22"/>
      <c r="T55" s="29"/>
      <c r="U55" s="2" t="str">
        <f aca="false">IF($E55="","",IFERROR(INDEX(SUPPLIERS!$Q$4:$Q$63,MATCH($E55,SUPPLIERS!$A$4:$A$63,0)),0))</f>
        <v/>
      </c>
      <c r="V55" s="2" t="str">
        <f aca="false">IF($Q55="","",IF($U55&gt;0,100,0)+IF($P55="",0,$P55)+ROW()/100000)</f>
        <v/>
      </c>
      <c r="W55" s="2" t="str">
        <f aca="false">IF($V55="","",IF($A55=SEL_MODEL,$V55,""))</f>
        <v/>
      </c>
    </row>
    <row r="56" customFormat="false" ht="15" hidden="false" customHeight="false" outlineLevel="0" collapsed="false">
      <c r="A56" s="20"/>
      <c r="B56" s="21"/>
      <c r="C56" s="22"/>
      <c r="D56" s="21"/>
      <c r="E56" s="20"/>
      <c r="F56" s="23"/>
      <c r="G56" s="24" t="str">
        <f aca="false">IF(OR($A56="",$F56=""),"",IFERROR(IF(INDEX(MODELS!$K$4:$K$28,MATCH($A56,MODELS!$A$4:$A$28,0))="","",$F56*INDEX(MODELS!$K$4:$K$28,MATCH($A56,MODELS!$A$4:$A$28,0))),""))</f>
        <v/>
      </c>
      <c r="H56" s="21"/>
      <c r="I56" s="21"/>
      <c r="J56" s="21"/>
      <c r="K56" s="25" t="str">
        <f aca="false">IF($E56="","",IFERROR(IF(INDEX(SUPPLIERS!$K$4:$K$63,MATCH($E56,SUPPLIERS!$A$4:$A$63,0))="","",INDEX(SUPPLIERS!$K$4:$K$63,MATCH($E56,SUPPLIERS!$A$4:$A$63,0))),""))</f>
        <v/>
      </c>
      <c r="L56" s="25" t="str">
        <f aca="false">IF($E56="","",IFERROR(IF(INDEX(SUPPLIERS!$L$4:$L$63,MATCH($E56,SUPPLIERS!$A$4:$A$63,0))="","",INDEX(SUPPLIERS!$L$4:$L$63,MATCH($E56,SUPPLIERS!$A$4:$A$63,0))),""))</f>
        <v/>
      </c>
      <c r="M56" s="21"/>
      <c r="N56" s="11" t="str">
        <f aca="false">IF($E56="","",IFERROR(_xlfn.TEXTJOIN("; ",TRUE(),INDEX(SUPPLIERS!$F$4:$F$63,MATCH($E56,SUPPLIERS!$A$4:$A$63,0)),INDEX(SUPPLIERS!$G$4:$G$63,MATCH($E56,SUPPLIERS!$A$4:$A$63,0)),INDEX(SUPPLIERS!$H$4:$H$63,MATCH($E56,SUPPLIERS!$A$4:$A$63,0)),INDEX(SUPPLIERS!$I$4:$I$63,MATCH($E56,SUPPLIERS!$A$4:$A$63,0)),INDEX(SUPPLIERS!$J$4:$J$63,MATCH($E56,SUPPLIERS!$A$4:$A$63,0))),""))</f>
        <v/>
      </c>
      <c r="O56" s="26" t="str">
        <f aca="false">IF(COUNT($H56:$L56)&lt;5,"",ROUND($H56*W_SRC+$I56*W_QC+$J56*W_CAP+$K56*W_SUP+$L56*W_EXT,1))</f>
        <v/>
      </c>
      <c r="P56" s="27" t="str">
        <f aca="false">IF(OR($O56="",$M56=""),"",ROUND($O56*$M56,1))</f>
        <v/>
      </c>
      <c r="Q56" s="28" t="str">
        <f aca="false">IF($E56="","",IF($U56&gt;0,"CRITICAL (FLAG)",IF(OR($O56="",$M56=""),"NOT SCORED",IF($P56&gt;=T_CRIT,"CRITICAL",IF($P56&gt;=T_MON,"MONITOR","LOW")))))</f>
        <v/>
      </c>
      <c r="R56" s="12" t="str">
        <f aca="false">IF($O56="","",INDEX(DriverNames,MATCH(MAX($H56:$L56),$H56:$L56,0)))</f>
        <v/>
      </c>
      <c r="S56" s="22"/>
      <c r="T56" s="29"/>
      <c r="U56" s="2" t="str">
        <f aca="false">IF($E56="","",IFERROR(INDEX(SUPPLIERS!$Q$4:$Q$63,MATCH($E56,SUPPLIERS!$A$4:$A$63,0)),0))</f>
        <v/>
      </c>
      <c r="V56" s="2" t="str">
        <f aca="false">IF($Q56="","",IF($U56&gt;0,100,0)+IF($P56="",0,$P56)+ROW()/100000)</f>
        <v/>
      </c>
      <c r="W56" s="2" t="str">
        <f aca="false">IF($V56="","",IF($A56=SEL_MODEL,$V56,""))</f>
        <v/>
      </c>
    </row>
    <row r="57" customFormat="false" ht="15" hidden="false" customHeight="false" outlineLevel="0" collapsed="false">
      <c r="A57" s="20"/>
      <c r="B57" s="21"/>
      <c r="C57" s="22"/>
      <c r="D57" s="21"/>
      <c r="E57" s="20"/>
      <c r="F57" s="23"/>
      <c r="G57" s="24" t="str">
        <f aca="false">IF(OR($A57="",$F57=""),"",IFERROR(IF(INDEX(MODELS!$K$4:$K$28,MATCH($A57,MODELS!$A$4:$A$28,0))="","",$F57*INDEX(MODELS!$K$4:$K$28,MATCH($A57,MODELS!$A$4:$A$28,0))),""))</f>
        <v/>
      </c>
      <c r="H57" s="21"/>
      <c r="I57" s="21"/>
      <c r="J57" s="21"/>
      <c r="K57" s="25" t="str">
        <f aca="false">IF($E57="","",IFERROR(IF(INDEX(SUPPLIERS!$K$4:$K$63,MATCH($E57,SUPPLIERS!$A$4:$A$63,0))="","",INDEX(SUPPLIERS!$K$4:$K$63,MATCH($E57,SUPPLIERS!$A$4:$A$63,0))),""))</f>
        <v/>
      </c>
      <c r="L57" s="25" t="str">
        <f aca="false">IF($E57="","",IFERROR(IF(INDEX(SUPPLIERS!$L$4:$L$63,MATCH($E57,SUPPLIERS!$A$4:$A$63,0))="","",INDEX(SUPPLIERS!$L$4:$L$63,MATCH($E57,SUPPLIERS!$A$4:$A$63,0))),""))</f>
        <v/>
      </c>
      <c r="M57" s="21"/>
      <c r="N57" s="11" t="str">
        <f aca="false">IF($E57="","",IFERROR(_xlfn.TEXTJOIN("; ",TRUE(),INDEX(SUPPLIERS!$F$4:$F$63,MATCH($E57,SUPPLIERS!$A$4:$A$63,0)),INDEX(SUPPLIERS!$G$4:$G$63,MATCH($E57,SUPPLIERS!$A$4:$A$63,0)),INDEX(SUPPLIERS!$H$4:$H$63,MATCH($E57,SUPPLIERS!$A$4:$A$63,0)),INDEX(SUPPLIERS!$I$4:$I$63,MATCH($E57,SUPPLIERS!$A$4:$A$63,0)),INDEX(SUPPLIERS!$J$4:$J$63,MATCH($E57,SUPPLIERS!$A$4:$A$63,0))),""))</f>
        <v/>
      </c>
      <c r="O57" s="26" t="str">
        <f aca="false">IF(COUNT($H57:$L57)&lt;5,"",ROUND($H57*W_SRC+$I57*W_QC+$J57*W_CAP+$K57*W_SUP+$L57*W_EXT,1))</f>
        <v/>
      </c>
      <c r="P57" s="27" t="str">
        <f aca="false">IF(OR($O57="",$M57=""),"",ROUND($O57*$M57,1))</f>
        <v/>
      </c>
      <c r="Q57" s="28" t="str">
        <f aca="false">IF($E57="","",IF($U57&gt;0,"CRITICAL (FLAG)",IF(OR($O57="",$M57=""),"NOT SCORED",IF($P57&gt;=T_CRIT,"CRITICAL",IF($P57&gt;=T_MON,"MONITOR","LOW")))))</f>
        <v/>
      </c>
      <c r="R57" s="12" t="str">
        <f aca="false">IF($O57="","",INDEX(DriverNames,MATCH(MAX($H57:$L57),$H57:$L57,0)))</f>
        <v/>
      </c>
      <c r="S57" s="22"/>
      <c r="T57" s="29"/>
      <c r="U57" s="2" t="str">
        <f aca="false">IF($E57="","",IFERROR(INDEX(SUPPLIERS!$Q$4:$Q$63,MATCH($E57,SUPPLIERS!$A$4:$A$63,0)),0))</f>
        <v/>
      </c>
      <c r="V57" s="2" t="str">
        <f aca="false">IF($Q57="","",IF($U57&gt;0,100,0)+IF($P57="",0,$P57)+ROW()/100000)</f>
        <v/>
      </c>
      <c r="W57" s="2" t="str">
        <f aca="false">IF($V57="","",IF($A57=SEL_MODEL,$V57,""))</f>
        <v/>
      </c>
    </row>
    <row r="58" customFormat="false" ht="15" hidden="false" customHeight="false" outlineLevel="0" collapsed="false">
      <c r="A58" s="20"/>
      <c r="B58" s="21"/>
      <c r="C58" s="22"/>
      <c r="D58" s="21"/>
      <c r="E58" s="20"/>
      <c r="F58" s="23"/>
      <c r="G58" s="24" t="str">
        <f aca="false">IF(OR($A58="",$F58=""),"",IFERROR(IF(INDEX(MODELS!$K$4:$K$28,MATCH($A58,MODELS!$A$4:$A$28,0))="","",$F58*INDEX(MODELS!$K$4:$K$28,MATCH($A58,MODELS!$A$4:$A$28,0))),""))</f>
        <v/>
      </c>
      <c r="H58" s="21"/>
      <c r="I58" s="21"/>
      <c r="J58" s="21"/>
      <c r="K58" s="25" t="str">
        <f aca="false">IF($E58="","",IFERROR(IF(INDEX(SUPPLIERS!$K$4:$K$63,MATCH($E58,SUPPLIERS!$A$4:$A$63,0))="","",INDEX(SUPPLIERS!$K$4:$K$63,MATCH($E58,SUPPLIERS!$A$4:$A$63,0))),""))</f>
        <v/>
      </c>
      <c r="L58" s="25" t="str">
        <f aca="false">IF($E58="","",IFERROR(IF(INDEX(SUPPLIERS!$L$4:$L$63,MATCH($E58,SUPPLIERS!$A$4:$A$63,0))="","",INDEX(SUPPLIERS!$L$4:$L$63,MATCH($E58,SUPPLIERS!$A$4:$A$63,0))),""))</f>
        <v/>
      </c>
      <c r="M58" s="21"/>
      <c r="N58" s="11" t="str">
        <f aca="false">IF($E58="","",IFERROR(_xlfn.TEXTJOIN("; ",TRUE(),INDEX(SUPPLIERS!$F$4:$F$63,MATCH($E58,SUPPLIERS!$A$4:$A$63,0)),INDEX(SUPPLIERS!$G$4:$G$63,MATCH($E58,SUPPLIERS!$A$4:$A$63,0)),INDEX(SUPPLIERS!$H$4:$H$63,MATCH($E58,SUPPLIERS!$A$4:$A$63,0)),INDEX(SUPPLIERS!$I$4:$I$63,MATCH($E58,SUPPLIERS!$A$4:$A$63,0)),INDEX(SUPPLIERS!$J$4:$J$63,MATCH($E58,SUPPLIERS!$A$4:$A$63,0))),""))</f>
        <v/>
      </c>
      <c r="O58" s="26" t="str">
        <f aca="false">IF(COUNT($H58:$L58)&lt;5,"",ROUND($H58*W_SRC+$I58*W_QC+$J58*W_CAP+$K58*W_SUP+$L58*W_EXT,1))</f>
        <v/>
      </c>
      <c r="P58" s="27" t="str">
        <f aca="false">IF(OR($O58="",$M58=""),"",ROUND($O58*$M58,1))</f>
        <v/>
      </c>
      <c r="Q58" s="28" t="str">
        <f aca="false">IF($E58="","",IF($U58&gt;0,"CRITICAL (FLAG)",IF(OR($O58="",$M58=""),"NOT SCORED",IF($P58&gt;=T_CRIT,"CRITICAL",IF($P58&gt;=T_MON,"MONITOR","LOW")))))</f>
        <v/>
      </c>
      <c r="R58" s="12" t="str">
        <f aca="false">IF($O58="","",INDEX(DriverNames,MATCH(MAX($H58:$L58),$H58:$L58,0)))</f>
        <v/>
      </c>
      <c r="S58" s="22"/>
      <c r="T58" s="29"/>
      <c r="U58" s="2" t="str">
        <f aca="false">IF($E58="","",IFERROR(INDEX(SUPPLIERS!$Q$4:$Q$63,MATCH($E58,SUPPLIERS!$A$4:$A$63,0)),0))</f>
        <v/>
      </c>
      <c r="V58" s="2" t="str">
        <f aca="false">IF($Q58="","",IF($U58&gt;0,100,0)+IF($P58="",0,$P58)+ROW()/100000)</f>
        <v/>
      </c>
      <c r="W58" s="2" t="str">
        <f aca="false">IF($V58="","",IF($A58=SEL_MODEL,$V58,""))</f>
        <v/>
      </c>
    </row>
    <row r="59" customFormat="false" ht="15" hidden="false" customHeight="false" outlineLevel="0" collapsed="false">
      <c r="A59" s="20"/>
      <c r="B59" s="21"/>
      <c r="C59" s="22"/>
      <c r="D59" s="21"/>
      <c r="E59" s="20"/>
      <c r="F59" s="23"/>
      <c r="G59" s="24" t="str">
        <f aca="false">IF(OR($A59="",$F59=""),"",IFERROR(IF(INDEX(MODELS!$K$4:$K$28,MATCH($A59,MODELS!$A$4:$A$28,0))="","",$F59*INDEX(MODELS!$K$4:$K$28,MATCH($A59,MODELS!$A$4:$A$28,0))),""))</f>
        <v/>
      </c>
      <c r="H59" s="21"/>
      <c r="I59" s="21"/>
      <c r="J59" s="21"/>
      <c r="K59" s="25" t="str">
        <f aca="false">IF($E59="","",IFERROR(IF(INDEX(SUPPLIERS!$K$4:$K$63,MATCH($E59,SUPPLIERS!$A$4:$A$63,0))="","",INDEX(SUPPLIERS!$K$4:$K$63,MATCH($E59,SUPPLIERS!$A$4:$A$63,0))),""))</f>
        <v/>
      </c>
      <c r="L59" s="25" t="str">
        <f aca="false">IF($E59="","",IFERROR(IF(INDEX(SUPPLIERS!$L$4:$L$63,MATCH($E59,SUPPLIERS!$A$4:$A$63,0))="","",INDEX(SUPPLIERS!$L$4:$L$63,MATCH($E59,SUPPLIERS!$A$4:$A$63,0))),""))</f>
        <v/>
      </c>
      <c r="M59" s="21"/>
      <c r="N59" s="11" t="str">
        <f aca="false">IF($E59="","",IFERROR(_xlfn.TEXTJOIN("; ",TRUE(),INDEX(SUPPLIERS!$F$4:$F$63,MATCH($E59,SUPPLIERS!$A$4:$A$63,0)),INDEX(SUPPLIERS!$G$4:$G$63,MATCH($E59,SUPPLIERS!$A$4:$A$63,0)),INDEX(SUPPLIERS!$H$4:$H$63,MATCH($E59,SUPPLIERS!$A$4:$A$63,0)),INDEX(SUPPLIERS!$I$4:$I$63,MATCH($E59,SUPPLIERS!$A$4:$A$63,0)),INDEX(SUPPLIERS!$J$4:$J$63,MATCH($E59,SUPPLIERS!$A$4:$A$63,0))),""))</f>
        <v/>
      </c>
      <c r="O59" s="26" t="str">
        <f aca="false">IF(COUNT($H59:$L59)&lt;5,"",ROUND($H59*W_SRC+$I59*W_QC+$J59*W_CAP+$K59*W_SUP+$L59*W_EXT,1))</f>
        <v/>
      </c>
      <c r="P59" s="27" t="str">
        <f aca="false">IF(OR($O59="",$M59=""),"",ROUND($O59*$M59,1))</f>
        <v/>
      </c>
      <c r="Q59" s="28" t="str">
        <f aca="false">IF($E59="","",IF($U59&gt;0,"CRITICAL (FLAG)",IF(OR($O59="",$M59=""),"NOT SCORED",IF($P59&gt;=T_CRIT,"CRITICAL",IF($P59&gt;=T_MON,"MONITOR","LOW")))))</f>
        <v/>
      </c>
      <c r="R59" s="12" t="str">
        <f aca="false">IF($O59="","",INDEX(DriverNames,MATCH(MAX($H59:$L59),$H59:$L59,0)))</f>
        <v/>
      </c>
      <c r="S59" s="22"/>
      <c r="T59" s="29"/>
      <c r="U59" s="2" t="str">
        <f aca="false">IF($E59="","",IFERROR(INDEX(SUPPLIERS!$Q$4:$Q$63,MATCH($E59,SUPPLIERS!$A$4:$A$63,0)),0))</f>
        <v/>
      </c>
      <c r="V59" s="2" t="str">
        <f aca="false">IF($Q59="","",IF($U59&gt;0,100,0)+IF($P59="",0,$P59)+ROW()/100000)</f>
        <v/>
      </c>
      <c r="W59" s="2" t="str">
        <f aca="false">IF($V59="","",IF($A59=SEL_MODEL,$V59,""))</f>
        <v/>
      </c>
    </row>
    <row r="60" customFormat="false" ht="15" hidden="false" customHeight="false" outlineLevel="0" collapsed="false">
      <c r="A60" s="20"/>
      <c r="B60" s="21"/>
      <c r="C60" s="22"/>
      <c r="D60" s="21"/>
      <c r="E60" s="20"/>
      <c r="F60" s="23"/>
      <c r="G60" s="24" t="str">
        <f aca="false">IF(OR($A60="",$F60=""),"",IFERROR(IF(INDEX(MODELS!$K$4:$K$28,MATCH($A60,MODELS!$A$4:$A$28,0))="","",$F60*INDEX(MODELS!$K$4:$K$28,MATCH($A60,MODELS!$A$4:$A$28,0))),""))</f>
        <v/>
      </c>
      <c r="H60" s="21"/>
      <c r="I60" s="21"/>
      <c r="J60" s="21"/>
      <c r="K60" s="25" t="str">
        <f aca="false">IF($E60="","",IFERROR(IF(INDEX(SUPPLIERS!$K$4:$K$63,MATCH($E60,SUPPLIERS!$A$4:$A$63,0))="","",INDEX(SUPPLIERS!$K$4:$K$63,MATCH($E60,SUPPLIERS!$A$4:$A$63,0))),""))</f>
        <v/>
      </c>
      <c r="L60" s="25" t="str">
        <f aca="false">IF($E60="","",IFERROR(IF(INDEX(SUPPLIERS!$L$4:$L$63,MATCH($E60,SUPPLIERS!$A$4:$A$63,0))="","",INDEX(SUPPLIERS!$L$4:$L$63,MATCH($E60,SUPPLIERS!$A$4:$A$63,0))),""))</f>
        <v/>
      </c>
      <c r="M60" s="21"/>
      <c r="N60" s="11" t="str">
        <f aca="false">IF($E60="","",IFERROR(_xlfn.TEXTJOIN("; ",TRUE(),INDEX(SUPPLIERS!$F$4:$F$63,MATCH($E60,SUPPLIERS!$A$4:$A$63,0)),INDEX(SUPPLIERS!$G$4:$G$63,MATCH($E60,SUPPLIERS!$A$4:$A$63,0)),INDEX(SUPPLIERS!$H$4:$H$63,MATCH($E60,SUPPLIERS!$A$4:$A$63,0)),INDEX(SUPPLIERS!$I$4:$I$63,MATCH($E60,SUPPLIERS!$A$4:$A$63,0)),INDEX(SUPPLIERS!$J$4:$J$63,MATCH($E60,SUPPLIERS!$A$4:$A$63,0))),""))</f>
        <v/>
      </c>
      <c r="O60" s="26" t="str">
        <f aca="false">IF(COUNT($H60:$L60)&lt;5,"",ROUND($H60*W_SRC+$I60*W_QC+$J60*W_CAP+$K60*W_SUP+$L60*W_EXT,1))</f>
        <v/>
      </c>
      <c r="P60" s="27" t="str">
        <f aca="false">IF(OR($O60="",$M60=""),"",ROUND($O60*$M60,1))</f>
        <v/>
      </c>
      <c r="Q60" s="28" t="str">
        <f aca="false">IF($E60="","",IF($U60&gt;0,"CRITICAL (FLAG)",IF(OR($O60="",$M60=""),"NOT SCORED",IF($P60&gt;=T_CRIT,"CRITICAL",IF($P60&gt;=T_MON,"MONITOR","LOW")))))</f>
        <v/>
      </c>
      <c r="R60" s="12" t="str">
        <f aca="false">IF($O60="","",INDEX(DriverNames,MATCH(MAX($H60:$L60),$H60:$L60,0)))</f>
        <v/>
      </c>
      <c r="S60" s="22"/>
      <c r="T60" s="29"/>
      <c r="U60" s="2" t="str">
        <f aca="false">IF($E60="","",IFERROR(INDEX(SUPPLIERS!$Q$4:$Q$63,MATCH($E60,SUPPLIERS!$A$4:$A$63,0)),0))</f>
        <v/>
      </c>
      <c r="V60" s="2" t="str">
        <f aca="false">IF($Q60="","",IF($U60&gt;0,100,0)+IF($P60="",0,$P60)+ROW()/100000)</f>
        <v/>
      </c>
      <c r="W60" s="2" t="str">
        <f aca="false">IF($V60="","",IF($A60=SEL_MODEL,$V60,""))</f>
        <v/>
      </c>
    </row>
    <row r="61" customFormat="false" ht="15" hidden="false" customHeight="false" outlineLevel="0" collapsed="false">
      <c r="A61" s="20"/>
      <c r="B61" s="21"/>
      <c r="C61" s="22"/>
      <c r="D61" s="21"/>
      <c r="E61" s="20"/>
      <c r="F61" s="23"/>
      <c r="G61" s="24" t="str">
        <f aca="false">IF(OR($A61="",$F61=""),"",IFERROR(IF(INDEX(MODELS!$K$4:$K$28,MATCH($A61,MODELS!$A$4:$A$28,0))="","",$F61*INDEX(MODELS!$K$4:$K$28,MATCH($A61,MODELS!$A$4:$A$28,0))),""))</f>
        <v/>
      </c>
      <c r="H61" s="21"/>
      <c r="I61" s="21"/>
      <c r="J61" s="21"/>
      <c r="K61" s="25" t="str">
        <f aca="false">IF($E61="","",IFERROR(IF(INDEX(SUPPLIERS!$K$4:$K$63,MATCH($E61,SUPPLIERS!$A$4:$A$63,0))="","",INDEX(SUPPLIERS!$K$4:$K$63,MATCH($E61,SUPPLIERS!$A$4:$A$63,0))),""))</f>
        <v/>
      </c>
      <c r="L61" s="25" t="str">
        <f aca="false">IF($E61="","",IFERROR(IF(INDEX(SUPPLIERS!$L$4:$L$63,MATCH($E61,SUPPLIERS!$A$4:$A$63,0))="","",INDEX(SUPPLIERS!$L$4:$L$63,MATCH($E61,SUPPLIERS!$A$4:$A$63,0))),""))</f>
        <v/>
      </c>
      <c r="M61" s="21"/>
      <c r="N61" s="11" t="str">
        <f aca="false">IF($E61="","",IFERROR(_xlfn.TEXTJOIN("; ",TRUE(),INDEX(SUPPLIERS!$F$4:$F$63,MATCH($E61,SUPPLIERS!$A$4:$A$63,0)),INDEX(SUPPLIERS!$G$4:$G$63,MATCH($E61,SUPPLIERS!$A$4:$A$63,0)),INDEX(SUPPLIERS!$H$4:$H$63,MATCH($E61,SUPPLIERS!$A$4:$A$63,0)),INDEX(SUPPLIERS!$I$4:$I$63,MATCH($E61,SUPPLIERS!$A$4:$A$63,0)),INDEX(SUPPLIERS!$J$4:$J$63,MATCH($E61,SUPPLIERS!$A$4:$A$63,0))),""))</f>
        <v/>
      </c>
      <c r="O61" s="26" t="str">
        <f aca="false">IF(COUNT($H61:$L61)&lt;5,"",ROUND($H61*W_SRC+$I61*W_QC+$J61*W_CAP+$K61*W_SUP+$L61*W_EXT,1))</f>
        <v/>
      </c>
      <c r="P61" s="27" t="str">
        <f aca="false">IF(OR($O61="",$M61=""),"",ROUND($O61*$M61,1))</f>
        <v/>
      </c>
      <c r="Q61" s="28" t="str">
        <f aca="false">IF($E61="","",IF($U61&gt;0,"CRITICAL (FLAG)",IF(OR($O61="",$M61=""),"NOT SCORED",IF($P61&gt;=T_CRIT,"CRITICAL",IF($P61&gt;=T_MON,"MONITOR","LOW")))))</f>
        <v/>
      </c>
      <c r="R61" s="12" t="str">
        <f aca="false">IF($O61="","",INDEX(DriverNames,MATCH(MAX($H61:$L61),$H61:$L61,0)))</f>
        <v/>
      </c>
      <c r="S61" s="22"/>
      <c r="T61" s="29"/>
      <c r="U61" s="2" t="str">
        <f aca="false">IF($E61="","",IFERROR(INDEX(SUPPLIERS!$Q$4:$Q$63,MATCH($E61,SUPPLIERS!$A$4:$A$63,0)),0))</f>
        <v/>
      </c>
      <c r="V61" s="2" t="str">
        <f aca="false">IF($Q61="","",IF($U61&gt;0,100,0)+IF($P61="",0,$P61)+ROW()/100000)</f>
        <v/>
      </c>
      <c r="W61" s="2" t="str">
        <f aca="false">IF($V61="","",IF($A61=SEL_MODEL,$V61,""))</f>
        <v/>
      </c>
    </row>
    <row r="62" customFormat="false" ht="15" hidden="false" customHeight="false" outlineLevel="0" collapsed="false">
      <c r="A62" s="20"/>
      <c r="B62" s="21"/>
      <c r="C62" s="22"/>
      <c r="D62" s="21"/>
      <c r="E62" s="20"/>
      <c r="F62" s="23"/>
      <c r="G62" s="24" t="str">
        <f aca="false">IF(OR($A62="",$F62=""),"",IFERROR(IF(INDEX(MODELS!$K$4:$K$28,MATCH($A62,MODELS!$A$4:$A$28,0))="","",$F62*INDEX(MODELS!$K$4:$K$28,MATCH($A62,MODELS!$A$4:$A$28,0))),""))</f>
        <v/>
      </c>
      <c r="H62" s="21"/>
      <c r="I62" s="21"/>
      <c r="J62" s="21"/>
      <c r="K62" s="25" t="str">
        <f aca="false">IF($E62="","",IFERROR(IF(INDEX(SUPPLIERS!$K$4:$K$63,MATCH($E62,SUPPLIERS!$A$4:$A$63,0))="","",INDEX(SUPPLIERS!$K$4:$K$63,MATCH($E62,SUPPLIERS!$A$4:$A$63,0))),""))</f>
        <v/>
      </c>
      <c r="L62" s="25" t="str">
        <f aca="false">IF($E62="","",IFERROR(IF(INDEX(SUPPLIERS!$L$4:$L$63,MATCH($E62,SUPPLIERS!$A$4:$A$63,0))="","",INDEX(SUPPLIERS!$L$4:$L$63,MATCH($E62,SUPPLIERS!$A$4:$A$63,0))),""))</f>
        <v/>
      </c>
      <c r="M62" s="21"/>
      <c r="N62" s="11" t="str">
        <f aca="false">IF($E62="","",IFERROR(_xlfn.TEXTJOIN("; ",TRUE(),INDEX(SUPPLIERS!$F$4:$F$63,MATCH($E62,SUPPLIERS!$A$4:$A$63,0)),INDEX(SUPPLIERS!$G$4:$G$63,MATCH($E62,SUPPLIERS!$A$4:$A$63,0)),INDEX(SUPPLIERS!$H$4:$H$63,MATCH($E62,SUPPLIERS!$A$4:$A$63,0)),INDEX(SUPPLIERS!$I$4:$I$63,MATCH($E62,SUPPLIERS!$A$4:$A$63,0)),INDEX(SUPPLIERS!$J$4:$J$63,MATCH($E62,SUPPLIERS!$A$4:$A$63,0))),""))</f>
        <v/>
      </c>
      <c r="O62" s="26" t="str">
        <f aca="false">IF(COUNT($H62:$L62)&lt;5,"",ROUND($H62*W_SRC+$I62*W_QC+$J62*W_CAP+$K62*W_SUP+$L62*W_EXT,1))</f>
        <v/>
      </c>
      <c r="P62" s="27" t="str">
        <f aca="false">IF(OR($O62="",$M62=""),"",ROUND($O62*$M62,1))</f>
        <v/>
      </c>
      <c r="Q62" s="28" t="str">
        <f aca="false">IF($E62="","",IF($U62&gt;0,"CRITICAL (FLAG)",IF(OR($O62="",$M62=""),"NOT SCORED",IF($P62&gt;=T_CRIT,"CRITICAL",IF($P62&gt;=T_MON,"MONITOR","LOW")))))</f>
        <v/>
      </c>
      <c r="R62" s="12" t="str">
        <f aca="false">IF($O62="","",INDEX(DriverNames,MATCH(MAX($H62:$L62),$H62:$L62,0)))</f>
        <v/>
      </c>
      <c r="S62" s="22"/>
      <c r="T62" s="29"/>
      <c r="U62" s="2" t="str">
        <f aca="false">IF($E62="","",IFERROR(INDEX(SUPPLIERS!$Q$4:$Q$63,MATCH($E62,SUPPLIERS!$A$4:$A$63,0)),0))</f>
        <v/>
      </c>
      <c r="V62" s="2" t="str">
        <f aca="false">IF($Q62="","",IF($U62&gt;0,100,0)+IF($P62="",0,$P62)+ROW()/100000)</f>
        <v/>
      </c>
      <c r="W62" s="2" t="str">
        <f aca="false">IF($V62="","",IF($A62=SEL_MODEL,$V62,""))</f>
        <v/>
      </c>
    </row>
    <row r="63" customFormat="false" ht="15" hidden="false" customHeight="false" outlineLevel="0" collapsed="false">
      <c r="A63" s="20"/>
      <c r="B63" s="21"/>
      <c r="C63" s="22"/>
      <c r="D63" s="21"/>
      <c r="E63" s="20"/>
      <c r="F63" s="23"/>
      <c r="G63" s="24" t="str">
        <f aca="false">IF(OR($A63="",$F63=""),"",IFERROR(IF(INDEX(MODELS!$K$4:$K$28,MATCH($A63,MODELS!$A$4:$A$28,0))="","",$F63*INDEX(MODELS!$K$4:$K$28,MATCH($A63,MODELS!$A$4:$A$28,0))),""))</f>
        <v/>
      </c>
      <c r="H63" s="21"/>
      <c r="I63" s="21"/>
      <c r="J63" s="21"/>
      <c r="K63" s="25" t="str">
        <f aca="false">IF($E63="","",IFERROR(IF(INDEX(SUPPLIERS!$K$4:$K$63,MATCH($E63,SUPPLIERS!$A$4:$A$63,0))="","",INDEX(SUPPLIERS!$K$4:$K$63,MATCH($E63,SUPPLIERS!$A$4:$A$63,0))),""))</f>
        <v/>
      </c>
      <c r="L63" s="25" t="str">
        <f aca="false">IF($E63="","",IFERROR(IF(INDEX(SUPPLIERS!$L$4:$L$63,MATCH($E63,SUPPLIERS!$A$4:$A$63,0))="","",INDEX(SUPPLIERS!$L$4:$L$63,MATCH($E63,SUPPLIERS!$A$4:$A$63,0))),""))</f>
        <v/>
      </c>
      <c r="M63" s="21"/>
      <c r="N63" s="11" t="str">
        <f aca="false">IF($E63="","",IFERROR(_xlfn.TEXTJOIN("; ",TRUE(),INDEX(SUPPLIERS!$F$4:$F$63,MATCH($E63,SUPPLIERS!$A$4:$A$63,0)),INDEX(SUPPLIERS!$G$4:$G$63,MATCH($E63,SUPPLIERS!$A$4:$A$63,0)),INDEX(SUPPLIERS!$H$4:$H$63,MATCH($E63,SUPPLIERS!$A$4:$A$63,0)),INDEX(SUPPLIERS!$I$4:$I$63,MATCH($E63,SUPPLIERS!$A$4:$A$63,0)),INDEX(SUPPLIERS!$J$4:$J$63,MATCH($E63,SUPPLIERS!$A$4:$A$63,0))),""))</f>
        <v/>
      </c>
      <c r="O63" s="26" t="str">
        <f aca="false">IF(COUNT($H63:$L63)&lt;5,"",ROUND($H63*W_SRC+$I63*W_QC+$J63*W_CAP+$K63*W_SUP+$L63*W_EXT,1))</f>
        <v/>
      </c>
      <c r="P63" s="27" t="str">
        <f aca="false">IF(OR($O63="",$M63=""),"",ROUND($O63*$M63,1))</f>
        <v/>
      </c>
      <c r="Q63" s="28" t="str">
        <f aca="false">IF($E63="","",IF($U63&gt;0,"CRITICAL (FLAG)",IF(OR($O63="",$M63=""),"NOT SCORED",IF($P63&gt;=T_CRIT,"CRITICAL",IF($P63&gt;=T_MON,"MONITOR","LOW")))))</f>
        <v/>
      </c>
      <c r="R63" s="12" t="str">
        <f aca="false">IF($O63="","",INDEX(DriverNames,MATCH(MAX($H63:$L63),$H63:$L63,0)))</f>
        <v/>
      </c>
      <c r="S63" s="22"/>
      <c r="T63" s="29"/>
      <c r="U63" s="2" t="str">
        <f aca="false">IF($E63="","",IFERROR(INDEX(SUPPLIERS!$Q$4:$Q$63,MATCH($E63,SUPPLIERS!$A$4:$A$63,0)),0))</f>
        <v/>
      </c>
      <c r="V63" s="2" t="str">
        <f aca="false">IF($Q63="","",IF($U63&gt;0,100,0)+IF($P63="",0,$P63)+ROW()/100000)</f>
        <v/>
      </c>
      <c r="W63" s="2" t="str">
        <f aca="false">IF($V63="","",IF($A63=SEL_MODEL,$V63,""))</f>
        <v/>
      </c>
    </row>
    <row r="64" customFormat="false" ht="15" hidden="false" customHeight="false" outlineLevel="0" collapsed="false">
      <c r="A64" s="20"/>
      <c r="B64" s="21"/>
      <c r="C64" s="22"/>
      <c r="D64" s="21"/>
      <c r="E64" s="20"/>
      <c r="F64" s="23"/>
      <c r="G64" s="24" t="str">
        <f aca="false">IF(OR($A64="",$F64=""),"",IFERROR(IF(INDEX(MODELS!$K$4:$K$28,MATCH($A64,MODELS!$A$4:$A$28,0))="","",$F64*INDEX(MODELS!$K$4:$K$28,MATCH($A64,MODELS!$A$4:$A$28,0))),""))</f>
        <v/>
      </c>
      <c r="H64" s="21"/>
      <c r="I64" s="21"/>
      <c r="J64" s="21"/>
      <c r="K64" s="25" t="str">
        <f aca="false">IF($E64="","",IFERROR(IF(INDEX(SUPPLIERS!$K$4:$K$63,MATCH($E64,SUPPLIERS!$A$4:$A$63,0))="","",INDEX(SUPPLIERS!$K$4:$K$63,MATCH($E64,SUPPLIERS!$A$4:$A$63,0))),""))</f>
        <v/>
      </c>
      <c r="L64" s="25" t="str">
        <f aca="false">IF($E64="","",IFERROR(IF(INDEX(SUPPLIERS!$L$4:$L$63,MATCH($E64,SUPPLIERS!$A$4:$A$63,0))="","",INDEX(SUPPLIERS!$L$4:$L$63,MATCH($E64,SUPPLIERS!$A$4:$A$63,0))),""))</f>
        <v/>
      </c>
      <c r="M64" s="21"/>
      <c r="N64" s="11" t="str">
        <f aca="false">IF($E64="","",IFERROR(_xlfn.TEXTJOIN("; ",TRUE(),INDEX(SUPPLIERS!$F$4:$F$63,MATCH($E64,SUPPLIERS!$A$4:$A$63,0)),INDEX(SUPPLIERS!$G$4:$G$63,MATCH($E64,SUPPLIERS!$A$4:$A$63,0)),INDEX(SUPPLIERS!$H$4:$H$63,MATCH($E64,SUPPLIERS!$A$4:$A$63,0)),INDEX(SUPPLIERS!$I$4:$I$63,MATCH($E64,SUPPLIERS!$A$4:$A$63,0)),INDEX(SUPPLIERS!$J$4:$J$63,MATCH($E64,SUPPLIERS!$A$4:$A$63,0))),""))</f>
        <v/>
      </c>
      <c r="O64" s="26" t="str">
        <f aca="false">IF(COUNT($H64:$L64)&lt;5,"",ROUND($H64*W_SRC+$I64*W_QC+$J64*W_CAP+$K64*W_SUP+$L64*W_EXT,1))</f>
        <v/>
      </c>
      <c r="P64" s="27" t="str">
        <f aca="false">IF(OR($O64="",$M64=""),"",ROUND($O64*$M64,1))</f>
        <v/>
      </c>
      <c r="Q64" s="28" t="str">
        <f aca="false">IF($E64="","",IF($U64&gt;0,"CRITICAL (FLAG)",IF(OR($O64="",$M64=""),"NOT SCORED",IF($P64&gt;=T_CRIT,"CRITICAL",IF($P64&gt;=T_MON,"MONITOR","LOW")))))</f>
        <v/>
      </c>
      <c r="R64" s="12" t="str">
        <f aca="false">IF($O64="","",INDEX(DriverNames,MATCH(MAX($H64:$L64),$H64:$L64,0)))</f>
        <v/>
      </c>
      <c r="S64" s="22"/>
      <c r="T64" s="29"/>
      <c r="U64" s="2" t="str">
        <f aca="false">IF($E64="","",IFERROR(INDEX(SUPPLIERS!$Q$4:$Q$63,MATCH($E64,SUPPLIERS!$A$4:$A$63,0)),0))</f>
        <v/>
      </c>
      <c r="V64" s="2" t="str">
        <f aca="false">IF($Q64="","",IF($U64&gt;0,100,0)+IF($P64="",0,$P64)+ROW()/100000)</f>
        <v/>
      </c>
      <c r="W64" s="2" t="str">
        <f aca="false">IF($V64="","",IF($A64=SEL_MODEL,$V64,""))</f>
        <v/>
      </c>
    </row>
    <row r="65" customFormat="false" ht="15" hidden="false" customHeight="false" outlineLevel="0" collapsed="false">
      <c r="A65" s="20"/>
      <c r="B65" s="21"/>
      <c r="C65" s="22"/>
      <c r="D65" s="21"/>
      <c r="E65" s="20"/>
      <c r="F65" s="23"/>
      <c r="G65" s="24" t="str">
        <f aca="false">IF(OR($A65="",$F65=""),"",IFERROR(IF(INDEX(MODELS!$K$4:$K$28,MATCH($A65,MODELS!$A$4:$A$28,0))="","",$F65*INDEX(MODELS!$K$4:$K$28,MATCH($A65,MODELS!$A$4:$A$28,0))),""))</f>
        <v/>
      </c>
      <c r="H65" s="21"/>
      <c r="I65" s="21"/>
      <c r="J65" s="21"/>
      <c r="K65" s="25" t="str">
        <f aca="false">IF($E65="","",IFERROR(IF(INDEX(SUPPLIERS!$K$4:$K$63,MATCH($E65,SUPPLIERS!$A$4:$A$63,0))="","",INDEX(SUPPLIERS!$K$4:$K$63,MATCH($E65,SUPPLIERS!$A$4:$A$63,0))),""))</f>
        <v/>
      </c>
      <c r="L65" s="25" t="str">
        <f aca="false">IF($E65="","",IFERROR(IF(INDEX(SUPPLIERS!$L$4:$L$63,MATCH($E65,SUPPLIERS!$A$4:$A$63,0))="","",INDEX(SUPPLIERS!$L$4:$L$63,MATCH($E65,SUPPLIERS!$A$4:$A$63,0))),""))</f>
        <v/>
      </c>
      <c r="M65" s="21"/>
      <c r="N65" s="11" t="str">
        <f aca="false">IF($E65="","",IFERROR(_xlfn.TEXTJOIN("; ",TRUE(),INDEX(SUPPLIERS!$F$4:$F$63,MATCH($E65,SUPPLIERS!$A$4:$A$63,0)),INDEX(SUPPLIERS!$G$4:$G$63,MATCH($E65,SUPPLIERS!$A$4:$A$63,0)),INDEX(SUPPLIERS!$H$4:$H$63,MATCH($E65,SUPPLIERS!$A$4:$A$63,0)),INDEX(SUPPLIERS!$I$4:$I$63,MATCH($E65,SUPPLIERS!$A$4:$A$63,0)),INDEX(SUPPLIERS!$J$4:$J$63,MATCH($E65,SUPPLIERS!$A$4:$A$63,0))),""))</f>
        <v/>
      </c>
      <c r="O65" s="26" t="str">
        <f aca="false">IF(COUNT($H65:$L65)&lt;5,"",ROUND($H65*W_SRC+$I65*W_QC+$J65*W_CAP+$K65*W_SUP+$L65*W_EXT,1))</f>
        <v/>
      </c>
      <c r="P65" s="27" t="str">
        <f aca="false">IF(OR($O65="",$M65=""),"",ROUND($O65*$M65,1))</f>
        <v/>
      </c>
      <c r="Q65" s="28" t="str">
        <f aca="false">IF($E65="","",IF($U65&gt;0,"CRITICAL (FLAG)",IF(OR($O65="",$M65=""),"NOT SCORED",IF($P65&gt;=T_CRIT,"CRITICAL",IF($P65&gt;=T_MON,"MONITOR","LOW")))))</f>
        <v/>
      </c>
      <c r="R65" s="12" t="str">
        <f aca="false">IF($O65="","",INDEX(DriverNames,MATCH(MAX($H65:$L65),$H65:$L65,0)))</f>
        <v/>
      </c>
      <c r="S65" s="22"/>
      <c r="T65" s="29"/>
      <c r="U65" s="2" t="str">
        <f aca="false">IF($E65="","",IFERROR(INDEX(SUPPLIERS!$Q$4:$Q$63,MATCH($E65,SUPPLIERS!$A$4:$A$63,0)),0))</f>
        <v/>
      </c>
      <c r="V65" s="2" t="str">
        <f aca="false">IF($Q65="","",IF($U65&gt;0,100,0)+IF($P65="",0,$P65)+ROW()/100000)</f>
        <v/>
      </c>
      <c r="W65" s="2" t="str">
        <f aca="false">IF($V65="","",IF($A65=SEL_MODEL,$V65,""))</f>
        <v/>
      </c>
    </row>
    <row r="66" customFormat="false" ht="15" hidden="false" customHeight="false" outlineLevel="0" collapsed="false">
      <c r="A66" s="20"/>
      <c r="B66" s="21"/>
      <c r="C66" s="22"/>
      <c r="D66" s="21"/>
      <c r="E66" s="20"/>
      <c r="F66" s="23"/>
      <c r="G66" s="24" t="str">
        <f aca="false">IF(OR($A66="",$F66=""),"",IFERROR(IF(INDEX(MODELS!$K$4:$K$28,MATCH($A66,MODELS!$A$4:$A$28,0))="","",$F66*INDEX(MODELS!$K$4:$K$28,MATCH($A66,MODELS!$A$4:$A$28,0))),""))</f>
        <v/>
      </c>
      <c r="H66" s="21"/>
      <c r="I66" s="21"/>
      <c r="J66" s="21"/>
      <c r="K66" s="25" t="str">
        <f aca="false">IF($E66="","",IFERROR(IF(INDEX(SUPPLIERS!$K$4:$K$63,MATCH($E66,SUPPLIERS!$A$4:$A$63,0))="","",INDEX(SUPPLIERS!$K$4:$K$63,MATCH($E66,SUPPLIERS!$A$4:$A$63,0))),""))</f>
        <v/>
      </c>
      <c r="L66" s="25" t="str">
        <f aca="false">IF($E66="","",IFERROR(IF(INDEX(SUPPLIERS!$L$4:$L$63,MATCH($E66,SUPPLIERS!$A$4:$A$63,0))="","",INDEX(SUPPLIERS!$L$4:$L$63,MATCH($E66,SUPPLIERS!$A$4:$A$63,0))),""))</f>
        <v/>
      </c>
      <c r="M66" s="21"/>
      <c r="N66" s="11" t="str">
        <f aca="false">IF($E66="","",IFERROR(_xlfn.TEXTJOIN("; ",TRUE(),INDEX(SUPPLIERS!$F$4:$F$63,MATCH($E66,SUPPLIERS!$A$4:$A$63,0)),INDEX(SUPPLIERS!$G$4:$G$63,MATCH($E66,SUPPLIERS!$A$4:$A$63,0)),INDEX(SUPPLIERS!$H$4:$H$63,MATCH($E66,SUPPLIERS!$A$4:$A$63,0)),INDEX(SUPPLIERS!$I$4:$I$63,MATCH($E66,SUPPLIERS!$A$4:$A$63,0)),INDEX(SUPPLIERS!$J$4:$J$63,MATCH($E66,SUPPLIERS!$A$4:$A$63,0))),""))</f>
        <v/>
      </c>
      <c r="O66" s="26" t="str">
        <f aca="false">IF(COUNT($H66:$L66)&lt;5,"",ROUND($H66*W_SRC+$I66*W_QC+$J66*W_CAP+$K66*W_SUP+$L66*W_EXT,1))</f>
        <v/>
      </c>
      <c r="P66" s="27" t="str">
        <f aca="false">IF(OR($O66="",$M66=""),"",ROUND($O66*$M66,1))</f>
        <v/>
      </c>
      <c r="Q66" s="28" t="str">
        <f aca="false">IF($E66="","",IF($U66&gt;0,"CRITICAL (FLAG)",IF(OR($O66="",$M66=""),"NOT SCORED",IF($P66&gt;=T_CRIT,"CRITICAL",IF($P66&gt;=T_MON,"MONITOR","LOW")))))</f>
        <v/>
      </c>
      <c r="R66" s="12" t="str">
        <f aca="false">IF($O66="","",INDEX(DriverNames,MATCH(MAX($H66:$L66),$H66:$L66,0)))</f>
        <v/>
      </c>
      <c r="S66" s="22"/>
      <c r="T66" s="29"/>
      <c r="U66" s="2" t="str">
        <f aca="false">IF($E66="","",IFERROR(INDEX(SUPPLIERS!$Q$4:$Q$63,MATCH($E66,SUPPLIERS!$A$4:$A$63,0)),0))</f>
        <v/>
      </c>
      <c r="V66" s="2" t="str">
        <f aca="false">IF($Q66="","",IF($U66&gt;0,100,0)+IF($P66="",0,$P66)+ROW()/100000)</f>
        <v/>
      </c>
      <c r="W66" s="2" t="str">
        <f aca="false">IF($V66="","",IF($A66=SEL_MODEL,$V66,""))</f>
        <v/>
      </c>
    </row>
    <row r="67" customFormat="false" ht="15" hidden="false" customHeight="false" outlineLevel="0" collapsed="false">
      <c r="A67" s="20"/>
      <c r="B67" s="21"/>
      <c r="C67" s="22"/>
      <c r="D67" s="21"/>
      <c r="E67" s="20"/>
      <c r="F67" s="23"/>
      <c r="G67" s="24" t="str">
        <f aca="false">IF(OR($A67="",$F67=""),"",IFERROR(IF(INDEX(MODELS!$K$4:$K$28,MATCH($A67,MODELS!$A$4:$A$28,0))="","",$F67*INDEX(MODELS!$K$4:$K$28,MATCH($A67,MODELS!$A$4:$A$28,0))),""))</f>
        <v/>
      </c>
      <c r="H67" s="21"/>
      <c r="I67" s="21"/>
      <c r="J67" s="21"/>
      <c r="K67" s="25" t="str">
        <f aca="false">IF($E67="","",IFERROR(IF(INDEX(SUPPLIERS!$K$4:$K$63,MATCH($E67,SUPPLIERS!$A$4:$A$63,0))="","",INDEX(SUPPLIERS!$K$4:$K$63,MATCH($E67,SUPPLIERS!$A$4:$A$63,0))),""))</f>
        <v/>
      </c>
      <c r="L67" s="25" t="str">
        <f aca="false">IF($E67="","",IFERROR(IF(INDEX(SUPPLIERS!$L$4:$L$63,MATCH($E67,SUPPLIERS!$A$4:$A$63,0))="","",INDEX(SUPPLIERS!$L$4:$L$63,MATCH($E67,SUPPLIERS!$A$4:$A$63,0))),""))</f>
        <v/>
      </c>
      <c r="M67" s="21"/>
      <c r="N67" s="11" t="str">
        <f aca="false">IF($E67="","",IFERROR(_xlfn.TEXTJOIN("; ",TRUE(),INDEX(SUPPLIERS!$F$4:$F$63,MATCH($E67,SUPPLIERS!$A$4:$A$63,0)),INDEX(SUPPLIERS!$G$4:$G$63,MATCH($E67,SUPPLIERS!$A$4:$A$63,0)),INDEX(SUPPLIERS!$H$4:$H$63,MATCH($E67,SUPPLIERS!$A$4:$A$63,0)),INDEX(SUPPLIERS!$I$4:$I$63,MATCH($E67,SUPPLIERS!$A$4:$A$63,0)),INDEX(SUPPLIERS!$J$4:$J$63,MATCH($E67,SUPPLIERS!$A$4:$A$63,0))),""))</f>
        <v/>
      </c>
      <c r="O67" s="26" t="str">
        <f aca="false">IF(COUNT($H67:$L67)&lt;5,"",ROUND($H67*W_SRC+$I67*W_QC+$J67*W_CAP+$K67*W_SUP+$L67*W_EXT,1))</f>
        <v/>
      </c>
      <c r="P67" s="27" t="str">
        <f aca="false">IF(OR($O67="",$M67=""),"",ROUND($O67*$M67,1))</f>
        <v/>
      </c>
      <c r="Q67" s="28" t="str">
        <f aca="false">IF($E67="","",IF($U67&gt;0,"CRITICAL (FLAG)",IF(OR($O67="",$M67=""),"NOT SCORED",IF($P67&gt;=T_CRIT,"CRITICAL",IF($P67&gt;=T_MON,"MONITOR","LOW")))))</f>
        <v/>
      </c>
      <c r="R67" s="12" t="str">
        <f aca="false">IF($O67="","",INDEX(DriverNames,MATCH(MAX($H67:$L67),$H67:$L67,0)))</f>
        <v/>
      </c>
      <c r="S67" s="22"/>
      <c r="T67" s="29"/>
      <c r="U67" s="2" t="str">
        <f aca="false">IF($E67="","",IFERROR(INDEX(SUPPLIERS!$Q$4:$Q$63,MATCH($E67,SUPPLIERS!$A$4:$A$63,0)),0))</f>
        <v/>
      </c>
      <c r="V67" s="2" t="str">
        <f aca="false">IF($Q67="","",IF($U67&gt;0,100,0)+IF($P67="",0,$P67)+ROW()/100000)</f>
        <v/>
      </c>
      <c r="W67" s="2" t="str">
        <f aca="false">IF($V67="","",IF($A67=SEL_MODEL,$V67,""))</f>
        <v/>
      </c>
    </row>
    <row r="68" customFormat="false" ht="15" hidden="false" customHeight="false" outlineLevel="0" collapsed="false">
      <c r="A68" s="20"/>
      <c r="B68" s="21"/>
      <c r="C68" s="22"/>
      <c r="D68" s="21"/>
      <c r="E68" s="20"/>
      <c r="F68" s="23"/>
      <c r="G68" s="24" t="str">
        <f aca="false">IF(OR($A68="",$F68=""),"",IFERROR(IF(INDEX(MODELS!$K$4:$K$28,MATCH($A68,MODELS!$A$4:$A$28,0))="","",$F68*INDEX(MODELS!$K$4:$K$28,MATCH($A68,MODELS!$A$4:$A$28,0))),""))</f>
        <v/>
      </c>
      <c r="H68" s="21"/>
      <c r="I68" s="21"/>
      <c r="J68" s="21"/>
      <c r="K68" s="25" t="str">
        <f aca="false">IF($E68="","",IFERROR(IF(INDEX(SUPPLIERS!$K$4:$K$63,MATCH($E68,SUPPLIERS!$A$4:$A$63,0))="","",INDEX(SUPPLIERS!$K$4:$K$63,MATCH($E68,SUPPLIERS!$A$4:$A$63,0))),""))</f>
        <v/>
      </c>
      <c r="L68" s="25" t="str">
        <f aca="false">IF($E68="","",IFERROR(IF(INDEX(SUPPLIERS!$L$4:$L$63,MATCH($E68,SUPPLIERS!$A$4:$A$63,0))="","",INDEX(SUPPLIERS!$L$4:$L$63,MATCH($E68,SUPPLIERS!$A$4:$A$63,0))),""))</f>
        <v/>
      </c>
      <c r="M68" s="21"/>
      <c r="N68" s="11" t="str">
        <f aca="false">IF($E68="","",IFERROR(_xlfn.TEXTJOIN("; ",TRUE(),INDEX(SUPPLIERS!$F$4:$F$63,MATCH($E68,SUPPLIERS!$A$4:$A$63,0)),INDEX(SUPPLIERS!$G$4:$G$63,MATCH($E68,SUPPLIERS!$A$4:$A$63,0)),INDEX(SUPPLIERS!$H$4:$H$63,MATCH($E68,SUPPLIERS!$A$4:$A$63,0)),INDEX(SUPPLIERS!$I$4:$I$63,MATCH($E68,SUPPLIERS!$A$4:$A$63,0)),INDEX(SUPPLIERS!$J$4:$J$63,MATCH($E68,SUPPLIERS!$A$4:$A$63,0))),""))</f>
        <v/>
      </c>
      <c r="O68" s="26" t="str">
        <f aca="false">IF(COUNT($H68:$L68)&lt;5,"",ROUND($H68*W_SRC+$I68*W_QC+$J68*W_CAP+$K68*W_SUP+$L68*W_EXT,1))</f>
        <v/>
      </c>
      <c r="P68" s="27" t="str">
        <f aca="false">IF(OR($O68="",$M68=""),"",ROUND($O68*$M68,1))</f>
        <v/>
      </c>
      <c r="Q68" s="28" t="str">
        <f aca="false">IF($E68="","",IF($U68&gt;0,"CRITICAL (FLAG)",IF(OR($O68="",$M68=""),"NOT SCORED",IF($P68&gt;=T_CRIT,"CRITICAL",IF($P68&gt;=T_MON,"MONITOR","LOW")))))</f>
        <v/>
      </c>
      <c r="R68" s="12" t="str">
        <f aca="false">IF($O68="","",INDEX(DriverNames,MATCH(MAX($H68:$L68),$H68:$L68,0)))</f>
        <v/>
      </c>
      <c r="S68" s="22"/>
      <c r="T68" s="29"/>
      <c r="U68" s="2" t="str">
        <f aca="false">IF($E68="","",IFERROR(INDEX(SUPPLIERS!$Q$4:$Q$63,MATCH($E68,SUPPLIERS!$A$4:$A$63,0)),0))</f>
        <v/>
      </c>
      <c r="V68" s="2" t="str">
        <f aca="false">IF($Q68="","",IF($U68&gt;0,100,0)+IF($P68="",0,$P68)+ROW()/100000)</f>
        <v/>
      </c>
      <c r="W68" s="2" t="str">
        <f aca="false">IF($V68="","",IF($A68=SEL_MODEL,$V68,""))</f>
        <v/>
      </c>
    </row>
    <row r="69" customFormat="false" ht="15" hidden="false" customHeight="false" outlineLevel="0" collapsed="false">
      <c r="A69" s="20"/>
      <c r="B69" s="21"/>
      <c r="C69" s="22"/>
      <c r="D69" s="21"/>
      <c r="E69" s="20"/>
      <c r="F69" s="23"/>
      <c r="G69" s="24" t="str">
        <f aca="false">IF(OR($A69="",$F69=""),"",IFERROR(IF(INDEX(MODELS!$K$4:$K$28,MATCH($A69,MODELS!$A$4:$A$28,0))="","",$F69*INDEX(MODELS!$K$4:$K$28,MATCH($A69,MODELS!$A$4:$A$28,0))),""))</f>
        <v/>
      </c>
      <c r="H69" s="21"/>
      <c r="I69" s="21"/>
      <c r="J69" s="21"/>
      <c r="K69" s="25" t="str">
        <f aca="false">IF($E69="","",IFERROR(IF(INDEX(SUPPLIERS!$K$4:$K$63,MATCH($E69,SUPPLIERS!$A$4:$A$63,0))="","",INDEX(SUPPLIERS!$K$4:$K$63,MATCH($E69,SUPPLIERS!$A$4:$A$63,0))),""))</f>
        <v/>
      </c>
      <c r="L69" s="25" t="str">
        <f aca="false">IF($E69="","",IFERROR(IF(INDEX(SUPPLIERS!$L$4:$L$63,MATCH($E69,SUPPLIERS!$A$4:$A$63,0))="","",INDEX(SUPPLIERS!$L$4:$L$63,MATCH($E69,SUPPLIERS!$A$4:$A$63,0))),""))</f>
        <v/>
      </c>
      <c r="M69" s="21"/>
      <c r="N69" s="11" t="str">
        <f aca="false">IF($E69="","",IFERROR(_xlfn.TEXTJOIN("; ",TRUE(),INDEX(SUPPLIERS!$F$4:$F$63,MATCH($E69,SUPPLIERS!$A$4:$A$63,0)),INDEX(SUPPLIERS!$G$4:$G$63,MATCH($E69,SUPPLIERS!$A$4:$A$63,0)),INDEX(SUPPLIERS!$H$4:$H$63,MATCH($E69,SUPPLIERS!$A$4:$A$63,0)),INDEX(SUPPLIERS!$I$4:$I$63,MATCH($E69,SUPPLIERS!$A$4:$A$63,0)),INDEX(SUPPLIERS!$J$4:$J$63,MATCH($E69,SUPPLIERS!$A$4:$A$63,0))),""))</f>
        <v/>
      </c>
      <c r="O69" s="26" t="str">
        <f aca="false">IF(COUNT($H69:$L69)&lt;5,"",ROUND($H69*W_SRC+$I69*W_QC+$J69*W_CAP+$K69*W_SUP+$L69*W_EXT,1))</f>
        <v/>
      </c>
      <c r="P69" s="27" t="str">
        <f aca="false">IF(OR($O69="",$M69=""),"",ROUND($O69*$M69,1))</f>
        <v/>
      </c>
      <c r="Q69" s="28" t="str">
        <f aca="false">IF($E69="","",IF($U69&gt;0,"CRITICAL (FLAG)",IF(OR($O69="",$M69=""),"NOT SCORED",IF($P69&gt;=T_CRIT,"CRITICAL",IF($P69&gt;=T_MON,"MONITOR","LOW")))))</f>
        <v/>
      </c>
      <c r="R69" s="12" t="str">
        <f aca="false">IF($O69="","",INDEX(DriverNames,MATCH(MAX($H69:$L69),$H69:$L69,0)))</f>
        <v/>
      </c>
      <c r="S69" s="22"/>
      <c r="T69" s="29"/>
      <c r="U69" s="2" t="str">
        <f aca="false">IF($E69="","",IFERROR(INDEX(SUPPLIERS!$Q$4:$Q$63,MATCH($E69,SUPPLIERS!$A$4:$A$63,0)),0))</f>
        <v/>
      </c>
      <c r="V69" s="2" t="str">
        <f aca="false">IF($Q69="","",IF($U69&gt;0,100,0)+IF($P69="",0,$P69)+ROW()/100000)</f>
        <v/>
      </c>
      <c r="W69" s="2" t="str">
        <f aca="false">IF($V69="","",IF($A69=SEL_MODEL,$V69,""))</f>
        <v/>
      </c>
    </row>
    <row r="70" customFormat="false" ht="15" hidden="false" customHeight="false" outlineLevel="0" collapsed="false">
      <c r="A70" s="20"/>
      <c r="B70" s="21"/>
      <c r="C70" s="22"/>
      <c r="D70" s="21"/>
      <c r="E70" s="20"/>
      <c r="F70" s="23"/>
      <c r="G70" s="24" t="str">
        <f aca="false">IF(OR($A70="",$F70=""),"",IFERROR(IF(INDEX(MODELS!$K$4:$K$28,MATCH($A70,MODELS!$A$4:$A$28,0))="","",$F70*INDEX(MODELS!$K$4:$K$28,MATCH($A70,MODELS!$A$4:$A$28,0))),""))</f>
        <v/>
      </c>
      <c r="H70" s="21"/>
      <c r="I70" s="21"/>
      <c r="J70" s="21"/>
      <c r="K70" s="25" t="str">
        <f aca="false">IF($E70="","",IFERROR(IF(INDEX(SUPPLIERS!$K$4:$K$63,MATCH($E70,SUPPLIERS!$A$4:$A$63,0))="","",INDEX(SUPPLIERS!$K$4:$K$63,MATCH($E70,SUPPLIERS!$A$4:$A$63,0))),""))</f>
        <v/>
      </c>
      <c r="L70" s="25" t="str">
        <f aca="false">IF($E70="","",IFERROR(IF(INDEX(SUPPLIERS!$L$4:$L$63,MATCH($E70,SUPPLIERS!$A$4:$A$63,0))="","",INDEX(SUPPLIERS!$L$4:$L$63,MATCH($E70,SUPPLIERS!$A$4:$A$63,0))),""))</f>
        <v/>
      </c>
      <c r="M70" s="21"/>
      <c r="N70" s="11" t="str">
        <f aca="false">IF($E70="","",IFERROR(_xlfn.TEXTJOIN("; ",TRUE(),INDEX(SUPPLIERS!$F$4:$F$63,MATCH($E70,SUPPLIERS!$A$4:$A$63,0)),INDEX(SUPPLIERS!$G$4:$G$63,MATCH($E70,SUPPLIERS!$A$4:$A$63,0)),INDEX(SUPPLIERS!$H$4:$H$63,MATCH($E70,SUPPLIERS!$A$4:$A$63,0)),INDEX(SUPPLIERS!$I$4:$I$63,MATCH($E70,SUPPLIERS!$A$4:$A$63,0)),INDEX(SUPPLIERS!$J$4:$J$63,MATCH($E70,SUPPLIERS!$A$4:$A$63,0))),""))</f>
        <v/>
      </c>
      <c r="O70" s="26" t="str">
        <f aca="false">IF(COUNT($H70:$L70)&lt;5,"",ROUND($H70*W_SRC+$I70*W_QC+$J70*W_CAP+$K70*W_SUP+$L70*W_EXT,1))</f>
        <v/>
      </c>
      <c r="P70" s="27" t="str">
        <f aca="false">IF(OR($O70="",$M70=""),"",ROUND($O70*$M70,1))</f>
        <v/>
      </c>
      <c r="Q70" s="28" t="str">
        <f aca="false">IF($E70="","",IF($U70&gt;0,"CRITICAL (FLAG)",IF(OR($O70="",$M70=""),"NOT SCORED",IF($P70&gt;=T_CRIT,"CRITICAL",IF($P70&gt;=T_MON,"MONITOR","LOW")))))</f>
        <v/>
      </c>
      <c r="R70" s="12" t="str">
        <f aca="false">IF($O70="","",INDEX(DriverNames,MATCH(MAX($H70:$L70),$H70:$L70,0)))</f>
        <v/>
      </c>
      <c r="S70" s="22"/>
      <c r="T70" s="29"/>
      <c r="U70" s="2" t="str">
        <f aca="false">IF($E70="","",IFERROR(INDEX(SUPPLIERS!$Q$4:$Q$63,MATCH($E70,SUPPLIERS!$A$4:$A$63,0)),0))</f>
        <v/>
      </c>
      <c r="V70" s="2" t="str">
        <f aca="false">IF($Q70="","",IF($U70&gt;0,100,0)+IF($P70="",0,$P70)+ROW()/100000)</f>
        <v/>
      </c>
      <c r="W70" s="2" t="str">
        <f aca="false">IF($V70="","",IF($A70=SEL_MODEL,$V70,""))</f>
        <v/>
      </c>
    </row>
    <row r="71" customFormat="false" ht="15" hidden="false" customHeight="false" outlineLevel="0" collapsed="false">
      <c r="A71" s="20"/>
      <c r="B71" s="21"/>
      <c r="C71" s="22"/>
      <c r="D71" s="21"/>
      <c r="E71" s="20"/>
      <c r="F71" s="23"/>
      <c r="G71" s="24" t="str">
        <f aca="false">IF(OR($A71="",$F71=""),"",IFERROR(IF(INDEX(MODELS!$K$4:$K$28,MATCH($A71,MODELS!$A$4:$A$28,0))="","",$F71*INDEX(MODELS!$K$4:$K$28,MATCH($A71,MODELS!$A$4:$A$28,0))),""))</f>
        <v/>
      </c>
      <c r="H71" s="21"/>
      <c r="I71" s="21"/>
      <c r="J71" s="21"/>
      <c r="K71" s="25" t="str">
        <f aca="false">IF($E71="","",IFERROR(IF(INDEX(SUPPLIERS!$K$4:$K$63,MATCH($E71,SUPPLIERS!$A$4:$A$63,0))="","",INDEX(SUPPLIERS!$K$4:$K$63,MATCH($E71,SUPPLIERS!$A$4:$A$63,0))),""))</f>
        <v/>
      </c>
      <c r="L71" s="25" t="str">
        <f aca="false">IF($E71="","",IFERROR(IF(INDEX(SUPPLIERS!$L$4:$L$63,MATCH($E71,SUPPLIERS!$A$4:$A$63,0))="","",INDEX(SUPPLIERS!$L$4:$L$63,MATCH($E71,SUPPLIERS!$A$4:$A$63,0))),""))</f>
        <v/>
      </c>
      <c r="M71" s="21"/>
      <c r="N71" s="11" t="str">
        <f aca="false">IF($E71="","",IFERROR(_xlfn.TEXTJOIN("; ",TRUE(),INDEX(SUPPLIERS!$F$4:$F$63,MATCH($E71,SUPPLIERS!$A$4:$A$63,0)),INDEX(SUPPLIERS!$G$4:$G$63,MATCH($E71,SUPPLIERS!$A$4:$A$63,0)),INDEX(SUPPLIERS!$H$4:$H$63,MATCH($E71,SUPPLIERS!$A$4:$A$63,0)),INDEX(SUPPLIERS!$I$4:$I$63,MATCH($E71,SUPPLIERS!$A$4:$A$63,0)),INDEX(SUPPLIERS!$J$4:$J$63,MATCH($E71,SUPPLIERS!$A$4:$A$63,0))),""))</f>
        <v/>
      </c>
      <c r="O71" s="26" t="str">
        <f aca="false">IF(COUNT($H71:$L71)&lt;5,"",ROUND($H71*W_SRC+$I71*W_QC+$J71*W_CAP+$K71*W_SUP+$L71*W_EXT,1))</f>
        <v/>
      </c>
      <c r="P71" s="27" t="str">
        <f aca="false">IF(OR($O71="",$M71=""),"",ROUND($O71*$M71,1))</f>
        <v/>
      </c>
      <c r="Q71" s="28" t="str">
        <f aca="false">IF($E71="","",IF($U71&gt;0,"CRITICAL (FLAG)",IF(OR($O71="",$M71=""),"NOT SCORED",IF($P71&gt;=T_CRIT,"CRITICAL",IF($P71&gt;=T_MON,"MONITOR","LOW")))))</f>
        <v/>
      </c>
      <c r="R71" s="12" t="str">
        <f aca="false">IF($O71="","",INDEX(DriverNames,MATCH(MAX($H71:$L71),$H71:$L71,0)))</f>
        <v/>
      </c>
      <c r="S71" s="22"/>
      <c r="T71" s="29"/>
      <c r="U71" s="2" t="str">
        <f aca="false">IF($E71="","",IFERROR(INDEX(SUPPLIERS!$Q$4:$Q$63,MATCH($E71,SUPPLIERS!$A$4:$A$63,0)),0))</f>
        <v/>
      </c>
      <c r="V71" s="2" t="str">
        <f aca="false">IF($Q71="","",IF($U71&gt;0,100,0)+IF($P71="",0,$P71)+ROW()/100000)</f>
        <v/>
      </c>
      <c r="W71" s="2" t="str">
        <f aca="false">IF($V71="","",IF($A71=SEL_MODEL,$V71,""))</f>
        <v/>
      </c>
    </row>
    <row r="72" customFormat="false" ht="15" hidden="false" customHeight="false" outlineLevel="0" collapsed="false">
      <c r="A72" s="20"/>
      <c r="B72" s="21"/>
      <c r="C72" s="22"/>
      <c r="D72" s="21"/>
      <c r="E72" s="20"/>
      <c r="F72" s="23"/>
      <c r="G72" s="24" t="str">
        <f aca="false">IF(OR($A72="",$F72=""),"",IFERROR(IF(INDEX(MODELS!$K$4:$K$28,MATCH($A72,MODELS!$A$4:$A$28,0))="","",$F72*INDEX(MODELS!$K$4:$K$28,MATCH($A72,MODELS!$A$4:$A$28,0))),""))</f>
        <v/>
      </c>
      <c r="H72" s="21"/>
      <c r="I72" s="21"/>
      <c r="J72" s="21"/>
      <c r="K72" s="25" t="str">
        <f aca="false">IF($E72="","",IFERROR(IF(INDEX(SUPPLIERS!$K$4:$K$63,MATCH($E72,SUPPLIERS!$A$4:$A$63,0))="","",INDEX(SUPPLIERS!$K$4:$K$63,MATCH($E72,SUPPLIERS!$A$4:$A$63,0))),""))</f>
        <v/>
      </c>
      <c r="L72" s="25" t="str">
        <f aca="false">IF($E72="","",IFERROR(IF(INDEX(SUPPLIERS!$L$4:$L$63,MATCH($E72,SUPPLIERS!$A$4:$A$63,0))="","",INDEX(SUPPLIERS!$L$4:$L$63,MATCH($E72,SUPPLIERS!$A$4:$A$63,0))),""))</f>
        <v/>
      </c>
      <c r="M72" s="21"/>
      <c r="N72" s="11" t="str">
        <f aca="false">IF($E72="","",IFERROR(_xlfn.TEXTJOIN("; ",TRUE(),INDEX(SUPPLIERS!$F$4:$F$63,MATCH($E72,SUPPLIERS!$A$4:$A$63,0)),INDEX(SUPPLIERS!$G$4:$G$63,MATCH($E72,SUPPLIERS!$A$4:$A$63,0)),INDEX(SUPPLIERS!$H$4:$H$63,MATCH($E72,SUPPLIERS!$A$4:$A$63,0)),INDEX(SUPPLIERS!$I$4:$I$63,MATCH($E72,SUPPLIERS!$A$4:$A$63,0)),INDEX(SUPPLIERS!$J$4:$J$63,MATCH($E72,SUPPLIERS!$A$4:$A$63,0))),""))</f>
        <v/>
      </c>
      <c r="O72" s="26" t="str">
        <f aca="false">IF(COUNT($H72:$L72)&lt;5,"",ROUND($H72*W_SRC+$I72*W_QC+$J72*W_CAP+$K72*W_SUP+$L72*W_EXT,1))</f>
        <v/>
      </c>
      <c r="P72" s="27" t="str">
        <f aca="false">IF(OR($O72="",$M72=""),"",ROUND($O72*$M72,1))</f>
        <v/>
      </c>
      <c r="Q72" s="28" t="str">
        <f aca="false">IF($E72="","",IF($U72&gt;0,"CRITICAL (FLAG)",IF(OR($O72="",$M72=""),"NOT SCORED",IF($P72&gt;=T_CRIT,"CRITICAL",IF($P72&gt;=T_MON,"MONITOR","LOW")))))</f>
        <v/>
      </c>
      <c r="R72" s="12" t="str">
        <f aca="false">IF($O72="","",INDEX(DriverNames,MATCH(MAX($H72:$L72),$H72:$L72,0)))</f>
        <v/>
      </c>
      <c r="S72" s="22"/>
      <c r="T72" s="29"/>
      <c r="U72" s="2" t="str">
        <f aca="false">IF($E72="","",IFERROR(INDEX(SUPPLIERS!$Q$4:$Q$63,MATCH($E72,SUPPLIERS!$A$4:$A$63,0)),0))</f>
        <v/>
      </c>
      <c r="V72" s="2" t="str">
        <f aca="false">IF($Q72="","",IF($U72&gt;0,100,0)+IF($P72="",0,$P72)+ROW()/100000)</f>
        <v/>
      </c>
      <c r="W72" s="2" t="str">
        <f aca="false">IF($V72="","",IF($A72=SEL_MODEL,$V72,""))</f>
        <v/>
      </c>
    </row>
    <row r="73" customFormat="false" ht="15" hidden="false" customHeight="false" outlineLevel="0" collapsed="false">
      <c r="A73" s="20"/>
      <c r="B73" s="21"/>
      <c r="C73" s="22"/>
      <c r="D73" s="21"/>
      <c r="E73" s="20"/>
      <c r="F73" s="23"/>
      <c r="G73" s="24" t="str">
        <f aca="false">IF(OR($A73="",$F73=""),"",IFERROR(IF(INDEX(MODELS!$K$4:$K$28,MATCH($A73,MODELS!$A$4:$A$28,0))="","",$F73*INDEX(MODELS!$K$4:$K$28,MATCH($A73,MODELS!$A$4:$A$28,0))),""))</f>
        <v/>
      </c>
      <c r="H73" s="21"/>
      <c r="I73" s="21"/>
      <c r="J73" s="21"/>
      <c r="K73" s="25" t="str">
        <f aca="false">IF($E73="","",IFERROR(IF(INDEX(SUPPLIERS!$K$4:$K$63,MATCH($E73,SUPPLIERS!$A$4:$A$63,0))="","",INDEX(SUPPLIERS!$K$4:$K$63,MATCH($E73,SUPPLIERS!$A$4:$A$63,0))),""))</f>
        <v/>
      </c>
      <c r="L73" s="25" t="str">
        <f aca="false">IF($E73="","",IFERROR(IF(INDEX(SUPPLIERS!$L$4:$L$63,MATCH($E73,SUPPLIERS!$A$4:$A$63,0))="","",INDEX(SUPPLIERS!$L$4:$L$63,MATCH($E73,SUPPLIERS!$A$4:$A$63,0))),""))</f>
        <v/>
      </c>
      <c r="M73" s="21"/>
      <c r="N73" s="11" t="str">
        <f aca="false">IF($E73="","",IFERROR(_xlfn.TEXTJOIN("; ",TRUE(),INDEX(SUPPLIERS!$F$4:$F$63,MATCH($E73,SUPPLIERS!$A$4:$A$63,0)),INDEX(SUPPLIERS!$G$4:$G$63,MATCH($E73,SUPPLIERS!$A$4:$A$63,0)),INDEX(SUPPLIERS!$H$4:$H$63,MATCH($E73,SUPPLIERS!$A$4:$A$63,0)),INDEX(SUPPLIERS!$I$4:$I$63,MATCH($E73,SUPPLIERS!$A$4:$A$63,0)),INDEX(SUPPLIERS!$J$4:$J$63,MATCH($E73,SUPPLIERS!$A$4:$A$63,0))),""))</f>
        <v/>
      </c>
      <c r="O73" s="26" t="str">
        <f aca="false">IF(COUNT($H73:$L73)&lt;5,"",ROUND($H73*W_SRC+$I73*W_QC+$J73*W_CAP+$K73*W_SUP+$L73*W_EXT,1))</f>
        <v/>
      </c>
      <c r="P73" s="27" t="str">
        <f aca="false">IF(OR($O73="",$M73=""),"",ROUND($O73*$M73,1))</f>
        <v/>
      </c>
      <c r="Q73" s="28" t="str">
        <f aca="false">IF($E73="","",IF($U73&gt;0,"CRITICAL (FLAG)",IF(OR($O73="",$M73=""),"NOT SCORED",IF($P73&gt;=T_CRIT,"CRITICAL",IF($P73&gt;=T_MON,"MONITOR","LOW")))))</f>
        <v/>
      </c>
      <c r="R73" s="12" t="str">
        <f aca="false">IF($O73="","",INDEX(DriverNames,MATCH(MAX($H73:$L73),$H73:$L73,0)))</f>
        <v/>
      </c>
      <c r="S73" s="22"/>
      <c r="T73" s="29"/>
      <c r="U73" s="2" t="str">
        <f aca="false">IF($E73="","",IFERROR(INDEX(SUPPLIERS!$Q$4:$Q$63,MATCH($E73,SUPPLIERS!$A$4:$A$63,0)),0))</f>
        <v/>
      </c>
      <c r="V73" s="2" t="str">
        <f aca="false">IF($Q73="","",IF($U73&gt;0,100,0)+IF($P73="",0,$P73)+ROW()/100000)</f>
        <v/>
      </c>
      <c r="W73" s="2" t="str">
        <f aca="false">IF($V73="","",IF($A73=SEL_MODEL,$V73,""))</f>
        <v/>
      </c>
    </row>
    <row r="74" customFormat="false" ht="15" hidden="false" customHeight="false" outlineLevel="0" collapsed="false">
      <c r="A74" s="20"/>
      <c r="B74" s="21"/>
      <c r="C74" s="22"/>
      <c r="D74" s="21"/>
      <c r="E74" s="20"/>
      <c r="F74" s="23"/>
      <c r="G74" s="24" t="str">
        <f aca="false">IF(OR($A74="",$F74=""),"",IFERROR(IF(INDEX(MODELS!$K$4:$K$28,MATCH($A74,MODELS!$A$4:$A$28,0))="","",$F74*INDEX(MODELS!$K$4:$K$28,MATCH($A74,MODELS!$A$4:$A$28,0))),""))</f>
        <v/>
      </c>
      <c r="H74" s="21"/>
      <c r="I74" s="21"/>
      <c r="J74" s="21"/>
      <c r="K74" s="25" t="str">
        <f aca="false">IF($E74="","",IFERROR(IF(INDEX(SUPPLIERS!$K$4:$K$63,MATCH($E74,SUPPLIERS!$A$4:$A$63,0))="","",INDEX(SUPPLIERS!$K$4:$K$63,MATCH($E74,SUPPLIERS!$A$4:$A$63,0))),""))</f>
        <v/>
      </c>
      <c r="L74" s="25" t="str">
        <f aca="false">IF($E74="","",IFERROR(IF(INDEX(SUPPLIERS!$L$4:$L$63,MATCH($E74,SUPPLIERS!$A$4:$A$63,0))="","",INDEX(SUPPLIERS!$L$4:$L$63,MATCH($E74,SUPPLIERS!$A$4:$A$63,0))),""))</f>
        <v/>
      </c>
      <c r="M74" s="21"/>
      <c r="N74" s="11" t="str">
        <f aca="false">IF($E74="","",IFERROR(_xlfn.TEXTJOIN("; ",TRUE(),INDEX(SUPPLIERS!$F$4:$F$63,MATCH($E74,SUPPLIERS!$A$4:$A$63,0)),INDEX(SUPPLIERS!$G$4:$G$63,MATCH($E74,SUPPLIERS!$A$4:$A$63,0)),INDEX(SUPPLIERS!$H$4:$H$63,MATCH($E74,SUPPLIERS!$A$4:$A$63,0)),INDEX(SUPPLIERS!$I$4:$I$63,MATCH($E74,SUPPLIERS!$A$4:$A$63,0)),INDEX(SUPPLIERS!$J$4:$J$63,MATCH($E74,SUPPLIERS!$A$4:$A$63,0))),""))</f>
        <v/>
      </c>
      <c r="O74" s="26" t="str">
        <f aca="false">IF(COUNT($H74:$L74)&lt;5,"",ROUND($H74*W_SRC+$I74*W_QC+$J74*W_CAP+$K74*W_SUP+$L74*W_EXT,1))</f>
        <v/>
      </c>
      <c r="P74" s="27" t="str">
        <f aca="false">IF(OR($O74="",$M74=""),"",ROUND($O74*$M74,1))</f>
        <v/>
      </c>
      <c r="Q74" s="28" t="str">
        <f aca="false">IF($E74="","",IF($U74&gt;0,"CRITICAL (FLAG)",IF(OR($O74="",$M74=""),"NOT SCORED",IF($P74&gt;=T_CRIT,"CRITICAL",IF($P74&gt;=T_MON,"MONITOR","LOW")))))</f>
        <v/>
      </c>
      <c r="R74" s="12" t="str">
        <f aca="false">IF($O74="","",INDEX(DriverNames,MATCH(MAX($H74:$L74),$H74:$L74,0)))</f>
        <v/>
      </c>
      <c r="S74" s="22"/>
      <c r="T74" s="29"/>
      <c r="U74" s="2" t="str">
        <f aca="false">IF($E74="","",IFERROR(INDEX(SUPPLIERS!$Q$4:$Q$63,MATCH($E74,SUPPLIERS!$A$4:$A$63,0)),0))</f>
        <v/>
      </c>
      <c r="V74" s="2" t="str">
        <f aca="false">IF($Q74="","",IF($U74&gt;0,100,0)+IF($P74="",0,$P74)+ROW()/100000)</f>
        <v/>
      </c>
      <c r="W74" s="2" t="str">
        <f aca="false">IF($V74="","",IF($A74=SEL_MODEL,$V74,""))</f>
        <v/>
      </c>
    </row>
    <row r="75" customFormat="false" ht="15" hidden="false" customHeight="false" outlineLevel="0" collapsed="false">
      <c r="A75" s="20"/>
      <c r="B75" s="21"/>
      <c r="C75" s="22"/>
      <c r="D75" s="21"/>
      <c r="E75" s="20"/>
      <c r="F75" s="23"/>
      <c r="G75" s="24" t="str">
        <f aca="false">IF(OR($A75="",$F75=""),"",IFERROR(IF(INDEX(MODELS!$K$4:$K$28,MATCH($A75,MODELS!$A$4:$A$28,0))="","",$F75*INDEX(MODELS!$K$4:$K$28,MATCH($A75,MODELS!$A$4:$A$28,0))),""))</f>
        <v/>
      </c>
      <c r="H75" s="21"/>
      <c r="I75" s="21"/>
      <c r="J75" s="21"/>
      <c r="K75" s="25" t="str">
        <f aca="false">IF($E75="","",IFERROR(IF(INDEX(SUPPLIERS!$K$4:$K$63,MATCH($E75,SUPPLIERS!$A$4:$A$63,0))="","",INDEX(SUPPLIERS!$K$4:$K$63,MATCH($E75,SUPPLIERS!$A$4:$A$63,0))),""))</f>
        <v/>
      </c>
      <c r="L75" s="25" t="str">
        <f aca="false">IF($E75="","",IFERROR(IF(INDEX(SUPPLIERS!$L$4:$L$63,MATCH($E75,SUPPLIERS!$A$4:$A$63,0))="","",INDEX(SUPPLIERS!$L$4:$L$63,MATCH($E75,SUPPLIERS!$A$4:$A$63,0))),""))</f>
        <v/>
      </c>
      <c r="M75" s="21"/>
      <c r="N75" s="11" t="str">
        <f aca="false">IF($E75="","",IFERROR(_xlfn.TEXTJOIN("; ",TRUE(),INDEX(SUPPLIERS!$F$4:$F$63,MATCH($E75,SUPPLIERS!$A$4:$A$63,0)),INDEX(SUPPLIERS!$G$4:$G$63,MATCH($E75,SUPPLIERS!$A$4:$A$63,0)),INDEX(SUPPLIERS!$H$4:$H$63,MATCH($E75,SUPPLIERS!$A$4:$A$63,0)),INDEX(SUPPLIERS!$I$4:$I$63,MATCH($E75,SUPPLIERS!$A$4:$A$63,0)),INDEX(SUPPLIERS!$J$4:$J$63,MATCH($E75,SUPPLIERS!$A$4:$A$63,0))),""))</f>
        <v/>
      </c>
      <c r="O75" s="26" t="str">
        <f aca="false">IF(COUNT($H75:$L75)&lt;5,"",ROUND($H75*W_SRC+$I75*W_QC+$J75*W_CAP+$K75*W_SUP+$L75*W_EXT,1))</f>
        <v/>
      </c>
      <c r="P75" s="27" t="str">
        <f aca="false">IF(OR($O75="",$M75=""),"",ROUND($O75*$M75,1))</f>
        <v/>
      </c>
      <c r="Q75" s="28" t="str">
        <f aca="false">IF($E75="","",IF($U75&gt;0,"CRITICAL (FLAG)",IF(OR($O75="",$M75=""),"NOT SCORED",IF($P75&gt;=T_CRIT,"CRITICAL",IF($P75&gt;=T_MON,"MONITOR","LOW")))))</f>
        <v/>
      </c>
      <c r="R75" s="12" t="str">
        <f aca="false">IF($O75="","",INDEX(DriverNames,MATCH(MAX($H75:$L75),$H75:$L75,0)))</f>
        <v/>
      </c>
      <c r="S75" s="22"/>
      <c r="T75" s="29"/>
      <c r="U75" s="2" t="str">
        <f aca="false">IF($E75="","",IFERROR(INDEX(SUPPLIERS!$Q$4:$Q$63,MATCH($E75,SUPPLIERS!$A$4:$A$63,0)),0))</f>
        <v/>
      </c>
      <c r="V75" s="2" t="str">
        <f aca="false">IF($Q75="","",IF($U75&gt;0,100,0)+IF($P75="",0,$P75)+ROW()/100000)</f>
        <v/>
      </c>
      <c r="W75" s="2" t="str">
        <f aca="false">IF($V75="","",IF($A75=SEL_MODEL,$V75,""))</f>
        <v/>
      </c>
    </row>
    <row r="76" customFormat="false" ht="15" hidden="false" customHeight="false" outlineLevel="0" collapsed="false">
      <c r="A76" s="20"/>
      <c r="B76" s="21"/>
      <c r="C76" s="22"/>
      <c r="D76" s="21"/>
      <c r="E76" s="20"/>
      <c r="F76" s="23"/>
      <c r="G76" s="24" t="str">
        <f aca="false">IF(OR($A76="",$F76=""),"",IFERROR(IF(INDEX(MODELS!$K$4:$K$28,MATCH($A76,MODELS!$A$4:$A$28,0))="","",$F76*INDEX(MODELS!$K$4:$K$28,MATCH($A76,MODELS!$A$4:$A$28,0))),""))</f>
        <v/>
      </c>
      <c r="H76" s="21"/>
      <c r="I76" s="21"/>
      <c r="J76" s="21"/>
      <c r="K76" s="25" t="str">
        <f aca="false">IF($E76="","",IFERROR(IF(INDEX(SUPPLIERS!$K$4:$K$63,MATCH($E76,SUPPLIERS!$A$4:$A$63,0))="","",INDEX(SUPPLIERS!$K$4:$K$63,MATCH($E76,SUPPLIERS!$A$4:$A$63,0))),""))</f>
        <v/>
      </c>
      <c r="L76" s="25" t="str">
        <f aca="false">IF($E76="","",IFERROR(IF(INDEX(SUPPLIERS!$L$4:$L$63,MATCH($E76,SUPPLIERS!$A$4:$A$63,0))="","",INDEX(SUPPLIERS!$L$4:$L$63,MATCH($E76,SUPPLIERS!$A$4:$A$63,0))),""))</f>
        <v/>
      </c>
      <c r="M76" s="21"/>
      <c r="N76" s="11" t="str">
        <f aca="false">IF($E76="","",IFERROR(_xlfn.TEXTJOIN("; ",TRUE(),INDEX(SUPPLIERS!$F$4:$F$63,MATCH($E76,SUPPLIERS!$A$4:$A$63,0)),INDEX(SUPPLIERS!$G$4:$G$63,MATCH($E76,SUPPLIERS!$A$4:$A$63,0)),INDEX(SUPPLIERS!$H$4:$H$63,MATCH($E76,SUPPLIERS!$A$4:$A$63,0)),INDEX(SUPPLIERS!$I$4:$I$63,MATCH($E76,SUPPLIERS!$A$4:$A$63,0)),INDEX(SUPPLIERS!$J$4:$J$63,MATCH($E76,SUPPLIERS!$A$4:$A$63,0))),""))</f>
        <v/>
      </c>
      <c r="O76" s="26" t="str">
        <f aca="false">IF(COUNT($H76:$L76)&lt;5,"",ROUND($H76*W_SRC+$I76*W_QC+$J76*W_CAP+$K76*W_SUP+$L76*W_EXT,1))</f>
        <v/>
      </c>
      <c r="P76" s="27" t="str">
        <f aca="false">IF(OR($O76="",$M76=""),"",ROUND($O76*$M76,1))</f>
        <v/>
      </c>
      <c r="Q76" s="28" t="str">
        <f aca="false">IF($E76="","",IF($U76&gt;0,"CRITICAL (FLAG)",IF(OR($O76="",$M76=""),"NOT SCORED",IF($P76&gt;=T_CRIT,"CRITICAL",IF($P76&gt;=T_MON,"MONITOR","LOW")))))</f>
        <v/>
      </c>
      <c r="R76" s="12" t="str">
        <f aca="false">IF($O76="","",INDEX(DriverNames,MATCH(MAX($H76:$L76),$H76:$L76,0)))</f>
        <v/>
      </c>
      <c r="S76" s="22"/>
      <c r="T76" s="29"/>
      <c r="U76" s="2" t="str">
        <f aca="false">IF($E76="","",IFERROR(INDEX(SUPPLIERS!$Q$4:$Q$63,MATCH($E76,SUPPLIERS!$A$4:$A$63,0)),0))</f>
        <v/>
      </c>
      <c r="V76" s="2" t="str">
        <f aca="false">IF($Q76="","",IF($U76&gt;0,100,0)+IF($P76="",0,$P76)+ROW()/100000)</f>
        <v/>
      </c>
      <c r="W76" s="2" t="str">
        <f aca="false">IF($V76="","",IF($A76=SEL_MODEL,$V76,""))</f>
        <v/>
      </c>
    </row>
    <row r="77" customFormat="false" ht="15" hidden="false" customHeight="false" outlineLevel="0" collapsed="false">
      <c r="A77" s="20"/>
      <c r="B77" s="21"/>
      <c r="C77" s="22"/>
      <c r="D77" s="21"/>
      <c r="E77" s="20"/>
      <c r="F77" s="23"/>
      <c r="G77" s="24" t="str">
        <f aca="false">IF(OR($A77="",$F77=""),"",IFERROR(IF(INDEX(MODELS!$K$4:$K$28,MATCH($A77,MODELS!$A$4:$A$28,0))="","",$F77*INDEX(MODELS!$K$4:$K$28,MATCH($A77,MODELS!$A$4:$A$28,0))),""))</f>
        <v/>
      </c>
      <c r="H77" s="21"/>
      <c r="I77" s="21"/>
      <c r="J77" s="21"/>
      <c r="K77" s="25" t="str">
        <f aca="false">IF($E77="","",IFERROR(IF(INDEX(SUPPLIERS!$K$4:$K$63,MATCH($E77,SUPPLIERS!$A$4:$A$63,0))="","",INDEX(SUPPLIERS!$K$4:$K$63,MATCH($E77,SUPPLIERS!$A$4:$A$63,0))),""))</f>
        <v/>
      </c>
      <c r="L77" s="25" t="str">
        <f aca="false">IF($E77="","",IFERROR(IF(INDEX(SUPPLIERS!$L$4:$L$63,MATCH($E77,SUPPLIERS!$A$4:$A$63,0))="","",INDEX(SUPPLIERS!$L$4:$L$63,MATCH($E77,SUPPLIERS!$A$4:$A$63,0))),""))</f>
        <v/>
      </c>
      <c r="M77" s="21"/>
      <c r="N77" s="11" t="str">
        <f aca="false">IF($E77="","",IFERROR(_xlfn.TEXTJOIN("; ",TRUE(),INDEX(SUPPLIERS!$F$4:$F$63,MATCH($E77,SUPPLIERS!$A$4:$A$63,0)),INDEX(SUPPLIERS!$G$4:$G$63,MATCH($E77,SUPPLIERS!$A$4:$A$63,0)),INDEX(SUPPLIERS!$H$4:$H$63,MATCH($E77,SUPPLIERS!$A$4:$A$63,0)),INDEX(SUPPLIERS!$I$4:$I$63,MATCH($E77,SUPPLIERS!$A$4:$A$63,0)),INDEX(SUPPLIERS!$J$4:$J$63,MATCH($E77,SUPPLIERS!$A$4:$A$63,0))),""))</f>
        <v/>
      </c>
      <c r="O77" s="26" t="str">
        <f aca="false">IF(COUNT($H77:$L77)&lt;5,"",ROUND($H77*W_SRC+$I77*W_QC+$J77*W_CAP+$K77*W_SUP+$L77*W_EXT,1))</f>
        <v/>
      </c>
      <c r="P77" s="27" t="str">
        <f aca="false">IF(OR($O77="",$M77=""),"",ROUND($O77*$M77,1))</f>
        <v/>
      </c>
      <c r="Q77" s="28" t="str">
        <f aca="false">IF($E77="","",IF($U77&gt;0,"CRITICAL (FLAG)",IF(OR($O77="",$M77=""),"NOT SCORED",IF($P77&gt;=T_CRIT,"CRITICAL",IF($P77&gt;=T_MON,"MONITOR","LOW")))))</f>
        <v/>
      </c>
      <c r="R77" s="12" t="str">
        <f aca="false">IF($O77="","",INDEX(DriverNames,MATCH(MAX($H77:$L77),$H77:$L77,0)))</f>
        <v/>
      </c>
      <c r="S77" s="22"/>
      <c r="T77" s="29"/>
      <c r="U77" s="2" t="str">
        <f aca="false">IF($E77="","",IFERROR(INDEX(SUPPLIERS!$Q$4:$Q$63,MATCH($E77,SUPPLIERS!$A$4:$A$63,0)),0))</f>
        <v/>
      </c>
      <c r="V77" s="2" t="str">
        <f aca="false">IF($Q77="","",IF($U77&gt;0,100,0)+IF($P77="",0,$P77)+ROW()/100000)</f>
        <v/>
      </c>
      <c r="W77" s="2" t="str">
        <f aca="false">IF($V77="","",IF($A77=SEL_MODEL,$V77,""))</f>
        <v/>
      </c>
    </row>
    <row r="78" customFormat="false" ht="15" hidden="false" customHeight="false" outlineLevel="0" collapsed="false">
      <c r="A78" s="20"/>
      <c r="B78" s="21"/>
      <c r="C78" s="22"/>
      <c r="D78" s="21"/>
      <c r="E78" s="20"/>
      <c r="F78" s="23"/>
      <c r="G78" s="24" t="str">
        <f aca="false">IF(OR($A78="",$F78=""),"",IFERROR(IF(INDEX(MODELS!$K$4:$K$28,MATCH($A78,MODELS!$A$4:$A$28,0))="","",$F78*INDEX(MODELS!$K$4:$K$28,MATCH($A78,MODELS!$A$4:$A$28,0))),""))</f>
        <v/>
      </c>
      <c r="H78" s="21"/>
      <c r="I78" s="21"/>
      <c r="J78" s="21"/>
      <c r="K78" s="25" t="str">
        <f aca="false">IF($E78="","",IFERROR(IF(INDEX(SUPPLIERS!$K$4:$K$63,MATCH($E78,SUPPLIERS!$A$4:$A$63,0))="","",INDEX(SUPPLIERS!$K$4:$K$63,MATCH($E78,SUPPLIERS!$A$4:$A$63,0))),""))</f>
        <v/>
      </c>
      <c r="L78" s="25" t="str">
        <f aca="false">IF($E78="","",IFERROR(IF(INDEX(SUPPLIERS!$L$4:$L$63,MATCH($E78,SUPPLIERS!$A$4:$A$63,0))="","",INDEX(SUPPLIERS!$L$4:$L$63,MATCH($E78,SUPPLIERS!$A$4:$A$63,0))),""))</f>
        <v/>
      </c>
      <c r="M78" s="21"/>
      <c r="N78" s="11" t="str">
        <f aca="false">IF($E78="","",IFERROR(_xlfn.TEXTJOIN("; ",TRUE(),INDEX(SUPPLIERS!$F$4:$F$63,MATCH($E78,SUPPLIERS!$A$4:$A$63,0)),INDEX(SUPPLIERS!$G$4:$G$63,MATCH($E78,SUPPLIERS!$A$4:$A$63,0)),INDEX(SUPPLIERS!$H$4:$H$63,MATCH($E78,SUPPLIERS!$A$4:$A$63,0)),INDEX(SUPPLIERS!$I$4:$I$63,MATCH($E78,SUPPLIERS!$A$4:$A$63,0)),INDEX(SUPPLIERS!$J$4:$J$63,MATCH($E78,SUPPLIERS!$A$4:$A$63,0))),""))</f>
        <v/>
      </c>
      <c r="O78" s="26" t="str">
        <f aca="false">IF(COUNT($H78:$L78)&lt;5,"",ROUND($H78*W_SRC+$I78*W_QC+$J78*W_CAP+$K78*W_SUP+$L78*W_EXT,1))</f>
        <v/>
      </c>
      <c r="P78" s="27" t="str">
        <f aca="false">IF(OR($O78="",$M78=""),"",ROUND($O78*$M78,1))</f>
        <v/>
      </c>
      <c r="Q78" s="28" t="str">
        <f aca="false">IF($E78="","",IF($U78&gt;0,"CRITICAL (FLAG)",IF(OR($O78="",$M78=""),"NOT SCORED",IF($P78&gt;=T_CRIT,"CRITICAL",IF($P78&gt;=T_MON,"MONITOR","LOW")))))</f>
        <v/>
      </c>
      <c r="R78" s="12" t="str">
        <f aca="false">IF($O78="","",INDEX(DriverNames,MATCH(MAX($H78:$L78),$H78:$L78,0)))</f>
        <v/>
      </c>
      <c r="S78" s="22"/>
      <c r="T78" s="29"/>
      <c r="U78" s="2" t="str">
        <f aca="false">IF($E78="","",IFERROR(INDEX(SUPPLIERS!$Q$4:$Q$63,MATCH($E78,SUPPLIERS!$A$4:$A$63,0)),0))</f>
        <v/>
      </c>
      <c r="V78" s="2" t="str">
        <f aca="false">IF($Q78="","",IF($U78&gt;0,100,0)+IF($P78="",0,$P78)+ROW()/100000)</f>
        <v/>
      </c>
      <c r="W78" s="2" t="str">
        <f aca="false">IF($V78="","",IF($A78=SEL_MODEL,$V78,""))</f>
        <v/>
      </c>
    </row>
    <row r="79" customFormat="false" ht="15" hidden="false" customHeight="false" outlineLevel="0" collapsed="false">
      <c r="A79" s="20"/>
      <c r="B79" s="21"/>
      <c r="C79" s="22"/>
      <c r="D79" s="21"/>
      <c r="E79" s="20"/>
      <c r="F79" s="23"/>
      <c r="G79" s="24" t="str">
        <f aca="false">IF(OR($A79="",$F79=""),"",IFERROR(IF(INDEX(MODELS!$K$4:$K$28,MATCH($A79,MODELS!$A$4:$A$28,0))="","",$F79*INDEX(MODELS!$K$4:$K$28,MATCH($A79,MODELS!$A$4:$A$28,0))),""))</f>
        <v/>
      </c>
      <c r="H79" s="21"/>
      <c r="I79" s="21"/>
      <c r="J79" s="21"/>
      <c r="K79" s="25" t="str">
        <f aca="false">IF($E79="","",IFERROR(IF(INDEX(SUPPLIERS!$K$4:$K$63,MATCH($E79,SUPPLIERS!$A$4:$A$63,0))="","",INDEX(SUPPLIERS!$K$4:$K$63,MATCH($E79,SUPPLIERS!$A$4:$A$63,0))),""))</f>
        <v/>
      </c>
      <c r="L79" s="25" t="str">
        <f aca="false">IF($E79="","",IFERROR(IF(INDEX(SUPPLIERS!$L$4:$L$63,MATCH($E79,SUPPLIERS!$A$4:$A$63,0))="","",INDEX(SUPPLIERS!$L$4:$L$63,MATCH($E79,SUPPLIERS!$A$4:$A$63,0))),""))</f>
        <v/>
      </c>
      <c r="M79" s="21"/>
      <c r="N79" s="11" t="str">
        <f aca="false">IF($E79="","",IFERROR(_xlfn.TEXTJOIN("; ",TRUE(),INDEX(SUPPLIERS!$F$4:$F$63,MATCH($E79,SUPPLIERS!$A$4:$A$63,0)),INDEX(SUPPLIERS!$G$4:$G$63,MATCH($E79,SUPPLIERS!$A$4:$A$63,0)),INDEX(SUPPLIERS!$H$4:$H$63,MATCH($E79,SUPPLIERS!$A$4:$A$63,0)),INDEX(SUPPLIERS!$I$4:$I$63,MATCH($E79,SUPPLIERS!$A$4:$A$63,0)),INDEX(SUPPLIERS!$J$4:$J$63,MATCH($E79,SUPPLIERS!$A$4:$A$63,0))),""))</f>
        <v/>
      </c>
      <c r="O79" s="26" t="str">
        <f aca="false">IF(COUNT($H79:$L79)&lt;5,"",ROUND($H79*W_SRC+$I79*W_QC+$J79*W_CAP+$K79*W_SUP+$L79*W_EXT,1))</f>
        <v/>
      </c>
      <c r="P79" s="27" t="str">
        <f aca="false">IF(OR($O79="",$M79=""),"",ROUND($O79*$M79,1))</f>
        <v/>
      </c>
      <c r="Q79" s="28" t="str">
        <f aca="false">IF($E79="","",IF($U79&gt;0,"CRITICAL (FLAG)",IF(OR($O79="",$M79=""),"NOT SCORED",IF($P79&gt;=T_CRIT,"CRITICAL",IF($P79&gt;=T_MON,"MONITOR","LOW")))))</f>
        <v/>
      </c>
      <c r="R79" s="12" t="str">
        <f aca="false">IF($O79="","",INDEX(DriverNames,MATCH(MAX($H79:$L79),$H79:$L79,0)))</f>
        <v/>
      </c>
      <c r="S79" s="22"/>
      <c r="T79" s="29"/>
      <c r="U79" s="2" t="str">
        <f aca="false">IF($E79="","",IFERROR(INDEX(SUPPLIERS!$Q$4:$Q$63,MATCH($E79,SUPPLIERS!$A$4:$A$63,0)),0))</f>
        <v/>
      </c>
      <c r="V79" s="2" t="str">
        <f aca="false">IF($Q79="","",IF($U79&gt;0,100,0)+IF($P79="",0,$P79)+ROW()/100000)</f>
        <v/>
      </c>
      <c r="W79" s="2" t="str">
        <f aca="false">IF($V79="","",IF($A79=SEL_MODEL,$V79,""))</f>
        <v/>
      </c>
    </row>
    <row r="80" customFormat="false" ht="15" hidden="false" customHeight="false" outlineLevel="0" collapsed="false">
      <c r="A80" s="20"/>
      <c r="B80" s="21"/>
      <c r="C80" s="22"/>
      <c r="D80" s="21"/>
      <c r="E80" s="20"/>
      <c r="F80" s="23"/>
      <c r="G80" s="24" t="str">
        <f aca="false">IF(OR($A80="",$F80=""),"",IFERROR(IF(INDEX(MODELS!$K$4:$K$28,MATCH($A80,MODELS!$A$4:$A$28,0))="","",$F80*INDEX(MODELS!$K$4:$K$28,MATCH($A80,MODELS!$A$4:$A$28,0))),""))</f>
        <v/>
      </c>
      <c r="H80" s="21"/>
      <c r="I80" s="21"/>
      <c r="J80" s="21"/>
      <c r="K80" s="25" t="str">
        <f aca="false">IF($E80="","",IFERROR(IF(INDEX(SUPPLIERS!$K$4:$K$63,MATCH($E80,SUPPLIERS!$A$4:$A$63,0))="","",INDEX(SUPPLIERS!$K$4:$K$63,MATCH($E80,SUPPLIERS!$A$4:$A$63,0))),""))</f>
        <v/>
      </c>
      <c r="L80" s="25" t="str">
        <f aca="false">IF($E80="","",IFERROR(IF(INDEX(SUPPLIERS!$L$4:$L$63,MATCH($E80,SUPPLIERS!$A$4:$A$63,0))="","",INDEX(SUPPLIERS!$L$4:$L$63,MATCH($E80,SUPPLIERS!$A$4:$A$63,0))),""))</f>
        <v/>
      </c>
      <c r="M80" s="21"/>
      <c r="N80" s="11" t="str">
        <f aca="false">IF($E80="","",IFERROR(_xlfn.TEXTJOIN("; ",TRUE(),INDEX(SUPPLIERS!$F$4:$F$63,MATCH($E80,SUPPLIERS!$A$4:$A$63,0)),INDEX(SUPPLIERS!$G$4:$G$63,MATCH($E80,SUPPLIERS!$A$4:$A$63,0)),INDEX(SUPPLIERS!$H$4:$H$63,MATCH($E80,SUPPLIERS!$A$4:$A$63,0)),INDEX(SUPPLIERS!$I$4:$I$63,MATCH($E80,SUPPLIERS!$A$4:$A$63,0)),INDEX(SUPPLIERS!$J$4:$J$63,MATCH($E80,SUPPLIERS!$A$4:$A$63,0))),""))</f>
        <v/>
      </c>
      <c r="O80" s="26" t="str">
        <f aca="false">IF(COUNT($H80:$L80)&lt;5,"",ROUND($H80*W_SRC+$I80*W_QC+$J80*W_CAP+$K80*W_SUP+$L80*W_EXT,1))</f>
        <v/>
      </c>
      <c r="P80" s="27" t="str">
        <f aca="false">IF(OR($O80="",$M80=""),"",ROUND($O80*$M80,1))</f>
        <v/>
      </c>
      <c r="Q80" s="28" t="str">
        <f aca="false">IF($E80="","",IF($U80&gt;0,"CRITICAL (FLAG)",IF(OR($O80="",$M80=""),"NOT SCORED",IF($P80&gt;=T_CRIT,"CRITICAL",IF($P80&gt;=T_MON,"MONITOR","LOW")))))</f>
        <v/>
      </c>
      <c r="R80" s="12" t="str">
        <f aca="false">IF($O80="","",INDEX(DriverNames,MATCH(MAX($H80:$L80),$H80:$L80,0)))</f>
        <v/>
      </c>
      <c r="S80" s="22"/>
      <c r="T80" s="29"/>
      <c r="U80" s="2" t="str">
        <f aca="false">IF($E80="","",IFERROR(INDEX(SUPPLIERS!$Q$4:$Q$63,MATCH($E80,SUPPLIERS!$A$4:$A$63,0)),0))</f>
        <v/>
      </c>
      <c r="V80" s="2" t="str">
        <f aca="false">IF($Q80="","",IF($U80&gt;0,100,0)+IF($P80="",0,$P80)+ROW()/100000)</f>
        <v/>
      </c>
      <c r="W80" s="2" t="str">
        <f aca="false">IF($V80="","",IF($A80=SEL_MODEL,$V80,""))</f>
        <v/>
      </c>
    </row>
    <row r="81" customFormat="false" ht="15" hidden="false" customHeight="false" outlineLevel="0" collapsed="false">
      <c r="A81" s="20"/>
      <c r="B81" s="21"/>
      <c r="C81" s="22"/>
      <c r="D81" s="21"/>
      <c r="E81" s="20"/>
      <c r="F81" s="23"/>
      <c r="G81" s="24" t="str">
        <f aca="false">IF(OR($A81="",$F81=""),"",IFERROR(IF(INDEX(MODELS!$K$4:$K$28,MATCH($A81,MODELS!$A$4:$A$28,0))="","",$F81*INDEX(MODELS!$K$4:$K$28,MATCH($A81,MODELS!$A$4:$A$28,0))),""))</f>
        <v/>
      </c>
      <c r="H81" s="21"/>
      <c r="I81" s="21"/>
      <c r="J81" s="21"/>
      <c r="K81" s="25" t="str">
        <f aca="false">IF($E81="","",IFERROR(IF(INDEX(SUPPLIERS!$K$4:$K$63,MATCH($E81,SUPPLIERS!$A$4:$A$63,0))="","",INDEX(SUPPLIERS!$K$4:$K$63,MATCH($E81,SUPPLIERS!$A$4:$A$63,0))),""))</f>
        <v/>
      </c>
      <c r="L81" s="25" t="str">
        <f aca="false">IF($E81="","",IFERROR(IF(INDEX(SUPPLIERS!$L$4:$L$63,MATCH($E81,SUPPLIERS!$A$4:$A$63,0))="","",INDEX(SUPPLIERS!$L$4:$L$63,MATCH($E81,SUPPLIERS!$A$4:$A$63,0))),""))</f>
        <v/>
      </c>
      <c r="M81" s="21"/>
      <c r="N81" s="11" t="str">
        <f aca="false">IF($E81="","",IFERROR(_xlfn.TEXTJOIN("; ",TRUE(),INDEX(SUPPLIERS!$F$4:$F$63,MATCH($E81,SUPPLIERS!$A$4:$A$63,0)),INDEX(SUPPLIERS!$G$4:$G$63,MATCH($E81,SUPPLIERS!$A$4:$A$63,0)),INDEX(SUPPLIERS!$H$4:$H$63,MATCH($E81,SUPPLIERS!$A$4:$A$63,0)),INDEX(SUPPLIERS!$I$4:$I$63,MATCH($E81,SUPPLIERS!$A$4:$A$63,0)),INDEX(SUPPLIERS!$J$4:$J$63,MATCH($E81,SUPPLIERS!$A$4:$A$63,0))),""))</f>
        <v/>
      </c>
      <c r="O81" s="26" t="str">
        <f aca="false">IF(COUNT($H81:$L81)&lt;5,"",ROUND($H81*W_SRC+$I81*W_QC+$J81*W_CAP+$K81*W_SUP+$L81*W_EXT,1))</f>
        <v/>
      </c>
      <c r="P81" s="27" t="str">
        <f aca="false">IF(OR($O81="",$M81=""),"",ROUND($O81*$M81,1))</f>
        <v/>
      </c>
      <c r="Q81" s="28" t="str">
        <f aca="false">IF($E81="","",IF($U81&gt;0,"CRITICAL (FLAG)",IF(OR($O81="",$M81=""),"NOT SCORED",IF($P81&gt;=T_CRIT,"CRITICAL",IF($P81&gt;=T_MON,"MONITOR","LOW")))))</f>
        <v/>
      </c>
      <c r="R81" s="12" t="str">
        <f aca="false">IF($O81="","",INDEX(DriverNames,MATCH(MAX($H81:$L81),$H81:$L81,0)))</f>
        <v/>
      </c>
      <c r="S81" s="22"/>
      <c r="T81" s="29"/>
      <c r="U81" s="2" t="str">
        <f aca="false">IF($E81="","",IFERROR(INDEX(SUPPLIERS!$Q$4:$Q$63,MATCH($E81,SUPPLIERS!$A$4:$A$63,0)),0))</f>
        <v/>
      </c>
      <c r="V81" s="2" t="str">
        <f aca="false">IF($Q81="","",IF($U81&gt;0,100,0)+IF($P81="",0,$P81)+ROW()/100000)</f>
        <v/>
      </c>
      <c r="W81" s="2" t="str">
        <f aca="false">IF($V81="","",IF($A81=SEL_MODEL,$V81,""))</f>
        <v/>
      </c>
    </row>
    <row r="82" customFormat="false" ht="15" hidden="false" customHeight="false" outlineLevel="0" collapsed="false">
      <c r="A82" s="20"/>
      <c r="B82" s="21"/>
      <c r="C82" s="22"/>
      <c r="D82" s="21"/>
      <c r="E82" s="20"/>
      <c r="F82" s="23"/>
      <c r="G82" s="24" t="str">
        <f aca="false">IF(OR($A82="",$F82=""),"",IFERROR(IF(INDEX(MODELS!$K$4:$K$28,MATCH($A82,MODELS!$A$4:$A$28,0))="","",$F82*INDEX(MODELS!$K$4:$K$28,MATCH($A82,MODELS!$A$4:$A$28,0))),""))</f>
        <v/>
      </c>
      <c r="H82" s="21"/>
      <c r="I82" s="21"/>
      <c r="J82" s="21"/>
      <c r="K82" s="25" t="str">
        <f aca="false">IF($E82="","",IFERROR(IF(INDEX(SUPPLIERS!$K$4:$K$63,MATCH($E82,SUPPLIERS!$A$4:$A$63,0))="","",INDEX(SUPPLIERS!$K$4:$K$63,MATCH($E82,SUPPLIERS!$A$4:$A$63,0))),""))</f>
        <v/>
      </c>
      <c r="L82" s="25" t="str">
        <f aca="false">IF($E82="","",IFERROR(IF(INDEX(SUPPLIERS!$L$4:$L$63,MATCH($E82,SUPPLIERS!$A$4:$A$63,0))="","",INDEX(SUPPLIERS!$L$4:$L$63,MATCH($E82,SUPPLIERS!$A$4:$A$63,0))),""))</f>
        <v/>
      </c>
      <c r="M82" s="21"/>
      <c r="N82" s="11" t="str">
        <f aca="false">IF($E82="","",IFERROR(_xlfn.TEXTJOIN("; ",TRUE(),INDEX(SUPPLIERS!$F$4:$F$63,MATCH($E82,SUPPLIERS!$A$4:$A$63,0)),INDEX(SUPPLIERS!$G$4:$G$63,MATCH($E82,SUPPLIERS!$A$4:$A$63,0)),INDEX(SUPPLIERS!$H$4:$H$63,MATCH($E82,SUPPLIERS!$A$4:$A$63,0)),INDEX(SUPPLIERS!$I$4:$I$63,MATCH($E82,SUPPLIERS!$A$4:$A$63,0)),INDEX(SUPPLIERS!$J$4:$J$63,MATCH($E82,SUPPLIERS!$A$4:$A$63,0))),""))</f>
        <v/>
      </c>
      <c r="O82" s="26" t="str">
        <f aca="false">IF(COUNT($H82:$L82)&lt;5,"",ROUND($H82*W_SRC+$I82*W_QC+$J82*W_CAP+$K82*W_SUP+$L82*W_EXT,1))</f>
        <v/>
      </c>
      <c r="P82" s="27" t="str">
        <f aca="false">IF(OR($O82="",$M82=""),"",ROUND($O82*$M82,1))</f>
        <v/>
      </c>
      <c r="Q82" s="28" t="str">
        <f aca="false">IF($E82="","",IF($U82&gt;0,"CRITICAL (FLAG)",IF(OR($O82="",$M82=""),"NOT SCORED",IF($P82&gt;=T_CRIT,"CRITICAL",IF($P82&gt;=T_MON,"MONITOR","LOW")))))</f>
        <v/>
      </c>
      <c r="R82" s="12" t="str">
        <f aca="false">IF($O82="","",INDEX(DriverNames,MATCH(MAX($H82:$L82),$H82:$L82,0)))</f>
        <v/>
      </c>
      <c r="S82" s="22"/>
      <c r="T82" s="29"/>
      <c r="U82" s="2" t="str">
        <f aca="false">IF($E82="","",IFERROR(INDEX(SUPPLIERS!$Q$4:$Q$63,MATCH($E82,SUPPLIERS!$A$4:$A$63,0)),0))</f>
        <v/>
      </c>
      <c r="V82" s="2" t="str">
        <f aca="false">IF($Q82="","",IF($U82&gt;0,100,0)+IF($P82="",0,$P82)+ROW()/100000)</f>
        <v/>
      </c>
      <c r="W82" s="2" t="str">
        <f aca="false">IF($V82="","",IF($A82=SEL_MODEL,$V82,""))</f>
        <v/>
      </c>
    </row>
    <row r="83" customFormat="false" ht="15" hidden="false" customHeight="false" outlineLevel="0" collapsed="false">
      <c r="A83" s="20"/>
      <c r="B83" s="21"/>
      <c r="C83" s="22"/>
      <c r="D83" s="21"/>
      <c r="E83" s="20"/>
      <c r="F83" s="23"/>
      <c r="G83" s="24" t="str">
        <f aca="false">IF(OR($A83="",$F83=""),"",IFERROR(IF(INDEX(MODELS!$K$4:$K$28,MATCH($A83,MODELS!$A$4:$A$28,0))="","",$F83*INDEX(MODELS!$K$4:$K$28,MATCH($A83,MODELS!$A$4:$A$28,0))),""))</f>
        <v/>
      </c>
      <c r="H83" s="21"/>
      <c r="I83" s="21"/>
      <c r="J83" s="21"/>
      <c r="K83" s="25" t="str">
        <f aca="false">IF($E83="","",IFERROR(IF(INDEX(SUPPLIERS!$K$4:$K$63,MATCH($E83,SUPPLIERS!$A$4:$A$63,0))="","",INDEX(SUPPLIERS!$K$4:$K$63,MATCH($E83,SUPPLIERS!$A$4:$A$63,0))),""))</f>
        <v/>
      </c>
      <c r="L83" s="25" t="str">
        <f aca="false">IF($E83="","",IFERROR(IF(INDEX(SUPPLIERS!$L$4:$L$63,MATCH($E83,SUPPLIERS!$A$4:$A$63,0))="","",INDEX(SUPPLIERS!$L$4:$L$63,MATCH($E83,SUPPLIERS!$A$4:$A$63,0))),""))</f>
        <v/>
      </c>
      <c r="M83" s="21"/>
      <c r="N83" s="11" t="str">
        <f aca="false">IF($E83="","",IFERROR(_xlfn.TEXTJOIN("; ",TRUE(),INDEX(SUPPLIERS!$F$4:$F$63,MATCH($E83,SUPPLIERS!$A$4:$A$63,0)),INDEX(SUPPLIERS!$G$4:$G$63,MATCH($E83,SUPPLIERS!$A$4:$A$63,0)),INDEX(SUPPLIERS!$H$4:$H$63,MATCH($E83,SUPPLIERS!$A$4:$A$63,0)),INDEX(SUPPLIERS!$I$4:$I$63,MATCH($E83,SUPPLIERS!$A$4:$A$63,0)),INDEX(SUPPLIERS!$J$4:$J$63,MATCH($E83,SUPPLIERS!$A$4:$A$63,0))),""))</f>
        <v/>
      </c>
      <c r="O83" s="26" t="str">
        <f aca="false">IF(COUNT($H83:$L83)&lt;5,"",ROUND($H83*W_SRC+$I83*W_QC+$J83*W_CAP+$K83*W_SUP+$L83*W_EXT,1))</f>
        <v/>
      </c>
      <c r="P83" s="27" t="str">
        <f aca="false">IF(OR($O83="",$M83=""),"",ROUND($O83*$M83,1))</f>
        <v/>
      </c>
      <c r="Q83" s="28" t="str">
        <f aca="false">IF($E83="","",IF($U83&gt;0,"CRITICAL (FLAG)",IF(OR($O83="",$M83=""),"NOT SCORED",IF($P83&gt;=T_CRIT,"CRITICAL",IF($P83&gt;=T_MON,"MONITOR","LOW")))))</f>
        <v/>
      </c>
      <c r="R83" s="12" t="str">
        <f aca="false">IF($O83="","",INDEX(DriverNames,MATCH(MAX($H83:$L83),$H83:$L83,0)))</f>
        <v/>
      </c>
      <c r="S83" s="22"/>
      <c r="T83" s="29"/>
      <c r="U83" s="2" t="str">
        <f aca="false">IF($E83="","",IFERROR(INDEX(SUPPLIERS!$Q$4:$Q$63,MATCH($E83,SUPPLIERS!$A$4:$A$63,0)),0))</f>
        <v/>
      </c>
      <c r="V83" s="2" t="str">
        <f aca="false">IF($Q83="","",IF($U83&gt;0,100,0)+IF($P83="",0,$P83)+ROW()/100000)</f>
        <v/>
      </c>
      <c r="W83" s="2" t="str">
        <f aca="false">IF($V83="","",IF($A83=SEL_MODEL,$V83,""))</f>
        <v/>
      </c>
    </row>
    <row r="84" customFormat="false" ht="15" hidden="false" customHeight="false" outlineLevel="0" collapsed="false">
      <c r="A84" s="20"/>
      <c r="B84" s="21"/>
      <c r="C84" s="22"/>
      <c r="D84" s="21"/>
      <c r="E84" s="20"/>
      <c r="F84" s="23"/>
      <c r="G84" s="24" t="str">
        <f aca="false">IF(OR($A84="",$F84=""),"",IFERROR(IF(INDEX(MODELS!$K$4:$K$28,MATCH($A84,MODELS!$A$4:$A$28,0))="","",$F84*INDEX(MODELS!$K$4:$K$28,MATCH($A84,MODELS!$A$4:$A$28,0))),""))</f>
        <v/>
      </c>
      <c r="H84" s="21"/>
      <c r="I84" s="21"/>
      <c r="J84" s="21"/>
      <c r="K84" s="25" t="str">
        <f aca="false">IF($E84="","",IFERROR(IF(INDEX(SUPPLIERS!$K$4:$K$63,MATCH($E84,SUPPLIERS!$A$4:$A$63,0))="","",INDEX(SUPPLIERS!$K$4:$K$63,MATCH($E84,SUPPLIERS!$A$4:$A$63,0))),""))</f>
        <v/>
      </c>
      <c r="L84" s="25" t="str">
        <f aca="false">IF($E84="","",IFERROR(IF(INDEX(SUPPLIERS!$L$4:$L$63,MATCH($E84,SUPPLIERS!$A$4:$A$63,0))="","",INDEX(SUPPLIERS!$L$4:$L$63,MATCH($E84,SUPPLIERS!$A$4:$A$63,0))),""))</f>
        <v/>
      </c>
      <c r="M84" s="21"/>
      <c r="N84" s="11" t="str">
        <f aca="false">IF($E84="","",IFERROR(_xlfn.TEXTJOIN("; ",TRUE(),INDEX(SUPPLIERS!$F$4:$F$63,MATCH($E84,SUPPLIERS!$A$4:$A$63,0)),INDEX(SUPPLIERS!$G$4:$G$63,MATCH($E84,SUPPLIERS!$A$4:$A$63,0)),INDEX(SUPPLIERS!$H$4:$H$63,MATCH($E84,SUPPLIERS!$A$4:$A$63,0)),INDEX(SUPPLIERS!$I$4:$I$63,MATCH($E84,SUPPLIERS!$A$4:$A$63,0)),INDEX(SUPPLIERS!$J$4:$J$63,MATCH($E84,SUPPLIERS!$A$4:$A$63,0))),""))</f>
        <v/>
      </c>
      <c r="O84" s="26" t="str">
        <f aca="false">IF(COUNT($H84:$L84)&lt;5,"",ROUND($H84*W_SRC+$I84*W_QC+$J84*W_CAP+$K84*W_SUP+$L84*W_EXT,1))</f>
        <v/>
      </c>
      <c r="P84" s="27" t="str">
        <f aca="false">IF(OR($O84="",$M84=""),"",ROUND($O84*$M84,1))</f>
        <v/>
      </c>
      <c r="Q84" s="28" t="str">
        <f aca="false">IF($E84="","",IF($U84&gt;0,"CRITICAL (FLAG)",IF(OR($O84="",$M84=""),"NOT SCORED",IF($P84&gt;=T_CRIT,"CRITICAL",IF($P84&gt;=T_MON,"MONITOR","LOW")))))</f>
        <v/>
      </c>
      <c r="R84" s="12" t="str">
        <f aca="false">IF($O84="","",INDEX(DriverNames,MATCH(MAX($H84:$L84),$H84:$L84,0)))</f>
        <v/>
      </c>
      <c r="S84" s="22"/>
      <c r="T84" s="29"/>
      <c r="U84" s="2" t="str">
        <f aca="false">IF($E84="","",IFERROR(INDEX(SUPPLIERS!$Q$4:$Q$63,MATCH($E84,SUPPLIERS!$A$4:$A$63,0)),0))</f>
        <v/>
      </c>
      <c r="V84" s="2" t="str">
        <f aca="false">IF($Q84="","",IF($U84&gt;0,100,0)+IF($P84="",0,$P84)+ROW()/100000)</f>
        <v/>
      </c>
      <c r="W84" s="2" t="str">
        <f aca="false">IF($V84="","",IF($A84=SEL_MODEL,$V84,""))</f>
        <v/>
      </c>
    </row>
    <row r="85" customFormat="false" ht="15" hidden="false" customHeight="false" outlineLevel="0" collapsed="false">
      <c r="A85" s="20"/>
      <c r="B85" s="21"/>
      <c r="C85" s="22"/>
      <c r="D85" s="21"/>
      <c r="E85" s="20"/>
      <c r="F85" s="23"/>
      <c r="G85" s="24" t="str">
        <f aca="false">IF(OR($A85="",$F85=""),"",IFERROR(IF(INDEX(MODELS!$K$4:$K$28,MATCH($A85,MODELS!$A$4:$A$28,0))="","",$F85*INDEX(MODELS!$K$4:$K$28,MATCH($A85,MODELS!$A$4:$A$28,0))),""))</f>
        <v/>
      </c>
      <c r="H85" s="21"/>
      <c r="I85" s="21"/>
      <c r="J85" s="21"/>
      <c r="K85" s="25" t="str">
        <f aca="false">IF($E85="","",IFERROR(IF(INDEX(SUPPLIERS!$K$4:$K$63,MATCH($E85,SUPPLIERS!$A$4:$A$63,0))="","",INDEX(SUPPLIERS!$K$4:$K$63,MATCH($E85,SUPPLIERS!$A$4:$A$63,0))),""))</f>
        <v/>
      </c>
      <c r="L85" s="25" t="str">
        <f aca="false">IF($E85="","",IFERROR(IF(INDEX(SUPPLIERS!$L$4:$L$63,MATCH($E85,SUPPLIERS!$A$4:$A$63,0))="","",INDEX(SUPPLIERS!$L$4:$L$63,MATCH($E85,SUPPLIERS!$A$4:$A$63,0))),""))</f>
        <v/>
      </c>
      <c r="M85" s="21"/>
      <c r="N85" s="11" t="str">
        <f aca="false">IF($E85="","",IFERROR(_xlfn.TEXTJOIN("; ",TRUE(),INDEX(SUPPLIERS!$F$4:$F$63,MATCH($E85,SUPPLIERS!$A$4:$A$63,0)),INDEX(SUPPLIERS!$G$4:$G$63,MATCH($E85,SUPPLIERS!$A$4:$A$63,0)),INDEX(SUPPLIERS!$H$4:$H$63,MATCH($E85,SUPPLIERS!$A$4:$A$63,0)),INDEX(SUPPLIERS!$I$4:$I$63,MATCH($E85,SUPPLIERS!$A$4:$A$63,0)),INDEX(SUPPLIERS!$J$4:$J$63,MATCH($E85,SUPPLIERS!$A$4:$A$63,0))),""))</f>
        <v/>
      </c>
      <c r="O85" s="26" t="str">
        <f aca="false">IF(COUNT($H85:$L85)&lt;5,"",ROUND($H85*W_SRC+$I85*W_QC+$J85*W_CAP+$K85*W_SUP+$L85*W_EXT,1))</f>
        <v/>
      </c>
      <c r="P85" s="27" t="str">
        <f aca="false">IF(OR($O85="",$M85=""),"",ROUND($O85*$M85,1))</f>
        <v/>
      </c>
      <c r="Q85" s="28" t="str">
        <f aca="false">IF($E85="","",IF($U85&gt;0,"CRITICAL (FLAG)",IF(OR($O85="",$M85=""),"NOT SCORED",IF($P85&gt;=T_CRIT,"CRITICAL",IF($P85&gt;=T_MON,"MONITOR","LOW")))))</f>
        <v/>
      </c>
      <c r="R85" s="12" t="str">
        <f aca="false">IF($O85="","",INDEX(DriverNames,MATCH(MAX($H85:$L85),$H85:$L85,0)))</f>
        <v/>
      </c>
      <c r="S85" s="22"/>
      <c r="T85" s="29"/>
      <c r="U85" s="2" t="str">
        <f aca="false">IF($E85="","",IFERROR(INDEX(SUPPLIERS!$Q$4:$Q$63,MATCH($E85,SUPPLIERS!$A$4:$A$63,0)),0))</f>
        <v/>
      </c>
      <c r="V85" s="2" t="str">
        <f aca="false">IF($Q85="","",IF($U85&gt;0,100,0)+IF($P85="",0,$P85)+ROW()/100000)</f>
        <v/>
      </c>
      <c r="W85" s="2" t="str">
        <f aca="false">IF($V85="","",IF($A85=SEL_MODEL,$V85,""))</f>
        <v/>
      </c>
    </row>
    <row r="86" customFormat="false" ht="15" hidden="false" customHeight="false" outlineLevel="0" collapsed="false">
      <c r="A86" s="20"/>
      <c r="B86" s="21"/>
      <c r="C86" s="22"/>
      <c r="D86" s="21"/>
      <c r="E86" s="20"/>
      <c r="F86" s="23"/>
      <c r="G86" s="24" t="str">
        <f aca="false">IF(OR($A86="",$F86=""),"",IFERROR(IF(INDEX(MODELS!$K$4:$K$28,MATCH($A86,MODELS!$A$4:$A$28,0))="","",$F86*INDEX(MODELS!$K$4:$K$28,MATCH($A86,MODELS!$A$4:$A$28,0))),""))</f>
        <v/>
      </c>
      <c r="H86" s="21"/>
      <c r="I86" s="21"/>
      <c r="J86" s="21"/>
      <c r="K86" s="25" t="str">
        <f aca="false">IF($E86="","",IFERROR(IF(INDEX(SUPPLIERS!$K$4:$K$63,MATCH($E86,SUPPLIERS!$A$4:$A$63,0))="","",INDEX(SUPPLIERS!$K$4:$K$63,MATCH($E86,SUPPLIERS!$A$4:$A$63,0))),""))</f>
        <v/>
      </c>
      <c r="L86" s="25" t="str">
        <f aca="false">IF($E86="","",IFERROR(IF(INDEX(SUPPLIERS!$L$4:$L$63,MATCH($E86,SUPPLIERS!$A$4:$A$63,0))="","",INDEX(SUPPLIERS!$L$4:$L$63,MATCH($E86,SUPPLIERS!$A$4:$A$63,0))),""))</f>
        <v/>
      </c>
      <c r="M86" s="21"/>
      <c r="N86" s="11" t="str">
        <f aca="false">IF($E86="","",IFERROR(_xlfn.TEXTJOIN("; ",TRUE(),INDEX(SUPPLIERS!$F$4:$F$63,MATCH($E86,SUPPLIERS!$A$4:$A$63,0)),INDEX(SUPPLIERS!$G$4:$G$63,MATCH($E86,SUPPLIERS!$A$4:$A$63,0)),INDEX(SUPPLIERS!$H$4:$H$63,MATCH($E86,SUPPLIERS!$A$4:$A$63,0)),INDEX(SUPPLIERS!$I$4:$I$63,MATCH($E86,SUPPLIERS!$A$4:$A$63,0)),INDEX(SUPPLIERS!$J$4:$J$63,MATCH($E86,SUPPLIERS!$A$4:$A$63,0))),""))</f>
        <v/>
      </c>
      <c r="O86" s="26" t="str">
        <f aca="false">IF(COUNT($H86:$L86)&lt;5,"",ROUND($H86*W_SRC+$I86*W_QC+$J86*W_CAP+$K86*W_SUP+$L86*W_EXT,1))</f>
        <v/>
      </c>
      <c r="P86" s="27" t="str">
        <f aca="false">IF(OR($O86="",$M86=""),"",ROUND($O86*$M86,1))</f>
        <v/>
      </c>
      <c r="Q86" s="28" t="str">
        <f aca="false">IF($E86="","",IF($U86&gt;0,"CRITICAL (FLAG)",IF(OR($O86="",$M86=""),"NOT SCORED",IF($P86&gt;=T_CRIT,"CRITICAL",IF($P86&gt;=T_MON,"MONITOR","LOW")))))</f>
        <v/>
      </c>
      <c r="R86" s="12" t="str">
        <f aca="false">IF($O86="","",INDEX(DriverNames,MATCH(MAX($H86:$L86),$H86:$L86,0)))</f>
        <v/>
      </c>
      <c r="S86" s="22"/>
      <c r="T86" s="29"/>
      <c r="U86" s="2" t="str">
        <f aca="false">IF($E86="","",IFERROR(INDEX(SUPPLIERS!$Q$4:$Q$63,MATCH($E86,SUPPLIERS!$A$4:$A$63,0)),0))</f>
        <v/>
      </c>
      <c r="V86" s="2" t="str">
        <f aca="false">IF($Q86="","",IF($U86&gt;0,100,0)+IF($P86="",0,$P86)+ROW()/100000)</f>
        <v/>
      </c>
      <c r="W86" s="2" t="str">
        <f aca="false">IF($V86="","",IF($A86=SEL_MODEL,$V86,""))</f>
        <v/>
      </c>
    </row>
    <row r="87" customFormat="false" ht="15" hidden="false" customHeight="false" outlineLevel="0" collapsed="false">
      <c r="A87" s="20"/>
      <c r="B87" s="21"/>
      <c r="C87" s="22"/>
      <c r="D87" s="21"/>
      <c r="E87" s="20"/>
      <c r="F87" s="23"/>
      <c r="G87" s="24" t="str">
        <f aca="false">IF(OR($A87="",$F87=""),"",IFERROR(IF(INDEX(MODELS!$K$4:$K$28,MATCH($A87,MODELS!$A$4:$A$28,0))="","",$F87*INDEX(MODELS!$K$4:$K$28,MATCH($A87,MODELS!$A$4:$A$28,0))),""))</f>
        <v/>
      </c>
      <c r="H87" s="21"/>
      <c r="I87" s="21"/>
      <c r="J87" s="21"/>
      <c r="K87" s="25" t="str">
        <f aca="false">IF($E87="","",IFERROR(IF(INDEX(SUPPLIERS!$K$4:$K$63,MATCH($E87,SUPPLIERS!$A$4:$A$63,0))="","",INDEX(SUPPLIERS!$K$4:$K$63,MATCH($E87,SUPPLIERS!$A$4:$A$63,0))),""))</f>
        <v/>
      </c>
      <c r="L87" s="25" t="str">
        <f aca="false">IF($E87="","",IFERROR(IF(INDEX(SUPPLIERS!$L$4:$L$63,MATCH($E87,SUPPLIERS!$A$4:$A$63,0))="","",INDEX(SUPPLIERS!$L$4:$L$63,MATCH($E87,SUPPLIERS!$A$4:$A$63,0))),""))</f>
        <v/>
      </c>
      <c r="M87" s="21"/>
      <c r="N87" s="11" t="str">
        <f aca="false">IF($E87="","",IFERROR(_xlfn.TEXTJOIN("; ",TRUE(),INDEX(SUPPLIERS!$F$4:$F$63,MATCH($E87,SUPPLIERS!$A$4:$A$63,0)),INDEX(SUPPLIERS!$G$4:$G$63,MATCH($E87,SUPPLIERS!$A$4:$A$63,0)),INDEX(SUPPLIERS!$H$4:$H$63,MATCH($E87,SUPPLIERS!$A$4:$A$63,0)),INDEX(SUPPLIERS!$I$4:$I$63,MATCH($E87,SUPPLIERS!$A$4:$A$63,0)),INDEX(SUPPLIERS!$J$4:$J$63,MATCH($E87,SUPPLIERS!$A$4:$A$63,0))),""))</f>
        <v/>
      </c>
      <c r="O87" s="26" t="str">
        <f aca="false">IF(COUNT($H87:$L87)&lt;5,"",ROUND($H87*W_SRC+$I87*W_QC+$J87*W_CAP+$K87*W_SUP+$L87*W_EXT,1))</f>
        <v/>
      </c>
      <c r="P87" s="27" t="str">
        <f aca="false">IF(OR($O87="",$M87=""),"",ROUND($O87*$M87,1))</f>
        <v/>
      </c>
      <c r="Q87" s="28" t="str">
        <f aca="false">IF($E87="","",IF($U87&gt;0,"CRITICAL (FLAG)",IF(OR($O87="",$M87=""),"NOT SCORED",IF($P87&gt;=T_CRIT,"CRITICAL",IF($P87&gt;=T_MON,"MONITOR","LOW")))))</f>
        <v/>
      </c>
      <c r="R87" s="12" t="str">
        <f aca="false">IF($O87="","",INDEX(DriverNames,MATCH(MAX($H87:$L87),$H87:$L87,0)))</f>
        <v/>
      </c>
      <c r="S87" s="22"/>
      <c r="T87" s="29"/>
      <c r="U87" s="2" t="str">
        <f aca="false">IF($E87="","",IFERROR(INDEX(SUPPLIERS!$Q$4:$Q$63,MATCH($E87,SUPPLIERS!$A$4:$A$63,0)),0))</f>
        <v/>
      </c>
      <c r="V87" s="2" t="str">
        <f aca="false">IF($Q87="","",IF($U87&gt;0,100,0)+IF($P87="",0,$P87)+ROW()/100000)</f>
        <v/>
      </c>
      <c r="W87" s="2" t="str">
        <f aca="false">IF($V87="","",IF($A87=SEL_MODEL,$V87,""))</f>
        <v/>
      </c>
    </row>
    <row r="88" customFormat="false" ht="15" hidden="false" customHeight="false" outlineLevel="0" collapsed="false">
      <c r="A88" s="20"/>
      <c r="B88" s="21"/>
      <c r="C88" s="22"/>
      <c r="D88" s="21"/>
      <c r="E88" s="20"/>
      <c r="F88" s="23"/>
      <c r="G88" s="24" t="str">
        <f aca="false">IF(OR($A88="",$F88=""),"",IFERROR(IF(INDEX(MODELS!$K$4:$K$28,MATCH($A88,MODELS!$A$4:$A$28,0))="","",$F88*INDEX(MODELS!$K$4:$K$28,MATCH($A88,MODELS!$A$4:$A$28,0))),""))</f>
        <v/>
      </c>
      <c r="H88" s="21"/>
      <c r="I88" s="21"/>
      <c r="J88" s="21"/>
      <c r="K88" s="25" t="str">
        <f aca="false">IF($E88="","",IFERROR(IF(INDEX(SUPPLIERS!$K$4:$K$63,MATCH($E88,SUPPLIERS!$A$4:$A$63,0))="","",INDEX(SUPPLIERS!$K$4:$K$63,MATCH($E88,SUPPLIERS!$A$4:$A$63,0))),""))</f>
        <v/>
      </c>
      <c r="L88" s="25" t="str">
        <f aca="false">IF($E88="","",IFERROR(IF(INDEX(SUPPLIERS!$L$4:$L$63,MATCH($E88,SUPPLIERS!$A$4:$A$63,0))="","",INDEX(SUPPLIERS!$L$4:$L$63,MATCH($E88,SUPPLIERS!$A$4:$A$63,0))),""))</f>
        <v/>
      </c>
      <c r="M88" s="21"/>
      <c r="N88" s="11" t="str">
        <f aca="false">IF($E88="","",IFERROR(_xlfn.TEXTJOIN("; ",TRUE(),INDEX(SUPPLIERS!$F$4:$F$63,MATCH($E88,SUPPLIERS!$A$4:$A$63,0)),INDEX(SUPPLIERS!$G$4:$G$63,MATCH($E88,SUPPLIERS!$A$4:$A$63,0)),INDEX(SUPPLIERS!$H$4:$H$63,MATCH($E88,SUPPLIERS!$A$4:$A$63,0)),INDEX(SUPPLIERS!$I$4:$I$63,MATCH($E88,SUPPLIERS!$A$4:$A$63,0)),INDEX(SUPPLIERS!$J$4:$J$63,MATCH($E88,SUPPLIERS!$A$4:$A$63,0))),""))</f>
        <v/>
      </c>
      <c r="O88" s="26" t="str">
        <f aca="false">IF(COUNT($H88:$L88)&lt;5,"",ROUND($H88*W_SRC+$I88*W_QC+$J88*W_CAP+$K88*W_SUP+$L88*W_EXT,1))</f>
        <v/>
      </c>
      <c r="P88" s="27" t="str">
        <f aca="false">IF(OR($O88="",$M88=""),"",ROUND($O88*$M88,1))</f>
        <v/>
      </c>
      <c r="Q88" s="28" t="str">
        <f aca="false">IF($E88="","",IF($U88&gt;0,"CRITICAL (FLAG)",IF(OR($O88="",$M88=""),"NOT SCORED",IF($P88&gt;=T_CRIT,"CRITICAL",IF($P88&gt;=T_MON,"MONITOR","LOW")))))</f>
        <v/>
      </c>
      <c r="R88" s="12" t="str">
        <f aca="false">IF($O88="","",INDEX(DriverNames,MATCH(MAX($H88:$L88),$H88:$L88,0)))</f>
        <v/>
      </c>
      <c r="S88" s="22"/>
      <c r="T88" s="29"/>
      <c r="U88" s="2" t="str">
        <f aca="false">IF($E88="","",IFERROR(INDEX(SUPPLIERS!$Q$4:$Q$63,MATCH($E88,SUPPLIERS!$A$4:$A$63,0)),0))</f>
        <v/>
      </c>
      <c r="V88" s="2" t="str">
        <f aca="false">IF($Q88="","",IF($U88&gt;0,100,0)+IF($P88="",0,$P88)+ROW()/100000)</f>
        <v/>
      </c>
      <c r="W88" s="2" t="str">
        <f aca="false">IF($V88="","",IF($A88=SEL_MODEL,$V88,""))</f>
        <v/>
      </c>
    </row>
    <row r="89" customFormat="false" ht="15" hidden="false" customHeight="false" outlineLevel="0" collapsed="false">
      <c r="A89" s="20"/>
      <c r="B89" s="21"/>
      <c r="C89" s="22"/>
      <c r="D89" s="21"/>
      <c r="E89" s="20"/>
      <c r="F89" s="23"/>
      <c r="G89" s="24" t="str">
        <f aca="false">IF(OR($A89="",$F89=""),"",IFERROR(IF(INDEX(MODELS!$K$4:$K$28,MATCH($A89,MODELS!$A$4:$A$28,0))="","",$F89*INDEX(MODELS!$K$4:$K$28,MATCH($A89,MODELS!$A$4:$A$28,0))),""))</f>
        <v/>
      </c>
      <c r="H89" s="21"/>
      <c r="I89" s="21"/>
      <c r="J89" s="21"/>
      <c r="K89" s="25" t="str">
        <f aca="false">IF($E89="","",IFERROR(IF(INDEX(SUPPLIERS!$K$4:$K$63,MATCH($E89,SUPPLIERS!$A$4:$A$63,0))="","",INDEX(SUPPLIERS!$K$4:$K$63,MATCH($E89,SUPPLIERS!$A$4:$A$63,0))),""))</f>
        <v/>
      </c>
      <c r="L89" s="25" t="str">
        <f aca="false">IF($E89="","",IFERROR(IF(INDEX(SUPPLIERS!$L$4:$L$63,MATCH($E89,SUPPLIERS!$A$4:$A$63,0))="","",INDEX(SUPPLIERS!$L$4:$L$63,MATCH($E89,SUPPLIERS!$A$4:$A$63,0))),""))</f>
        <v/>
      </c>
      <c r="M89" s="21"/>
      <c r="N89" s="11" t="str">
        <f aca="false">IF($E89="","",IFERROR(_xlfn.TEXTJOIN("; ",TRUE(),INDEX(SUPPLIERS!$F$4:$F$63,MATCH($E89,SUPPLIERS!$A$4:$A$63,0)),INDEX(SUPPLIERS!$G$4:$G$63,MATCH($E89,SUPPLIERS!$A$4:$A$63,0)),INDEX(SUPPLIERS!$H$4:$H$63,MATCH($E89,SUPPLIERS!$A$4:$A$63,0)),INDEX(SUPPLIERS!$I$4:$I$63,MATCH($E89,SUPPLIERS!$A$4:$A$63,0)),INDEX(SUPPLIERS!$J$4:$J$63,MATCH($E89,SUPPLIERS!$A$4:$A$63,0))),""))</f>
        <v/>
      </c>
      <c r="O89" s="26" t="str">
        <f aca="false">IF(COUNT($H89:$L89)&lt;5,"",ROUND($H89*W_SRC+$I89*W_QC+$J89*W_CAP+$K89*W_SUP+$L89*W_EXT,1))</f>
        <v/>
      </c>
      <c r="P89" s="27" t="str">
        <f aca="false">IF(OR($O89="",$M89=""),"",ROUND($O89*$M89,1))</f>
        <v/>
      </c>
      <c r="Q89" s="28" t="str">
        <f aca="false">IF($E89="","",IF($U89&gt;0,"CRITICAL (FLAG)",IF(OR($O89="",$M89=""),"NOT SCORED",IF($P89&gt;=T_CRIT,"CRITICAL",IF($P89&gt;=T_MON,"MONITOR","LOW")))))</f>
        <v/>
      </c>
      <c r="R89" s="12" t="str">
        <f aca="false">IF($O89="","",INDEX(DriverNames,MATCH(MAX($H89:$L89),$H89:$L89,0)))</f>
        <v/>
      </c>
      <c r="S89" s="22"/>
      <c r="T89" s="29"/>
      <c r="U89" s="2" t="str">
        <f aca="false">IF($E89="","",IFERROR(INDEX(SUPPLIERS!$Q$4:$Q$63,MATCH($E89,SUPPLIERS!$A$4:$A$63,0)),0))</f>
        <v/>
      </c>
      <c r="V89" s="2" t="str">
        <f aca="false">IF($Q89="","",IF($U89&gt;0,100,0)+IF($P89="",0,$P89)+ROW()/100000)</f>
        <v/>
      </c>
      <c r="W89" s="2" t="str">
        <f aca="false">IF($V89="","",IF($A89=SEL_MODEL,$V89,""))</f>
        <v/>
      </c>
    </row>
    <row r="90" customFormat="false" ht="15" hidden="false" customHeight="false" outlineLevel="0" collapsed="false">
      <c r="A90" s="20"/>
      <c r="B90" s="21"/>
      <c r="C90" s="22"/>
      <c r="D90" s="21"/>
      <c r="E90" s="20"/>
      <c r="F90" s="23"/>
      <c r="G90" s="24" t="str">
        <f aca="false">IF(OR($A90="",$F90=""),"",IFERROR(IF(INDEX(MODELS!$K$4:$K$28,MATCH($A90,MODELS!$A$4:$A$28,0))="","",$F90*INDEX(MODELS!$K$4:$K$28,MATCH($A90,MODELS!$A$4:$A$28,0))),""))</f>
        <v/>
      </c>
      <c r="H90" s="21"/>
      <c r="I90" s="21"/>
      <c r="J90" s="21"/>
      <c r="K90" s="25" t="str">
        <f aca="false">IF($E90="","",IFERROR(IF(INDEX(SUPPLIERS!$K$4:$K$63,MATCH($E90,SUPPLIERS!$A$4:$A$63,0))="","",INDEX(SUPPLIERS!$K$4:$K$63,MATCH($E90,SUPPLIERS!$A$4:$A$63,0))),""))</f>
        <v/>
      </c>
      <c r="L90" s="25" t="str">
        <f aca="false">IF($E90="","",IFERROR(IF(INDEX(SUPPLIERS!$L$4:$L$63,MATCH($E90,SUPPLIERS!$A$4:$A$63,0))="","",INDEX(SUPPLIERS!$L$4:$L$63,MATCH($E90,SUPPLIERS!$A$4:$A$63,0))),""))</f>
        <v/>
      </c>
      <c r="M90" s="21"/>
      <c r="N90" s="11" t="str">
        <f aca="false">IF($E90="","",IFERROR(_xlfn.TEXTJOIN("; ",TRUE(),INDEX(SUPPLIERS!$F$4:$F$63,MATCH($E90,SUPPLIERS!$A$4:$A$63,0)),INDEX(SUPPLIERS!$G$4:$G$63,MATCH($E90,SUPPLIERS!$A$4:$A$63,0)),INDEX(SUPPLIERS!$H$4:$H$63,MATCH($E90,SUPPLIERS!$A$4:$A$63,0)),INDEX(SUPPLIERS!$I$4:$I$63,MATCH($E90,SUPPLIERS!$A$4:$A$63,0)),INDEX(SUPPLIERS!$J$4:$J$63,MATCH($E90,SUPPLIERS!$A$4:$A$63,0))),""))</f>
        <v/>
      </c>
      <c r="O90" s="26" t="str">
        <f aca="false">IF(COUNT($H90:$L90)&lt;5,"",ROUND($H90*W_SRC+$I90*W_QC+$J90*W_CAP+$K90*W_SUP+$L90*W_EXT,1))</f>
        <v/>
      </c>
      <c r="P90" s="27" t="str">
        <f aca="false">IF(OR($O90="",$M90=""),"",ROUND($O90*$M90,1))</f>
        <v/>
      </c>
      <c r="Q90" s="28" t="str">
        <f aca="false">IF($E90="","",IF($U90&gt;0,"CRITICAL (FLAG)",IF(OR($O90="",$M90=""),"NOT SCORED",IF($P90&gt;=T_CRIT,"CRITICAL",IF($P90&gt;=T_MON,"MONITOR","LOW")))))</f>
        <v/>
      </c>
      <c r="R90" s="12" t="str">
        <f aca="false">IF($O90="","",INDEX(DriverNames,MATCH(MAX($H90:$L90),$H90:$L90,0)))</f>
        <v/>
      </c>
      <c r="S90" s="22"/>
      <c r="T90" s="29"/>
      <c r="U90" s="2" t="str">
        <f aca="false">IF($E90="","",IFERROR(INDEX(SUPPLIERS!$Q$4:$Q$63,MATCH($E90,SUPPLIERS!$A$4:$A$63,0)),0))</f>
        <v/>
      </c>
      <c r="V90" s="2" t="str">
        <f aca="false">IF($Q90="","",IF($U90&gt;0,100,0)+IF($P90="",0,$P90)+ROW()/100000)</f>
        <v/>
      </c>
      <c r="W90" s="2" t="str">
        <f aca="false">IF($V90="","",IF($A90=SEL_MODEL,$V90,""))</f>
        <v/>
      </c>
    </row>
    <row r="91" customFormat="false" ht="15" hidden="false" customHeight="false" outlineLevel="0" collapsed="false">
      <c r="A91" s="20"/>
      <c r="B91" s="21"/>
      <c r="C91" s="22"/>
      <c r="D91" s="21"/>
      <c r="E91" s="20"/>
      <c r="F91" s="23"/>
      <c r="G91" s="24" t="str">
        <f aca="false">IF(OR($A91="",$F91=""),"",IFERROR(IF(INDEX(MODELS!$K$4:$K$28,MATCH($A91,MODELS!$A$4:$A$28,0))="","",$F91*INDEX(MODELS!$K$4:$K$28,MATCH($A91,MODELS!$A$4:$A$28,0))),""))</f>
        <v/>
      </c>
      <c r="H91" s="21"/>
      <c r="I91" s="21"/>
      <c r="J91" s="21"/>
      <c r="K91" s="25" t="str">
        <f aca="false">IF($E91="","",IFERROR(IF(INDEX(SUPPLIERS!$K$4:$K$63,MATCH($E91,SUPPLIERS!$A$4:$A$63,0))="","",INDEX(SUPPLIERS!$K$4:$K$63,MATCH($E91,SUPPLIERS!$A$4:$A$63,0))),""))</f>
        <v/>
      </c>
      <c r="L91" s="25" t="str">
        <f aca="false">IF($E91="","",IFERROR(IF(INDEX(SUPPLIERS!$L$4:$L$63,MATCH($E91,SUPPLIERS!$A$4:$A$63,0))="","",INDEX(SUPPLIERS!$L$4:$L$63,MATCH($E91,SUPPLIERS!$A$4:$A$63,0))),""))</f>
        <v/>
      </c>
      <c r="M91" s="21"/>
      <c r="N91" s="11" t="str">
        <f aca="false">IF($E91="","",IFERROR(_xlfn.TEXTJOIN("; ",TRUE(),INDEX(SUPPLIERS!$F$4:$F$63,MATCH($E91,SUPPLIERS!$A$4:$A$63,0)),INDEX(SUPPLIERS!$G$4:$G$63,MATCH($E91,SUPPLIERS!$A$4:$A$63,0)),INDEX(SUPPLIERS!$H$4:$H$63,MATCH($E91,SUPPLIERS!$A$4:$A$63,0)),INDEX(SUPPLIERS!$I$4:$I$63,MATCH($E91,SUPPLIERS!$A$4:$A$63,0)),INDEX(SUPPLIERS!$J$4:$J$63,MATCH($E91,SUPPLIERS!$A$4:$A$63,0))),""))</f>
        <v/>
      </c>
      <c r="O91" s="26" t="str">
        <f aca="false">IF(COUNT($H91:$L91)&lt;5,"",ROUND($H91*W_SRC+$I91*W_QC+$J91*W_CAP+$K91*W_SUP+$L91*W_EXT,1))</f>
        <v/>
      </c>
      <c r="P91" s="27" t="str">
        <f aca="false">IF(OR($O91="",$M91=""),"",ROUND($O91*$M91,1))</f>
        <v/>
      </c>
      <c r="Q91" s="28" t="str">
        <f aca="false">IF($E91="","",IF($U91&gt;0,"CRITICAL (FLAG)",IF(OR($O91="",$M91=""),"NOT SCORED",IF($P91&gt;=T_CRIT,"CRITICAL",IF($P91&gt;=T_MON,"MONITOR","LOW")))))</f>
        <v/>
      </c>
      <c r="R91" s="12" t="str">
        <f aca="false">IF($O91="","",INDEX(DriverNames,MATCH(MAX($H91:$L91),$H91:$L91,0)))</f>
        <v/>
      </c>
      <c r="S91" s="22"/>
      <c r="T91" s="29"/>
      <c r="U91" s="2" t="str">
        <f aca="false">IF($E91="","",IFERROR(INDEX(SUPPLIERS!$Q$4:$Q$63,MATCH($E91,SUPPLIERS!$A$4:$A$63,0)),0))</f>
        <v/>
      </c>
      <c r="V91" s="2" t="str">
        <f aca="false">IF($Q91="","",IF($U91&gt;0,100,0)+IF($P91="",0,$P91)+ROW()/100000)</f>
        <v/>
      </c>
      <c r="W91" s="2" t="str">
        <f aca="false">IF($V91="","",IF($A91=SEL_MODEL,$V91,""))</f>
        <v/>
      </c>
    </row>
    <row r="92" customFormat="false" ht="15" hidden="false" customHeight="false" outlineLevel="0" collapsed="false">
      <c r="A92" s="20"/>
      <c r="B92" s="21"/>
      <c r="C92" s="22"/>
      <c r="D92" s="21"/>
      <c r="E92" s="20"/>
      <c r="F92" s="23"/>
      <c r="G92" s="24" t="str">
        <f aca="false">IF(OR($A92="",$F92=""),"",IFERROR(IF(INDEX(MODELS!$K$4:$K$28,MATCH($A92,MODELS!$A$4:$A$28,0))="","",$F92*INDEX(MODELS!$K$4:$K$28,MATCH($A92,MODELS!$A$4:$A$28,0))),""))</f>
        <v/>
      </c>
      <c r="H92" s="21"/>
      <c r="I92" s="21"/>
      <c r="J92" s="21"/>
      <c r="K92" s="25" t="str">
        <f aca="false">IF($E92="","",IFERROR(IF(INDEX(SUPPLIERS!$K$4:$K$63,MATCH($E92,SUPPLIERS!$A$4:$A$63,0))="","",INDEX(SUPPLIERS!$K$4:$K$63,MATCH($E92,SUPPLIERS!$A$4:$A$63,0))),""))</f>
        <v/>
      </c>
      <c r="L92" s="25" t="str">
        <f aca="false">IF($E92="","",IFERROR(IF(INDEX(SUPPLIERS!$L$4:$L$63,MATCH($E92,SUPPLIERS!$A$4:$A$63,0))="","",INDEX(SUPPLIERS!$L$4:$L$63,MATCH($E92,SUPPLIERS!$A$4:$A$63,0))),""))</f>
        <v/>
      </c>
      <c r="M92" s="21"/>
      <c r="N92" s="11" t="str">
        <f aca="false">IF($E92="","",IFERROR(_xlfn.TEXTJOIN("; ",TRUE(),INDEX(SUPPLIERS!$F$4:$F$63,MATCH($E92,SUPPLIERS!$A$4:$A$63,0)),INDEX(SUPPLIERS!$G$4:$G$63,MATCH($E92,SUPPLIERS!$A$4:$A$63,0)),INDEX(SUPPLIERS!$H$4:$H$63,MATCH($E92,SUPPLIERS!$A$4:$A$63,0)),INDEX(SUPPLIERS!$I$4:$I$63,MATCH($E92,SUPPLIERS!$A$4:$A$63,0)),INDEX(SUPPLIERS!$J$4:$J$63,MATCH($E92,SUPPLIERS!$A$4:$A$63,0))),""))</f>
        <v/>
      </c>
      <c r="O92" s="26" t="str">
        <f aca="false">IF(COUNT($H92:$L92)&lt;5,"",ROUND($H92*W_SRC+$I92*W_QC+$J92*W_CAP+$K92*W_SUP+$L92*W_EXT,1))</f>
        <v/>
      </c>
      <c r="P92" s="27" t="str">
        <f aca="false">IF(OR($O92="",$M92=""),"",ROUND($O92*$M92,1))</f>
        <v/>
      </c>
      <c r="Q92" s="28" t="str">
        <f aca="false">IF($E92="","",IF($U92&gt;0,"CRITICAL (FLAG)",IF(OR($O92="",$M92=""),"NOT SCORED",IF($P92&gt;=T_CRIT,"CRITICAL",IF($P92&gt;=T_MON,"MONITOR","LOW")))))</f>
        <v/>
      </c>
      <c r="R92" s="12" t="str">
        <f aca="false">IF($O92="","",INDEX(DriverNames,MATCH(MAX($H92:$L92),$H92:$L92,0)))</f>
        <v/>
      </c>
      <c r="S92" s="22"/>
      <c r="T92" s="29"/>
      <c r="U92" s="2" t="str">
        <f aca="false">IF($E92="","",IFERROR(INDEX(SUPPLIERS!$Q$4:$Q$63,MATCH($E92,SUPPLIERS!$A$4:$A$63,0)),0))</f>
        <v/>
      </c>
      <c r="V92" s="2" t="str">
        <f aca="false">IF($Q92="","",IF($U92&gt;0,100,0)+IF($P92="",0,$P92)+ROW()/100000)</f>
        <v/>
      </c>
      <c r="W92" s="2" t="str">
        <f aca="false">IF($V92="","",IF($A92=SEL_MODEL,$V92,""))</f>
        <v/>
      </c>
    </row>
    <row r="93" customFormat="false" ht="15" hidden="false" customHeight="false" outlineLevel="0" collapsed="false">
      <c r="A93" s="20"/>
      <c r="B93" s="21"/>
      <c r="C93" s="22"/>
      <c r="D93" s="21"/>
      <c r="E93" s="20"/>
      <c r="F93" s="23"/>
      <c r="G93" s="24" t="str">
        <f aca="false">IF(OR($A93="",$F93=""),"",IFERROR(IF(INDEX(MODELS!$K$4:$K$28,MATCH($A93,MODELS!$A$4:$A$28,0))="","",$F93*INDEX(MODELS!$K$4:$K$28,MATCH($A93,MODELS!$A$4:$A$28,0))),""))</f>
        <v/>
      </c>
      <c r="H93" s="21"/>
      <c r="I93" s="21"/>
      <c r="J93" s="21"/>
      <c r="K93" s="25" t="str">
        <f aca="false">IF($E93="","",IFERROR(IF(INDEX(SUPPLIERS!$K$4:$K$63,MATCH($E93,SUPPLIERS!$A$4:$A$63,0))="","",INDEX(SUPPLIERS!$K$4:$K$63,MATCH($E93,SUPPLIERS!$A$4:$A$63,0))),""))</f>
        <v/>
      </c>
      <c r="L93" s="25" t="str">
        <f aca="false">IF($E93="","",IFERROR(IF(INDEX(SUPPLIERS!$L$4:$L$63,MATCH($E93,SUPPLIERS!$A$4:$A$63,0))="","",INDEX(SUPPLIERS!$L$4:$L$63,MATCH($E93,SUPPLIERS!$A$4:$A$63,0))),""))</f>
        <v/>
      </c>
      <c r="M93" s="21"/>
      <c r="N93" s="11" t="str">
        <f aca="false">IF($E93="","",IFERROR(_xlfn.TEXTJOIN("; ",TRUE(),INDEX(SUPPLIERS!$F$4:$F$63,MATCH($E93,SUPPLIERS!$A$4:$A$63,0)),INDEX(SUPPLIERS!$G$4:$G$63,MATCH($E93,SUPPLIERS!$A$4:$A$63,0)),INDEX(SUPPLIERS!$H$4:$H$63,MATCH($E93,SUPPLIERS!$A$4:$A$63,0)),INDEX(SUPPLIERS!$I$4:$I$63,MATCH($E93,SUPPLIERS!$A$4:$A$63,0)),INDEX(SUPPLIERS!$J$4:$J$63,MATCH($E93,SUPPLIERS!$A$4:$A$63,0))),""))</f>
        <v/>
      </c>
      <c r="O93" s="26" t="str">
        <f aca="false">IF(COUNT($H93:$L93)&lt;5,"",ROUND($H93*W_SRC+$I93*W_QC+$J93*W_CAP+$K93*W_SUP+$L93*W_EXT,1))</f>
        <v/>
      </c>
      <c r="P93" s="27" t="str">
        <f aca="false">IF(OR($O93="",$M93=""),"",ROUND($O93*$M93,1))</f>
        <v/>
      </c>
      <c r="Q93" s="28" t="str">
        <f aca="false">IF($E93="","",IF($U93&gt;0,"CRITICAL (FLAG)",IF(OR($O93="",$M93=""),"NOT SCORED",IF($P93&gt;=T_CRIT,"CRITICAL",IF($P93&gt;=T_MON,"MONITOR","LOW")))))</f>
        <v/>
      </c>
      <c r="R93" s="12" t="str">
        <f aca="false">IF($O93="","",INDEX(DriverNames,MATCH(MAX($H93:$L93),$H93:$L93,0)))</f>
        <v/>
      </c>
      <c r="S93" s="22"/>
      <c r="T93" s="29"/>
      <c r="U93" s="2" t="str">
        <f aca="false">IF($E93="","",IFERROR(INDEX(SUPPLIERS!$Q$4:$Q$63,MATCH($E93,SUPPLIERS!$A$4:$A$63,0)),0))</f>
        <v/>
      </c>
      <c r="V93" s="2" t="str">
        <f aca="false">IF($Q93="","",IF($U93&gt;0,100,0)+IF($P93="",0,$P93)+ROW()/100000)</f>
        <v/>
      </c>
      <c r="W93" s="2" t="str">
        <f aca="false">IF($V93="","",IF($A93=SEL_MODEL,$V93,""))</f>
        <v/>
      </c>
    </row>
    <row r="94" customFormat="false" ht="15" hidden="false" customHeight="false" outlineLevel="0" collapsed="false">
      <c r="A94" s="20"/>
      <c r="B94" s="21"/>
      <c r="C94" s="22"/>
      <c r="D94" s="21"/>
      <c r="E94" s="20"/>
      <c r="F94" s="23"/>
      <c r="G94" s="24" t="str">
        <f aca="false">IF(OR($A94="",$F94=""),"",IFERROR(IF(INDEX(MODELS!$K$4:$K$28,MATCH($A94,MODELS!$A$4:$A$28,0))="","",$F94*INDEX(MODELS!$K$4:$K$28,MATCH($A94,MODELS!$A$4:$A$28,0))),""))</f>
        <v/>
      </c>
      <c r="H94" s="21"/>
      <c r="I94" s="21"/>
      <c r="J94" s="21"/>
      <c r="K94" s="25" t="str">
        <f aca="false">IF($E94="","",IFERROR(IF(INDEX(SUPPLIERS!$K$4:$K$63,MATCH($E94,SUPPLIERS!$A$4:$A$63,0))="","",INDEX(SUPPLIERS!$K$4:$K$63,MATCH($E94,SUPPLIERS!$A$4:$A$63,0))),""))</f>
        <v/>
      </c>
      <c r="L94" s="25" t="str">
        <f aca="false">IF($E94="","",IFERROR(IF(INDEX(SUPPLIERS!$L$4:$L$63,MATCH($E94,SUPPLIERS!$A$4:$A$63,0))="","",INDEX(SUPPLIERS!$L$4:$L$63,MATCH($E94,SUPPLIERS!$A$4:$A$63,0))),""))</f>
        <v/>
      </c>
      <c r="M94" s="21"/>
      <c r="N94" s="11" t="str">
        <f aca="false">IF($E94="","",IFERROR(_xlfn.TEXTJOIN("; ",TRUE(),INDEX(SUPPLIERS!$F$4:$F$63,MATCH($E94,SUPPLIERS!$A$4:$A$63,0)),INDEX(SUPPLIERS!$G$4:$G$63,MATCH($E94,SUPPLIERS!$A$4:$A$63,0)),INDEX(SUPPLIERS!$H$4:$H$63,MATCH($E94,SUPPLIERS!$A$4:$A$63,0)),INDEX(SUPPLIERS!$I$4:$I$63,MATCH($E94,SUPPLIERS!$A$4:$A$63,0)),INDEX(SUPPLIERS!$J$4:$J$63,MATCH($E94,SUPPLIERS!$A$4:$A$63,0))),""))</f>
        <v/>
      </c>
      <c r="O94" s="26" t="str">
        <f aca="false">IF(COUNT($H94:$L94)&lt;5,"",ROUND($H94*W_SRC+$I94*W_QC+$J94*W_CAP+$K94*W_SUP+$L94*W_EXT,1))</f>
        <v/>
      </c>
      <c r="P94" s="27" t="str">
        <f aca="false">IF(OR($O94="",$M94=""),"",ROUND($O94*$M94,1))</f>
        <v/>
      </c>
      <c r="Q94" s="28" t="str">
        <f aca="false">IF($E94="","",IF($U94&gt;0,"CRITICAL (FLAG)",IF(OR($O94="",$M94=""),"NOT SCORED",IF($P94&gt;=T_CRIT,"CRITICAL",IF($P94&gt;=T_MON,"MONITOR","LOW")))))</f>
        <v/>
      </c>
      <c r="R94" s="12" t="str">
        <f aca="false">IF($O94="","",INDEX(DriverNames,MATCH(MAX($H94:$L94),$H94:$L94,0)))</f>
        <v/>
      </c>
      <c r="S94" s="22"/>
      <c r="T94" s="29"/>
      <c r="U94" s="2" t="str">
        <f aca="false">IF($E94="","",IFERROR(INDEX(SUPPLIERS!$Q$4:$Q$63,MATCH($E94,SUPPLIERS!$A$4:$A$63,0)),0))</f>
        <v/>
      </c>
      <c r="V94" s="2" t="str">
        <f aca="false">IF($Q94="","",IF($U94&gt;0,100,0)+IF($P94="",0,$P94)+ROW()/100000)</f>
        <v/>
      </c>
      <c r="W94" s="2" t="str">
        <f aca="false">IF($V94="","",IF($A94=SEL_MODEL,$V94,""))</f>
        <v/>
      </c>
    </row>
    <row r="95" customFormat="false" ht="15" hidden="false" customHeight="false" outlineLevel="0" collapsed="false">
      <c r="A95" s="20"/>
      <c r="B95" s="21"/>
      <c r="C95" s="22"/>
      <c r="D95" s="21"/>
      <c r="E95" s="20"/>
      <c r="F95" s="23"/>
      <c r="G95" s="24" t="str">
        <f aca="false">IF(OR($A95="",$F95=""),"",IFERROR(IF(INDEX(MODELS!$K$4:$K$28,MATCH($A95,MODELS!$A$4:$A$28,0))="","",$F95*INDEX(MODELS!$K$4:$K$28,MATCH($A95,MODELS!$A$4:$A$28,0))),""))</f>
        <v/>
      </c>
      <c r="H95" s="21"/>
      <c r="I95" s="21"/>
      <c r="J95" s="21"/>
      <c r="K95" s="25" t="str">
        <f aca="false">IF($E95="","",IFERROR(IF(INDEX(SUPPLIERS!$K$4:$K$63,MATCH($E95,SUPPLIERS!$A$4:$A$63,0))="","",INDEX(SUPPLIERS!$K$4:$K$63,MATCH($E95,SUPPLIERS!$A$4:$A$63,0))),""))</f>
        <v/>
      </c>
      <c r="L95" s="25" t="str">
        <f aca="false">IF($E95="","",IFERROR(IF(INDEX(SUPPLIERS!$L$4:$L$63,MATCH($E95,SUPPLIERS!$A$4:$A$63,0))="","",INDEX(SUPPLIERS!$L$4:$L$63,MATCH($E95,SUPPLIERS!$A$4:$A$63,0))),""))</f>
        <v/>
      </c>
      <c r="M95" s="21"/>
      <c r="N95" s="11" t="str">
        <f aca="false">IF($E95="","",IFERROR(_xlfn.TEXTJOIN("; ",TRUE(),INDEX(SUPPLIERS!$F$4:$F$63,MATCH($E95,SUPPLIERS!$A$4:$A$63,0)),INDEX(SUPPLIERS!$G$4:$G$63,MATCH($E95,SUPPLIERS!$A$4:$A$63,0)),INDEX(SUPPLIERS!$H$4:$H$63,MATCH($E95,SUPPLIERS!$A$4:$A$63,0)),INDEX(SUPPLIERS!$I$4:$I$63,MATCH($E95,SUPPLIERS!$A$4:$A$63,0)),INDEX(SUPPLIERS!$J$4:$J$63,MATCH($E95,SUPPLIERS!$A$4:$A$63,0))),""))</f>
        <v/>
      </c>
      <c r="O95" s="26" t="str">
        <f aca="false">IF(COUNT($H95:$L95)&lt;5,"",ROUND($H95*W_SRC+$I95*W_QC+$J95*W_CAP+$K95*W_SUP+$L95*W_EXT,1))</f>
        <v/>
      </c>
      <c r="P95" s="27" t="str">
        <f aca="false">IF(OR($O95="",$M95=""),"",ROUND($O95*$M95,1))</f>
        <v/>
      </c>
      <c r="Q95" s="28" t="str">
        <f aca="false">IF($E95="","",IF($U95&gt;0,"CRITICAL (FLAG)",IF(OR($O95="",$M95=""),"NOT SCORED",IF($P95&gt;=T_CRIT,"CRITICAL",IF($P95&gt;=T_MON,"MONITOR","LOW")))))</f>
        <v/>
      </c>
      <c r="R95" s="12" t="str">
        <f aca="false">IF($O95="","",INDEX(DriverNames,MATCH(MAX($H95:$L95),$H95:$L95,0)))</f>
        <v/>
      </c>
      <c r="S95" s="22"/>
      <c r="T95" s="29"/>
      <c r="U95" s="2" t="str">
        <f aca="false">IF($E95="","",IFERROR(INDEX(SUPPLIERS!$Q$4:$Q$63,MATCH($E95,SUPPLIERS!$A$4:$A$63,0)),0))</f>
        <v/>
      </c>
      <c r="V95" s="2" t="str">
        <f aca="false">IF($Q95="","",IF($U95&gt;0,100,0)+IF($P95="",0,$P95)+ROW()/100000)</f>
        <v/>
      </c>
      <c r="W95" s="2" t="str">
        <f aca="false">IF($V95="","",IF($A95=SEL_MODEL,$V95,""))</f>
        <v/>
      </c>
    </row>
    <row r="96" customFormat="false" ht="15" hidden="false" customHeight="false" outlineLevel="0" collapsed="false">
      <c r="A96" s="20"/>
      <c r="B96" s="21"/>
      <c r="C96" s="22"/>
      <c r="D96" s="21"/>
      <c r="E96" s="20"/>
      <c r="F96" s="23"/>
      <c r="G96" s="24" t="str">
        <f aca="false">IF(OR($A96="",$F96=""),"",IFERROR(IF(INDEX(MODELS!$K$4:$K$28,MATCH($A96,MODELS!$A$4:$A$28,0))="","",$F96*INDEX(MODELS!$K$4:$K$28,MATCH($A96,MODELS!$A$4:$A$28,0))),""))</f>
        <v/>
      </c>
      <c r="H96" s="21"/>
      <c r="I96" s="21"/>
      <c r="J96" s="21"/>
      <c r="K96" s="25" t="str">
        <f aca="false">IF($E96="","",IFERROR(IF(INDEX(SUPPLIERS!$K$4:$K$63,MATCH($E96,SUPPLIERS!$A$4:$A$63,0))="","",INDEX(SUPPLIERS!$K$4:$K$63,MATCH($E96,SUPPLIERS!$A$4:$A$63,0))),""))</f>
        <v/>
      </c>
      <c r="L96" s="25" t="str">
        <f aca="false">IF($E96="","",IFERROR(IF(INDEX(SUPPLIERS!$L$4:$L$63,MATCH($E96,SUPPLIERS!$A$4:$A$63,0))="","",INDEX(SUPPLIERS!$L$4:$L$63,MATCH($E96,SUPPLIERS!$A$4:$A$63,0))),""))</f>
        <v/>
      </c>
      <c r="M96" s="21"/>
      <c r="N96" s="11" t="str">
        <f aca="false">IF($E96="","",IFERROR(_xlfn.TEXTJOIN("; ",TRUE(),INDEX(SUPPLIERS!$F$4:$F$63,MATCH($E96,SUPPLIERS!$A$4:$A$63,0)),INDEX(SUPPLIERS!$G$4:$G$63,MATCH($E96,SUPPLIERS!$A$4:$A$63,0)),INDEX(SUPPLIERS!$H$4:$H$63,MATCH($E96,SUPPLIERS!$A$4:$A$63,0)),INDEX(SUPPLIERS!$I$4:$I$63,MATCH($E96,SUPPLIERS!$A$4:$A$63,0)),INDEX(SUPPLIERS!$J$4:$J$63,MATCH($E96,SUPPLIERS!$A$4:$A$63,0))),""))</f>
        <v/>
      </c>
      <c r="O96" s="26" t="str">
        <f aca="false">IF(COUNT($H96:$L96)&lt;5,"",ROUND($H96*W_SRC+$I96*W_QC+$J96*W_CAP+$K96*W_SUP+$L96*W_EXT,1))</f>
        <v/>
      </c>
      <c r="P96" s="27" t="str">
        <f aca="false">IF(OR($O96="",$M96=""),"",ROUND($O96*$M96,1))</f>
        <v/>
      </c>
      <c r="Q96" s="28" t="str">
        <f aca="false">IF($E96="","",IF($U96&gt;0,"CRITICAL (FLAG)",IF(OR($O96="",$M96=""),"NOT SCORED",IF($P96&gt;=T_CRIT,"CRITICAL",IF($P96&gt;=T_MON,"MONITOR","LOW")))))</f>
        <v/>
      </c>
      <c r="R96" s="12" t="str">
        <f aca="false">IF($O96="","",INDEX(DriverNames,MATCH(MAX($H96:$L96),$H96:$L96,0)))</f>
        <v/>
      </c>
      <c r="S96" s="22"/>
      <c r="T96" s="29"/>
      <c r="U96" s="2" t="str">
        <f aca="false">IF($E96="","",IFERROR(INDEX(SUPPLIERS!$Q$4:$Q$63,MATCH($E96,SUPPLIERS!$A$4:$A$63,0)),0))</f>
        <v/>
      </c>
      <c r="V96" s="2" t="str">
        <f aca="false">IF($Q96="","",IF($U96&gt;0,100,0)+IF($P96="",0,$P96)+ROW()/100000)</f>
        <v/>
      </c>
      <c r="W96" s="2" t="str">
        <f aca="false">IF($V96="","",IF($A96=SEL_MODEL,$V96,""))</f>
        <v/>
      </c>
    </row>
    <row r="97" customFormat="false" ht="15" hidden="false" customHeight="false" outlineLevel="0" collapsed="false">
      <c r="A97" s="20"/>
      <c r="B97" s="21"/>
      <c r="C97" s="22"/>
      <c r="D97" s="21"/>
      <c r="E97" s="20"/>
      <c r="F97" s="23"/>
      <c r="G97" s="24" t="str">
        <f aca="false">IF(OR($A97="",$F97=""),"",IFERROR(IF(INDEX(MODELS!$K$4:$K$28,MATCH($A97,MODELS!$A$4:$A$28,0))="","",$F97*INDEX(MODELS!$K$4:$K$28,MATCH($A97,MODELS!$A$4:$A$28,0))),""))</f>
        <v/>
      </c>
      <c r="H97" s="21"/>
      <c r="I97" s="21"/>
      <c r="J97" s="21"/>
      <c r="K97" s="25" t="str">
        <f aca="false">IF($E97="","",IFERROR(IF(INDEX(SUPPLIERS!$K$4:$K$63,MATCH($E97,SUPPLIERS!$A$4:$A$63,0))="","",INDEX(SUPPLIERS!$K$4:$K$63,MATCH($E97,SUPPLIERS!$A$4:$A$63,0))),""))</f>
        <v/>
      </c>
      <c r="L97" s="25" t="str">
        <f aca="false">IF($E97="","",IFERROR(IF(INDEX(SUPPLIERS!$L$4:$L$63,MATCH($E97,SUPPLIERS!$A$4:$A$63,0))="","",INDEX(SUPPLIERS!$L$4:$L$63,MATCH($E97,SUPPLIERS!$A$4:$A$63,0))),""))</f>
        <v/>
      </c>
      <c r="M97" s="21"/>
      <c r="N97" s="11" t="str">
        <f aca="false">IF($E97="","",IFERROR(_xlfn.TEXTJOIN("; ",TRUE(),INDEX(SUPPLIERS!$F$4:$F$63,MATCH($E97,SUPPLIERS!$A$4:$A$63,0)),INDEX(SUPPLIERS!$G$4:$G$63,MATCH($E97,SUPPLIERS!$A$4:$A$63,0)),INDEX(SUPPLIERS!$H$4:$H$63,MATCH($E97,SUPPLIERS!$A$4:$A$63,0)),INDEX(SUPPLIERS!$I$4:$I$63,MATCH($E97,SUPPLIERS!$A$4:$A$63,0)),INDEX(SUPPLIERS!$J$4:$J$63,MATCH($E97,SUPPLIERS!$A$4:$A$63,0))),""))</f>
        <v/>
      </c>
      <c r="O97" s="26" t="str">
        <f aca="false">IF(COUNT($H97:$L97)&lt;5,"",ROUND($H97*W_SRC+$I97*W_QC+$J97*W_CAP+$K97*W_SUP+$L97*W_EXT,1))</f>
        <v/>
      </c>
      <c r="P97" s="27" t="str">
        <f aca="false">IF(OR($O97="",$M97=""),"",ROUND($O97*$M97,1))</f>
        <v/>
      </c>
      <c r="Q97" s="28" t="str">
        <f aca="false">IF($E97="","",IF($U97&gt;0,"CRITICAL (FLAG)",IF(OR($O97="",$M97=""),"NOT SCORED",IF($P97&gt;=T_CRIT,"CRITICAL",IF($P97&gt;=T_MON,"MONITOR","LOW")))))</f>
        <v/>
      </c>
      <c r="R97" s="12" t="str">
        <f aca="false">IF($O97="","",INDEX(DriverNames,MATCH(MAX($H97:$L97),$H97:$L97,0)))</f>
        <v/>
      </c>
      <c r="S97" s="22"/>
      <c r="T97" s="29"/>
      <c r="U97" s="2" t="str">
        <f aca="false">IF($E97="","",IFERROR(INDEX(SUPPLIERS!$Q$4:$Q$63,MATCH($E97,SUPPLIERS!$A$4:$A$63,0)),0))</f>
        <v/>
      </c>
      <c r="V97" s="2" t="str">
        <f aca="false">IF($Q97="","",IF($U97&gt;0,100,0)+IF($P97="",0,$P97)+ROW()/100000)</f>
        <v/>
      </c>
      <c r="W97" s="2" t="str">
        <f aca="false">IF($V97="","",IF($A97=SEL_MODEL,$V97,""))</f>
        <v/>
      </c>
    </row>
    <row r="98" customFormat="false" ht="15" hidden="false" customHeight="false" outlineLevel="0" collapsed="false">
      <c r="A98" s="20"/>
      <c r="B98" s="21"/>
      <c r="C98" s="22"/>
      <c r="D98" s="21"/>
      <c r="E98" s="20"/>
      <c r="F98" s="23"/>
      <c r="G98" s="24" t="str">
        <f aca="false">IF(OR($A98="",$F98=""),"",IFERROR(IF(INDEX(MODELS!$K$4:$K$28,MATCH($A98,MODELS!$A$4:$A$28,0))="","",$F98*INDEX(MODELS!$K$4:$K$28,MATCH($A98,MODELS!$A$4:$A$28,0))),""))</f>
        <v/>
      </c>
      <c r="H98" s="21"/>
      <c r="I98" s="21"/>
      <c r="J98" s="21"/>
      <c r="K98" s="25" t="str">
        <f aca="false">IF($E98="","",IFERROR(IF(INDEX(SUPPLIERS!$K$4:$K$63,MATCH($E98,SUPPLIERS!$A$4:$A$63,0))="","",INDEX(SUPPLIERS!$K$4:$K$63,MATCH($E98,SUPPLIERS!$A$4:$A$63,0))),""))</f>
        <v/>
      </c>
      <c r="L98" s="25" t="str">
        <f aca="false">IF($E98="","",IFERROR(IF(INDEX(SUPPLIERS!$L$4:$L$63,MATCH($E98,SUPPLIERS!$A$4:$A$63,0))="","",INDEX(SUPPLIERS!$L$4:$L$63,MATCH($E98,SUPPLIERS!$A$4:$A$63,0))),""))</f>
        <v/>
      </c>
      <c r="M98" s="21"/>
      <c r="N98" s="11" t="str">
        <f aca="false">IF($E98="","",IFERROR(_xlfn.TEXTJOIN("; ",TRUE(),INDEX(SUPPLIERS!$F$4:$F$63,MATCH($E98,SUPPLIERS!$A$4:$A$63,0)),INDEX(SUPPLIERS!$G$4:$G$63,MATCH($E98,SUPPLIERS!$A$4:$A$63,0)),INDEX(SUPPLIERS!$H$4:$H$63,MATCH($E98,SUPPLIERS!$A$4:$A$63,0)),INDEX(SUPPLIERS!$I$4:$I$63,MATCH($E98,SUPPLIERS!$A$4:$A$63,0)),INDEX(SUPPLIERS!$J$4:$J$63,MATCH($E98,SUPPLIERS!$A$4:$A$63,0))),""))</f>
        <v/>
      </c>
      <c r="O98" s="26" t="str">
        <f aca="false">IF(COUNT($H98:$L98)&lt;5,"",ROUND($H98*W_SRC+$I98*W_QC+$J98*W_CAP+$K98*W_SUP+$L98*W_EXT,1))</f>
        <v/>
      </c>
      <c r="P98" s="27" t="str">
        <f aca="false">IF(OR($O98="",$M98=""),"",ROUND($O98*$M98,1))</f>
        <v/>
      </c>
      <c r="Q98" s="28" t="str">
        <f aca="false">IF($E98="","",IF($U98&gt;0,"CRITICAL (FLAG)",IF(OR($O98="",$M98=""),"NOT SCORED",IF($P98&gt;=T_CRIT,"CRITICAL",IF($P98&gt;=T_MON,"MONITOR","LOW")))))</f>
        <v/>
      </c>
      <c r="R98" s="12" t="str">
        <f aca="false">IF($O98="","",INDEX(DriverNames,MATCH(MAX($H98:$L98),$H98:$L98,0)))</f>
        <v/>
      </c>
      <c r="S98" s="22"/>
      <c r="T98" s="29"/>
      <c r="U98" s="2" t="str">
        <f aca="false">IF($E98="","",IFERROR(INDEX(SUPPLIERS!$Q$4:$Q$63,MATCH($E98,SUPPLIERS!$A$4:$A$63,0)),0))</f>
        <v/>
      </c>
      <c r="V98" s="2" t="str">
        <f aca="false">IF($Q98="","",IF($U98&gt;0,100,0)+IF($P98="",0,$P98)+ROW()/100000)</f>
        <v/>
      </c>
      <c r="W98" s="2" t="str">
        <f aca="false">IF($V98="","",IF($A98=SEL_MODEL,$V98,""))</f>
        <v/>
      </c>
    </row>
    <row r="99" customFormat="false" ht="15" hidden="false" customHeight="false" outlineLevel="0" collapsed="false">
      <c r="A99" s="20"/>
      <c r="B99" s="21"/>
      <c r="C99" s="22"/>
      <c r="D99" s="21"/>
      <c r="E99" s="20"/>
      <c r="F99" s="23"/>
      <c r="G99" s="24" t="str">
        <f aca="false">IF(OR($A99="",$F99=""),"",IFERROR(IF(INDEX(MODELS!$K$4:$K$28,MATCH($A99,MODELS!$A$4:$A$28,0))="","",$F99*INDEX(MODELS!$K$4:$K$28,MATCH($A99,MODELS!$A$4:$A$28,0))),""))</f>
        <v/>
      </c>
      <c r="H99" s="21"/>
      <c r="I99" s="21"/>
      <c r="J99" s="21"/>
      <c r="K99" s="25" t="str">
        <f aca="false">IF($E99="","",IFERROR(IF(INDEX(SUPPLIERS!$K$4:$K$63,MATCH($E99,SUPPLIERS!$A$4:$A$63,0))="","",INDEX(SUPPLIERS!$K$4:$K$63,MATCH($E99,SUPPLIERS!$A$4:$A$63,0))),""))</f>
        <v/>
      </c>
      <c r="L99" s="25" t="str">
        <f aca="false">IF($E99="","",IFERROR(IF(INDEX(SUPPLIERS!$L$4:$L$63,MATCH($E99,SUPPLIERS!$A$4:$A$63,0))="","",INDEX(SUPPLIERS!$L$4:$L$63,MATCH($E99,SUPPLIERS!$A$4:$A$63,0))),""))</f>
        <v/>
      </c>
      <c r="M99" s="21"/>
      <c r="N99" s="11" t="str">
        <f aca="false">IF($E99="","",IFERROR(_xlfn.TEXTJOIN("; ",TRUE(),INDEX(SUPPLIERS!$F$4:$F$63,MATCH($E99,SUPPLIERS!$A$4:$A$63,0)),INDEX(SUPPLIERS!$G$4:$G$63,MATCH($E99,SUPPLIERS!$A$4:$A$63,0)),INDEX(SUPPLIERS!$H$4:$H$63,MATCH($E99,SUPPLIERS!$A$4:$A$63,0)),INDEX(SUPPLIERS!$I$4:$I$63,MATCH($E99,SUPPLIERS!$A$4:$A$63,0)),INDEX(SUPPLIERS!$J$4:$J$63,MATCH($E99,SUPPLIERS!$A$4:$A$63,0))),""))</f>
        <v/>
      </c>
      <c r="O99" s="26" t="str">
        <f aca="false">IF(COUNT($H99:$L99)&lt;5,"",ROUND($H99*W_SRC+$I99*W_QC+$J99*W_CAP+$K99*W_SUP+$L99*W_EXT,1))</f>
        <v/>
      </c>
      <c r="P99" s="27" t="str">
        <f aca="false">IF(OR($O99="",$M99=""),"",ROUND($O99*$M99,1))</f>
        <v/>
      </c>
      <c r="Q99" s="28" t="str">
        <f aca="false">IF($E99="","",IF($U99&gt;0,"CRITICAL (FLAG)",IF(OR($O99="",$M99=""),"NOT SCORED",IF($P99&gt;=T_CRIT,"CRITICAL",IF($P99&gt;=T_MON,"MONITOR","LOW")))))</f>
        <v/>
      </c>
      <c r="R99" s="12" t="str">
        <f aca="false">IF($O99="","",INDEX(DriverNames,MATCH(MAX($H99:$L99),$H99:$L99,0)))</f>
        <v/>
      </c>
      <c r="S99" s="22"/>
      <c r="T99" s="29"/>
      <c r="U99" s="2" t="str">
        <f aca="false">IF($E99="","",IFERROR(INDEX(SUPPLIERS!$Q$4:$Q$63,MATCH($E99,SUPPLIERS!$A$4:$A$63,0)),0))</f>
        <v/>
      </c>
      <c r="V99" s="2" t="str">
        <f aca="false">IF($Q99="","",IF($U99&gt;0,100,0)+IF($P99="",0,$P99)+ROW()/100000)</f>
        <v/>
      </c>
      <c r="W99" s="2" t="str">
        <f aca="false">IF($V99="","",IF($A99=SEL_MODEL,$V99,""))</f>
        <v/>
      </c>
    </row>
    <row r="100" customFormat="false" ht="15" hidden="false" customHeight="false" outlineLevel="0" collapsed="false">
      <c r="A100" s="20"/>
      <c r="B100" s="21"/>
      <c r="C100" s="22"/>
      <c r="D100" s="21"/>
      <c r="E100" s="20"/>
      <c r="F100" s="23"/>
      <c r="G100" s="24" t="str">
        <f aca="false">IF(OR($A100="",$F100=""),"",IFERROR(IF(INDEX(MODELS!$K$4:$K$28,MATCH($A100,MODELS!$A$4:$A$28,0))="","",$F100*INDEX(MODELS!$K$4:$K$28,MATCH($A100,MODELS!$A$4:$A$28,0))),""))</f>
        <v/>
      </c>
      <c r="H100" s="21"/>
      <c r="I100" s="21"/>
      <c r="J100" s="21"/>
      <c r="K100" s="25" t="str">
        <f aca="false">IF($E100="","",IFERROR(IF(INDEX(SUPPLIERS!$K$4:$K$63,MATCH($E100,SUPPLIERS!$A$4:$A$63,0))="","",INDEX(SUPPLIERS!$K$4:$K$63,MATCH($E100,SUPPLIERS!$A$4:$A$63,0))),""))</f>
        <v/>
      </c>
      <c r="L100" s="25" t="str">
        <f aca="false">IF($E100="","",IFERROR(IF(INDEX(SUPPLIERS!$L$4:$L$63,MATCH($E100,SUPPLIERS!$A$4:$A$63,0))="","",INDEX(SUPPLIERS!$L$4:$L$63,MATCH($E100,SUPPLIERS!$A$4:$A$63,0))),""))</f>
        <v/>
      </c>
      <c r="M100" s="21"/>
      <c r="N100" s="11" t="str">
        <f aca="false">IF($E100="","",IFERROR(_xlfn.TEXTJOIN("; ",TRUE(),INDEX(SUPPLIERS!$F$4:$F$63,MATCH($E100,SUPPLIERS!$A$4:$A$63,0)),INDEX(SUPPLIERS!$G$4:$G$63,MATCH($E100,SUPPLIERS!$A$4:$A$63,0)),INDEX(SUPPLIERS!$H$4:$H$63,MATCH($E100,SUPPLIERS!$A$4:$A$63,0)),INDEX(SUPPLIERS!$I$4:$I$63,MATCH($E100,SUPPLIERS!$A$4:$A$63,0)),INDEX(SUPPLIERS!$J$4:$J$63,MATCH($E100,SUPPLIERS!$A$4:$A$63,0))),""))</f>
        <v/>
      </c>
      <c r="O100" s="26" t="str">
        <f aca="false">IF(COUNT($H100:$L100)&lt;5,"",ROUND($H100*W_SRC+$I100*W_QC+$J100*W_CAP+$K100*W_SUP+$L100*W_EXT,1))</f>
        <v/>
      </c>
      <c r="P100" s="27" t="str">
        <f aca="false">IF(OR($O100="",$M100=""),"",ROUND($O100*$M100,1))</f>
        <v/>
      </c>
      <c r="Q100" s="28" t="str">
        <f aca="false">IF($E100="","",IF($U100&gt;0,"CRITICAL (FLAG)",IF(OR($O100="",$M100=""),"NOT SCORED",IF($P100&gt;=T_CRIT,"CRITICAL",IF($P100&gt;=T_MON,"MONITOR","LOW")))))</f>
        <v/>
      </c>
      <c r="R100" s="12" t="str">
        <f aca="false">IF($O100="","",INDEX(DriverNames,MATCH(MAX($H100:$L100),$H100:$L100,0)))</f>
        <v/>
      </c>
      <c r="S100" s="22"/>
      <c r="T100" s="29"/>
      <c r="U100" s="2" t="str">
        <f aca="false">IF($E100="","",IFERROR(INDEX(SUPPLIERS!$Q$4:$Q$63,MATCH($E100,SUPPLIERS!$A$4:$A$63,0)),0))</f>
        <v/>
      </c>
      <c r="V100" s="2" t="str">
        <f aca="false">IF($Q100="","",IF($U100&gt;0,100,0)+IF($P100="",0,$P100)+ROW()/100000)</f>
        <v/>
      </c>
      <c r="W100" s="2" t="str">
        <f aca="false">IF($V100="","",IF($A100=SEL_MODEL,$V100,""))</f>
        <v/>
      </c>
    </row>
    <row r="101" customFormat="false" ht="15" hidden="false" customHeight="false" outlineLevel="0" collapsed="false">
      <c r="A101" s="20"/>
      <c r="B101" s="21"/>
      <c r="C101" s="22"/>
      <c r="D101" s="21"/>
      <c r="E101" s="20"/>
      <c r="F101" s="23"/>
      <c r="G101" s="24" t="str">
        <f aca="false">IF(OR($A101="",$F101=""),"",IFERROR(IF(INDEX(MODELS!$K$4:$K$28,MATCH($A101,MODELS!$A$4:$A$28,0))="","",$F101*INDEX(MODELS!$K$4:$K$28,MATCH($A101,MODELS!$A$4:$A$28,0))),""))</f>
        <v/>
      </c>
      <c r="H101" s="21"/>
      <c r="I101" s="21"/>
      <c r="J101" s="21"/>
      <c r="K101" s="25" t="str">
        <f aca="false">IF($E101="","",IFERROR(IF(INDEX(SUPPLIERS!$K$4:$K$63,MATCH($E101,SUPPLIERS!$A$4:$A$63,0))="","",INDEX(SUPPLIERS!$K$4:$K$63,MATCH($E101,SUPPLIERS!$A$4:$A$63,0))),""))</f>
        <v/>
      </c>
      <c r="L101" s="25" t="str">
        <f aca="false">IF($E101="","",IFERROR(IF(INDEX(SUPPLIERS!$L$4:$L$63,MATCH($E101,SUPPLIERS!$A$4:$A$63,0))="","",INDEX(SUPPLIERS!$L$4:$L$63,MATCH($E101,SUPPLIERS!$A$4:$A$63,0))),""))</f>
        <v/>
      </c>
      <c r="M101" s="21"/>
      <c r="N101" s="11" t="str">
        <f aca="false">IF($E101="","",IFERROR(_xlfn.TEXTJOIN("; ",TRUE(),INDEX(SUPPLIERS!$F$4:$F$63,MATCH($E101,SUPPLIERS!$A$4:$A$63,0)),INDEX(SUPPLIERS!$G$4:$G$63,MATCH($E101,SUPPLIERS!$A$4:$A$63,0)),INDEX(SUPPLIERS!$H$4:$H$63,MATCH($E101,SUPPLIERS!$A$4:$A$63,0)),INDEX(SUPPLIERS!$I$4:$I$63,MATCH($E101,SUPPLIERS!$A$4:$A$63,0)),INDEX(SUPPLIERS!$J$4:$J$63,MATCH($E101,SUPPLIERS!$A$4:$A$63,0))),""))</f>
        <v/>
      </c>
      <c r="O101" s="26" t="str">
        <f aca="false">IF(COUNT($H101:$L101)&lt;5,"",ROUND($H101*W_SRC+$I101*W_QC+$J101*W_CAP+$K101*W_SUP+$L101*W_EXT,1))</f>
        <v/>
      </c>
      <c r="P101" s="27" t="str">
        <f aca="false">IF(OR($O101="",$M101=""),"",ROUND($O101*$M101,1))</f>
        <v/>
      </c>
      <c r="Q101" s="28" t="str">
        <f aca="false">IF($E101="","",IF($U101&gt;0,"CRITICAL (FLAG)",IF(OR($O101="",$M101=""),"NOT SCORED",IF($P101&gt;=T_CRIT,"CRITICAL",IF($P101&gt;=T_MON,"MONITOR","LOW")))))</f>
        <v/>
      </c>
      <c r="R101" s="12" t="str">
        <f aca="false">IF($O101="","",INDEX(DriverNames,MATCH(MAX($H101:$L101),$H101:$L101,0)))</f>
        <v/>
      </c>
      <c r="S101" s="22"/>
      <c r="T101" s="29"/>
      <c r="U101" s="2" t="str">
        <f aca="false">IF($E101="","",IFERROR(INDEX(SUPPLIERS!$Q$4:$Q$63,MATCH($E101,SUPPLIERS!$A$4:$A$63,0)),0))</f>
        <v/>
      </c>
      <c r="V101" s="2" t="str">
        <f aca="false">IF($Q101="","",IF($U101&gt;0,100,0)+IF($P101="",0,$P101)+ROW()/100000)</f>
        <v/>
      </c>
      <c r="W101" s="2" t="str">
        <f aca="false">IF($V101="","",IF($A101=SEL_MODEL,$V101,""))</f>
        <v/>
      </c>
    </row>
    <row r="102" customFormat="false" ht="15" hidden="false" customHeight="false" outlineLevel="0" collapsed="false">
      <c r="A102" s="20"/>
      <c r="B102" s="21"/>
      <c r="C102" s="22"/>
      <c r="D102" s="21"/>
      <c r="E102" s="20"/>
      <c r="F102" s="23"/>
      <c r="G102" s="24" t="str">
        <f aca="false">IF(OR($A102="",$F102=""),"",IFERROR(IF(INDEX(MODELS!$K$4:$K$28,MATCH($A102,MODELS!$A$4:$A$28,0))="","",$F102*INDEX(MODELS!$K$4:$K$28,MATCH($A102,MODELS!$A$4:$A$28,0))),""))</f>
        <v/>
      </c>
      <c r="H102" s="21"/>
      <c r="I102" s="21"/>
      <c r="J102" s="21"/>
      <c r="K102" s="25" t="str">
        <f aca="false">IF($E102="","",IFERROR(IF(INDEX(SUPPLIERS!$K$4:$K$63,MATCH($E102,SUPPLIERS!$A$4:$A$63,0))="","",INDEX(SUPPLIERS!$K$4:$K$63,MATCH($E102,SUPPLIERS!$A$4:$A$63,0))),""))</f>
        <v/>
      </c>
      <c r="L102" s="25" t="str">
        <f aca="false">IF($E102="","",IFERROR(IF(INDEX(SUPPLIERS!$L$4:$L$63,MATCH($E102,SUPPLIERS!$A$4:$A$63,0))="","",INDEX(SUPPLIERS!$L$4:$L$63,MATCH($E102,SUPPLIERS!$A$4:$A$63,0))),""))</f>
        <v/>
      </c>
      <c r="M102" s="21"/>
      <c r="N102" s="11" t="str">
        <f aca="false">IF($E102="","",IFERROR(_xlfn.TEXTJOIN("; ",TRUE(),INDEX(SUPPLIERS!$F$4:$F$63,MATCH($E102,SUPPLIERS!$A$4:$A$63,0)),INDEX(SUPPLIERS!$G$4:$G$63,MATCH($E102,SUPPLIERS!$A$4:$A$63,0)),INDEX(SUPPLIERS!$H$4:$H$63,MATCH($E102,SUPPLIERS!$A$4:$A$63,0)),INDEX(SUPPLIERS!$I$4:$I$63,MATCH($E102,SUPPLIERS!$A$4:$A$63,0)),INDEX(SUPPLIERS!$J$4:$J$63,MATCH($E102,SUPPLIERS!$A$4:$A$63,0))),""))</f>
        <v/>
      </c>
      <c r="O102" s="26" t="str">
        <f aca="false">IF(COUNT($H102:$L102)&lt;5,"",ROUND($H102*W_SRC+$I102*W_QC+$J102*W_CAP+$K102*W_SUP+$L102*W_EXT,1))</f>
        <v/>
      </c>
      <c r="P102" s="27" t="str">
        <f aca="false">IF(OR($O102="",$M102=""),"",ROUND($O102*$M102,1))</f>
        <v/>
      </c>
      <c r="Q102" s="28" t="str">
        <f aca="false">IF($E102="","",IF($U102&gt;0,"CRITICAL (FLAG)",IF(OR($O102="",$M102=""),"NOT SCORED",IF($P102&gt;=T_CRIT,"CRITICAL",IF($P102&gt;=T_MON,"MONITOR","LOW")))))</f>
        <v/>
      </c>
      <c r="R102" s="12" t="str">
        <f aca="false">IF($O102="","",INDEX(DriverNames,MATCH(MAX($H102:$L102),$H102:$L102,0)))</f>
        <v/>
      </c>
      <c r="S102" s="22"/>
      <c r="T102" s="29"/>
      <c r="U102" s="2" t="str">
        <f aca="false">IF($E102="","",IFERROR(INDEX(SUPPLIERS!$Q$4:$Q$63,MATCH($E102,SUPPLIERS!$A$4:$A$63,0)),0))</f>
        <v/>
      </c>
      <c r="V102" s="2" t="str">
        <f aca="false">IF($Q102="","",IF($U102&gt;0,100,0)+IF($P102="",0,$P102)+ROW()/100000)</f>
        <v/>
      </c>
      <c r="W102" s="2" t="str">
        <f aca="false">IF($V102="","",IF($A102=SEL_MODEL,$V102,""))</f>
        <v/>
      </c>
    </row>
    <row r="103" customFormat="false" ht="15" hidden="false" customHeight="false" outlineLevel="0" collapsed="false">
      <c r="A103" s="20"/>
      <c r="B103" s="21"/>
      <c r="C103" s="22"/>
      <c r="D103" s="21"/>
      <c r="E103" s="20"/>
      <c r="F103" s="23"/>
      <c r="G103" s="24" t="str">
        <f aca="false">IF(OR($A103="",$F103=""),"",IFERROR(IF(INDEX(MODELS!$K$4:$K$28,MATCH($A103,MODELS!$A$4:$A$28,0))="","",$F103*INDEX(MODELS!$K$4:$K$28,MATCH($A103,MODELS!$A$4:$A$28,0))),""))</f>
        <v/>
      </c>
      <c r="H103" s="21"/>
      <c r="I103" s="21"/>
      <c r="J103" s="21"/>
      <c r="K103" s="25" t="str">
        <f aca="false">IF($E103="","",IFERROR(IF(INDEX(SUPPLIERS!$K$4:$K$63,MATCH($E103,SUPPLIERS!$A$4:$A$63,0))="","",INDEX(SUPPLIERS!$K$4:$K$63,MATCH($E103,SUPPLIERS!$A$4:$A$63,0))),""))</f>
        <v/>
      </c>
      <c r="L103" s="25" t="str">
        <f aca="false">IF($E103="","",IFERROR(IF(INDEX(SUPPLIERS!$L$4:$L$63,MATCH($E103,SUPPLIERS!$A$4:$A$63,0))="","",INDEX(SUPPLIERS!$L$4:$L$63,MATCH($E103,SUPPLIERS!$A$4:$A$63,0))),""))</f>
        <v/>
      </c>
      <c r="M103" s="21"/>
      <c r="N103" s="11" t="str">
        <f aca="false">IF($E103="","",IFERROR(_xlfn.TEXTJOIN("; ",TRUE(),INDEX(SUPPLIERS!$F$4:$F$63,MATCH($E103,SUPPLIERS!$A$4:$A$63,0)),INDEX(SUPPLIERS!$G$4:$G$63,MATCH($E103,SUPPLIERS!$A$4:$A$63,0)),INDEX(SUPPLIERS!$H$4:$H$63,MATCH($E103,SUPPLIERS!$A$4:$A$63,0)),INDEX(SUPPLIERS!$I$4:$I$63,MATCH($E103,SUPPLIERS!$A$4:$A$63,0)),INDEX(SUPPLIERS!$J$4:$J$63,MATCH($E103,SUPPLIERS!$A$4:$A$63,0))),""))</f>
        <v/>
      </c>
      <c r="O103" s="26" t="str">
        <f aca="false">IF(COUNT($H103:$L103)&lt;5,"",ROUND($H103*W_SRC+$I103*W_QC+$J103*W_CAP+$K103*W_SUP+$L103*W_EXT,1))</f>
        <v/>
      </c>
      <c r="P103" s="27" t="str">
        <f aca="false">IF(OR($O103="",$M103=""),"",ROUND($O103*$M103,1))</f>
        <v/>
      </c>
      <c r="Q103" s="28" t="str">
        <f aca="false">IF($E103="","",IF($U103&gt;0,"CRITICAL (FLAG)",IF(OR($O103="",$M103=""),"NOT SCORED",IF($P103&gt;=T_CRIT,"CRITICAL",IF($P103&gt;=T_MON,"MONITOR","LOW")))))</f>
        <v/>
      </c>
      <c r="R103" s="12" t="str">
        <f aca="false">IF($O103="","",INDEX(DriverNames,MATCH(MAX($H103:$L103),$H103:$L103,0)))</f>
        <v/>
      </c>
      <c r="S103" s="22"/>
      <c r="T103" s="29"/>
      <c r="U103" s="2" t="str">
        <f aca="false">IF($E103="","",IFERROR(INDEX(SUPPLIERS!$Q$4:$Q$63,MATCH($E103,SUPPLIERS!$A$4:$A$63,0)),0))</f>
        <v/>
      </c>
      <c r="V103" s="2" t="str">
        <f aca="false">IF($Q103="","",IF($U103&gt;0,100,0)+IF($P103="",0,$P103)+ROW()/100000)</f>
        <v/>
      </c>
      <c r="W103" s="2" t="str">
        <f aca="false">IF($V103="","",IF($A103=SEL_MODEL,$V103,""))</f>
        <v/>
      </c>
    </row>
    <row r="104" customFormat="false" ht="15" hidden="false" customHeight="false" outlineLevel="0" collapsed="false">
      <c r="A104" s="20"/>
      <c r="B104" s="21"/>
      <c r="C104" s="22"/>
      <c r="D104" s="21"/>
      <c r="E104" s="20"/>
      <c r="F104" s="23"/>
      <c r="G104" s="24" t="str">
        <f aca="false">IF(OR($A104="",$F104=""),"",IFERROR(IF(INDEX(MODELS!$K$4:$K$28,MATCH($A104,MODELS!$A$4:$A$28,0))="","",$F104*INDEX(MODELS!$K$4:$K$28,MATCH($A104,MODELS!$A$4:$A$28,0))),""))</f>
        <v/>
      </c>
      <c r="H104" s="21"/>
      <c r="I104" s="21"/>
      <c r="J104" s="21"/>
      <c r="K104" s="25" t="str">
        <f aca="false">IF($E104="","",IFERROR(IF(INDEX(SUPPLIERS!$K$4:$K$63,MATCH($E104,SUPPLIERS!$A$4:$A$63,0))="","",INDEX(SUPPLIERS!$K$4:$K$63,MATCH($E104,SUPPLIERS!$A$4:$A$63,0))),""))</f>
        <v/>
      </c>
      <c r="L104" s="25" t="str">
        <f aca="false">IF($E104="","",IFERROR(IF(INDEX(SUPPLIERS!$L$4:$L$63,MATCH($E104,SUPPLIERS!$A$4:$A$63,0))="","",INDEX(SUPPLIERS!$L$4:$L$63,MATCH($E104,SUPPLIERS!$A$4:$A$63,0))),""))</f>
        <v/>
      </c>
      <c r="M104" s="21"/>
      <c r="N104" s="11" t="str">
        <f aca="false">IF($E104="","",IFERROR(_xlfn.TEXTJOIN("; ",TRUE(),INDEX(SUPPLIERS!$F$4:$F$63,MATCH($E104,SUPPLIERS!$A$4:$A$63,0)),INDEX(SUPPLIERS!$G$4:$G$63,MATCH($E104,SUPPLIERS!$A$4:$A$63,0)),INDEX(SUPPLIERS!$H$4:$H$63,MATCH($E104,SUPPLIERS!$A$4:$A$63,0)),INDEX(SUPPLIERS!$I$4:$I$63,MATCH($E104,SUPPLIERS!$A$4:$A$63,0)),INDEX(SUPPLIERS!$J$4:$J$63,MATCH($E104,SUPPLIERS!$A$4:$A$63,0))),""))</f>
        <v/>
      </c>
      <c r="O104" s="26" t="str">
        <f aca="false">IF(COUNT($H104:$L104)&lt;5,"",ROUND($H104*W_SRC+$I104*W_QC+$J104*W_CAP+$K104*W_SUP+$L104*W_EXT,1))</f>
        <v/>
      </c>
      <c r="P104" s="27" t="str">
        <f aca="false">IF(OR($O104="",$M104=""),"",ROUND($O104*$M104,1))</f>
        <v/>
      </c>
      <c r="Q104" s="28" t="str">
        <f aca="false">IF($E104="","",IF($U104&gt;0,"CRITICAL (FLAG)",IF(OR($O104="",$M104=""),"NOT SCORED",IF($P104&gt;=T_CRIT,"CRITICAL",IF($P104&gt;=T_MON,"MONITOR","LOW")))))</f>
        <v/>
      </c>
      <c r="R104" s="12" t="str">
        <f aca="false">IF($O104="","",INDEX(DriverNames,MATCH(MAX($H104:$L104),$H104:$L104,0)))</f>
        <v/>
      </c>
      <c r="S104" s="22"/>
      <c r="T104" s="29"/>
      <c r="U104" s="2" t="str">
        <f aca="false">IF($E104="","",IFERROR(INDEX(SUPPLIERS!$Q$4:$Q$63,MATCH($E104,SUPPLIERS!$A$4:$A$63,0)),0))</f>
        <v/>
      </c>
      <c r="V104" s="2" t="str">
        <f aca="false">IF($Q104="","",IF($U104&gt;0,100,0)+IF($P104="",0,$P104)+ROW()/100000)</f>
        <v/>
      </c>
      <c r="W104" s="2" t="str">
        <f aca="false">IF($V104="","",IF($A104=SEL_MODEL,$V104,""))</f>
        <v/>
      </c>
    </row>
    <row r="105" customFormat="false" ht="15" hidden="false" customHeight="false" outlineLevel="0" collapsed="false">
      <c r="A105" s="20"/>
      <c r="B105" s="21"/>
      <c r="C105" s="22"/>
      <c r="D105" s="21"/>
      <c r="E105" s="20"/>
      <c r="F105" s="23"/>
      <c r="G105" s="24" t="str">
        <f aca="false">IF(OR($A105="",$F105=""),"",IFERROR(IF(INDEX(MODELS!$K$4:$K$28,MATCH($A105,MODELS!$A$4:$A$28,0))="","",$F105*INDEX(MODELS!$K$4:$K$28,MATCH($A105,MODELS!$A$4:$A$28,0))),""))</f>
        <v/>
      </c>
      <c r="H105" s="21"/>
      <c r="I105" s="21"/>
      <c r="J105" s="21"/>
      <c r="K105" s="25" t="str">
        <f aca="false">IF($E105="","",IFERROR(IF(INDEX(SUPPLIERS!$K$4:$K$63,MATCH($E105,SUPPLIERS!$A$4:$A$63,0))="","",INDEX(SUPPLIERS!$K$4:$K$63,MATCH($E105,SUPPLIERS!$A$4:$A$63,0))),""))</f>
        <v/>
      </c>
      <c r="L105" s="25" t="str">
        <f aca="false">IF($E105="","",IFERROR(IF(INDEX(SUPPLIERS!$L$4:$L$63,MATCH($E105,SUPPLIERS!$A$4:$A$63,0))="","",INDEX(SUPPLIERS!$L$4:$L$63,MATCH($E105,SUPPLIERS!$A$4:$A$63,0))),""))</f>
        <v/>
      </c>
      <c r="M105" s="21"/>
      <c r="N105" s="11" t="str">
        <f aca="false">IF($E105="","",IFERROR(_xlfn.TEXTJOIN("; ",TRUE(),INDEX(SUPPLIERS!$F$4:$F$63,MATCH($E105,SUPPLIERS!$A$4:$A$63,0)),INDEX(SUPPLIERS!$G$4:$G$63,MATCH($E105,SUPPLIERS!$A$4:$A$63,0)),INDEX(SUPPLIERS!$H$4:$H$63,MATCH($E105,SUPPLIERS!$A$4:$A$63,0)),INDEX(SUPPLIERS!$I$4:$I$63,MATCH($E105,SUPPLIERS!$A$4:$A$63,0)),INDEX(SUPPLIERS!$J$4:$J$63,MATCH($E105,SUPPLIERS!$A$4:$A$63,0))),""))</f>
        <v/>
      </c>
      <c r="O105" s="26" t="str">
        <f aca="false">IF(COUNT($H105:$L105)&lt;5,"",ROUND($H105*W_SRC+$I105*W_QC+$J105*W_CAP+$K105*W_SUP+$L105*W_EXT,1))</f>
        <v/>
      </c>
      <c r="P105" s="27" t="str">
        <f aca="false">IF(OR($O105="",$M105=""),"",ROUND($O105*$M105,1))</f>
        <v/>
      </c>
      <c r="Q105" s="28" t="str">
        <f aca="false">IF($E105="","",IF($U105&gt;0,"CRITICAL (FLAG)",IF(OR($O105="",$M105=""),"NOT SCORED",IF($P105&gt;=T_CRIT,"CRITICAL",IF($P105&gt;=T_MON,"MONITOR","LOW")))))</f>
        <v/>
      </c>
      <c r="R105" s="12" t="str">
        <f aca="false">IF($O105="","",INDEX(DriverNames,MATCH(MAX($H105:$L105),$H105:$L105,0)))</f>
        <v/>
      </c>
      <c r="S105" s="22"/>
      <c r="T105" s="29"/>
      <c r="U105" s="2" t="str">
        <f aca="false">IF($E105="","",IFERROR(INDEX(SUPPLIERS!$Q$4:$Q$63,MATCH($E105,SUPPLIERS!$A$4:$A$63,0)),0))</f>
        <v/>
      </c>
      <c r="V105" s="2" t="str">
        <f aca="false">IF($Q105="","",IF($U105&gt;0,100,0)+IF($P105="",0,$P105)+ROW()/100000)</f>
        <v/>
      </c>
      <c r="W105" s="2" t="str">
        <f aca="false">IF($V105="","",IF($A105=SEL_MODEL,$V105,""))</f>
        <v/>
      </c>
    </row>
    <row r="106" customFormat="false" ht="15" hidden="false" customHeight="false" outlineLevel="0" collapsed="false">
      <c r="A106" s="20"/>
      <c r="B106" s="21"/>
      <c r="C106" s="22"/>
      <c r="D106" s="21"/>
      <c r="E106" s="20"/>
      <c r="F106" s="23"/>
      <c r="G106" s="24" t="str">
        <f aca="false">IF(OR($A106="",$F106=""),"",IFERROR(IF(INDEX(MODELS!$K$4:$K$28,MATCH($A106,MODELS!$A$4:$A$28,0))="","",$F106*INDEX(MODELS!$K$4:$K$28,MATCH($A106,MODELS!$A$4:$A$28,0))),""))</f>
        <v/>
      </c>
      <c r="H106" s="21"/>
      <c r="I106" s="21"/>
      <c r="J106" s="21"/>
      <c r="K106" s="25" t="str">
        <f aca="false">IF($E106="","",IFERROR(IF(INDEX(SUPPLIERS!$K$4:$K$63,MATCH($E106,SUPPLIERS!$A$4:$A$63,0))="","",INDEX(SUPPLIERS!$K$4:$K$63,MATCH($E106,SUPPLIERS!$A$4:$A$63,0))),""))</f>
        <v/>
      </c>
      <c r="L106" s="25" t="str">
        <f aca="false">IF($E106="","",IFERROR(IF(INDEX(SUPPLIERS!$L$4:$L$63,MATCH($E106,SUPPLIERS!$A$4:$A$63,0))="","",INDEX(SUPPLIERS!$L$4:$L$63,MATCH($E106,SUPPLIERS!$A$4:$A$63,0))),""))</f>
        <v/>
      </c>
      <c r="M106" s="21"/>
      <c r="N106" s="11" t="str">
        <f aca="false">IF($E106="","",IFERROR(_xlfn.TEXTJOIN("; ",TRUE(),INDEX(SUPPLIERS!$F$4:$F$63,MATCH($E106,SUPPLIERS!$A$4:$A$63,0)),INDEX(SUPPLIERS!$G$4:$G$63,MATCH($E106,SUPPLIERS!$A$4:$A$63,0)),INDEX(SUPPLIERS!$H$4:$H$63,MATCH($E106,SUPPLIERS!$A$4:$A$63,0)),INDEX(SUPPLIERS!$I$4:$I$63,MATCH($E106,SUPPLIERS!$A$4:$A$63,0)),INDEX(SUPPLIERS!$J$4:$J$63,MATCH($E106,SUPPLIERS!$A$4:$A$63,0))),""))</f>
        <v/>
      </c>
      <c r="O106" s="26" t="str">
        <f aca="false">IF(COUNT($H106:$L106)&lt;5,"",ROUND($H106*W_SRC+$I106*W_QC+$J106*W_CAP+$K106*W_SUP+$L106*W_EXT,1))</f>
        <v/>
      </c>
      <c r="P106" s="27" t="str">
        <f aca="false">IF(OR($O106="",$M106=""),"",ROUND($O106*$M106,1))</f>
        <v/>
      </c>
      <c r="Q106" s="28" t="str">
        <f aca="false">IF($E106="","",IF($U106&gt;0,"CRITICAL (FLAG)",IF(OR($O106="",$M106=""),"NOT SCORED",IF($P106&gt;=T_CRIT,"CRITICAL",IF($P106&gt;=T_MON,"MONITOR","LOW")))))</f>
        <v/>
      </c>
      <c r="R106" s="12" t="str">
        <f aca="false">IF($O106="","",INDEX(DriverNames,MATCH(MAX($H106:$L106),$H106:$L106,0)))</f>
        <v/>
      </c>
      <c r="S106" s="22"/>
      <c r="T106" s="29"/>
      <c r="U106" s="2" t="str">
        <f aca="false">IF($E106="","",IFERROR(INDEX(SUPPLIERS!$Q$4:$Q$63,MATCH($E106,SUPPLIERS!$A$4:$A$63,0)),0))</f>
        <v/>
      </c>
      <c r="V106" s="2" t="str">
        <f aca="false">IF($Q106="","",IF($U106&gt;0,100,0)+IF($P106="",0,$P106)+ROW()/100000)</f>
        <v/>
      </c>
      <c r="W106" s="2" t="str">
        <f aca="false">IF($V106="","",IF($A106=SEL_MODEL,$V106,""))</f>
        <v/>
      </c>
    </row>
    <row r="107" customFormat="false" ht="15" hidden="false" customHeight="false" outlineLevel="0" collapsed="false">
      <c r="A107" s="20"/>
      <c r="B107" s="21"/>
      <c r="C107" s="22"/>
      <c r="D107" s="21"/>
      <c r="E107" s="20"/>
      <c r="F107" s="23"/>
      <c r="G107" s="24" t="str">
        <f aca="false">IF(OR($A107="",$F107=""),"",IFERROR(IF(INDEX(MODELS!$K$4:$K$28,MATCH($A107,MODELS!$A$4:$A$28,0))="","",$F107*INDEX(MODELS!$K$4:$K$28,MATCH($A107,MODELS!$A$4:$A$28,0))),""))</f>
        <v/>
      </c>
      <c r="H107" s="21"/>
      <c r="I107" s="21"/>
      <c r="J107" s="21"/>
      <c r="K107" s="25" t="str">
        <f aca="false">IF($E107="","",IFERROR(IF(INDEX(SUPPLIERS!$K$4:$K$63,MATCH($E107,SUPPLIERS!$A$4:$A$63,0))="","",INDEX(SUPPLIERS!$K$4:$K$63,MATCH($E107,SUPPLIERS!$A$4:$A$63,0))),""))</f>
        <v/>
      </c>
      <c r="L107" s="25" t="str">
        <f aca="false">IF($E107="","",IFERROR(IF(INDEX(SUPPLIERS!$L$4:$L$63,MATCH($E107,SUPPLIERS!$A$4:$A$63,0))="","",INDEX(SUPPLIERS!$L$4:$L$63,MATCH($E107,SUPPLIERS!$A$4:$A$63,0))),""))</f>
        <v/>
      </c>
      <c r="M107" s="21"/>
      <c r="N107" s="11" t="str">
        <f aca="false">IF($E107="","",IFERROR(_xlfn.TEXTJOIN("; ",TRUE(),INDEX(SUPPLIERS!$F$4:$F$63,MATCH($E107,SUPPLIERS!$A$4:$A$63,0)),INDEX(SUPPLIERS!$G$4:$G$63,MATCH($E107,SUPPLIERS!$A$4:$A$63,0)),INDEX(SUPPLIERS!$H$4:$H$63,MATCH($E107,SUPPLIERS!$A$4:$A$63,0)),INDEX(SUPPLIERS!$I$4:$I$63,MATCH($E107,SUPPLIERS!$A$4:$A$63,0)),INDEX(SUPPLIERS!$J$4:$J$63,MATCH($E107,SUPPLIERS!$A$4:$A$63,0))),""))</f>
        <v/>
      </c>
      <c r="O107" s="26" t="str">
        <f aca="false">IF(COUNT($H107:$L107)&lt;5,"",ROUND($H107*W_SRC+$I107*W_QC+$J107*W_CAP+$K107*W_SUP+$L107*W_EXT,1))</f>
        <v/>
      </c>
      <c r="P107" s="27" t="str">
        <f aca="false">IF(OR($O107="",$M107=""),"",ROUND($O107*$M107,1))</f>
        <v/>
      </c>
      <c r="Q107" s="28" t="str">
        <f aca="false">IF($E107="","",IF($U107&gt;0,"CRITICAL (FLAG)",IF(OR($O107="",$M107=""),"NOT SCORED",IF($P107&gt;=T_CRIT,"CRITICAL",IF($P107&gt;=T_MON,"MONITOR","LOW")))))</f>
        <v/>
      </c>
      <c r="R107" s="12" t="str">
        <f aca="false">IF($O107="","",INDEX(DriverNames,MATCH(MAX($H107:$L107),$H107:$L107,0)))</f>
        <v/>
      </c>
      <c r="S107" s="22"/>
      <c r="T107" s="29"/>
      <c r="U107" s="2" t="str">
        <f aca="false">IF($E107="","",IFERROR(INDEX(SUPPLIERS!$Q$4:$Q$63,MATCH($E107,SUPPLIERS!$A$4:$A$63,0)),0))</f>
        <v/>
      </c>
      <c r="V107" s="2" t="str">
        <f aca="false">IF($Q107="","",IF($U107&gt;0,100,0)+IF($P107="",0,$P107)+ROW()/100000)</f>
        <v/>
      </c>
      <c r="W107" s="2" t="str">
        <f aca="false">IF($V107="","",IF($A107=SEL_MODEL,$V107,""))</f>
        <v/>
      </c>
    </row>
    <row r="108" customFormat="false" ht="15" hidden="false" customHeight="false" outlineLevel="0" collapsed="false">
      <c r="A108" s="20"/>
      <c r="B108" s="21"/>
      <c r="C108" s="22"/>
      <c r="D108" s="21"/>
      <c r="E108" s="20"/>
      <c r="F108" s="23"/>
      <c r="G108" s="24" t="str">
        <f aca="false">IF(OR($A108="",$F108=""),"",IFERROR(IF(INDEX(MODELS!$K$4:$K$28,MATCH($A108,MODELS!$A$4:$A$28,0))="","",$F108*INDEX(MODELS!$K$4:$K$28,MATCH($A108,MODELS!$A$4:$A$28,0))),""))</f>
        <v/>
      </c>
      <c r="H108" s="21"/>
      <c r="I108" s="21"/>
      <c r="J108" s="21"/>
      <c r="K108" s="25" t="str">
        <f aca="false">IF($E108="","",IFERROR(IF(INDEX(SUPPLIERS!$K$4:$K$63,MATCH($E108,SUPPLIERS!$A$4:$A$63,0))="","",INDEX(SUPPLIERS!$K$4:$K$63,MATCH($E108,SUPPLIERS!$A$4:$A$63,0))),""))</f>
        <v/>
      </c>
      <c r="L108" s="25" t="str">
        <f aca="false">IF($E108="","",IFERROR(IF(INDEX(SUPPLIERS!$L$4:$L$63,MATCH($E108,SUPPLIERS!$A$4:$A$63,0))="","",INDEX(SUPPLIERS!$L$4:$L$63,MATCH($E108,SUPPLIERS!$A$4:$A$63,0))),""))</f>
        <v/>
      </c>
      <c r="M108" s="21"/>
      <c r="N108" s="11" t="str">
        <f aca="false">IF($E108="","",IFERROR(_xlfn.TEXTJOIN("; ",TRUE(),INDEX(SUPPLIERS!$F$4:$F$63,MATCH($E108,SUPPLIERS!$A$4:$A$63,0)),INDEX(SUPPLIERS!$G$4:$G$63,MATCH($E108,SUPPLIERS!$A$4:$A$63,0)),INDEX(SUPPLIERS!$H$4:$H$63,MATCH($E108,SUPPLIERS!$A$4:$A$63,0)),INDEX(SUPPLIERS!$I$4:$I$63,MATCH($E108,SUPPLIERS!$A$4:$A$63,0)),INDEX(SUPPLIERS!$J$4:$J$63,MATCH($E108,SUPPLIERS!$A$4:$A$63,0))),""))</f>
        <v/>
      </c>
      <c r="O108" s="26" t="str">
        <f aca="false">IF(COUNT($H108:$L108)&lt;5,"",ROUND($H108*W_SRC+$I108*W_QC+$J108*W_CAP+$K108*W_SUP+$L108*W_EXT,1))</f>
        <v/>
      </c>
      <c r="P108" s="27" t="str">
        <f aca="false">IF(OR($O108="",$M108=""),"",ROUND($O108*$M108,1))</f>
        <v/>
      </c>
      <c r="Q108" s="28" t="str">
        <f aca="false">IF($E108="","",IF($U108&gt;0,"CRITICAL (FLAG)",IF(OR($O108="",$M108=""),"NOT SCORED",IF($P108&gt;=T_CRIT,"CRITICAL",IF($P108&gt;=T_MON,"MONITOR","LOW")))))</f>
        <v/>
      </c>
      <c r="R108" s="12" t="str">
        <f aca="false">IF($O108="","",INDEX(DriverNames,MATCH(MAX($H108:$L108),$H108:$L108,0)))</f>
        <v/>
      </c>
      <c r="S108" s="22"/>
      <c r="T108" s="29"/>
      <c r="U108" s="2" t="str">
        <f aca="false">IF($E108="","",IFERROR(INDEX(SUPPLIERS!$Q$4:$Q$63,MATCH($E108,SUPPLIERS!$A$4:$A$63,0)),0))</f>
        <v/>
      </c>
      <c r="V108" s="2" t="str">
        <f aca="false">IF($Q108="","",IF($U108&gt;0,100,0)+IF($P108="",0,$P108)+ROW()/100000)</f>
        <v/>
      </c>
      <c r="W108" s="2" t="str">
        <f aca="false">IF($V108="","",IF($A108=SEL_MODEL,$V108,""))</f>
        <v/>
      </c>
    </row>
    <row r="109" customFormat="false" ht="15" hidden="false" customHeight="false" outlineLevel="0" collapsed="false">
      <c r="A109" s="20"/>
      <c r="B109" s="21"/>
      <c r="C109" s="22"/>
      <c r="D109" s="21"/>
      <c r="E109" s="20"/>
      <c r="F109" s="23"/>
      <c r="G109" s="24" t="str">
        <f aca="false">IF(OR($A109="",$F109=""),"",IFERROR(IF(INDEX(MODELS!$K$4:$K$28,MATCH($A109,MODELS!$A$4:$A$28,0))="","",$F109*INDEX(MODELS!$K$4:$K$28,MATCH($A109,MODELS!$A$4:$A$28,0))),""))</f>
        <v/>
      </c>
      <c r="H109" s="21"/>
      <c r="I109" s="21"/>
      <c r="J109" s="21"/>
      <c r="K109" s="25" t="str">
        <f aca="false">IF($E109="","",IFERROR(IF(INDEX(SUPPLIERS!$K$4:$K$63,MATCH($E109,SUPPLIERS!$A$4:$A$63,0))="","",INDEX(SUPPLIERS!$K$4:$K$63,MATCH($E109,SUPPLIERS!$A$4:$A$63,0))),""))</f>
        <v/>
      </c>
      <c r="L109" s="25" t="str">
        <f aca="false">IF($E109="","",IFERROR(IF(INDEX(SUPPLIERS!$L$4:$L$63,MATCH($E109,SUPPLIERS!$A$4:$A$63,0))="","",INDEX(SUPPLIERS!$L$4:$L$63,MATCH($E109,SUPPLIERS!$A$4:$A$63,0))),""))</f>
        <v/>
      </c>
      <c r="M109" s="21"/>
      <c r="N109" s="11" t="str">
        <f aca="false">IF($E109="","",IFERROR(_xlfn.TEXTJOIN("; ",TRUE(),INDEX(SUPPLIERS!$F$4:$F$63,MATCH($E109,SUPPLIERS!$A$4:$A$63,0)),INDEX(SUPPLIERS!$G$4:$G$63,MATCH($E109,SUPPLIERS!$A$4:$A$63,0)),INDEX(SUPPLIERS!$H$4:$H$63,MATCH($E109,SUPPLIERS!$A$4:$A$63,0)),INDEX(SUPPLIERS!$I$4:$I$63,MATCH($E109,SUPPLIERS!$A$4:$A$63,0)),INDEX(SUPPLIERS!$J$4:$J$63,MATCH($E109,SUPPLIERS!$A$4:$A$63,0))),""))</f>
        <v/>
      </c>
      <c r="O109" s="26" t="str">
        <f aca="false">IF(COUNT($H109:$L109)&lt;5,"",ROUND($H109*W_SRC+$I109*W_QC+$J109*W_CAP+$K109*W_SUP+$L109*W_EXT,1))</f>
        <v/>
      </c>
      <c r="P109" s="27" t="str">
        <f aca="false">IF(OR($O109="",$M109=""),"",ROUND($O109*$M109,1))</f>
        <v/>
      </c>
      <c r="Q109" s="28" t="str">
        <f aca="false">IF($E109="","",IF($U109&gt;0,"CRITICAL (FLAG)",IF(OR($O109="",$M109=""),"NOT SCORED",IF($P109&gt;=T_CRIT,"CRITICAL",IF($P109&gt;=T_MON,"MONITOR","LOW")))))</f>
        <v/>
      </c>
      <c r="R109" s="12" t="str">
        <f aca="false">IF($O109="","",INDEX(DriverNames,MATCH(MAX($H109:$L109),$H109:$L109,0)))</f>
        <v/>
      </c>
      <c r="S109" s="22"/>
      <c r="T109" s="29"/>
      <c r="U109" s="2" t="str">
        <f aca="false">IF($E109="","",IFERROR(INDEX(SUPPLIERS!$Q$4:$Q$63,MATCH($E109,SUPPLIERS!$A$4:$A$63,0)),0))</f>
        <v/>
      </c>
      <c r="V109" s="2" t="str">
        <f aca="false">IF($Q109="","",IF($U109&gt;0,100,0)+IF($P109="",0,$P109)+ROW()/100000)</f>
        <v/>
      </c>
      <c r="W109" s="2" t="str">
        <f aca="false">IF($V109="","",IF($A109=SEL_MODEL,$V109,""))</f>
        <v/>
      </c>
    </row>
    <row r="110" customFormat="false" ht="15" hidden="false" customHeight="false" outlineLevel="0" collapsed="false">
      <c r="A110" s="20"/>
      <c r="B110" s="21"/>
      <c r="C110" s="22"/>
      <c r="D110" s="21"/>
      <c r="E110" s="20"/>
      <c r="F110" s="23"/>
      <c r="G110" s="24" t="str">
        <f aca="false">IF(OR($A110="",$F110=""),"",IFERROR(IF(INDEX(MODELS!$K$4:$K$28,MATCH($A110,MODELS!$A$4:$A$28,0))="","",$F110*INDEX(MODELS!$K$4:$K$28,MATCH($A110,MODELS!$A$4:$A$28,0))),""))</f>
        <v/>
      </c>
      <c r="H110" s="21"/>
      <c r="I110" s="21"/>
      <c r="J110" s="21"/>
      <c r="K110" s="25" t="str">
        <f aca="false">IF($E110="","",IFERROR(IF(INDEX(SUPPLIERS!$K$4:$K$63,MATCH($E110,SUPPLIERS!$A$4:$A$63,0))="","",INDEX(SUPPLIERS!$K$4:$K$63,MATCH($E110,SUPPLIERS!$A$4:$A$63,0))),""))</f>
        <v/>
      </c>
      <c r="L110" s="25" t="str">
        <f aca="false">IF($E110="","",IFERROR(IF(INDEX(SUPPLIERS!$L$4:$L$63,MATCH($E110,SUPPLIERS!$A$4:$A$63,0))="","",INDEX(SUPPLIERS!$L$4:$L$63,MATCH($E110,SUPPLIERS!$A$4:$A$63,0))),""))</f>
        <v/>
      </c>
      <c r="M110" s="21"/>
      <c r="N110" s="11" t="str">
        <f aca="false">IF($E110="","",IFERROR(_xlfn.TEXTJOIN("; ",TRUE(),INDEX(SUPPLIERS!$F$4:$F$63,MATCH($E110,SUPPLIERS!$A$4:$A$63,0)),INDEX(SUPPLIERS!$G$4:$G$63,MATCH($E110,SUPPLIERS!$A$4:$A$63,0)),INDEX(SUPPLIERS!$H$4:$H$63,MATCH($E110,SUPPLIERS!$A$4:$A$63,0)),INDEX(SUPPLIERS!$I$4:$I$63,MATCH($E110,SUPPLIERS!$A$4:$A$63,0)),INDEX(SUPPLIERS!$J$4:$J$63,MATCH($E110,SUPPLIERS!$A$4:$A$63,0))),""))</f>
        <v/>
      </c>
      <c r="O110" s="26" t="str">
        <f aca="false">IF(COUNT($H110:$L110)&lt;5,"",ROUND($H110*W_SRC+$I110*W_QC+$J110*W_CAP+$K110*W_SUP+$L110*W_EXT,1))</f>
        <v/>
      </c>
      <c r="P110" s="27" t="str">
        <f aca="false">IF(OR($O110="",$M110=""),"",ROUND($O110*$M110,1))</f>
        <v/>
      </c>
      <c r="Q110" s="28" t="str">
        <f aca="false">IF($E110="","",IF($U110&gt;0,"CRITICAL (FLAG)",IF(OR($O110="",$M110=""),"NOT SCORED",IF($P110&gt;=T_CRIT,"CRITICAL",IF($P110&gt;=T_MON,"MONITOR","LOW")))))</f>
        <v/>
      </c>
      <c r="R110" s="12" t="str">
        <f aca="false">IF($O110="","",INDEX(DriverNames,MATCH(MAX($H110:$L110),$H110:$L110,0)))</f>
        <v/>
      </c>
      <c r="S110" s="22"/>
      <c r="T110" s="29"/>
      <c r="U110" s="2" t="str">
        <f aca="false">IF($E110="","",IFERROR(INDEX(SUPPLIERS!$Q$4:$Q$63,MATCH($E110,SUPPLIERS!$A$4:$A$63,0)),0))</f>
        <v/>
      </c>
      <c r="V110" s="2" t="str">
        <f aca="false">IF($Q110="","",IF($U110&gt;0,100,0)+IF($P110="",0,$P110)+ROW()/100000)</f>
        <v/>
      </c>
      <c r="W110" s="2" t="str">
        <f aca="false">IF($V110="","",IF($A110=SEL_MODEL,$V110,""))</f>
        <v/>
      </c>
    </row>
    <row r="111" customFormat="false" ht="15" hidden="false" customHeight="false" outlineLevel="0" collapsed="false">
      <c r="A111" s="20"/>
      <c r="B111" s="21"/>
      <c r="C111" s="22"/>
      <c r="D111" s="21"/>
      <c r="E111" s="20"/>
      <c r="F111" s="23"/>
      <c r="G111" s="24" t="str">
        <f aca="false">IF(OR($A111="",$F111=""),"",IFERROR(IF(INDEX(MODELS!$K$4:$K$28,MATCH($A111,MODELS!$A$4:$A$28,0))="","",$F111*INDEX(MODELS!$K$4:$K$28,MATCH($A111,MODELS!$A$4:$A$28,0))),""))</f>
        <v/>
      </c>
      <c r="H111" s="21"/>
      <c r="I111" s="21"/>
      <c r="J111" s="21"/>
      <c r="K111" s="25" t="str">
        <f aca="false">IF($E111="","",IFERROR(IF(INDEX(SUPPLIERS!$K$4:$K$63,MATCH($E111,SUPPLIERS!$A$4:$A$63,0))="","",INDEX(SUPPLIERS!$K$4:$K$63,MATCH($E111,SUPPLIERS!$A$4:$A$63,0))),""))</f>
        <v/>
      </c>
      <c r="L111" s="25" t="str">
        <f aca="false">IF($E111="","",IFERROR(IF(INDEX(SUPPLIERS!$L$4:$L$63,MATCH($E111,SUPPLIERS!$A$4:$A$63,0))="","",INDEX(SUPPLIERS!$L$4:$L$63,MATCH($E111,SUPPLIERS!$A$4:$A$63,0))),""))</f>
        <v/>
      </c>
      <c r="M111" s="21"/>
      <c r="N111" s="11" t="str">
        <f aca="false">IF($E111="","",IFERROR(_xlfn.TEXTJOIN("; ",TRUE(),INDEX(SUPPLIERS!$F$4:$F$63,MATCH($E111,SUPPLIERS!$A$4:$A$63,0)),INDEX(SUPPLIERS!$G$4:$G$63,MATCH($E111,SUPPLIERS!$A$4:$A$63,0)),INDEX(SUPPLIERS!$H$4:$H$63,MATCH($E111,SUPPLIERS!$A$4:$A$63,0)),INDEX(SUPPLIERS!$I$4:$I$63,MATCH($E111,SUPPLIERS!$A$4:$A$63,0)),INDEX(SUPPLIERS!$J$4:$J$63,MATCH($E111,SUPPLIERS!$A$4:$A$63,0))),""))</f>
        <v/>
      </c>
      <c r="O111" s="26" t="str">
        <f aca="false">IF(COUNT($H111:$L111)&lt;5,"",ROUND($H111*W_SRC+$I111*W_QC+$J111*W_CAP+$K111*W_SUP+$L111*W_EXT,1))</f>
        <v/>
      </c>
      <c r="P111" s="27" t="str">
        <f aca="false">IF(OR($O111="",$M111=""),"",ROUND($O111*$M111,1))</f>
        <v/>
      </c>
      <c r="Q111" s="28" t="str">
        <f aca="false">IF($E111="","",IF($U111&gt;0,"CRITICAL (FLAG)",IF(OR($O111="",$M111=""),"NOT SCORED",IF($P111&gt;=T_CRIT,"CRITICAL",IF($P111&gt;=T_MON,"MONITOR","LOW")))))</f>
        <v/>
      </c>
      <c r="R111" s="12" t="str">
        <f aca="false">IF($O111="","",INDEX(DriverNames,MATCH(MAX($H111:$L111),$H111:$L111,0)))</f>
        <v/>
      </c>
      <c r="S111" s="22"/>
      <c r="T111" s="29"/>
      <c r="U111" s="2" t="str">
        <f aca="false">IF($E111="","",IFERROR(INDEX(SUPPLIERS!$Q$4:$Q$63,MATCH($E111,SUPPLIERS!$A$4:$A$63,0)),0))</f>
        <v/>
      </c>
      <c r="V111" s="2" t="str">
        <f aca="false">IF($Q111="","",IF($U111&gt;0,100,0)+IF($P111="",0,$P111)+ROW()/100000)</f>
        <v/>
      </c>
      <c r="W111" s="2" t="str">
        <f aca="false">IF($V111="","",IF($A111=SEL_MODEL,$V111,""))</f>
        <v/>
      </c>
    </row>
    <row r="112" customFormat="false" ht="15" hidden="false" customHeight="false" outlineLevel="0" collapsed="false">
      <c r="A112" s="20"/>
      <c r="B112" s="21"/>
      <c r="C112" s="22"/>
      <c r="D112" s="21"/>
      <c r="E112" s="20"/>
      <c r="F112" s="23"/>
      <c r="G112" s="24" t="str">
        <f aca="false">IF(OR($A112="",$F112=""),"",IFERROR(IF(INDEX(MODELS!$K$4:$K$28,MATCH($A112,MODELS!$A$4:$A$28,0))="","",$F112*INDEX(MODELS!$K$4:$K$28,MATCH($A112,MODELS!$A$4:$A$28,0))),""))</f>
        <v/>
      </c>
      <c r="H112" s="21"/>
      <c r="I112" s="21"/>
      <c r="J112" s="21"/>
      <c r="K112" s="25" t="str">
        <f aca="false">IF($E112="","",IFERROR(IF(INDEX(SUPPLIERS!$K$4:$K$63,MATCH($E112,SUPPLIERS!$A$4:$A$63,0))="","",INDEX(SUPPLIERS!$K$4:$K$63,MATCH($E112,SUPPLIERS!$A$4:$A$63,0))),""))</f>
        <v/>
      </c>
      <c r="L112" s="25" t="str">
        <f aca="false">IF($E112="","",IFERROR(IF(INDEX(SUPPLIERS!$L$4:$L$63,MATCH($E112,SUPPLIERS!$A$4:$A$63,0))="","",INDEX(SUPPLIERS!$L$4:$L$63,MATCH($E112,SUPPLIERS!$A$4:$A$63,0))),""))</f>
        <v/>
      </c>
      <c r="M112" s="21"/>
      <c r="N112" s="11" t="str">
        <f aca="false">IF($E112="","",IFERROR(_xlfn.TEXTJOIN("; ",TRUE(),INDEX(SUPPLIERS!$F$4:$F$63,MATCH($E112,SUPPLIERS!$A$4:$A$63,0)),INDEX(SUPPLIERS!$G$4:$G$63,MATCH($E112,SUPPLIERS!$A$4:$A$63,0)),INDEX(SUPPLIERS!$H$4:$H$63,MATCH($E112,SUPPLIERS!$A$4:$A$63,0)),INDEX(SUPPLIERS!$I$4:$I$63,MATCH($E112,SUPPLIERS!$A$4:$A$63,0)),INDEX(SUPPLIERS!$J$4:$J$63,MATCH($E112,SUPPLIERS!$A$4:$A$63,0))),""))</f>
        <v/>
      </c>
      <c r="O112" s="26" t="str">
        <f aca="false">IF(COUNT($H112:$L112)&lt;5,"",ROUND($H112*W_SRC+$I112*W_QC+$J112*W_CAP+$K112*W_SUP+$L112*W_EXT,1))</f>
        <v/>
      </c>
      <c r="P112" s="27" t="str">
        <f aca="false">IF(OR($O112="",$M112=""),"",ROUND($O112*$M112,1))</f>
        <v/>
      </c>
      <c r="Q112" s="28" t="str">
        <f aca="false">IF($E112="","",IF($U112&gt;0,"CRITICAL (FLAG)",IF(OR($O112="",$M112=""),"NOT SCORED",IF($P112&gt;=T_CRIT,"CRITICAL",IF($P112&gt;=T_MON,"MONITOR","LOW")))))</f>
        <v/>
      </c>
      <c r="R112" s="12" t="str">
        <f aca="false">IF($O112="","",INDEX(DriverNames,MATCH(MAX($H112:$L112),$H112:$L112,0)))</f>
        <v/>
      </c>
      <c r="S112" s="22"/>
      <c r="T112" s="29"/>
      <c r="U112" s="2" t="str">
        <f aca="false">IF($E112="","",IFERROR(INDEX(SUPPLIERS!$Q$4:$Q$63,MATCH($E112,SUPPLIERS!$A$4:$A$63,0)),0))</f>
        <v/>
      </c>
      <c r="V112" s="2" t="str">
        <f aca="false">IF($Q112="","",IF($U112&gt;0,100,0)+IF($P112="",0,$P112)+ROW()/100000)</f>
        <v/>
      </c>
      <c r="W112" s="2" t="str">
        <f aca="false">IF($V112="","",IF($A112=SEL_MODEL,$V112,""))</f>
        <v/>
      </c>
    </row>
    <row r="113" customFormat="false" ht="15" hidden="false" customHeight="false" outlineLevel="0" collapsed="false">
      <c r="A113" s="20"/>
      <c r="B113" s="21"/>
      <c r="C113" s="22"/>
      <c r="D113" s="21"/>
      <c r="E113" s="20"/>
      <c r="F113" s="23"/>
      <c r="G113" s="24" t="str">
        <f aca="false">IF(OR($A113="",$F113=""),"",IFERROR(IF(INDEX(MODELS!$K$4:$K$28,MATCH($A113,MODELS!$A$4:$A$28,0))="","",$F113*INDEX(MODELS!$K$4:$K$28,MATCH($A113,MODELS!$A$4:$A$28,0))),""))</f>
        <v/>
      </c>
      <c r="H113" s="21"/>
      <c r="I113" s="21"/>
      <c r="J113" s="21"/>
      <c r="K113" s="25" t="str">
        <f aca="false">IF($E113="","",IFERROR(IF(INDEX(SUPPLIERS!$K$4:$K$63,MATCH($E113,SUPPLIERS!$A$4:$A$63,0))="","",INDEX(SUPPLIERS!$K$4:$K$63,MATCH($E113,SUPPLIERS!$A$4:$A$63,0))),""))</f>
        <v/>
      </c>
      <c r="L113" s="25" t="str">
        <f aca="false">IF($E113="","",IFERROR(IF(INDEX(SUPPLIERS!$L$4:$L$63,MATCH($E113,SUPPLIERS!$A$4:$A$63,0))="","",INDEX(SUPPLIERS!$L$4:$L$63,MATCH($E113,SUPPLIERS!$A$4:$A$63,0))),""))</f>
        <v/>
      </c>
      <c r="M113" s="21"/>
      <c r="N113" s="11" t="str">
        <f aca="false">IF($E113="","",IFERROR(_xlfn.TEXTJOIN("; ",TRUE(),INDEX(SUPPLIERS!$F$4:$F$63,MATCH($E113,SUPPLIERS!$A$4:$A$63,0)),INDEX(SUPPLIERS!$G$4:$G$63,MATCH($E113,SUPPLIERS!$A$4:$A$63,0)),INDEX(SUPPLIERS!$H$4:$H$63,MATCH($E113,SUPPLIERS!$A$4:$A$63,0)),INDEX(SUPPLIERS!$I$4:$I$63,MATCH($E113,SUPPLIERS!$A$4:$A$63,0)),INDEX(SUPPLIERS!$J$4:$J$63,MATCH($E113,SUPPLIERS!$A$4:$A$63,0))),""))</f>
        <v/>
      </c>
      <c r="O113" s="26" t="str">
        <f aca="false">IF(COUNT($H113:$L113)&lt;5,"",ROUND($H113*W_SRC+$I113*W_QC+$J113*W_CAP+$K113*W_SUP+$L113*W_EXT,1))</f>
        <v/>
      </c>
      <c r="P113" s="27" t="str">
        <f aca="false">IF(OR($O113="",$M113=""),"",ROUND($O113*$M113,1))</f>
        <v/>
      </c>
      <c r="Q113" s="28" t="str">
        <f aca="false">IF($E113="","",IF($U113&gt;0,"CRITICAL (FLAG)",IF(OR($O113="",$M113=""),"NOT SCORED",IF($P113&gt;=T_CRIT,"CRITICAL",IF($P113&gt;=T_MON,"MONITOR","LOW")))))</f>
        <v/>
      </c>
      <c r="R113" s="12" t="str">
        <f aca="false">IF($O113="","",INDEX(DriverNames,MATCH(MAX($H113:$L113),$H113:$L113,0)))</f>
        <v/>
      </c>
      <c r="S113" s="22"/>
      <c r="T113" s="29"/>
      <c r="U113" s="2" t="str">
        <f aca="false">IF($E113="","",IFERROR(INDEX(SUPPLIERS!$Q$4:$Q$63,MATCH($E113,SUPPLIERS!$A$4:$A$63,0)),0))</f>
        <v/>
      </c>
      <c r="V113" s="2" t="str">
        <f aca="false">IF($Q113="","",IF($U113&gt;0,100,0)+IF($P113="",0,$P113)+ROW()/100000)</f>
        <v/>
      </c>
      <c r="W113" s="2" t="str">
        <f aca="false">IF($V113="","",IF($A113=SEL_MODEL,$V113,""))</f>
        <v/>
      </c>
    </row>
    <row r="114" customFormat="false" ht="15" hidden="false" customHeight="false" outlineLevel="0" collapsed="false">
      <c r="A114" s="20"/>
      <c r="B114" s="21"/>
      <c r="C114" s="22"/>
      <c r="D114" s="21"/>
      <c r="E114" s="20"/>
      <c r="F114" s="23"/>
      <c r="G114" s="24" t="str">
        <f aca="false">IF(OR($A114="",$F114=""),"",IFERROR(IF(INDEX(MODELS!$K$4:$K$28,MATCH($A114,MODELS!$A$4:$A$28,0))="","",$F114*INDEX(MODELS!$K$4:$K$28,MATCH($A114,MODELS!$A$4:$A$28,0))),""))</f>
        <v/>
      </c>
      <c r="H114" s="21"/>
      <c r="I114" s="21"/>
      <c r="J114" s="21"/>
      <c r="K114" s="25" t="str">
        <f aca="false">IF($E114="","",IFERROR(IF(INDEX(SUPPLIERS!$K$4:$K$63,MATCH($E114,SUPPLIERS!$A$4:$A$63,0))="","",INDEX(SUPPLIERS!$K$4:$K$63,MATCH($E114,SUPPLIERS!$A$4:$A$63,0))),""))</f>
        <v/>
      </c>
      <c r="L114" s="25" t="str">
        <f aca="false">IF($E114="","",IFERROR(IF(INDEX(SUPPLIERS!$L$4:$L$63,MATCH($E114,SUPPLIERS!$A$4:$A$63,0))="","",INDEX(SUPPLIERS!$L$4:$L$63,MATCH($E114,SUPPLIERS!$A$4:$A$63,0))),""))</f>
        <v/>
      </c>
      <c r="M114" s="21"/>
      <c r="N114" s="11" t="str">
        <f aca="false">IF($E114="","",IFERROR(_xlfn.TEXTJOIN("; ",TRUE(),INDEX(SUPPLIERS!$F$4:$F$63,MATCH($E114,SUPPLIERS!$A$4:$A$63,0)),INDEX(SUPPLIERS!$G$4:$G$63,MATCH($E114,SUPPLIERS!$A$4:$A$63,0)),INDEX(SUPPLIERS!$H$4:$H$63,MATCH($E114,SUPPLIERS!$A$4:$A$63,0)),INDEX(SUPPLIERS!$I$4:$I$63,MATCH($E114,SUPPLIERS!$A$4:$A$63,0)),INDEX(SUPPLIERS!$J$4:$J$63,MATCH($E114,SUPPLIERS!$A$4:$A$63,0))),""))</f>
        <v/>
      </c>
      <c r="O114" s="26" t="str">
        <f aca="false">IF(COUNT($H114:$L114)&lt;5,"",ROUND($H114*W_SRC+$I114*W_QC+$J114*W_CAP+$K114*W_SUP+$L114*W_EXT,1))</f>
        <v/>
      </c>
      <c r="P114" s="27" t="str">
        <f aca="false">IF(OR($O114="",$M114=""),"",ROUND($O114*$M114,1))</f>
        <v/>
      </c>
      <c r="Q114" s="28" t="str">
        <f aca="false">IF($E114="","",IF($U114&gt;0,"CRITICAL (FLAG)",IF(OR($O114="",$M114=""),"NOT SCORED",IF($P114&gt;=T_CRIT,"CRITICAL",IF($P114&gt;=T_MON,"MONITOR","LOW")))))</f>
        <v/>
      </c>
      <c r="R114" s="12" t="str">
        <f aca="false">IF($O114="","",INDEX(DriverNames,MATCH(MAX($H114:$L114),$H114:$L114,0)))</f>
        <v/>
      </c>
      <c r="S114" s="22"/>
      <c r="T114" s="29"/>
      <c r="U114" s="2" t="str">
        <f aca="false">IF($E114="","",IFERROR(INDEX(SUPPLIERS!$Q$4:$Q$63,MATCH($E114,SUPPLIERS!$A$4:$A$63,0)),0))</f>
        <v/>
      </c>
      <c r="V114" s="2" t="str">
        <f aca="false">IF($Q114="","",IF($U114&gt;0,100,0)+IF($P114="",0,$P114)+ROW()/100000)</f>
        <v/>
      </c>
      <c r="W114" s="2" t="str">
        <f aca="false">IF($V114="","",IF($A114=SEL_MODEL,$V114,""))</f>
        <v/>
      </c>
    </row>
    <row r="115" customFormat="false" ht="15" hidden="false" customHeight="false" outlineLevel="0" collapsed="false">
      <c r="A115" s="20"/>
      <c r="B115" s="21"/>
      <c r="C115" s="22"/>
      <c r="D115" s="21"/>
      <c r="E115" s="20"/>
      <c r="F115" s="23"/>
      <c r="G115" s="24" t="str">
        <f aca="false">IF(OR($A115="",$F115=""),"",IFERROR(IF(INDEX(MODELS!$K$4:$K$28,MATCH($A115,MODELS!$A$4:$A$28,0))="","",$F115*INDEX(MODELS!$K$4:$K$28,MATCH($A115,MODELS!$A$4:$A$28,0))),""))</f>
        <v/>
      </c>
      <c r="H115" s="21"/>
      <c r="I115" s="21"/>
      <c r="J115" s="21"/>
      <c r="K115" s="25" t="str">
        <f aca="false">IF($E115="","",IFERROR(IF(INDEX(SUPPLIERS!$K$4:$K$63,MATCH($E115,SUPPLIERS!$A$4:$A$63,0))="","",INDEX(SUPPLIERS!$K$4:$K$63,MATCH($E115,SUPPLIERS!$A$4:$A$63,0))),""))</f>
        <v/>
      </c>
      <c r="L115" s="25" t="str">
        <f aca="false">IF($E115="","",IFERROR(IF(INDEX(SUPPLIERS!$L$4:$L$63,MATCH($E115,SUPPLIERS!$A$4:$A$63,0))="","",INDEX(SUPPLIERS!$L$4:$L$63,MATCH($E115,SUPPLIERS!$A$4:$A$63,0))),""))</f>
        <v/>
      </c>
      <c r="M115" s="21"/>
      <c r="N115" s="11" t="str">
        <f aca="false">IF($E115="","",IFERROR(_xlfn.TEXTJOIN("; ",TRUE(),INDEX(SUPPLIERS!$F$4:$F$63,MATCH($E115,SUPPLIERS!$A$4:$A$63,0)),INDEX(SUPPLIERS!$G$4:$G$63,MATCH($E115,SUPPLIERS!$A$4:$A$63,0)),INDEX(SUPPLIERS!$H$4:$H$63,MATCH($E115,SUPPLIERS!$A$4:$A$63,0)),INDEX(SUPPLIERS!$I$4:$I$63,MATCH($E115,SUPPLIERS!$A$4:$A$63,0)),INDEX(SUPPLIERS!$J$4:$J$63,MATCH($E115,SUPPLIERS!$A$4:$A$63,0))),""))</f>
        <v/>
      </c>
      <c r="O115" s="26" t="str">
        <f aca="false">IF(COUNT($H115:$L115)&lt;5,"",ROUND($H115*W_SRC+$I115*W_QC+$J115*W_CAP+$K115*W_SUP+$L115*W_EXT,1))</f>
        <v/>
      </c>
      <c r="P115" s="27" t="str">
        <f aca="false">IF(OR($O115="",$M115=""),"",ROUND($O115*$M115,1))</f>
        <v/>
      </c>
      <c r="Q115" s="28" t="str">
        <f aca="false">IF($E115="","",IF($U115&gt;0,"CRITICAL (FLAG)",IF(OR($O115="",$M115=""),"NOT SCORED",IF($P115&gt;=T_CRIT,"CRITICAL",IF($P115&gt;=T_MON,"MONITOR","LOW")))))</f>
        <v/>
      </c>
      <c r="R115" s="12" t="str">
        <f aca="false">IF($O115="","",INDEX(DriverNames,MATCH(MAX($H115:$L115),$H115:$L115,0)))</f>
        <v/>
      </c>
      <c r="S115" s="22"/>
      <c r="T115" s="29"/>
      <c r="U115" s="2" t="str">
        <f aca="false">IF($E115="","",IFERROR(INDEX(SUPPLIERS!$Q$4:$Q$63,MATCH($E115,SUPPLIERS!$A$4:$A$63,0)),0))</f>
        <v/>
      </c>
      <c r="V115" s="2" t="str">
        <f aca="false">IF($Q115="","",IF($U115&gt;0,100,0)+IF($P115="",0,$P115)+ROW()/100000)</f>
        <v/>
      </c>
      <c r="W115" s="2" t="str">
        <f aca="false">IF($V115="","",IF($A115=SEL_MODEL,$V115,""))</f>
        <v/>
      </c>
    </row>
    <row r="116" customFormat="false" ht="15" hidden="false" customHeight="false" outlineLevel="0" collapsed="false">
      <c r="A116" s="20"/>
      <c r="B116" s="21"/>
      <c r="C116" s="22"/>
      <c r="D116" s="21"/>
      <c r="E116" s="20"/>
      <c r="F116" s="23"/>
      <c r="G116" s="24" t="str">
        <f aca="false">IF(OR($A116="",$F116=""),"",IFERROR(IF(INDEX(MODELS!$K$4:$K$28,MATCH($A116,MODELS!$A$4:$A$28,0))="","",$F116*INDEX(MODELS!$K$4:$K$28,MATCH($A116,MODELS!$A$4:$A$28,0))),""))</f>
        <v/>
      </c>
      <c r="H116" s="21"/>
      <c r="I116" s="21"/>
      <c r="J116" s="21"/>
      <c r="K116" s="25" t="str">
        <f aca="false">IF($E116="","",IFERROR(IF(INDEX(SUPPLIERS!$K$4:$K$63,MATCH($E116,SUPPLIERS!$A$4:$A$63,0))="","",INDEX(SUPPLIERS!$K$4:$K$63,MATCH($E116,SUPPLIERS!$A$4:$A$63,0))),""))</f>
        <v/>
      </c>
      <c r="L116" s="25" t="str">
        <f aca="false">IF($E116="","",IFERROR(IF(INDEX(SUPPLIERS!$L$4:$L$63,MATCH($E116,SUPPLIERS!$A$4:$A$63,0))="","",INDEX(SUPPLIERS!$L$4:$L$63,MATCH($E116,SUPPLIERS!$A$4:$A$63,0))),""))</f>
        <v/>
      </c>
      <c r="M116" s="21"/>
      <c r="N116" s="11" t="str">
        <f aca="false">IF($E116="","",IFERROR(_xlfn.TEXTJOIN("; ",TRUE(),INDEX(SUPPLIERS!$F$4:$F$63,MATCH($E116,SUPPLIERS!$A$4:$A$63,0)),INDEX(SUPPLIERS!$G$4:$G$63,MATCH($E116,SUPPLIERS!$A$4:$A$63,0)),INDEX(SUPPLIERS!$H$4:$H$63,MATCH($E116,SUPPLIERS!$A$4:$A$63,0)),INDEX(SUPPLIERS!$I$4:$I$63,MATCH($E116,SUPPLIERS!$A$4:$A$63,0)),INDEX(SUPPLIERS!$J$4:$J$63,MATCH($E116,SUPPLIERS!$A$4:$A$63,0))),""))</f>
        <v/>
      </c>
      <c r="O116" s="26" t="str">
        <f aca="false">IF(COUNT($H116:$L116)&lt;5,"",ROUND($H116*W_SRC+$I116*W_QC+$J116*W_CAP+$K116*W_SUP+$L116*W_EXT,1))</f>
        <v/>
      </c>
      <c r="P116" s="27" t="str">
        <f aca="false">IF(OR($O116="",$M116=""),"",ROUND($O116*$M116,1))</f>
        <v/>
      </c>
      <c r="Q116" s="28" t="str">
        <f aca="false">IF($E116="","",IF($U116&gt;0,"CRITICAL (FLAG)",IF(OR($O116="",$M116=""),"NOT SCORED",IF($P116&gt;=T_CRIT,"CRITICAL",IF($P116&gt;=T_MON,"MONITOR","LOW")))))</f>
        <v/>
      </c>
      <c r="R116" s="12" t="str">
        <f aca="false">IF($O116="","",INDEX(DriverNames,MATCH(MAX($H116:$L116),$H116:$L116,0)))</f>
        <v/>
      </c>
      <c r="S116" s="22"/>
      <c r="T116" s="29"/>
      <c r="U116" s="2" t="str">
        <f aca="false">IF($E116="","",IFERROR(INDEX(SUPPLIERS!$Q$4:$Q$63,MATCH($E116,SUPPLIERS!$A$4:$A$63,0)),0))</f>
        <v/>
      </c>
      <c r="V116" s="2" t="str">
        <f aca="false">IF($Q116="","",IF($U116&gt;0,100,0)+IF($P116="",0,$P116)+ROW()/100000)</f>
        <v/>
      </c>
      <c r="W116" s="2" t="str">
        <f aca="false">IF($V116="","",IF($A116=SEL_MODEL,$V116,""))</f>
        <v/>
      </c>
    </row>
    <row r="117" customFormat="false" ht="15" hidden="false" customHeight="false" outlineLevel="0" collapsed="false">
      <c r="A117" s="20"/>
      <c r="B117" s="21"/>
      <c r="C117" s="22"/>
      <c r="D117" s="21"/>
      <c r="E117" s="20"/>
      <c r="F117" s="23"/>
      <c r="G117" s="24" t="str">
        <f aca="false">IF(OR($A117="",$F117=""),"",IFERROR(IF(INDEX(MODELS!$K$4:$K$28,MATCH($A117,MODELS!$A$4:$A$28,0))="","",$F117*INDEX(MODELS!$K$4:$K$28,MATCH($A117,MODELS!$A$4:$A$28,0))),""))</f>
        <v/>
      </c>
      <c r="H117" s="21"/>
      <c r="I117" s="21"/>
      <c r="J117" s="21"/>
      <c r="K117" s="25" t="str">
        <f aca="false">IF($E117="","",IFERROR(IF(INDEX(SUPPLIERS!$K$4:$K$63,MATCH($E117,SUPPLIERS!$A$4:$A$63,0))="","",INDEX(SUPPLIERS!$K$4:$K$63,MATCH($E117,SUPPLIERS!$A$4:$A$63,0))),""))</f>
        <v/>
      </c>
      <c r="L117" s="25" t="str">
        <f aca="false">IF($E117="","",IFERROR(IF(INDEX(SUPPLIERS!$L$4:$L$63,MATCH($E117,SUPPLIERS!$A$4:$A$63,0))="","",INDEX(SUPPLIERS!$L$4:$L$63,MATCH($E117,SUPPLIERS!$A$4:$A$63,0))),""))</f>
        <v/>
      </c>
      <c r="M117" s="21"/>
      <c r="N117" s="11" t="str">
        <f aca="false">IF($E117="","",IFERROR(_xlfn.TEXTJOIN("; ",TRUE(),INDEX(SUPPLIERS!$F$4:$F$63,MATCH($E117,SUPPLIERS!$A$4:$A$63,0)),INDEX(SUPPLIERS!$G$4:$G$63,MATCH($E117,SUPPLIERS!$A$4:$A$63,0)),INDEX(SUPPLIERS!$H$4:$H$63,MATCH($E117,SUPPLIERS!$A$4:$A$63,0)),INDEX(SUPPLIERS!$I$4:$I$63,MATCH($E117,SUPPLIERS!$A$4:$A$63,0)),INDEX(SUPPLIERS!$J$4:$J$63,MATCH($E117,SUPPLIERS!$A$4:$A$63,0))),""))</f>
        <v/>
      </c>
      <c r="O117" s="26" t="str">
        <f aca="false">IF(COUNT($H117:$L117)&lt;5,"",ROUND($H117*W_SRC+$I117*W_QC+$J117*W_CAP+$K117*W_SUP+$L117*W_EXT,1))</f>
        <v/>
      </c>
      <c r="P117" s="27" t="str">
        <f aca="false">IF(OR($O117="",$M117=""),"",ROUND($O117*$M117,1))</f>
        <v/>
      </c>
      <c r="Q117" s="28" t="str">
        <f aca="false">IF($E117="","",IF($U117&gt;0,"CRITICAL (FLAG)",IF(OR($O117="",$M117=""),"NOT SCORED",IF($P117&gt;=T_CRIT,"CRITICAL",IF($P117&gt;=T_MON,"MONITOR","LOW")))))</f>
        <v/>
      </c>
      <c r="R117" s="12" t="str">
        <f aca="false">IF($O117="","",INDEX(DriverNames,MATCH(MAX($H117:$L117),$H117:$L117,0)))</f>
        <v/>
      </c>
      <c r="S117" s="22"/>
      <c r="T117" s="29"/>
      <c r="U117" s="2" t="str">
        <f aca="false">IF($E117="","",IFERROR(INDEX(SUPPLIERS!$Q$4:$Q$63,MATCH($E117,SUPPLIERS!$A$4:$A$63,0)),0))</f>
        <v/>
      </c>
      <c r="V117" s="2" t="str">
        <f aca="false">IF($Q117="","",IF($U117&gt;0,100,0)+IF($P117="",0,$P117)+ROW()/100000)</f>
        <v/>
      </c>
      <c r="W117" s="2" t="str">
        <f aca="false">IF($V117="","",IF($A117=SEL_MODEL,$V117,""))</f>
        <v/>
      </c>
    </row>
    <row r="118" customFormat="false" ht="15" hidden="false" customHeight="false" outlineLevel="0" collapsed="false">
      <c r="A118" s="20"/>
      <c r="B118" s="21"/>
      <c r="C118" s="22"/>
      <c r="D118" s="21"/>
      <c r="E118" s="20"/>
      <c r="F118" s="23"/>
      <c r="G118" s="24" t="str">
        <f aca="false">IF(OR($A118="",$F118=""),"",IFERROR(IF(INDEX(MODELS!$K$4:$K$28,MATCH($A118,MODELS!$A$4:$A$28,0))="","",$F118*INDEX(MODELS!$K$4:$K$28,MATCH($A118,MODELS!$A$4:$A$28,0))),""))</f>
        <v/>
      </c>
      <c r="H118" s="21"/>
      <c r="I118" s="21"/>
      <c r="J118" s="21"/>
      <c r="K118" s="25" t="str">
        <f aca="false">IF($E118="","",IFERROR(IF(INDEX(SUPPLIERS!$K$4:$K$63,MATCH($E118,SUPPLIERS!$A$4:$A$63,0))="","",INDEX(SUPPLIERS!$K$4:$K$63,MATCH($E118,SUPPLIERS!$A$4:$A$63,0))),""))</f>
        <v/>
      </c>
      <c r="L118" s="25" t="str">
        <f aca="false">IF($E118="","",IFERROR(IF(INDEX(SUPPLIERS!$L$4:$L$63,MATCH($E118,SUPPLIERS!$A$4:$A$63,0))="","",INDEX(SUPPLIERS!$L$4:$L$63,MATCH($E118,SUPPLIERS!$A$4:$A$63,0))),""))</f>
        <v/>
      </c>
      <c r="M118" s="21"/>
      <c r="N118" s="11" t="str">
        <f aca="false">IF($E118="","",IFERROR(_xlfn.TEXTJOIN("; ",TRUE(),INDEX(SUPPLIERS!$F$4:$F$63,MATCH($E118,SUPPLIERS!$A$4:$A$63,0)),INDEX(SUPPLIERS!$G$4:$G$63,MATCH($E118,SUPPLIERS!$A$4:$A$63,0)),INDEX(SUPPLIERS!$H$4:$H$63,MATCH($E118,SUPPLIERS!$A$4:$A$63,0)),INDEX(SUPPLIERS!$I$4:$I$63,MATCH($E118,SUPPLIERS!$A$4:$A$63,0)),INDEX(SUPPLIERS!$J$4:$J$63,MATCH($E118,SUPPLIERS!$A$4:$A$63,0))),""))</f>
        <v/>
      </c>
      <c r="O118" s="26" t="str">
        <f aca="false">IF(COUNT($H118:$L118)&lt;5,"",ROUND($H118*W_SRC+$I118*W_QC+$J118*W_CAP+$K118*W_SUP+$L118*W_EXT,1))</f>
        <v/>
      </c>
      <c r="P118" s="27" t="str">
        <f aca="false">IF(OR($O118="",$M118=""),"",ROUND($O118*$M118,1))</f>
        <v/>
      </c>
      <c r="Q118" s="28" t="str">
        <f aca="false">IF($E118="","",IF($U118&gt;0,"CRITICAL (FLAG)",IF(OR($O118="",$M118=""),"NOT SCORED",IF($P118&gt;=T_CRIT,"CRITICAL",IF($P118&gt;=T_MON,"MONITOR","LOW")))))</f>
        <v/>
      </c>
      <c r="R118" s="12" t="str">
        <f aca="false">IF($O118="","",INDEX(DriverNames,MATCH(MAX($H118:$L118),$H118:$L118,0)))</f>
        <v/>
      </c>
      <c r="S118" s="22"/>
      <c r="T118" s="29"/>
      <c r="U118" s="2" t="str">
        <f aca="false">IF($E118="","",IFERROR(INDEX(SUPPLIERS!$Q$4:$Q$63,MATCH($E118,SUPPLIERS!$A$4:$A$63,0)),0))</f>
        <v/>
      </c>
      <c r="V118" s="2" t="str">
        <f aca="false">IF($Q118="","",IF($U118&gt;0,100,0)+IF($P118="",0,$P118)+ROW()/100000)</f>
        <v/>
      </c>
      <c r="W118" s="2" t="str">
        <f aca="false">IF($V118="","",IF($A118=SEL_MODEL,$V118,""))</f>
        <v/>
      </c>
    </row>
    <row r="119" customFormat="false" ht="15" hidden="false" customHeight="false" outlineLevel="0" collapsed="false">
      <c r="A119" s="20"/>
      <c r="B119" s="21"/>
      <c r="C119" s="22"/>
      <c r="D119" s="21"/>
      <c r="E119" s="20"/>
      <c r="F119" s="23"/>
      <c r="G119" s="24" t="str">
        <f aca="false">IF(OR($A119="",$F119=""),"",IFERROR(IF(INDEX(MODELS!$K$4:$K$28,MATCH($A119,MODELS!$A$4:$A$28,0))="","",$F119*INDEX(MODELS!$K$4:$K$28,MATCH($A119,MODELS!$A$4:$A$28,0))),""))</f>
        <v/>
      </c>
      <c r="H119" s="21"/>
      <c r="I119" s="21"/>
      <c r="J119" s="21"/>
      <c r="K119" s="25" t="str">
        <f aca="false">IF($E119="","",IFERROR(IF(INDEX(SUPPLIERS!$K$4:$K$63,MATCH($E119,SUPPLIERS!$A$4:$A$63,0))="","",INDEX(SUPPLIERS!$K$4:$K$63,MATCH($E119,SUPPLIERS!$A$4:$A$63,0))),""))</f>
        <v/>
      </c>
      <c r="L119" s="25" t="str">
        <f aca="false">IF($E119="","",IFERROR(IF(INDEX(SUPPLIERS!$L$4:$L$63,MATCH($E119,SUPPLIERS!$A$4:$A$63,0))="","",INDEX(SUPPLIERS!$L$4:$L$63,MATCH($E119,SUPPLIERS!$A$4:$A$63,0))),""))</f>
        <v/>
      </c>
      <c r="M119" s="21"/>
      <c r="N119" s="11" t="str">
        <f aca="false">IF($E119="","",IFERROR(_xlfn.TEXTJOIN("; ",TRUE(),INDEX(SUPPLIERS!$F$4:$F$63,MATCH($E119,SUPPLIERS!$A$4:$A$63,0)),INDEX(SUPPLIERS!$G$4:$G$63,MATCH($E119,SUPPLIERS!$A$4:$A$63,0)),INDEX(SUPPLIERS!$H$4:$H$63,MATCH($E119,SUPPLIERS!$A$4:$A$63,0)),INDEX(SUPPLIERS!$I$4:$I$63,MATCH($E119,SUPPLIERS!$A$4:$A$63,0)),INDEX(SUPPLIERS!$J$4:$J$63,MATCH($E119,SUPPLIERS!$A$4:$A$63,0))),""))</f>
        <v/>
      </c>
      <c r="O119" s="26" t="str">
        <f aca="false">IF(COUNT($H119:$L119)&lt;5,"",ROUND($H119*W_SRC+$I119*W_QC+$J119*W_CAP+$K119*W_SUP+$L119*W_EXT,1))</f>
        <v/>
      </c>
      <c r="P119" s="27" t="str">
        <f aca="false">IF(OR($O119="",$M119=""),"",ROUND($O119*$M119,1))</f>
        <v/>
      </c>
      <c r="Q119" s="28" t="str">
        <f aca="false">IF($E119="","",IF($U119&gt;0,"CRITICAL (FLAG)",IF(OR($O119="",$M119=""),"NOT SCORED",IF($P119&gt;=T_CRIT,"CRITICAL",IF($P119&gt;=T_MON,"MONITOR","LOW")))))</f>
        <v/>
      </c>
      <c r="R119" s="12" t="str">
        <f aca="false">IF($O119="","",INDEX(DriverNames,MATCH(MAX($H119:$L119),$H119:$L119,0)))</f>
        <v/>
      </c>
      <c r="S119" s="22"/>
      <c r="T119" s="29"/>
      <c r="U119" s="2" t="str">
        <f aca="false">IF($E119="","",IFERROR(INDEX(SUPPLIERS!$Q$4:$Q$63,MATCH($E119,SUPPLIERS!$A$4:$A$63,0)),0))</f>
        <v/>
      </c>
      <c r="V119" s="2" t="str">
        <f aca="false">IF($Q119="","",IF($U119&gt;0,100,0)+IF($P119="",0,$P119)+ROW()/100000)</f>
        <v/>
      </c>
      <c r="W119" s="2" t="str">
        <f aca="false">IF($V119="","",IF($A119=SEL_MODEL,$V119,""))</f>
        <v/>
      </c>
    </row>
    <row r="120" customFormat="false" ht="15" hidden="false" customHeight="false" outlineLevel="0" collapsed="false">
      <c r="A120" s="20"/>
      <c r="B120" s="21"/>
      <c r="C120" s="22"/>
      <c r="D120" s="21"/>
      <c r="E120" s="20"/>
      <c r="F120" s="23"/>
      <c r="G120" s="24" t="str">
        <f aca="false">IF(OR($A120="",$F120=""),"",IFERROR(IF(INDEX(MODELS!$K$4:$K$28,MATCH($A120,MODELS!$A$4:$A$28,0))="","",$F120*INDEX(MODELS!$K$4:$K$28,MATCH($A120,MODELS!$A$4:$A$28,0))),""))</f>
        <v/>
      </c>
      <c r="H120" s="21"/>
      <c r="I120" s="21"/>
      <c r="J120" s="21"/>
      <c r="K120" s="25" t="str">
        <f aca="false">IF($E120="","",IFERROR(IF(INDEX(SUPPLIERS!$K$4:$K$63,MATCH($E120,SUPPLIERS!$A$4:$A$63,0))="","",INDEX(SUPPLIERS!$K$4:$K$63,MATCH($E120,SUPPLIERS!$A$4:$A$63,0))),""))</f>
        <v/>
      </c>
      <c r="L120" s="25" t="str">
        <f aca="false">IF($E120="","",IFERROR(IF(INDEX(SUPPLIERS!$L$4:$L$63,MATCH($E120,SUPPLIERS!$A$4:$A$63,0))="","",INDEX(SUPPLIERS!$L$4:$L$63,MATCH($E120,SUPPLIERS!$A$4:$A$63,0))),""))</f>
        <v/>
      </c>
      <c r="M120" s="21"/>
      <c r="N120" s="11" t="str">
        <f aca="false">IF($E120="","",IFERROR(_xlfn.TEXTJOIN("; ",TRUE(),INDEX(SUPPLIERS!$F$4:$F$63,MATCH($E120,SUPPLIERS!$A$4:$A$63,0)),INDEX(SUPPLIERS!$G$4:$G$63,MATCH($E120,SUPPLIERS!$A$4:$A$63,0)),INDEX(SUPPLIERS!$H$4:$H$63,MATCH($E120,SUPPLIERS!$A$4:$A$63,0)),INDEX(SUPPLIERS!$I$4:$I$63,MATCH($E120,SUPPLIERS!$A$4:$A$63,0)),INDEX(SUPPLIERS!$J$4:$J$63,MATCH($E120,SUPPLIERS!$A$4:$A$63,0))),""))</f>
        <v/>
      </c>
      <c r="O120" s="26" t="str">
        <f aca="false">IF(COUNT($H120:$L120)&lt;5,"",ROUND($H120*W_SRC+$I120*W_QC+$J120*W_CAP+$K120*W_SUP+$L120*W_EXT,1))</f>
        <v/>
      </c>
      <c r="P120" s="27" t="str">
        <f aca="false">IF(OR($O120="",$M120=""),"",ROUND($O120*$M120,1))</f>
        <v/>
      </c>
      <c r="Q120" s="28" t="str">
        <f aca="false">IF($E120="","",IF($U120&gt;0,"CRITICAL (FLAG)",IF(OR($O120="",$M120=""),"NOT SCORED",IF($P120&gt;=T_CRIT,"CRITICAL",IF($P120&gt;=T_MON,"MONITOR","LOW")))))</f>
        <v/>
      </c>
      <c r="R120" s="12" t="str">
        <f aca="false">IF($O120="","",INDEX(DriverNames,MATCH(MAX($H120:$L120),$H120:$L120,0)))</f>
        <v/>
      </c>
      <c r="S120" s="22"/>
      <c r="T120" s="29"/>
      <c r="U120" s="2" t="str">
        <f aca="false">IF($E120="","",IFERROR(INDEX(SUPPLIERS!$Q$4:$Q$63,MATCH($E120,SUPPLIERS!$A$4:$A$63,0)),0))</f>
        <v/>
      </c>
      <c r="V120" s="2" t="str">
        <f aca="false">IF($Q120="","",IF($U120&gt;0,100,0)+IF($P120="",0,$P120)+ROW()/100000)</f>
        <v/>
      </c>
      <c r="W120" s="2" t="str">
        <f aca="false">IF($V120="","",IF($A120=SEL_MODEL,$V120,""))</f>
        <v/>
      </c>
    </row>
    <row r="121" customFormat="false" ht="15" hidden="false" customHeight="false" outlineLevel="0" collapsed="false">
      <c r="A121" s="20"/>
      <c r="B121" s="21"/>
      <c r="C121" s="22"/>
      <c r="D121" s="21"/>
      <c r="E121" s="20"/>
      <c r="F121" s="23"/>
      <c r="G121" s="24" t="str">
        <f aca="false">IF(OR($A121="",$F121=""),"",IFERROR(IF(INDEX(MODELS!$K$4:$K$28,MATCH($A121,MODELS!$A$4:$A$28,0))="","",$F121*INDEX(MODELS!$K$4:$K$28,MATCH($A121,MODELS!$A$4:$A$28,0))),""))</f>
        <v/>
      </c>
      <c r="H121" s="21"/>
      <c r="I121" s="21"/>
      <c r="J121" s="21"/>
      <c r="K121" s="25" t="str">
        <f aca="false">IF($E121="","",IFERROR(IF(INDEX(SUPPLIERS!$K$4:$K$63,MATCH($E121,SUPPLIERS!$A$4:$A$63,0))="","",INDEX(SUPPLIERS!$K$4:$K$63,MATCH($E121,SUPPLIERS!$A$4:$A$63,0))),""))</f>
        <v/>
      </c>
      <c r="L121" s="25" t="str">
        <f aca="false">IF($E121="","",IFERROR(IF(INDEX(SUPPLIERS!$L$4:$L$63,MATCH($E121,SUPPLIERS!$A$4:$A$63,0))="","",INDEX(SUPPLIERS!$L$4:$L$63,MATCH($E121,SUPPLIERS!$A$4:$A$63,0))),""))</f>
        <v/>
      </c>
      <c r="M121" s="21"/>
      <c r="N121" s="11" t="str">
        <f aca="false">IF($E121="","",IFERROR(_xlfn.TEXTJOIN("; ",TRUE(),INDEX(SUPPLIERS!$F$4:$F$63,MATCH($E121,SUPPLIERS!$A$4:$A$63,0)),INDEX(SUPPLIERS!$G$4:$G$63,MATCH($E121,SUPPLIERS!$A$4:$A$63,0)),INDEX(SUPPLIERS!$H$4:$H$63,MATCH($E121,SUPPLIERS!$A$4:$A$63,0)),INDEX(SUPPLIERS!$I$4:$I$63,MATCH($E121,SUPPLIERS!$A$4:$A$63,0)),INDEX(SUPPLIERS!$J$4:$J$63,MATCH($E121,SUPPLIERS!$A$4:$A$63,0))),""))</f>
        <v/>
      </c>
      <c r="O121" s="26" t="str">
        <f aca="false">IF(COUNT($H121:$L121)&lt;5,"",ROUND($H121*W_SRC+$I121*W_QC+$J121*W_CAP+$K121*W_SUP+$L121*W_EXT,1))</f>
        <v/>
      </c>
      <c r="P121" s="27" t="str">
        <f aca="false">IF(OR($O121="",$M121=""),"",ROUND($O121*$M121,1))</f>
        <v/>
      </c>
      <c r="Q121" s="28" t="str">
        <f aca="false">IF($E121="","",IF($U121&gt;0,"CRITICAL (FLAG)",IF(OR($O121="",$M121=""),"NOT SCORED",IF($P121&gt;=T_CRIT,"CRITICAL",IF($P121&gt;=T_MON,"MONITOR","LOW")))))</f>
        <v/>
      </c>
      <c r="R121" s="12" t="str">
        <f aca="false">IF($O121="","",INDEX(DriverNames,MATCH(MAX($H121:$L121),$H121:$L121,0)))</f>
        <v/>
      </c>
      <c r="S121" s="22"/>
      <c r="T121" s="29"/>
      <c r="U121" s="2" t="str">
        <f aca="false">IF($E121="","",IFERROR(INDEX(SUPPLIERS!$Q$4:$Q$63,MATCH($E121,SUPPLIERS!$A$4:$A$63,0)),0))</f>
        <v/>
      </c>
      <c r="V121" s="2" t="str">
        <f aca="false">IF($Q121="","",IF($U121&gt;0,100,0)+IF($P121="",0,$P121)+ROW()/100000)</f>
        <v/>
      </c>
      <c r="W121" s="2" t="str">
        <f aca="false">IF($V121="","",IF($A121=SEL_MODEL,$V121,""))</f>
        <v/>
      </c>
    </row>
    <row r="122" customFormat="false" ht="15" hidden="false" customHeight="false" outlineLevel="0" collapsed="false">
      <c r="A122" s="20"/>
      <c r="B122" s="21"/>
      <c r="C122" s="22"/>
      <c r="D122" s="21"/>
      <c r="E122" s="20"/>
      <c r="F122" s="23"/>
      <c r="G122" s="24" t="str">
        <f aca="false">IF(OR($A122="",$F122=""),"",IFERROR(IF(INDEX(MODELS!$K$4:$K$28,MATCH($A122,MODELS!$A$4:$A$28,0))="","",$F122*INDEX(MODELS!$K$4:$K$28,MATCH($A122,MODELS!$A$4:$A$28,0))),""))</f>
        <v/>
      </c>
      <c r="H122" s="21"/>
      <c r="I122" s="21"/>
      <c r="J122" s="21"/>
      <c r="K122" s="25" t="str">
        <f aca="false">IF($E122="","",IFERROR(IF(INDEX(SUPPLIERS!$K$4:$K$63,MATCH($E122,SUPPLIERS!$A$4:$A$63,0))="","",INDEX(SUPPLIERS!$K$4:$K$63,MATCH($E122,SUPPLIERS!$A$4:$A$63,0))),""))</f>
        <v/>
      </c>
      <c r="L122" s="25" t="str">
        <f aca="false">IF($E122="","",IFERROR(IF(INDEX(SUPPLIERS!$L$4:$L$63,MATCH($E122,SUPPLIERS!$A$4:$A$63,0))="","",INDEX(SUPPLIERS!$L$4:$L$63,MATCH($E122,SUPPLIERS!$A$4:$A$63,0))),""))</f>
        <v/>
      </c>
      <c r="M122" s="21"/>
      <c r="N122" s="11" t="str">
        <f aca="false">IF($E122="","",IFERROR(_xlfn.TEXTJOIN("; ",TRUE(),INDEX(SUPPLIERS!$F$4:$F$63,MATCH($E122,SUPPLIERS!$A$4:$A$63,0)),INDEX(SUPPLIERS!$G$4:$G$63,MATCH($E122,SUPPLIERS!$A$4:$A$63,0)),INDEX(SUPPLIERS!$H$4:$H$63,MATCH($E122,SUPPLIERS!$A$4:$A$63,0)),INDEX(SUPPLIERS!$I$4:$I$63,MATCH($E122,SUPPLIERS!$A$4:$A$63,0)),INDEX(SUPPLIERS!$J$4:$J$63,MATCH($E122,SUPPLIERS!$A$4:$A$63,0))),""))</f>
        <v/>
      </c>
      <c r="O122" s="26" t="str">
        <f aca="false">IF(COUNT($H122:$L122)&lt;5,"",ROUND($H122*W_SRC+$I122*W_QC+$J122*W_CAP+$K122*W_SUP+$L122*W_EXT,1))</f>
        <v/>
      </c>
      <c r="P122" s="27" t="str">
        <f aca="false">IF(OR($O122="",$M122=""),"",ROUND($O122*$M122,1))</f>
        <v/>
      </c>
      <c r="Q122" s="28" t="str">
        <f aca="false">IF($E122="","",IF($U122&gt;0,"CRITICAL (FLAG)",IF(OR($O122="",$M122=""),"NOT SCORED",IF($P122&gt;=T_CRIT,"CRITICAL",IF($P122&gt;=T_MON,"MONITOR","LOW")))))</f>
        <v/>
      </c>
      <c r="R122" s="12" t="str">
        <f aca="false">IF($O122="","",INDEX(DriverNames,MATCH(MAX($H122:$L122),$H122:$L122,0)))</f>
        <v/>
      </c>
      <c r="S122" s="22"/>
      <c r="T122" s="29"/>
      <c r="U122" s="2" t="str">
        <f aca="false">IF($E122="","",IFERROR(INDEX(SUPPLIERS!$Q$4:$Q$63,MATCH($E122,SUPPLIERS!$A$4:$A$63,0)),0))</f>
        <v/>
      </c>
      <c r="V122" s="2" t="str">
        <f aca="false">IF($Q122="","",IF($U122&gt;0,100,0)+IF($P122="",0,$P122)+ROW()/100000)</f>
        <v/>
      </c>
      <c r="W122" s="2" t="str">
        <f aca="false">IF($V122="","",IF($A122=SEL_MODEL,$V122,""))</f>
        <v/>
      </c>
    </row>
    <row r="123" customFormat="false" ht="15" hidden="false" customHeight="false" outlineLevel="0" collapsed="false">
      <c r="A123" s="20"/>
      <c r="B123" s="21"/>
      <c r="C123" s="22"/>
      <c r="D123" s="21"/>
      <c r="E123" s="20"/>
      <c r="F123" s="23"/>
      <c r="G123" s="24" t="str">
        <f aca="false">IF(OR($A123="",$F123=""),"",IFERROR(IF(INDEX(MODELS!$K$4:$K$28,MATCH($A123,MODELS!$A$4:$A$28,0))="","",$F123*INDEX(MODELS!$K$4:$K$28,MATCH($A123,MODELS!$A$4:$A$28,0))),""))</f>
        <v/>
      </c>
      <c r="H123" s="21"/>
      <c r="I123" s="21"/>
      <c r="J123" s="21"/>
      <c r="K123" s="25" t="str">
        <f aca="false">IF($E123="","",IFERROR(IF(INDEX(SUPPLIERS!$K$4:$K$63,MATCH($E123,SUPPLIERS!$A$4:$A$63,0))="","",INDEX(SUPPLIERS!$K$4:$K$63,MATCH($E123,SUPPLIERS!$A$4:$A$63,0))),""))</f>
        <v/>
      </c>
      <c r="L123" s="25" t="str">
        <f aca="false">IF($E123="","",IFERROR(IF(INDEX(SUPPLIERS!$L$4:$L$63,MATCH($E123,SUPPLIERS!$A$4:$A$63,0))="","",INDEX(SUPPLIERS!$L$4:$L$63,MATCH($E123,SUPPLIERS!$A$4:$A$63,0))),""))</f>
        <v/>
      </c>
      <c r="M123" s="21"/>
      <c r="N123" s="11" t="str">
        <f aca="false">IF($E123="","",IFERROR(_xlfn.TEXTJOIN("; ",TRUE(),INDEX(SUPPLIERS!$F$4:$F$63,MATCH($E123,SUPPLIERS!$A$4:$A$63,0)),INDEX(SUPPLIERS!$G$4:$G$63,MATCH($E123,SUPPLIERS!$A$4:$A$63,0)),INDEX(SUPPLIERS!$H$4:$H$63,MATCH($E123,SUPPLIERS!$A$4:$A$63,0)),INDEX(SUPPLIERS!$I$4:$I$63,MATCH($E123,SUPPLIERS!$A$4:$A$63,0)),INDEX(SUPPLIERS!$J$4:$J$63,MATCH($E123,SUPPLIERS!$A$4:$A$63,0))),""))</f>
        <v/>
      </c>
      <c r="O123" s="26" t="str">
        <f aca="false">IF(COUNT($H123:$L123)&lt;5,"",ROUND($H123*W_SRC+$I123*W_QC+$J123*W_CAP+$K123*W_SUP+$L123*W_EXT,1))</f>
        <v/>
      </c>
      <c r="P123" s="27" t="str">
        <f aca="false">IF(OR($O123="",$M123=""),"",ROUND($O123*$M123,1))</f>
        <v/>
      </c>
      <c r="Q123" s="28" t="str">
        <f aca="false">IF($E123="","",IF($U123&gt;0,"CRITICAL (FLAG)",IF(OR($O123="",$M123=""),"NOT SCORED",IF($P123&gt;=T_CRIT,"CRITICAL",IF($P123&gt;=T_MON,"MONITOR","LOW")))))</f>
        <v/>
      </c>
      <c r="R123" s="12" t="str">
        <f aca="false">IF($O123="","",INDEX(DriverNames,MATCH(MAX($H123:$L123),$H123:$L123,0)))</f>
        <v/>
      </c>
      <c r="S123" s="22"/>
      <c r="T123" s="29"/>
      <c r="U123" s="2" t="str">
        <f aca="false">IF($E123="","",IFERROR(INDEX(SUPPLIERS!$Q$4:$Q$63,MATCH($E123,SUPPLIERS!$A$4:$A$63,0)),0))</f>
        <v/>
      </c>
      <c r="V123" s="2" t="str">
        <f aca="false">IF($Q123="","",IF($U123&gt;0,100,0)+IF($P123="",0,$P123)+ROW()/100000)</f>
        <v/>
      </c>
      <c r="W123" s="2" t="str">
        <f aca="false">IF($V123="","",IF($A123=SEL_MODEL,$V123,""))</f>
        <v/>
      </c>
    </row>
    <row r="124" customFormat="false" ht="15" hidden="false" customHeight="false" outlineLevel="0" collapsed="false">
      <c r="A124" s="20"/>
      <c r="B124" s="21"/>
      <c r="C124" s="22"/>
      <c r="D124" s="21"/>
      <c r="E124" s="20"/>
      <c r="F124" s="23"/>
      <c r="G124" s="24" t="str">
        <f aca="false">IF(OR($A124="",$F124=""),"",IFERROR(IF(INDEX(MODELS!$K$4:$K$28,MATCH($A124,MODELS!$A$4:$A$28,0))="","",$F124*INDEX(MODELS!$K$4:$K$28,MATCH($A124,MODELS!$A$4:$A$28,0))),""))</f>
        <v/>
      </c>
      <c r="H124" s="21"/>
      <c r="I124" s="21"/>
      <c r="J124" s="21"/>
      <c r="K124" s="25" t="str">
        <f aca="false">IF($E124="","",IFERROR(IF(INDEX(SUPPLIERS!$K$4:$K$63,MATCH($E124,SUPPLIERS!$A$4:$A$63,0))="","",INDEX(SUPPLIERS!$K$4:$K$63,MATCH($E124,SUPPLIERS!$A$4:$A$63,0))),""))</f>
        <v/>
      </c>
      <c r="L124" s="25" t="str">
        <f aca="false">IF($E124="","",IFERROR(IF(INDEX(SUPPLIERS!$L$4:$L$63,MATCH($E124,SUPPLIERS!$A$4:$A$63,0))="","",INDEX(SUPPLIERS!$L$4:$L$63,MATCH($E124,SUPPLIERS!$A$4:$A$63,0))),""))</f>
        <v/>
      </c>
      <c r="M124" s="21"/>
      <c r="N124" s="11" t="str">
        <f aca="false">IF($E124="","",IFERROR(_xlfn.TEXTJOIN("; ",TRUE(),INDEX(SUPPLIERS!$F$4:$F$63,MATCH($E124,SUPPLIERS!$A$4:$A$63,0)),INDEX(SUPPLIERS!$G$4:$G$63,MATCH($E124,SUPPLIERS!$A$4:$A$63,0)),INDEX(SUPPLIERS!$H$4:$H$63,MATCH($E124,SUPPLIERS!$A$4:$A$63,0)),INDEX(SUPPLIERS!$I$4:$I$63,MATCH($E124,SUPPLIERS!$A$4:$A$63,0)),INDEX(SUPPLIERS!$J$4:$J$63,MATCH($E124,SUPPLIERS!$A$4:$A$63,0))),""))</f>
        <v/>
      </c>
      <c r="O124" s="26" t="str">
        <f aca="false">IF(COUNT($H124:$L124)&lt;5,"",ROUND($H124*W_SRC+$I124*W_QC+$J124*W_CAP+$K124*W_SUP+$L124*W_EXT,1))</f>
        <v/>
      </c>
      <c r="P124" s="27" t="str">
        <f aca="false">IF(OR($O124="",$M124=""),"",ROUND($O124*$M124,1))</f>
        <v/>
      </c>
      <c r="Q124" s="28" t="str">
        <f aca="false">IF($E124="","",IF($U124&gt;0,"CRITICAL (FLAG)",IF(OR($O124="",$M124=""),"NOT SCORED",IF($P124&gt;=T_CRIT,"CRITICAL",IF($P124&gt;=T_MON,"MONITOR","LOW")))))</f>
        <v/>
      </c>
      <c r="R124" s="12" t="str">
        <f aca="false">IF($O124="","",INDEX(DriverNames,MATCH(MAX($H124:$L124),$H124:$L124,0)))</f>
        <v/>
      </c>
      <c r="S124" s="22"/>
      <c r="T124" s="29"/>
      <c r="U124" s="2" t="str">
        <f aca="false">IF($E124="","",IFERROR(INDEX(SUPPLIERS!$Q$4:$Q$63,MATCH($E124,SUPPLIERS!$A$4:$A$63,0)),0))</f>
        <v/>
      </c>
      <c r="V124" s="2" t="str">
        <f aca="false">IF($Q124="","",IF($U124&gt;0,100,0)+IF($P124="",0,$P124)+ROW()/100000)</f>
        <v/>
      </c>
      <c r="W124" s="2" t="str">
        <f aca="false">IF($V124="","",IF($A124=SEL_MODEL,$V124,""))</f>
        <v/>
      </c>
    </row>
    <row r="125" customFormat="false" ht="15" hidden="false" customHeight="false" outlineLevel="0" collapsed="false">
      <c r="A125" s="20"/>
      <c r="B125" s="21"/>
      <c r="C125" s="22"/>
      <c r="D125" s="21"/>
      <c r="E125" s="20"/>
      <c r="F125" s="23"/>
      <c r="G125" s="24" t="str">
        <f aca="false">IF(OR($A125="",$F125=""),"",IFERROR(IF(INDEX(MODELS!$K$4:$K$28,MATCH($A125,MODELS!$A$4:$A$28,0))="","",$F125*INDEX(MODELS!$K$4:$K$28,MATCH($A125,MODELS!$A$4:$A$28,0))),""))</f>
        <v/>
      </c>
      <c r="H125" s="21"/>
      <c r="I125" s="21"/>
      <c r="J125" s="21"/>
      <c r="K125" s="25" t="str">
        <f aca="false">IF($E125="","",IFERROR(IF(INDEX(SUPPLIERS!$K$4:$K$63,MATCH($E125,SUPPLIERS!$A$4:$A$63,0))="","",INDEX(SUPPLIERS!$K$4:$K$63,MATCH($E125,SUPPLIERS!$A$4:$A$63,0))),""))</f>
        <v/>
      </c>
      <c r="L125" s="25" t="str">
        <f aca="false">IF($E125="","",IFERROR(IF(INDEX(SUPPLIERS!$L$4:$L$63,MATCH($E125,SUPPLIERS!$A$4:$A$63,0))="","",INDEX(SUPPLIERS!$L$4:$L$63,MATCH($E125,SUPPLIERS!$A$4:$A$63,0))),""))</f>
        <v/>
      </c>
      <c r="M125" s="21"/>
      <c r="N125" s="11" t="str">
        <f aca="false">IF($E125="","",IFERROR(_xlfn.TEXTJOIN("; ",TRUE(),INDEX(SUPPLIERS!$F$4:$F$63,MATCH($E125,SUPPLIERS!$A$4:$A$63,0)),INDEX(SUPPLIERS!$G$4:$G$63,MATCH($E125,SUPPLIERS!$A$4:$A$63,0)),INDEX(SUPPLIERS!$H$4:$H$63,MATCH($E125,SUPPLIERS!$A$4:$A$63,0)),INDEX(SUPPLIERS!$I$4:$I$63,MATCH($E125,SUPPLIERS!$A$4:$A$63,0)),INDEX(SUPPLIERS!$J$4:$J$63,MATCH($E125,SUPPLIERS!$A$4:$A$63,0))),""))</f>
        <v/>
      </c>
      <c r="O125" s="26" t="str">
        <f aca="false">IF(COUNT($H125:$L125)&lt;5,"",ROUND($H125*W_SRC+$I125*W_QC+$J125*W_CAP+$K125*W_SUP+$L125*W_EXT,1))</f>
        <v/>
      </c>
      <c r="P125" s="27" t="str">
        <f aca="false">IF(OR($O125="",$M125=""),"",ROUND($O125*$M125,1))</f>
        <v/>
      </c>
      <c r="Q125" s="28" t="str">
        <f aca="false">IF($E125="","",IF($U125&gt;0,"CRITICAL (FLAG)",IF(OR($O125="",$M125=""),"NOT SCORED",IF($P125&gt;=T_CRIT,"CRITICAL",IF($P125&gt;=T_MON,"MONITOR","LOW")))))</f>
        <v/>
      </c>
      <c r="R125" s="12" t="str">
        <f aca="false">IF($O125="","",INDEX(DriverNames,MATCH(MAX($H125:$L125),$H125:$L125,0)))</f>
        <v/>
      </c>
      <c r="S125" s="22"/>
      <c r="T125" s="29"/>
      <c r="U125" s="2" t="str">
        <f aca="false">IF($E125="","",IFERROR(INDEX(SUPPLIERS!$Q$4:$Q$63,MATCH($E125,SUPPLIERS!$A$4:$A$63,0)),0))</f>
        <v/>
      </c>
      <c r="V125" s="2" t="str">
        <f aca="false">IF($Q125="","",IF($U125&gt;0,100,0)+IF($P125="",0,$P125)+ROW()/100000)</f>
        <v/>
      </c>
      <c r="W125" s="2" t="str">
        <f aca="false">IF($V125="","",IF($A125=SEL_MODEL,$V125,""))</f>
        <v/>
      </c>
    </row>
    <row r="126" customFormat="false" ht="15" hidden="false" customHeight="false" outlineLevel="0" collapsed="false">
      <c r="A126" s="20"/>
      <c r="B126" s="21"/>
      <c r="C126" s="22"/>
      <c r="D126" s="21"/>
      <c r="E126" s="20"/>
      <c r="F126" s="23"/>
      <c r="G126" s="24" t="str">
        <f aca="false">IF(OR($A126="",$F126=""),"",IFERROR(IF(INDEX(MODELS!$K$4:$K$28,MATCH($A126,MODELS!$A$4:$A$28,0))="","",$F126*INDEX(MODELS!$K$4:$K$28,MATCH($A126,MODELS!$A$4:$A$28,0))),""))</f>
        <v/>
      </c>
      <c r="H126" s="21"/>
      <c r="I126" s="21"/>
      <c r="J126" s="21"/>
      <c r="K126" s="25" t="str">
        <f aca="false">IF($E126="","",IFERROR(IF(INDEX(SUPPLIERS!$K$4:$K$63,MATCH($E126,SUPPLIERS!$A$4:$A$63,0))="","",INDEX(SUPPLIERS!$K$4:$K$63,MATCH($E126,SUPPLIERS!$A$4:$A$63,0))),""))</f>
        <v/>
      </c>
      <c r="L126" s="25" t="str">
        <f aca="false">IF($E126="","",IFERROR(IF(INDEX(SUPPLIERS!$L$4:$L$63,MATCH($E126,SUPPLIERS!$A$4:$A$63,0))="","",INDEX(SUPPLIERS!$L$4:$L$63,MATCH($E126,SUPPLIERS!$A$4:$A$63,0))),""))</f>
        <v/>
      </c>
      <c r="M126" s="21"/>
      <c r="N126" s="11" t="str">
        <f aca="false">IF($E126="","",IFERROR(_xlfn.TEXTJOIN("; ",TRUE(),INDEX(SUPPLIERS!$F$4:$F$63,MATCH($E126,SUPPLIERS!$A$4:$A$63,0)),INDEX(SUPPLIERS!$G$4:$G$63,MATCH($E126,SUPPLIERS!$A$4:$A$63,0)),INDEX(SUPPLIERS!$H$4:$H$63,MATCH($E126,SUPPLIERS!$A$4:$A$63,0)),INDEX(SUPPLIERS!$I$4:$I$63,MATCH($E126,SUPPLIERS!$A$4:$A$63,0)),INDEX(SUPPLIERS!$J$4:$J$63,MATCH($E126,SUPPLIERS!$A$4:$A$63,0))),""))</f>
        <v/>
      </c>
      <c r="O126" s="26" t="str">
        <f aca="false">IF(COUNT($H126:$L126)&lt;5,"",ROUND($H126*W_SRC+$I126*W_QC+$J126*W_CAP+$K126*W_SUP+$L126*W_EXT,1))</f>
        <v/>
      </c>
      <c r="P126" s="27" t="str">
        <f aca="false">IF(OR($O126="",$M126=""),"",ROUND($O126*$M126,1))</f>
        <v/>
      </c>
      <c r="Q126" s="28" t="str">
        <f aca="false">IF($E126="","",IF($U126&gt;0,"CRITICAL (FLAG)",IF(OR($O126="",$M126=""),"NOT SCORED",IF($P126&gt;=T_CRIT,"CRITICAL",IF($P126&gt;=T_MON,"MONITOR","LOW")))))</f>
        <v/>
      </c>
      <c r="R126" s="12" t="str">
        <f aca="false">IF($O126="","",INDEX(DriverNames,MATCH(MAX($H126:$L126),$H126:$L126,0)))</f>
        <v/>
      </c>
      <c r="S126" s="22"/>
      <c r="T126" s="29"/>
      <c r="U126" s="2" t="str">
        <f aca="false">IF($E126="","",IFERROR(INDEX(SUPPLIERS!$Q$4:$Q$63,MATCH($E126,SUPPLIERS!$A$4:$A$63,0)),0))</f>
        <v/>
      </c>
      <c r="V126" s="2" t="str">
        <f aca="false">IF($Q126="","",IF($U126&gt;0,100,0)+IF($P126="",0,$P126)+ROW()/100000)</f>
        <v/>
      </c>
      <c r="W126" s="2" t="str">
        <f aca="false">IF($V126="","",IF($A126=SEL_MODEL,$V126,""))</f>
        <v/>
      </c>
    </row>
    <row r="127" customFormat="false" ht="15" hidden="false" customHeight="false" outlineLevel="0" collapsed="false">
      <c r="A127" s="20"/>
      <c r="B127" s="21"/>
      <c r="C127" s="22"/>
      <c r="D127" s="21"/>
      <c r="E127" s="20"/>
      <c r="F127" s="23"/>
      <c r="G127" s="24" t="str">
        <f aca="false">IF(OR($A127="",$F127=""),"",IFERROR(IF(INDEX(MODELS!$K$4:$K$28,MATCH($A127,MODELS!$A$4:$A$28,0))="","",$F127*INDEX(MODELS!$K$4:$K$28,MATCH($A127,MODELS!$A$4:$A$28,0))),""))</f>
        <v/>
      </c>
      <c r="H127" s="21"/>
      <c r="I127" s="21"/>
      <c r="J127" s="21"/>
      <c r="K127" s="25" t="str">
        <f aca="false">IF($E127="","",IFERROR(IF(INDEX(SUPPLIERS!$K$4:$K$63,MATCH($E127,SUPPLIERS!$A$4:$A$63,0))="","",INDEX(SUPPLIERS!$K$4:$K$63,MATCH($E127,SUPPLIERS!$A$4:$A$63,0))),""))</f>
        <v/>
      </c>
      <c r="L127" s="25" t="str">
        <f aca="false">IF($E127="","",IFERROR(IF(INDEX(SUPPLIERS!$L$4:$L$63,MATCH($E127,SUPPLIERS!$A$4:$A$63,0))="","",INDEX(SUPPLIERS!$L$4:$L$63,MATCH($E127,SUPPLIERS!$A$4:$A$63,0))),""))</f>
        <v/>
      </c>
      <c r="M127" s="21"/>
      <c r="N127" s="11" t="str">
        <f aca="false">IF($E127="","",IFERROR(_xlfn.TEXTJOIN("; ",TRUE(),INDEX(SUPPLIERS!$F$4:$F$63,MATCH($E127,SUPPLIERS!$A$4:$A$63,0)),INDEX(SUPPLIERS!$G$4:$G$63,MATCH($E127,SUPPLIERS!$A$4:$A$63,0)),INDEX(SUPPLIERS!$H$4:$H$63,MATCH($E127,SUPPLIERS!$A$4:$A$63,0)),INDEX(SUPPLIERS!$I$4:$I$63,MATCH($E127,SUPPLIERS!$A$4:$A$63,0)),INDEX(SUPPLIERS!$J$4:$J$63,MATCH($E127,SUPPLIERS!$A$4:$A$63,0))),""))</f>
        <v/>
      </c>
      <c r="O127" s="26" t="str">
        <f aca="false">IF(COUNT($H127:$L127)&lt;5,"",ROUND($H127*W_SRC+$I127*W_QC+$J127*W_CAP+$K127*W_SUP+$L127*W_EXT,1))</f>
        <v/>
      </c>
      <c r="P127" s="27" t="str">
        <f aca="false">IF(OR($O127="",$M127=""),"",ROUND($O127*$M127,1))</f>
        <v/>
      </c>
      <c r="Q127" s="28" t="str">
        <f aca="false">IF($E127="","",IF($U127&gt;0,"CRITICAL (FLAG)",IF(OR($O127="",$M127=""),"NOT SCORED",IF($P127&gt;=T_CRIT,"CRITICAL",IF($P127&gt;=T_MON,"MONITOR","LOW")))))</f>
        <v/>
      </c>
      <c r="R127" s="12" t="str">
        <f aca="false">IF($O127="","",INDEX(DriverNames,MATCH(MAX($H127:$L127),$H127:$L127,0)))</f>
        <v/>
      </c>
      <c r="S127" s="22"/>
      <c r="T127" s="29"/>
      <c r="U127" s="2" t="str">
        <f aca="false">IF($E127="","",IFERROR(INDEX(SUPPLIERS!$Q$4:$Q$63,MATCH($E127,SUPPLIERS!$A$4:$A$63,0)),0))</f>
        <v/>
      </c>
      <c r="V127" s="2" t="str">
        <f aca="false">IF($Q127="","",IF($U127&gt;0,100,0)+IF($P127="",0,$P127)+ROW()/100000)</f>
        <v/>
      </c>
      <c r="W127" s="2" t="str">
        <f aca="false">IF($V127="","",IF($A127=SEL_MODEL,$V127,""))</f>
        <v/>
      </c>
    </row>
    <row r="128" customFormat="false" ht="15" hidden="false" customHeight="false" outlineLevel="0" collapsed="false">
      <c r="A128" s="20"/>
      <c r="B128" s="21"/>
      <c r="C128" s="22"/>
      <c r="D128" s="21"/>
      <c r="E128" s="20"/>
      <c r="F128" s="23"/>
      <c r="G128" s="24" t="str">
        <f aca="false">IF(OR($A128="",$F128=""),"",IFERROR(IF(INDEX(MODELS!$K$4:$K$28,MATCH($A128,MODELS!$A$4:$A$28,0))="","",$F128*INDEX(MODELS!$K$4:$K$28,MATCH($A128,MODELS!$A$4:$A$28,0))),""))</f>
        <v/>
      </c>
      <c r="H128" s="21"/>
      <c r="I128" s="21"/>
      <c r="J128" s="21"/>
      <c r="K128" s="25" t="str">
        <f aca="false">IF($E128="","",IFERROR(IF(INDEX(SUPPLIERS!$K$4:$K$63,MATCH($E128,SUPPLIERS!$A$4:$A$63,0))="","",INDEX(SUPPLIERS!$K$4:$K$63,MATCH($E128,SUPPLIERS!$A$4:$A$63,0))),""))</f>
        <v/>
      </c>
      <c r="L128" s="25" t="str">
        <f aca="false">IF($E128="","",IFERROR(IF(INDEX(SUPPLIERS!$L$4:$L$63,MATCH($E128,SUPPLIERS!$A$4:$A$63,0))="","",INDEX(SUPPLIERS!$L$4:$L$63,MATCH($E128,SUPPLIERS!$A$4:$A$63,0))),""))</f>
        <v/>
      </c>
      <c r="M128" s="21"/>
      <c r="N128" s="11" t="str">
        <f aca="false">IF($E128="","",IFERROR(_xlfn.TEXTJOIN("; ",TRUE(),INDEX(SUPPLIERS!$F$4:$F$63,MATCH($E128,SUPPLIERS!$A$4:$A$63,0)),INDEX(SUPPLIERS!$G$4:$G$63,MATCH($E128,SUPPLIERS!$A$4:$A$63,0)),INDEX(SUPPLIERS!$H$4:$H$63,MATCH($E128,SUPPLIERS!$A$4:$A$63,0)),INDEX(SUPPLIERS!$I$4:$I$63,MATCH($E128,SUPPLIERS!$A$4:$A$63,0)),INDEX(SUPPLIERS!$J$4:$J$63,MATCH($E128,SUPPLIERS!$A$4:$A$63,0))),""))</f>
        <v/>
      </c>
      <c r="O128" s="26" t="str">
        <f aca="false">IF(COUNT($H128:$L128)&lt;5,"",ROUND($H128*W_SRC+$I128*W_QC+$J128*W_CAP+$K128*W_SUP+$L128*W_EXT,1))</f>
        <v/>
      </c>
      <c r="P128" s="27" t="str">
        <f aca="false">IF(OR($O128="",$M128=""),"",ROUND($O128*$M128,1))</f>
        <v/>
      </c>
      <c r="Q128" s="28" t="str">
        <f aca="false">IF($E128="","",IF($U128&gt;0,"CRITICAL (FLAG)",IF(OR($O128="",$M128=""),"NOT SCORED",IF($P128&gt;=T_CRIT,"CRITICAL",IF($P128&gt;=T_MON,"MONITOR","LOW")))))</f>
        <v/>
      </c>
      <c r="R128" s="12" t="str">
        <f aca="false">IF($O128="","",INDEX(DriverNames,MATCH(MAX($H128:$L128),$H128:$L128,0)))</f>
        <v/>
      </c>
      <c r="S128" s="22"/>
      <c r="T128" s="29"/>
      <c r="U128" s="2" t="str">
        <f aca="false">IF($E128="","",IFERROR(INDEX(SUPPLIERS!$Q$4:$Q$63,MATCH($E128,SUPPLIERS!$A$4:$A$63,0)),0))</f>
        <v/>
      </c>
      <c r="V128" s="2" t="str">
        <f aca="false">IF($Q128="","",IF($U128&gt;0,100,0)+IF($P128="",0,$P128)+ROW()/100000)</f>
        <v/>
      </c>
      <c r="W128" s="2" t="str">
        <f aca="false">IF($V128="","",IF($A128=SEL_MODEL,$V128,""))</f>
        <v/>
      </c>
    </row>
    <row r="129" customFormat="false" ht="15" hidden="false" customHeight="false" outlineLevel="0" collapsed="false">
      <c r="A129" s="20"/>
      <c r="B129" s="21"/>
      <c r="C129" s="22"/>
      <c r="D129" s="21"/>
      <c r="E129" s="20"/>
      <c r="F129" s="23"/>
      <c r="G129" s="24" t="str">
        <f aca="false">IF(OR($A129="",$F129=""),"",IFERROR(IF(INDEX(MODELS!$K$4:$K$28,MATCH($A129,MODELS!$A$4:$A$28,0))="","",$F129*INDEX(MODELS!$K$4:$K$28,MATCH($A129,MODELS!$A$4:$A$28,0))),""))</f>
        <v/>
      </c>
      <c r="H129" s="21"/>
      <c r="I129" s="21"/>
      <c r="J129" s="21"/>
      <c r="K129" s="25" t="str">
        <f aca="false">IF($E129="","",IFERROR(IF(INDEX(SUPPLIERS!$K$4:$K$63,MATCH($E129,SUPPLIERS!$A$4:$A$63,0))="","",INDEX(SUPPLIERS!$K$4:$K$63,MATCH($E129,SUPPLIERS!$A$4:$A$63,0))),""))</f>
        <v/>
      </c>
      <c r="L129" s="25" t="str">
        <f aca="false">IF($E129="","",IFERROR(IF(INDEX(SUPPLIERS!$L$4:$L$63,MATCH($E129,SUPPLIERS!$A$4:$A$63,0))="","",INDEX(SUPPLIERS!$L$4:$L$63,MATCH($E129,SUPPLIERS!$A$4:$A$63,0))),""))</f>
        <v/>
      </c>
      <c r="M129" s="21"/>
      <c r="N129" s="11" t="str">
        <f aca="false">IF($E129="","",IFERROR(_xlfn.TEXTJOIN("; ",TRUE(),INDEX(SUPPLIERS!$F$4:$F$63,MATCH($E129,SUPPLIERS!$A$4:$A$63,0)),INDEX(SUPPLIERS!$G$4:$G$63,MATCH($E129,SUPPLIERS!$A$4:$A$63,0)),INDEX(SUPPLIERS!$H$4:$H$63,MATCH($E129,SUPPLIERS!$A$4:$A$63,0)),INDEX(SUPPLIERS!$I$4:$I$63,MATCH($E129,SUPPLIERS!$A$4:$A$63,0)),INDEX(SUPPLIERS!$J$4:$J$63,MATCH($E129,SUPPLIERS!$A$4:$A$63,0))),""))</f>
        <v/>
      </c>
      <c r="O129" s="26" t="str">
        <f aca="false">IF(COUNT($H129:$L129)&lt;5,"",ROUND($H129*W_SRC+$I129*W_QC+$J129*W_CAP+$K129*W_SUP+$L129*W_EXT,1))</f>
        <v/>
      </c>
      <c r="P129" s="27" t="str">
        <f aca="false">IF(OR($O129="",$M129=""),"",ROUND($O129*$M129,1))</f>
        <v/>
      </c>
      <c r="Q129" s="28" t="str">
        <f aca="false">IF($E129="","",IF($U129&gt;0,"CRITICAL (FLAG)",IF(OR($O129="",$M129=""),"NOT SCORED",IF($P129&gt;=T_CRIT,"CRITICAL",IF($P129&gt;=T_MON,"MONITOR","LOW")))))</f>
        <v/>
      </c>
      <c r="R129" s="12" t="str">
        <f aca="false">IF($O129="","",INDEX(DriverNames,MATCH(MAX($H129:$L129),$H129:$L129,0)))</f>
        <v/>
      </c>
      <c r="S129" s="22"/>
      <c r="T129" s="29"/>
      <c r="U129" s="2" t="str">
        <f aca="false">IF($E129="","",IFERROR(INDEX(SUPPLIERS!$Q$4:$Q$63,MATCH($E129,SUPPLIERS!$A$4:$A$63,0)),0))</f>
        <v/>
      </c>
      <c r="V129" s="2" t="str">
        <f aca="false">IF($Q129="","",IF($U129&gt;0,100,0)+IF($P129="",0,$P129)+ROW()/100000)</f>
        <v/>
      </c>
      <c r="W129" s="2" t="str">
        <f aca="false">IF($V129="","",IF($A129=SEL_MODEL,$V129,""))</f>
        <v/>
      </c>
    </row>
    <row r="130" customFormat="false" ht="15" hidden="false" customHeight="false" outlineLevel="0" collapsed="false">
      <c r="A130" s="20"/>
      <c r="B130" s="21"/>
      <c r="C130" s="22"/>
      <c r="D130" s="21"/>
      <c r="E130" s="20"/>
      <c r="F130" s="23"/>
      <c r="G130" s="24" t="str">
        <f aca="false">IF(OR($A130="",$F130=""),"",IFERROR(IF(INDEX(MODELS!$K$4:$K$28,MATCH($A130,MODELS!$A$4:$A$28,0))="","",$F130*INDEX(MODELS!$K$4:$K$28,MATCH($A130,MODELS!$A$4:$A$28,0))),""))</f>
        <v/>
      </c>
      <c r="H130" s="21"/>
      <c r="I130" s="21"/>
      <c r="J130" s="21"/>
      <c r="K130" s="25" t="str">
        <f aca="false">IF($E130="","",IFERROR(IF(INDEX(SUPPLIERS!$K$4:$K$63,MATCH($E130,SUPPLIERS!$A$4:$A$63,0))="","",INDEX(SUPPLIERS!$K$4:$K$63,MATCH($E130,SUPPLIERS!$A$4:$A$63,0))),""))</f>
        <v/>
      </c>
      <c r="L130" s="25" t="str">
        <f aca="false">IF($E130="","",IFERROR(IF(INDEX(SUPPLIERS!$L$4:$L$63,MATCH($E130,SUPPLIERS!$A$4:$A$63,0))="","",INDEX(SUPPLIERS!$L$4:$L$63,MATCH($E130,SUPPLIERS!$A$4:$A$63,0))),""))</f>
        <v/>
      </c>
      <c r="M130" s="21"/>
      <c r="N130" s="11" t="str">
        <f aca="false">IF($E130="","",IFERROR(_xlfn.TEXTJOIN("; ",TRUE(),INDEX(SUPPLIERS!$F$4:$F$63,MATCH($E130,SUPPLIERS!$A$4:$A$63,0)),INDEX(SUPPLIERS!$G$4:$G$63,MATCH($E130,SUPPLIERS!$A$4:$A$63,0)),INDEX(SUPPLIERS!$H$4:$H$63,MATCH($E130,SUPPLIERS!$A$4:$A$63,0)),INDEX(SUPPLIERS!$I$4:$I$63,MATCH($E130,SUPPLIERS!$A$4:$A$63,0)),INDEX(SUPPLIERS!$J$4:$J$63,MATCH($E130,SUPPLIERS!$A$4:$A$63,0))),""))</f>
        <v/>
      </c>
      <c r="O130" s="26" t="str">
        <f aca="false">IF(COUNT($H130:$L130)&lt;5,"",ROUND($H130*W_SRC+$I130*W_QC+$J130*W_CAP+$K130*W_SUP+$L130*W_EXT,1))</f>
        <v/>
      </c>
      <c r="P130" s="27" t="str">
        <f aca="false">IF(OR($O130="",$M130=""),"",ROUND($O130*$M130,1))</f>
        <v/>
      </c>
      <c r="Q130" s="28" t="str">
        <f aca="false">IF($E130="","",IF($U130&gt;0,"CRITICAL (FLAG)",IF(OR($O130="",$M130=""),"NOT SCORED",IF($P130&gt;=T_CRIT,"CRITICAL",IF($P130&gt;=T_MON,"MONITOR","LOW")))))</f>
        <v/>
      </c>
      <c r="R130" s="12" t="str">
        <f aca="false">IF($O130="","",INDEX(DriverNames,MATCH(MAX($H130:$L130),$H130:$L130,0)))</f>
        <v/>
      </c>
      <c r="S130" s="22"/>
      <c r="T130" s="29"/>
      <c r="U130" s="2" t="str">
        <f aca="false">IF($E130="","",IFERROR(INDEX(SUPPLIERS!$Q$4:$Q$63,MATCH($E130,SUPPLIERS!$A$4:$A$63,0)),0))</f>
        <v/>
      </c>
      <c r="V130" s="2" t="str">
        <f aca="false">IF($Q130="","",IF($U130&gt;0,100,0)+IF($P130="",0,$P130)+ROW()/100000)</f>
        <v/>
      </c>
      <c r="W130" s="2" t="str">
        <f aca="false">IF($V130="","",IF($A130=SEL_MODEL,$V130,""))</f>
        <v/>
      </c>
    </row>
    <row r="131" customFormat="false" ht="15" hidden="false" customHeight="false" outlineLevel="0" collapsed="false">
      <c r="A131" s="20"/>
      <c r="B131" s="21"/>
      <c r="C131" s="22"/>
      <c r="D131" s="21"/>
      <c r="E131" s="20"/>
      <c r="F131" s="23"/>
      <c r="G131" s="24" t="str">
        <f aca="false">IF(OR($A131="",$F131=""),"",IFERROR(IF(INDEX(MODELS!$K$4:$K$28,MATCH($A131,MODELS!$A$4:$A$28,0))="","",$F131*INDEX(MODELS!$K$4:$K$28,MATCH($A131,MODELS!$A$4:$A$28,0))),""))</f>
        <v/>
      </c>
      <c r="H131" s="21"/>
      <c r="I131" s="21"/>
      <c r="J131" s="21"/>
      <c r="K131" s="25" t="str">
        <f aca="false">IF($E131="","",IFERROR(IF(INDEX(SUPPLIERS!$K$4:$K$63,MATCH($E131,SUPPLIERS!$A$4:$A$63,0))="","",INDEX(SUPPLIERS!$K$4:$K$63,MATCH($E131,SUPPLIERS!$A$4:$A$63,0))),""))</f>
        <v/>
      </c>
      <c r="L131" s="25" t="str">
        <f aca="false">IF($E131="","",IFERROR(IF(INDEX(SUPPLIERS!$L$4:$L$63,MATCH($E131,SUPPLIERS!$A$4:$A$63,0))="","",INDEX(SUPPLIERS!$L$4:$L$63,MATCH($E131,SUPPLIERS!$A$4:$A$63,0))),""))</f>
        <v/>
      </c>
      <c r="M131" s="21"/>
      <c r="N131" s="11" t="str">
        <f aca="false">IF($E131="","",IFERROR(_xlfn.TEXTJOIN("; ",TRUE(),INDEX(SUPPLIERS!$F$4:$F$63,MATCH($E131,SUPPLIERS!$A$4:$A$63,0)),INDEX(SUPPLIERS!$G$4:$G$63,MATCH($E131,SUPPLIERS!$A$4:$A$63,0)),INDEX(SUPPLIERS!$H$4:$H$63,MATCH($E131,SUPPLIERS!$A$4:$A$63,0)),INDEX(SUPPLIERS!$I$4:$I$63,MATCH($E131,SUPPLIERS!$A$4:$A$63,0)),INDEX(SUPPLIERS!$J$4:$J$63,MATCH($E131,SUPPLIERS!$A$4:$A$63,0))),""))</f>
        <v/>
      </c>
      <c r="O131" s="26" t="str">
        <f aca="false">IF(COUNT($H131:$L131)&lt;5,"",ROUND($H131*W_SRC+$I131*W_QC+$J131*W_CAP+$K131*W_SUP+$L131*W_EXT,1))</f>
        <v/>
      </c>
      <c r="P131" s="27" t="str">
        <f aca="false">IF(OR($O131="",$M131=""),"",ROUND($O131*$M131,1))</f>
        <v/>
      </c>
      <c r="Q131" s="28" t="str">
        <f aca="false">IF($E131="","",IF($U131&gt;0,"CRITICAL (FLAG)",IF(OR($O131="",$M131=""),"NOT SCORED",IF($P131&gt;=T_CRIT,"CRITICAL",IF($P131&gt;=T_MON,"MONITOR","LOW")))))</f>
        <v/>
      </c>
      <c r="R131" s="12" t="str">
        <f aca="false">IF($O131="","",INDEX(DriverNames,MATCH(MAX($H131:$L131),$H131:$L131,0)))</f>
        <v/>
      </c>
      <c r="S131" s="22"/>
      <c r="T131" s="29"/>
      <c r="U131" s="2" t="str">
        <f aca="false">IF($E131="","",IFERROR(INDEX(SUPPLIERS!$Q$4:$Q$63,MATCH($E131,SUPPLIERS!$A$4:$A$63,0)),0))</f>
        <v/>
      </c>
      <c r="V131" s="2" t="str">
        <f aca="false">IF($Q131="","",IF($U131&gt;0,100,0)+IF($P131="",0,$P131)+ROW()/100000)</f>
        <v/>
      </c>
      <c r="W131" s="2" t="str">
        <f aca="false">IF($V131="","",IF($A131=SEL_MODEL,$V131,""))</f>
        <v/>
      </c>
    </row>
    <row r="132" customFormat="false" ht="15" hidden="false" customHeight="false" outlineLevel="0" collapsed="false">
      <c r="A132" s="20"/>
      <c r="B132" s="21"/>
      <c r="C132" s="22"/>
      <c r="D132" s="21"/>
      <c r="E132" s="20"/>
      <c r="F132" s="23"/>
      <c r="G132" s="24" t="str">
        <f aca="false">IF(OR($A132="",$F132=""),"",IFERROR(IF(INDEX(MODELS!$K$4:$K$28,MATCH($A132,MODELS!$A$4:$A$28,0))="","",$F132*INDEX(MODELS!$K$4:$K$28,MATCH($A132,MODELS!$A$4:$A$28,0))),""))</f>
        <v/>
      </c>
      <c r="H132" s="21"/>
      <c r="I132" s="21"/>
      <c r="J132" s="21"/>
      <c r="K132" s="25" t="str">
        <f aca="false">IF($E132="","",IFERROR(IF(INDEX(SUPPLIERS!$K$4:$K$63,MATCH($E132,SUPPLIERS!$A$4:$A$63,0))="","",INDEX(SUPPLIERS!$K$4:$K$63,MATCH($E132,SUPPLIERS!$A$4:$A$63,0))),""))</f>
        <v/>
      </c>
      <c r="L132" s="25" t="str">
        <f aca="false">IF($E132="","",IFERROR(IF(INDEX(SUPPLIERS!$L$4:$L$63,MATCH($E132,SUPPLIERS!$A$4:$A$63,0))="","",INDEX(SUPPLIERS!$L$4:$L$63,MATCH($E132,SUPPLIERS!$A$4:$A$63,0))),""))</f>
        <v/>
      </c>
      <c r="M132" s="21"/>
      <c r="N132" s="11" t="str">
        <f aca="false">IF($E132="","",IFERROR(_xlfn.TEXTJOIN("; ",TRUE(),INDEX(SUPPLIERS!$F$4:$F$63,MATCH($E132,SUPPLIERS!$A$4:$A$63,0)),INDEX(SUPPLIERS!$G$4:$G$63,MATCH($E132,SUPPLIERS!$A$4:$A$63,0)),INDEX(SUPPLIERS!$H$4:$H$63,MATCH($E132,SUPPLIERS!$A$4:$A$63,0)),INDEX(SUPPLIERS!$I$4:$I$63,MATCH($E132,SUPPLIERS!$A$4:$A$63,0)),INDEX(SUPPLIERS!$J$4:$J$63,MATCH($E132,SUPPLIERS!$A$4:$A$63,0))),""))</f>
        <v/>
      </c>
      <c r="O132" s="26" t="str">
        <f aca="false">IF(COUNT($H132:$L132)&lt;5,"",ROUND($H132*W_SRC+$I132*W_QC+$J132*W_CAP+$K132*W_SUP+$L132*W_EXT,1))</f>
        <v/>
      </c>
      <c r="P132" s="27" t="str">
        <f aca="false">IF(OR($O132="",$M132=""),"",ROUND($O132*$M132,1))</f>
        <v/>
      </c>
      <c r="Q132" s="28" t="str">
        <f aca="false">IF($E132="","",IF($U132&gt;0,"CRITICAL (FLAG)",IF(OR($O132="",$M132=""),"NOT SCORED",IF($P132&gt;=T_CRIT,"CRITICAL",IF($P132&gt;=T_MON,"MONITOR","LOW")))))</f>
        <v/>
      </c>
      <c r="R132" s="12" t="str">
        <f aca="false">IF($O132="","",INDEX(DriverNames,MATCH(MAX($H132:$L132),$H132:$L132,0)))</f>
        <v/>
      </c>
      <c r="S132" s="22"/>
      <c r="T132" s="29"/>
      <c r="U132" s="2" t="str">
        <f aca="false">IF($E132="","",IFERROR(INDEX(SUPPLIERS!$Q$4:$Q$63,MATCH($E132,SUPPLIERS!$A$4:$A$63,0)),0))</f>
        <v/>
      </c>
      <c r="V132" s="2" t="str">
        <f aca="false">IF($Q132="","",IF($U132&gt;0,100,0)+IF($P132="",0,$P132)+ROW()/100000)</f>
        <v/>
      </c>
      <c r="W132" s="2" t="str">
        <f aca="false">IF($V132="","",IF($A132=SEL_MODEL,$V132,""))</f>
        <v/>
      </c>
    </row>
    <row r="133" customFormat="false" ht="15" hidden="false" customHeight="false" outlineLevel="0" collapsed="false">
      <c r="A133" s="20"/>
      <c r="B133" s="21"/>
      <c r="C133" s="22"/>
      <c r="D133" s="21"/>
      <c r="E133" s="20"/>
      <c r="F133" s="23"/>
      <c r="G133" s="24" t="str">
        <f aca="false">IF(OR($A133="",$F133=""),"",IFERROR(IF(INDEX(MODELS!$K$4:$K$28,MATCH($A133,MODELS!$A$4:$A$28,0))="","",$F133*INDEX(MODELS!$K$4:$K$28,MATCH($A133,MODELS!$A$4:$A$28,0))),""))</f>
        <v/>
      </c>
      <c r="H133" s="21"/>
      <c r="I133" s="21"/>
      <c r="J133" s="21"/>
      <c r="K133" s="25" t="str">
        <f aca="false">IF($E133="","",IFERROR(IF(INDEX(SUPPLIERS!$K$4:$K$63,MATCH($E133,SUPPLIERS!$A$4:$A$63,0))="","",INDEX(SUPPLIERS!$K$4:$K$63,MATCH($E133,SUPPLIERS!$A$4:$A$63,0))),""))</f>
        <v/>
      </c>
      <c r="L133" s="25" t="str">
        <f aca="false">IF($E133="","",IFERROR(IF(INDEX(SUPPLIERS!$L$4:$L$63,MATCH($E133,SUPPLIERS!$A$4:$A$63,0))="","",INDEX(SUPPLIERS!$L$4:$L$63,MATCH($E133,SUPPLIERS!$A$4:$A$63,0))),""))</f>
        <v/>
      </c>
      <c r="M133" s="21"/>
      <c r="N133" s="11" t="str">
        <f aca="false">IF($E133="","",IFERROR(_xlfn.TEXTJOIN("; ",TRUE(),INDEX(SUPPLIERS!$F$4:$F$63,MATCH($E133,SUPPLIERS!$A$4:$A$63,0)),INDEX(SUPPLIERS!$G$4:$G$63,MATCH($E133,SUPPLIERS!$A$4:$A$63,0)),INDEX(SUPPLIERS!$H$4:$H$63,MATCH($E133,SUPPLIERS!$A$4:$A$63,0)),INDEX(SUPPLIERS!$I$4:$I$63,MATCH($E133,SUPPLIERS!$A$4:$A$63,0)),INDEX(SUPPLIERS!$J$4:$J$63,MATCH($E133,SUPPLIERS!$A$4:$A$63,0))),""))</f>
        <v/>
      </c>
      <c r="O133" s="26" t="str">
        <f aca="false">IF(COUNT($H133:$L133)&lt;5,"",ROUND($H133*W_SRC+$I133*W_QC+$J133*W_CAP+$K133*W_SUP+$L133*W_EXT,1))</f>
        <v/>
      </c>
      <c r="P133" s="27" t="str">
        <f aca="false">IF(OR($O133="",$M133=""),"",ROUND($O133*$M133,1))</f>
        <v/>
      </c>
      <c r="Q133" s="28" t="str">
        <f aca="false">IF($E133="","",IF($U133&gt;0,"CRITICAL (FLAG)",IF(OR($O133="",$M133=""),"NOT SCORED",IF($P133&gt;=T_CRIT,"CRITICAL",IF($P133&gt;=T_MON,"MONITOR","LOW")))))</f>
        <v/>
      </c>
      <c r="R133" s="12" t="str">
        <f aca="false">IF($O133="","",INDEX(DriverNames,MATCH(MAX($H133:$L133),$H133:$L133,0)))</f>
        <v/>
      </c>
      <c r="S133" s="22"/>
      <c r="T133" s="29"/>
      <c r="U133" s="2" t="str">
        <f aca="false">IF($E133="","",IFERROR(INDEX(SUPPLIERS!$Q$4:$Q$63,MATCH($E133,SUPPLIERS!$A$4:$A$63,0)),0))</f>
        <v/>
      </c>
      <c r="V133" s="2" t="str">
        <f aca="false">IF($Q133="","",IF($U133&gt;0,100,0)+IF($P133="",0,$P133)+ROW()/100000)</f>
        <v/>
      </c>
      <c r="W133" s="2" t="str">
        <f aca="false">IF($V133="","",IF($A133=SEL_MODEL,$V133,""))</f>
        <v/>
      </c>
    </row>
    <row r="134" customFormat="false" ht="15" hidden="false" customHeight="false" outlineLevel="0" collapsed="false">
      <c r="A134" s="20"/>
      <c r="B134" s="21"/>
      <c r="C134" s="22"/>
      <c r="D134" s="21"/>
      <c r="E134" s="20"/>
      <c r="F134" s="23"/>
      <c r="G134" s="24" t="str">
        <f aca="false">IF(OR($A134="",$F134=""),"",IFERROR(IF(INDEX(MODELS!$K$4:$K$28,MATCH($A134,MODELS!$A$4:$A$28,0))="","",$F134*INDEX(MODELS!$K$4:$K$28,MATCH($A134,MODELS!$A$4:$A$28,0))),""))</f>
        <v/>
      </c>
      <c r="H134" s="21"/>
      <c r="I134" s="21"/>
      <c r="J134" s="21"/>
      <c r="K134" s="25" t="str">
        <f aca="false">IF($E134="","",IFERROR(IF(INDEX(SUPPLIERS!$K$4:$K$63,MATCH($E134,SUPPLIERS!$A$4:$A$63,0))="","",INDEX(SUPPLIERS!$K$4:$K$63,MATCH($E134,SUPPLIERS!$A$4:$A$63,0))),""))</f>
        <v/>
      </c>
      <c r="L134" s="25" t="str">
        <f aca="false">IF($E134="","",IFERROR(IF(INDEX(SUPPLIERS!$L$4:$L$63,MATCH($E134,SUPPLIERS!$A$4:$A$63,0))="","",INDEX(SUPPLIERS!$L$4:$L$63,MATCH($E134,SUPPLIERS!$A$4:$A$63,0))),""))</f>
        <v/>
      </c>
      <c r="M134" s="21"/>
      <c r="N134" s="11" t="str">
        <f aca="false">IF($E134="","",IFERROR(_xlfn.TEXTJOIN("; ",TRUE(),INDEX(SUPPLIERS!$F$4:$F$63,MATCH($E134,SUPPLIERS!$A$4:$A$63,0)),INDEX(SUPPLIERS!$G$4:$G$63,MATCH($E134,SUPPLIERS!$A$4:$A$63,0)),INDEX(SUPPLIERS!$H$4:$H$63,MATCH($E134,SUPPLIERS!$A$4:$A$63,0)),INDEX(SUPPLIERS!$I$4:$I$63,MATCH($E134,SUPPLIERS!$A$4:$A$63,0)),INDEX(SUPPLIERS!$J$4:$J$63,MATCH($E134,SUPPLIERS!$A$4:$A$63,0))),""))</f>
        <v/>
      </c>
      <c r="O134" s="26" t="str">
        <f aca="false">IF(COUNT($H134:$L134)&lt;5,"",ROUND($H134*W_SRC+$I134*W_QC+$J134*W_CAP+$K134*W_SUP+$L134*W_EXT,1))</f>
        <v/>
      </c>
      <c r="P134" s="27" t="str">
        <f aca="false">IF(OR($O134="",$M134=""),"",ROUND($O134*$M134,1))</f>
        <v/>
      </c>
      <c r="Q134" s="28" t="str">
        <f aca="false">IF($E134="","",IF($U134&gt;0,"CRITICAL (FLAG)",IF(OR($O134="",$M134=""),"NOT SCORED",IF($P134&gt;=T_CRIT,"CRITICAL",IF($P134&gt;=T_MON,"MONITOR","LOW")))))</f>
        <v/>
      </c>
      <c r="R134" s="12" t="str">
        <f aca="false">IF($O134="","",INDEX(DriverNames,MATCH(MAX($H134:$L134),$H134:$L134,0)))</f>
        <v/>
      </c>
      <c r="S134" s="22"/>
      <c r="T134" s="29"/>
      <c r="U134" s="2" t="str">
        <f aca="false">IF($E134="","",IFERROR(INDEX(SUPPLIERS!$Q$4:$Q$63,MATCH($E134,SUPPLIERS!$A$4:$A$63,0)),0))</f>
        <v/>
      </c>
      <c r="V134" s="2" t="str">
        <f aca="false">IF($Q134="","",IF($U134&gt;0,100,0)+IF($P134="",0,$P134)+ROW()/100000)</f>
        <v/>
      </c>
      <c r="W134" s="2" t="str">
        <f aca="false">IF($V134="","",IF($A134=SEL_MODEL,$V134,""))</f>
        <v/>
      </c>
    </row>
    <row r="135" customFormat="false" ht="15" hidden="false" customHeight="false" outlineLevel="0" collapsed="false">
      <c r="A135" s="20"/>
      <c r="B135" s="21"/>
      <c r="C135" s="22"/>
      <c r="D135" s="21"/>
      <c r="E135" s="20"/>
      <c r="F135" s="23"/>
      <c r="G135" s="24" t="str">
        <f aca="false">IF(OR($A135="",$F135=""),"",IFERROR(IF(INDEX(MODELS!$K$4:$K$28,MATCH($A135,MODELS!$A$4:$A$28,0))="","",$F135*INDEX(MODELS!$K$4:$K$28,MATCH($A135,MODELS!$A$4:$A$28,0))),""))</f>
        <v/>
      </c>
      <c r="H135" s="21"/>
      <c r="I135" s="21"/>
      <c r="J135" s="21"/>
      <c r="K135" s="25" t="str">
        <f aca="false">IF($E135="","",IFERROR(IF(INDEX(SUPPLIERS!$K$4:$K$63,MATCH($E135,SUPPLIERS!$A$4:$A$63,0))="","",INDEX(SUPPLIERS!$K$4:$K$63,MATCH($E135,SUPPLIERS!$A$4:$A$63,0))),""))</f>
        <v/>
      </c>
      <c r="L135" s="25" t="str">
        <f aca="false">IF($E135="","",IFERROR(IF(INDEX(SUPPLIERS!$L$4:$L$63,MATCH($E135,SUPPLIERS!$A$4:$A$63,0))="","",INDEX(SUPPLIERS!$L$4:$L$63,MATCH($E135,SUPPLIERS!$A$4:$A$63,0))),""))</f>
        <v/>
      </c>
      <c r="M135" s="21"/>
      <c r="N135" s="11" t="str">
        <f aca="false">IF($E135="","",IFERROR(_xlfn.TEXTJOIN("; ",TRUE(),INDEX(SUPPLIERS!$F$4:$F$63,MATCH($E135,SUPPLIERS!$A$4:$A$63,0)),INDEX(SUPPLIERS!$G$4:$G$63,MATCH($E135,SUPPLIERS!$A$4:$A$63,0)),INDEX(SUPPLIERS!$H$4:$H$63,MATCH($E135,SUPPLIERS!$A$4:$A$63,0)),INDEX(SUPPLIERS!$I$4:$I$63,MATCH($E135,SUPPLIERS!$A$4:$A$63,0)),INDEX(SUPPLIERS!$J$4:$J$63,MATCH($E135,SUPPLIERS!$A$4:$A$63,0))),""))</f>
        <v/>
      </c>
      <c r="O135" s="26" t="str">
        <f aca="false">IF(COUNT($H135:$L135)&lt;5,"",ROUND($H135*W_SRC+$I135*W_QC+$J135*W_CAP+$K135*W_SUP+$L135*W_EXT,1))</f>
        <v/>
      </c>
      <c r="P135" s="27" t="str">
        <f aca="false">IF(OR($O135="",$M135=""),"",ROUND($O135*$M135,1))</f>
        <v/>
      </c>
      <c r="Q135" s="28" t="str">
        <f aca="false">IF($E135="","",IF($U135&gt;0,"CRITICAL (FLAG)",IF(OR($O135="",$M135=""),"NOT SCORED",IF($P135&gt;=T_CRIT,"CRITICAL",IF($P135&gt;=T_MON,"MONITOR","LOW")))))</f>
        <v/>
      </c>
      <c r="R135" s="12" t="str">
        <f aca="false">IF($O135="","",INDEX(DriverNames,MATCH(MAX($H135:$L135),$H135:$L135,0)))</f>
        <v/>
      </c>
      <c r="S135" s="22"/>
      <c r="T135" s="29"/>
      <c r="U135" s="2" t="str">
        <f aca="false">IF($E135="","",IFERROR(INDEX(SUPPLIERS!$Q$4:$Q$63,MATCH($E135,SUPPLIERS!$A$4:$A$63,0)),0))</f>
        <v/>
      </c>
      <c r="V135" s="2" t="str">
        <f aca="false">IF($Q135="","",IF($U135&gt;0,100,0)+IF($P135="",0,$P135)+ROW()/100000)</f>
        <v/>
      </c>
      <c r="W135" s="2" t="str">
        <f aca="false">IF($V135="","",IF($A135=SEL_MODEL,$V135,""))</f>
        <v/>
      </c>
    </row>
    <row r="136" customFormat="false" ht="15" hidden="false" customHeight="false" outlineLevel="0" collapsed="false">
      <c r="A136" s="20"/>
      <c r="B136" s="21"/>
      <c r="C136" s="22"/>
      <c r="D136" s="21"/>
      <c r="E136" s="20"/>
      <c r="F136" s="23"/>
      <c r="G136" s="24" t="str">
        <f aca="false">IF(OR($A136="",$F136=""),"",IFERROR(IF(INDEX(MODELS!$K$4:$K$28,MATCH($A136,MODELS!$A$4:$A$28,0))="","",$F136*INDEX(MODELS!$K$4:$K$28,MATCH($A136,MODELS!$A$4:$A$28,0))),""))</f>
        <v/>
      </c>
      <c r="H136" s="21"/>
      <c r="I136" s="21"/>
      <c r="J136" s="21"/>
      <c r="K136" s="25" t="str">
        <f aca="false">IF($E136="","",IFERROR(IF(INDEX(SUPPLIERS!$K$4:$K$63,MATCH($E136,SUPPLIERS!$A$4:$A$63,0))="","",INDEX(SUPPLIERS!$K$4:$K$63,MATCH($E136,SUPPLIERS!$A$4:$A$63,0))),""))</f>
        <v/>
      </c>
      <c r="L136" s="25" t="str">
        <f aca="false">IF($E136="","",IFERROR(IF(INDEX(SUPPLIERS!$L$4:$L$63,MATCH($E136,SUPPLIERS!$A$4:$A$63,0))="","",INDEX(SUPPLIERS!$L$4:$L$63,MATCH($E136,SUPPLIERS!$A$4:$A$63,0))),""))</f>
        <v/>
      </c>
      <c r="M136" s="21"/>
      <c r="N136" s="11" t="str">
        <f aca="false">IF($E136="","",IFERROR(_xlfn.TEXTJOIN("; ",TRUE(),INDEX(SUPPLIERS!$F$4:$F$63,MATCH($E136,SUPPLIERS!$A$4:$A$63,0)),INDEX(SUPPLIERS!$G$4:$G$63,MATCH($E136,SUPPLIERS!$A$4:$A$63,0)),INDEX(SUPPLIERS!$H$4:$H$63,MATCH($E136,SUPPLIERS!$A$4:$A$63,0)),INDEX(SUPPLIERS!$I$4:$I$63,MATCH($E136,SUPPLIERS!$A$4:$A$63,0)),INDEX(SUPPLIERS!$J$4:$J$63,MATCH($E136,SUPPLIERS!$A$4:$A$63,0))),""))</f>
        <v/>
      </c>
      <c r="O136" s="26" t="str">
        <f aca="false">IF(COUNT($H136:$L136)&lt;5,"",ROUND($H136*W_SRC+$I136*W_QC+$J136*W_CAP+$K136*W_SUP+$L136*W_EXT,1))</f>
        <v/>
      </c>
      <c r="P136" s="27" t="str">
        <f aca="false">IF(OR($O136="",$M136=""),"",ROUND($O136*$M136,1))</f>
        <v/>
      </c>
      <c r="Q136" s="28" t="str">
        <f aca="false">IF($E136="","",IF($U136&gt;0,"CRITICAL (FLAG)",IF(OR($O136="",$M136=""),"NOT SCORED",IF($P136&gt;=T_CRIT,"CRITICAL",IF($P136&gt;=T_MON,"MONITOR","LOW")))))</f>
        <v/>
      </c>
      <c r="R136" s="12" t="str">
        <f aca="false">IF($O136="","",INDEX(DriverNames,MATCH(MAX($H136:$L136),$H136:$L136,0)))</f>
        <v/>
      </c>
      <c r="S136" s="22"/>
      <c r="T136" s="29"/>
      <c r="U136" s="2" t="str">
        <f aca="false">IF($E136="","",IFERROR(INDEX(SUPPLIERS!$Q$4:$Q$63,MATCH($E136,SUPPLIERS!$A$4:$A$63,0)),0))</f>
        <v/>
      </c>
      <c r="V136" s="2" t="str">
        <f aca="false">IF($Q136="","",IF($U136&gt;0,100,0)+IF($P136="",0,$P136)+ROW()/100000)</f>
        <v/>
      </c>
      <c r="W136" s="2" t="str">
        <f aca="false">IF($V136="","",IF($A136=SEL_MODEL,$V136,""))</f>
        <v/>
      </c>
    </row>
    <row r="137" customFormat="false" ht="15" hidden="false" customHeight="false" outlineLevel="0" collapsed="false">
      <c r="A137" s="20"/>
      <c r="B137" s="21"/>
      <c r="C137" s="22"/>
      <c r="D137" s="21"/>
      <c r="E137" s="20"/>
      <c r="F137" s="23"/>
      <c r="G137" s="24" t="str">
        <f aca="false">IF(OR($A137="",$F137=""),"",IFERROR(IF(INDEX(MODELS!$K$4:$K$28,MATCH($A137,MODELS!$A$4:$A$28,0))="","",$F137*INDEX(MODELS!$K$4:$K$28,MATCH($A137,MODELS!$A$4:$A$28,0))),""))</f>
        <v/>
      </c>
      <c r="H137" s="21"/>
      <c r="I137" s="21"/>
      <c r="J137" s="21"/>
      <c r="K137" s="25" t="str">
        <f aca="false">IF($E137="","",IFERROR(IF(INDEX(SUPPLIERS!$K$4:$K$63,MATCH($E137,SUPPLIERS!$A$4:$A$63,0))="","",INDEX(SUPPLIERS!$K$4:$K$63,MATCH($E137,SUPPLIERS!$A$4:$A$63,0))),""))</f>
        <v/>
      </c>
      <c r="L137" s="25" t="str">
        <f aca="false">IF($E137="","",IFERROR(IF(INDEX(SUPPLIERS!$L$4:$L$63,MATCH($E137,SUPPLIERS!$A$4:$A$63,0))="","",INDEX(SUPPLIERS!$L$4:$L$63,MATCH($E137,SUPPLIERS!$A$4:$A$63,0))),""))</f>
        <v/>
      </c>
      <c r="M137" s="21"/>
      <c r="N137" s="11" t="str">
        <f aca="false">IF($E137="","",IFERROR(_xlfn.TEXTJOIN("; ",TRUE(),INDEX(SUPPLIERS!$F$4:$F$63,MATCH($E137,SUPPLIERS!$A$4:$A$63,0)),INDEX(SUPPLIERS!$G$4:$G$63,MATCH($E137,SUPPLIERS!$A$4:$A$63,0)),INDEX(SUPPLIERS!$H$4:$H$63,MATCH($E137,SUPPLIERS!$A$4:$A$63,0)),INDEX(SUPPLIERS!$I$4:$I$63,MATCH($E137,SUPPLIERS!$A$4:$A$63,0)),INDEX(SUPPLIERS!$J$4:$J$63,MATCH($E137,SUPPLIERS!$A$4:$A$63,0))),""))</f>
        <v/>
      </c>
      <c r="O137" s="26" t="str">
        <f aca="false">IF(COUNT($H137:$L137)&lt;5,"",ROUND($H137*W_SRC+$I137*W_QC+$J137*W_CAP+$K137*W_SUP+$L137*W_EXT,1))</f>
        <v/>
      </c>
      <c r="P137" s="27" t="str">
        <f aca="false">IF(OR($O137="",$M137=""),"",ROUND($O137*$M137,1))</f>
        <v/>
      </c>
      <c r="Q137" s="28" t="str">
        <f aca="false">IF($E137="","",IF($U137&gt;0,"CRITICAL (FLAG)",IF(OR($O137="",$M137=""),"NOT SCORED",IF($P137&gt;=T_CRIT,"CRITICAL",IF($P137&gt;=T_MON,"MONITOR","LOW")))))</f>
        <v/>
      </c>
      <c r="R137" s="12" t="str">
        <f aca="false">IF($O137="","",INDEX(DriverNames,MATCH(MAX($H137:$L137),$H137:$L137,0)))</f>
        <v/>
      </c>
      <c r="S137" s="22"/>
      <c r="T137" s="29"/>
      <c r="U137" s="2" t="str">
        <f aca="false">IF($E137="","",IFERROR(INDEX(SUPPLIERS!$Q$4:$Q$63,MATCH($E137,SUPPLIERS!$A$4:$A$63,0)),0))</f>
        <v/>
      </c>
      <c r="V137" s="2" t="str">
        <f aca="false">IF($Q137="","",IF($U137&gt;0,100,0)+IF($P137="",0,$P137)+ROW()/100000)</f>
        <v/>
      </c>
      <c r="W137" s="2" t="str">
        <f aca="false">IF($V137="","",IF($A137=SEL_MODEL,$V137,""))</f>
        <v/>
      </c>
    </row>
    <row r="138" customFormat="false" ht="15" hidden="false" customHeight="false" outlineLevel="0" collapsed="false">
      <c r="A138" s="20"/>
      <c r="B138" s="21"/>
      <c r="C138" s="22"/>
      <c r="D138" s="21"/>
      <c r="E138" s="20"/>
      <c r="F138" s="23"/>
      <c r="G138" s="24" t="str">
        <f aca="false">IF(OR($A138="",$F138=""),"",IFERROR(IF(INDEX(MODELS!$K$4:$K$28,MATCH($A138,MODELS!$A$4:$A$28,0))="","",$F138*INDEX(MODELS!$K$4:$K$28,MATCH($A138,MODELS!$A$4:$A$28,0))),""))</f>
        <v/>
      </c>
      <c r="H138" s="21"/>
      <c r="I138" s="21"/>
      <c r="J138" s="21"/>
      <c r="K138" s="25" t="str">
        <f aca="false">IF($E138="","",IFERROR(IF(INDEX(SUPPLIERS!$K$4:$K$63,MATCH($E138,SUPPLIERS!$A$4:$A$63,0))="","",INDEX(SUPPLIERS!$K$4:$K$63,MATCH($E138,SUPPLIERS!$A$4:$A$63,0))),""))</f>
        <v/>
      </c>
      <c r="L138" s="25" t="str">
        <f aca="false">IF($E138="","",IFERROR(IF(INDEX(SUPPLIERS!$L$4:$L$63,MATCH($E138,SUPPLIERS!$A$4:$A$63,0))="","",INDEX(SUPPLIERS!$L$4:$L$63,MATCH($E138,SUPPLIERS!$A$4:$A$63,0))),""))</f>
        <v/>
      </c>
      <c r="M138" s="21"/>
      <c r="N138" s="11" t="str">
        <f aca="false">IF($E138="","",IFERROR(_xlfn.TEXTJOIN("; ",TRUE(),INDEX(SUPPLIERS!$F$4:$F$63,MATCH($E138,SUPPLIERS!$A$4:$A$63,0)),INDEX(SUPPLIERS!$G$4:$G$63,MATCH($E138,SUPPLIERS!$A$4:$A$63,0)),INDEX(SUPPLIERS!$H$4:$H$63,MATCH($E138,SUPPLIERS!$A$4:$A$63,0)),INDEX(SUPPLIERS!$I$4:$I$63,MATCH($E138,SUPPLIERS!$A$4:$A$63,0)),INDEX(SUPPLIERS!$J$4:$J$63,MATCH($E138,SUPPLIERS!$A$4:$A$63,0))),""))</f>
        <v/>
      </c>
      <c r="O138" s="26" t="str">
        <f aca="false">IF(COUNT($H138:$L138)&lt;5,"",ROUND($H138*W_SRC+$I138*W_QC+$J138*W_CAP+$K138*W_SUP+$L138*W_EXT,1))</f>
        <v/>
      </c>
      <c r="P138" s="27" t="str">
        <f aca="false">IF(OR($O138="",$M138=""),"",ROUND($O138*$M138,1))</f>
        <v/>
      </c>
      <c r="Q138" s="28" t="str">
        <f aca="false">IF($E138="","",IF($U138&gt;0,"CRITICAL (FLAG)",IF(OR($O138="",$M138=""),"NOT SCORED",IF($P138&gt;=T_CRIT,"CRITICAL",IF($P138&gt;=T_MON,"MONITOR","LOW")))))</f>
        <v/>
      </c>
      <c r="R138" s="12" t="str">
        <f aca="false">IF($O138="","",INDEX(DriverNames,MATCH(MAX($H138:$L138),$H138:$L138,0)))</f>
        <v/>
      </c>
      <c r="S138" s="22"/>
      <c r="T138" s="29"/>
      <c r="U138" s="2" t="str">
        <f aca="false">IF($E138="","",IFERROR(INDEX(SUPPLIERS!$Q$4:$Q$63,MATCH($E138,SUPPLIERS!$A$4:$A$63,0)),0))</f>
        <v/>
      </c>
      <c r="V138" s="2" t="str">
        <f aca="false">IF($Q138="","",IF($U138&gt;0,100,0)+IF($P138="",0,$P138)+ROW()/100000)</f>
        <v/>
      </c>
      <c r="W138" s="2" t="str">
        <f aca="false">IF($V138="","",IF($A138=SEL_MODEL,$V138,""))</f>
        <v/>
      </c>
    </row>
    <row r="139" customFormat="false" ht="15" hidden="false" customHeight="false" outlineLevel="0" collapsed="false">
      <c r="A139" s="20"/>
      <c r="B139" s="21"/>
      <c r="C139" s="22"/>
      <c r="D139" s="21"/>
      <c r="E139" s="20"/>
      <c r="F139" s="23"/>
      <c r="G139" s="24" t="str">
        <f aca="false">IF(OR($A139="",$F139=""),"",IFERROR(IF(INDEX(MODELS!$K$4:$K$28,MATCH($A139,MODELS!$A$4:$A$28,0))="","",$F139*INDEX(MODELS!$K$4:$K$28,MATCH($A139,MODELS!$A$4:$A$28,0))),""))</f>
        <v/>
      </c>
      <c r="H139" s="21"/>
      <c r="I139" s="21"/>
      <c r="J139" s="21"/>
      <c r="K139" s="25" t="str">
        <f aca="false">IF($E139="","",IFERROR(IF(INDEX(SUPPLIERS!$K$4:$K$63,MATCH($E139,SUPPLIERS!$A$4:$A$63,0))="","",INDEX(SUPPLIERS!$K$4:$K$63,MATCH($E139,SUPPLIERS!$A$4:$A$63,0))),""))</f>
        <v/>
      </c>
      <c r="L139" s="25" t="str">
        <f aca="false">IF($E139="","",IFERROR(IF(INDEX(SUPPLIERS!$L$4:$L$63,MATCH($E139,SUPPLIERS!$A$4:$A$63,0))="","",INDEX(SUPPLIERS!$L$4:$L$63,MATCH($E139,SUPPLIERS!$A$4:$A$63,0))),""))</f>
        <v/>
      </c>
      <c r="M139" s="21"/>
      <c r="N139" s="11" t="str">
        <f aca="false">IF($E139="","",IFERROR(_xlfn.TEXTJOIN("; ",TRUE(),INDEX(SUPPLIERS!$F$4:$F$63,MATCH($E139,SUPPLIERS!$A$4:$A$63,0)),INDEX(SUPPLIERS!$G$4:$G$63,MATCH($E139,SUPPLIERS!$A$4:$A$63,0)),INDEX(SUPPLIERS!$H$4:$H$63,MATCH($E139,SUPPLIERS!$A$4:$A$63,0)),INDEX(SUPPLIERS!$I$4:$I$63,MATCH($E139,SUPPLIERS!$A$4:$A$63,0)),INDEX(SUPPLIERS!$J$4:$J$63,MATCH($E139,SUPPLIERS!$A$4:$A$63,0))),""))</f>
        <v/>
      </c>
      <c r="O139" s="26" t="str">
        <f aca="false">IF(COUNT($H139:$L139)&lt;5,"",ROUND($H139*W_SRC+$I139*W_QC+$J139*W_CAP+$K139*W_SUP+$L139*W_EXT,1))</f>
        <v/>
      </c>
      <c r="P139" s="27" t="str">
        <f aca="false">IF(OR($O139="",$M139=""),"",ROUND($O139*$M139,1))</f>
        <v/>
      </c>
      <c r="Q139" s="28" t="str">
        <f aca="false">IF($E139="","",IF($U139&gt;0,"CRITICAL (FLAG)",IF(OR($O139="",$M139=""),"NOT SCORED",IF($P139&gt;=T_CRIT,"CRITICAL",IF($P139&gt;=T_MON,"MONITOR","LOW")))))</f>
        <v/>
      </c>
      <c r="R139" s="12" t="str">
        <f aca="false">IF($O139="","",INDEX(DriverNames,MATCH(MAX($H139:$L139),$H139:$L139,0)))</f>
        <v/>
      </c>
      <c r="S139" s="22"/>
      <c r="T139" s="29"/>
      <c r="U139" s="2" t="str">
        <f aca="false">IF($E139="","",IFERROR(INDEX(SUPPLIERS!$Q$4:$Q$63,MATCH($E139,SUPPLIERS!$A$4:$A$63,0)),0))</f>
        <v/>
      </c>
      <c r="V139" s="2" t="str">
        <f aca="false">IF($Q139="","",IF($U139&gt;0,100,0)+IF($P139="",0,$P139)+ROW()/100000)</f>
        <v/>
      </c>
      <c r="W139" s="2" t="str">
        <f aca="false">IF($V139="","",IF($A139=SEL_MODEL,$V139,""))</f>
        <v/>
      </c>
    </row>
    <row r="140" customFormat="false" ht="15" hidden="false" customHeight="false" outlineLevel="0" collapsed="false">
      <c r="A140" s="20"/>
      <c r="B140" s="21"/>
      <c r="C140" s="22"/>
      <c r="D140" s="21"/>
      <c r="E140" s="20"/>
      <c r="F140" s="23"/>
      <c r="G140" s="24" t="str">
        <f aca="false">IF(OR($A140="",$F140=""),"",IFERROR(IF(INDEX(MODELS!$K$4:$K$28,MATCH($A140,MODELS!$A$4:$A$28,0))="","",$F140*INDEX(MODELS!$K$4:$K$28,MATCH($A140,MODELS!$A$4:$A$28,0))),""))</f>
        <v/>
      </c>
      <c r="H140" s="21"/>
      <c r="I140" s="21"/>
      <c r="J140" s="21"/>
      <c r="K140" s="25" t="str">
        <f aca="false">IF($E140="","",IFERROR(IF(INDEX(SUPPLIERS!$K$4:$K$63,MATCH($E140,SUPPLIERS!$A$4:$A$63,0))="","",INDEX(SUPPLIERS!$K$4:$K$63,MATCH($E140,SUPPLIERS!$A$4:$A$63,0))),""))</f>
        <v/>
      </c>
      <c r="L140" s="25" t="str">
        <f aca="false">IF($E140="","",IFERROR(IF(INDEX(SUPPLIERS!$L$4:$L$63,MATCH($E140,SUPPLIERS!$A$4:$A$63,0))="","",INDEX(SUPPLIERS!$L$4:$L$63,MATCH($E140,SUPPLIERS!$A$4:$A$63,0))),""))</f>
        <v/>
      </c>
      <c r="M140" s="21"/>
      <c r="N140" s="11" t="str">
        <f aca="false">IF($E140="","",IFERROR(_xlfn.TEXTJOIN("; ",TRUE(),INDEX(SUPPLIERS!$F$4:$F$63,MATCH($E140,SUPPLIERS!$A$4:$A$63,0)),INDEX(SUPPLIERS!$G$4:$G$63,MATCH($E140,SUPPLIERS!$A$4:$A$63,0)),INDEX(SUPPLIERS!$H$4:$H$63,MATCH($E140,SUPPLIERS!$A$4:$A$63,0)),INDEX(SUPPLIERS!$I$4:$I$63,MATCH($E140,SUPPLIERS!$A$4:$A$63,0)),INDEX(SUPPLIERS!$J$4:$J$63,MATCH($E140,SUPPLIERS!$A$4:$A$63,0))),""))</f>
        <v/>
      </c>
      <c r="O140" s="26" t="str">
        <f aca="false">IF(COUNT($H140:$L140)&lt;5,"",ROUND($H140*W_SRC+$I140*W_QC+$J140*W_CAP+$K140*W_SUP+$L140*W_EXT,1))</f>
        <v/>
      </c>
      <c r="P140" s="27" t="str">
        <f aca="false">IF(OR($O140="",$M140=""),"",ROUND($O140*$M140,1))</f>
        <v/>
      </c>
      <c r="Q140" s="28" t="str">
        <f aca="false">IF($E140="","",IF($U140&gt;0,"CRITICAL (FLAG)",IF(OR($O140="",$M140=""),"NOT SCORED",IF($P140&gt;=T_CRIT,"CRITICAL",IF($P140&gt;=T_MON,"MONITOR","LOW")))))</f>
        <v/>
      </c>
      <c r="R140" s="12" t="str">
        <f aca="false">IF($O140="","",INDEX(DriverNames,MATCH(MAX($H140:$L140),$H140:$L140,0)))</f>
        <v/>
      </c>
      <c r="S140" s="22"/>
      <c r="T140" s="29"/>
      <c r="U140" s="2" t="str">
        <f aca="false">IF($E140="","",IFERROR(INDEX(SUPPLIERS!$Q$4:$Q$63,MATCH($E140,SUPPLIERS!$A$4:$A$63,0)),0))</f>
        <v/>
      </c>
      <c r="V140" s="2" t="str">
        <f aca="false">IF($Q140="","",IF($U140&gt;0,100,0)+IF($P140="",0,$P140)+ROW()/100000)</f>
        <v/>
      </c>
      <c r="W140" s="2" t="str">
        <f aca="false">IF($V140="","",IF($A140=SEL_MODEL,$V140,""))</f>
        <v/>
      </c>
    </row>
    <row r="141" customFormat="false" ht="15" hidden="false" customHeight="false" outlineLevel="0" collapsed="false">
      <c r="A141" s="20"/>
      <c r="B141" s="21"/>
      <c r="C141" s="22"/>
      <c r="D141" s="21"/>
      <c r="E141" s="20"/>
      <c r="F141" s="23"/>
      <c r="G141" s="24" t="str">
        <f aca="false">IF(OR($A141="",$F141=""),"",IFERROR(IF(INDEX(MODELS!$K$4:$K$28,MATCH($A141,MODELS!$A$4:$A$28,0))="","",$F141*INDEX(MODELS!$K$4:$K$28,MATCH($A141,MODELS!$A$4:$A$28,0))),""))</f>
        <v/>
      </c>
      <c r="H141" s="21"/>
      <c r="I141" s="21"/>
      <c r="J141" s="21"/>
      <c r="K141" s="25" t="str">
        <f aca="false">IF($E141="","",IFERROR(IF(INDEX(SUPPLIERS!$K$4:$K$63,MATCH($E141,SUPPLIERS!$A$4:$A$63,0))="","",INDEX(SUPPLIERS!$K$4:$K$63,MATCH($E141,SUPPLIERS!$A$4:$A$63,0))),""))</f>
        <v/>
      </c>
      <c r="L141" s="25" t="str">
        <f aca="false">IF($E141="","",IFERROR(IF(INDEX(SUPPLIERS!$L$4:$L$63,MATCH($E141,SUPPLIERS!$A$4:$A$63,0))="","",INDEX(SUPPLIERS!$L$4:$L$63,MATCH($E141,SUPPLIERS!$A$4:$A$63,0))),""))</f>
        <v/>
      </c>
      <c r="M141" s="21"/>
      <c r="N141" s="11" t="str">
        <f aca="false">IF($E141="","",IFERROR(_xlfn.TEXTJOIN("; ",TRUE(),INDEX(SUPPLIERS!$F$4:$F$63,MATCH($E141,SUPPLIERS!$A$4:$A$63,0)),INDEX(SUPPLIERS!$G$4:$G$63,MATCH($E141,SUPPLIERS!$A$4:$A$63,0)),INDEX(SUPPLIERS!$H$4:$H$63,MATCH($E141,SUPPLIERS!$A$4:$A$63,0)),INDEX(SUPPLIERS!$I$4:$I$63,MATCH($E141,SUPPLIERS!$A$4:$A$63,0)),INDEX(SUPPLIERS!$J$4:$J$63,MATCH($E141,SUPPLIERS!$A$4:$A$63,0))),""))</f>
        <v/>
      </c>
      <c r="O141" s="26" t="str">
        <f aca="false">IF(COUNT($H141:$L141)&lt;5,"",ROUND($H141*W_SRC+$I141*W_QC+$J141*W_CAP+$K141*W_SUP+$L141*W_EXT,1))</f>
        <v/>
      </c>
      <c r="P141" s="27" t="str">
        <f aca="false">IF(OR($O141="",$M141=""),"",ROUND($O141*$M141,1))</f>
        <v/>
      </c>
      <c r="Q141" s="28" t="str">
        <f aca="false">IF($E141="","",IF($U141&gt;0,"CRITICAL (FLAG)",IF(OR($O141="",$M141=""),"NOT SCORED",IF($P141&gt;=T_CRIT,"CRITICAL",IF($P141&gt;=T_MON,"MONITOR","LOW")))))</f>
        <v/>
      </c>
      <c r="R141" s="12" t="str">
        <f aca="false">IF($O141="","",INDEX(DriverNames,MATCH(MAX($H141:$L141),$H141:$L141,0)))</f>
        <v/>
      </c>
      <c r="S141" s="22"/>
      <c r="T141" s="29"/>
      <c r="U141" s="2" t="str">
        <f aca="false">IF($E141="","",IFERROR(INDEX(SUPPLIERS!$Q$4:$Q$63,MATCH($E141,SUPPLIERS!$A$4:$A$63,0)),0))</f>
        <v/>
      </c>
      <c r="V141" s="2" t="str">
        <f aca="false">IF($Q141="","",IF($U141&gt;0,100,0)+IF($P141="",0,$P141)+ROW()/100000)</f>
        <v/>
      </c>
      <c r="W141" s="2" t="str">
        <f aca="false">IF($V141="","",IF($A141=SEL_MODEL,$V141,""))</f>
        <v/>
      </c>
    </row>
    <row r="142" customFormat="false" ht="15" hidden="false" customHeight="false" outlineLevel="0" collapsed="false">
      <c r="A142" s="20"/>
      <c r="B142" s="21"/>
      <c r="C142" s="22"/>
      <c r="D142" s="21"/>
      <c r="E142" s="20"/>
      <c r="F142" s="23"/>
      <c r="G142" s="24" t="str">
        <f aca="false">IF(OR($A142="",$F142=""),"",IFERROR(IF(INDEX(MODELS!$K$4:$K$28,MATCH($A142,MODELS!$A$4:$A$28,0))="","",$F142*INDEX(MODELS!$K$4:$K$28,MATCH($A142,MODELS!$A$4:$A$28,0))),""))</f>
        <v/>
      </c>
      <c r="H142" s="21"/>
      <c r="I142" s="21"/>
      <c r="J142" s="21"/>
      <c r="K142" s="25" t="str">
        <f aca="false">IF($E142="","",IFERROR(IF(INDEX(SUPPLIERS!$K$4:$K$63,MATCH($E142,SUPPLIERS!$A$4:$A$63,0))="","",INDEX(SUPPLIERS!$K$4:$K$63,MATCH($E142,SUPPLIERS!$A$4:$A$63,0))),""))</f>
        <v/>
      </c>
      <c r="L142" s="25" t="str">
        <f aca="false">IF($E142="","",IFERROR(IF(INDEX(SUPPLIERS!$L$4:$L$63,MATCH($E142,SUPPLIERS!$A$4:$A$63,0))="","",INDEX(SUPPLIERS!$L$4:$L$63,MATCH($E142,SUPPLIERS!$A$4:$A$63,0))),""))</f>
        <v/>
      </c>
      <c r="M142" s="21"/>
      <c r="N142" s="11" t="str">
        <f aca="false">IF($E142="","",IFERROR(_xlfn.TEXTJOIN("; ",TRUE(),INDEX(SUPPLIERS!$F$4:$F$63,MATCH($E142,SUPPLIERS!$A$4:$A$63,0)),INDEX(SUPPLIERS!$G$4:$G$63,MATCH($E142,SUPPLIERS!$A$4:$A$63,0)),INDEX(SUPPLIERS!$H$4:$H$63,MATCH($E142,SUPPLIERS!$A$4:$A$63,0)),INDEX(SUPPLIERS!$I$4:$I$63,MATCH($E142,SUPPLIERS!$A$4:$A$63,0)),INDEX(SUPPLIERS!$J$4:$J$63,MATCH($E142,SUPPLIERS!$A$4:$A$63,0))),""))</f>
        <v/>
      </c>
      <c r="O142" s="26" t="str">
        <f aca="false">IF(COUNT($H142:$L142)&lt;5,"",ROUND($H142*W_SRC+$I142*W_QC+$J142*W_CAP+$K142*W_SUP+$L142*W_EXT,1))</f>
        <v/>
      </c>
      <c r="P142" s="27" t="str">
        <f aca="false">IF(OR($O142="",$M142=""),"",ROUND($O142*$M142,1))</f>
        <v/>
      </c>
      <c r="Q142" s="28" t="str">
        <f aca="false">IF($E142="","",IF($U142&gt;0,"CRITICAL (FLAG)",IF(OR($O142="",$M142=""),"NOT SCORED",IF($P142&gt;=T_CRIT,"CRITICAL",IF($P142&gt;=T_MON,"MONITOR","LOW")))))</f>
        <v/>
      </c>
      <c r="R142" s="12" t="str">
        <f aca="false">IF($O142="","",INDEX(DriverNames,MATCH(MAX($H142:$L142),$H142:$L142,0)))</f>
        <v/>
      </c>
      <c r="S142" s="22"/>
      <c r="T142" s="29"/>
      <c r="U142" s="2" t="str">
        <f aca="false">IF($E142="","",IFERROR(INDEX(SUPPLIERS!$Q$4:$Q$63,MATCH($E142,SUPPLIERS!$A$4:$A$63,0)),0))</f>
        <v/>
      </c>
      <c r="V142" s="2" t="str">
        <f aca="false">IF($Q142="","",IF($U142&gt;0,100,0)+IF($P142="",0,$P142)+ROW()/100000)</f>
        <v/>
      </c>
      <c r="W142" s="2" t="str">
        <f aca="false">IF($V142="","",IF($A142=SEL_MODEL,$V142,""))</f>
        <v/>
      </c>
    </row>
    <row r="143" customFormat="false" ht="15" hidden="false" customHeight="false" outlineLevel="0" collapsed="false">
      <c r="A143" s="20"/>
      <c r="B143" s="21"/>
      <c r="C143" s="22"/>
      <c r="D143" s="21"/>
      <c r="E143" s="20"/>
      <c r="F143" s="23"/>
      <c r="G143" s="24" t="str">
        <f aca="false">IF(OR($A143="",$F143=""),"",IFERROR(IF(INDEX(MODELS!$K$4:$K$28,MATCH($A143,MODELS!$A$4:$A$28,0))="","",$F143*INDEX(MODELS!$K$4:$K$28,MATCH($A143,MODELS!$A$4:$A$28,0))),""))</f>
        <v/>
      </c>
      <c r="H143" s="21"/>
      <c r="I143" s="21"/>
      <c r="J143" s="21"/>
      <c r="K143" s="25" t="str">
        <f aca="false">IF($E143="","",IFERROR(IF(INDEX(SUPPLIERS!$K$4:$K$63,MATCH($E143,SUPPLIERS!$A$4:$A$63,0))="","",INDEX(SUPPLIERS!$K$4:$K$63,MATCH($E143,SUPPLIERS!$A$4:$A$63,0))),""))</f>
        <v/>
      </c>
      <c r="L143" s="25" t="str">
        <f aca="false">IF($E143="","",IFERROR(IF(INDEX(SUPPLIERS!$L$4:$L$63,MATCH($E143,SUPPLIERS!$A$4:$A$63,0))="","",INDEX(SUPPLIERS!$L$4:$L$63,MATCH($E143,SUPPLIERS!$A$4:$A$63,0))),""))</f>
        <v/>
      </c>
      <c r="M143" s="21"/>
      <c r="N143" s="11" t="str">
        <f aca="false">IF($E143="","",IFERROR(_xlfn.TEXTJOIN("; ",TRUE(),INDEX(SUPPLIERS!$F$4:$F$63,MATCH($E143,SUPPLIERS!$A$4:$A$63,0)),INDEX(SUPPLIERS!$G$4:$G$63,MATCH($E143,SUPPLIERS!$A$4:$A$63,0)),INDEX(SUPPLIERS!$H$4:$H$63,MATCH($E143,SUPPLIERS!$A$4:$A$63,0)),INDEX(SUPPLIERS!$I$4:$I$63,MATCH($E143,SUPPLIERS!$A$4:$A$63,0)),INDEX(SUPPLIERS!$J$4:$J$63,MATCH($E143,SUPPLIERS!$A$4:$A$63,0))),""))</f>
        <v/>
      </c>
      <c r="O143" s="26" t="str">
        <f aca="false">IF(COUNT($H143:$L143)&lt;5,"",ROUND($H143*W_SRC+$I143*W_QC+$J143*W_CAP+$K143*W_SUP+$L143*W_EXT,1))</f>
        <v/>
      </c>
      <c r="P143" s="27" t="str">
        <f aca="false">IF(OR($O143="",$M143=""),"",ROUND($O143*$M143,1))</f>
        <v/>
      </c>
      <c r="Q143" s="28" t="str">
        <f aca="false">IF($E143="","",IF($U143&gt;0,"CRITICAL (FLAG)",IF(OR($O143="",$M143=""),"NOT SCORED",IF($P143&gt;=T_CRIT,"CRITICAL",IF($P143&gt;=T_MON,"MONITOR","LOW")))))</f>
        <v/>
      </c>
      <c r="R143" s="12" t="str">
        <f aca="false">IF($O143="","",INDEX(DriverNames,MATCH(MAX($H143:$L143),$H143:$L143,0)))</f>
        <v/>
      </c>
      <c r="S143" s="22"/>
      <c r="T143" s="29"/>
      <c r="U143" s="2" t="str">
        <f aca="false">IF($E143="","",IFERROR(INDEX(SUPPLIERS!$Q$4:$Q$63,MATCH($E143,SUPPLIERS!$A$4:$A$63,0)),0))</f>
        <v/>
      </c>
      <c r="V143" s="2" t="str">
        <f aca="false">IF($Q143="","",IF($U143&gt;0,100,0)+IF($P143="",0,$P143)+ROW()/100000)</f>
        <v/>
      </c>
      <c r="W143" s="2" t="str">
        <f aca="false">IF($V143="","",IF($A143=SEL_MODEL,$V143,""))</f>
        <v/>
      </c>
    </row>
    <row r="144" customFormat="false" ht="15" hidden="false" customHeight="false" outlineLevel="0" collapsed="false">
      <c r="A144" s="20"/>
      <c r="B144" s="21"/>
      <c r="C144" s="22"/>
      <c r="D144" s="21"/>
      <c r="E144" s="20"/>
      <c r="F144" s="23"/>
      <c r="G144" s="24" t="str">
        <f aca="false">IF(OR($A144="",$F144=""),"",IFERROR(IF(INDEX(MODELS!$K$4:$K$28,MATCH($A144,MODELS!$A$4:$A$28,0))="","",$F144*INDEX(MODELS!$K$4:$K$28,MATCH($A144,MODELS!$A$4:$A$28,0))),""))</f>
        <v/>
      </c>
      <c r="H144" s="21"/>
      <c r="I144" s="21"/>
      <c r="J144" s="21"/>
      <c r="K144" s="25" t="str">
        <f aca="false">IF($E144="","",IFERROR(IF(INDEX(SUPPLIERS!$K$4:$K$63,MATCH($E144,SUPPLIERS!$A$4:$A$63,0))="","",INDEX(SUPPLIERS!$K$4:$K$63,MATCH($E144,SUPPLIERS!$A$4:$A$63,0))),""))</f>
        <v/>
      </c>
      <c r="L144" s="25" t="str">
        <f aca="false">IF($E144="","",IFERROR(IF(INDEX(SUPPLIERS!$L$4:$L$63,MATCH($E144,SUPPLIERS!$A$4:$A$63,0))="","",INDEX(SUPPLIERS!$L$4:$L$63,MATCH($E144,SUPPLIERS!$A$4:$A$63,0))),""))</f>
        <v/>
      </c>
      <c r="M144" s="21"/>
      <c r="N144" s="11" t="str">
        <f aca="false">IF($E144="","",IFERROR(_xlfn.TEXTJOIN("; ",TRUE(),INDEX(SUPPLIERS!$F$4:$F$63,MATCH($E144,SUPPLIERS!$A$4:$A$63,0)),INDEX(SUPPLIERS!$G$4:$G$63,MATCH($E144,SUPPLIERS!$A$4:$A$63,0)),INDEX(SUPPLIERS!$H$4:$H$63,MATCH($E144,SUPPLIERS!$A$4:$A$63,0)),INDEX(SUPPLIERS!$I$4:$I$63,MATCH($E144,SUPPLIERS!$A$4:$A$63,0)),INDEX(SUPPLIERS!$J$4:$J$63,MATCH($E144,SUPPLIERS!$A$4:$A$63,0))),""))</f>
        <v/>
      </c>
      <c r="O144" s="26" t="str">
        <f aca="false">IF(COUNT($H144:$L144)&lt;5,"",ROUND($H144*W_SRC+$I144*W_QC+$J144*W_CAP+$K144*W_SUP+$L144*W_EXT,1))</f>
        <v/>
      </c>
      <c r="P144" s="27" t="str">
        <f aca="false">IF(OR($O144="",$M144=""),"",ROUND($O144*$M144,1))</f>
        <v/>
      </c>
      <c r="Q144" s="28" t="str">
        <f aca="false">IF($E144="","",IF($U144&gt;0,"CRITICAL (FLAG)",IF(OR($O144="",$M144=""),"NOT SCORED",IF($P144&gt;=T_CRIT,"CRITICAL",IF($P144&gt;=T_MON,"MONITOR","LOW")))))</f>
        <v/>
      </c>
      <c r="R144" s="12" t="str">
        <f aca="false">IF($O144="","",INDEX(DriverNames,MATCH(MAX($H144:$L144),$H144:$L144,0)))</f>
        <v/>
      </c>
      <c r="S144" s="22"/>
      <c r="T144" s="29"/>
      <c r="U144" s="2" t="str">
        <f aca="false">IF($E144="","",IFERROR(INDEX(SUPPLIERS!$Q$4:$Q$63,MATCH($E144,SUPPLIERS!$A$4:$A$63,0)),0))</f>
        <v/>
      </c>
      <c r="V144" s="2" t="str">
        <f aca="false">IF($Q144="","",IF($U144&gt;0,100,0)+IF($P144="",0,$P144)+ROW()/100000)</f>
        <v/>
      </c>
      <c r="W144" s="2" t="str">
        <f aca="false">IF($V144="","",IF($A144=SEL_MODEL,$V144,""))</f>
        <v/>
      </c>
    </row>
    <row r="145" customFormat="false" ht="15" hidden="false" customHeight="false" outlineLevel="0" collapsed="false">
      <c r="A145" s="20"/>
      <c r="B145" s="21"/>
      <c r="C145" s="22"/>
      <c r="D145" s="21"/>
      <c r="E145" s="20"/>
      <c r="F145" s="23"/>
      <c r="G145" s="24" t="str">
        <f aca="false">IF(OR($A145="",$F145=""),"",IFERROR(IF(INDEX(MODELS!$K$4:$K$28,MATCH($A145,MODELS!$A$4:$A$28,0))="","",$F145*INDEX(MODELS!$K$4:$K$28,MATCH($A145,MODELS!$A$4:$A$28,0))),""))</f>
        <v/>
      </c>
      <c r="H145" s="21"/>
      <c r="I145" s="21"/>
      <c r="J145" s="21"/>
      <c r="K145" s="25" t="str">
        <f aca="false">IF($E145="","",IFERROR(IF(INDEX(SUPPLIERS!$K$4:$K$63,MATCH($E145,SUPPLIERS!$A$4:$A$63,0))="","",INDEX(SUPPLIERS!$K$4:$K$63,MATCH($E145,SUPPLIERS!$A$4:$A$63,0))),""))</f>
        <v/>
      </c>
      <c r="L145" s="25" t="str">
        <f aca="false">IF($E145="","",IFERROR(IF(INDEX(SUPPLIERS!$L$4:$L$63,MATCH($E145,SUPPLIERS!$A$4:$A$63,0))="","",INDEX(SUPPLIERS!$L$4:$L$63,MATCH($E145,SUPPLIERS!$A$4:$A$63,0))),""))</f>
        <v/>
      </c>
      <c r="M145" s="21"/>
      <c r="N145" s="11" t="str">
        <f aca="false">IF($E145="","",IFERROR(_xlfn.TEXTJOIN("; ",TRUE(),INDEX(SUPPLIERS!$F$4:$F$63,MATCH($E145,SUPPLIERS!$A$4:$A$63,0)),INDEX(SUPPLIERS!$G$4:$G$63,MATCH($E145,SUPPLIERS!$A$4:$A$63,0)),INDEX(SUPPLIERS!$H$4:$H$63,MATCH($E145,SUPPLIERS!$A$4:$A$63,0)),INDEX(SUPPLIERS!$I$4:$I$63,MATCH($E145,SUPPLIERS!$A$4:$A$63,0)),INDEX(SUPPLIERS!$J$4:$J$63,MATCH($E145,SUPPLIERS!$A$4:$A$63,0))),""))</f>
        <v/>
      </c>
      <c r="O145" s="26" t="str">
        <f aca="false">IF(COUNT($H145:$L145)&lt;5,"",ROUND($H145*W_SRC+$I145*W_QC+$J145*W_CAP+$K145*W_SUP+$L145*W_EXT,1))</f>
        <v/>
      </c>
      <c r="P145" s="27" t="str">
        <f aca="false">IF(OR($O145="",$M145=""),"",ROUND($O145*$M145,1))</f>
        <v/>
      </c>
      <c r="Q145" s="28" t="str">
        <f aca="false">IF($E145="","",IF($U145&gt;0,"CRITICAL (FLAG)",IF(OR($O145="",$M145=""),"NOT SCORED",IF($P145&gt;=T_CRIT,"CRITICAL",IF($P145&gt;=T_MON,"MONITOR","LOW")))))</f>
        <v/>
      </c>
      <c r="R145" s="12" t="str">
        <f aca="false">IF($O145="","",INDEX(DriverNames,MATCH(MAX($H145:$L145),$H145:$L145,0)))</f>
        <v/>
      </c>
      <c r="S145" s="22"/>
      <c r="T145" s="29"/>
      <c r="U145" s="2" t="str">
        <f aca="false">IF($E145="","",IFERROR(INDEX(SUPPLIERS!$Q$4:$Q$63,MATCH($E145,SUPPLIERS!$A$4:$A$63,0)),0))</f>
        <v/>
      </c>
      <c r="V145" s="2" t="str">
        <f aca="false">IF($Q145="","",IF($U145&gt;0,100,0)+IF($P145="",0,$P145)+ROW()/100000)</f>
        <v/>
      </c>
      <c r="W145" s="2" t="str">
        <f aca="false">IF($V145="","",IF($A145=SEL_MODEL,$V145,""))</f>
        <v/>
      </c>
    </row>
    <row r="146" customFormat="false" ht="15" hidden="false" customHeight="false" outlineLevel="0" collapsed="false">
      <c r="A146" s="20"/>
      <c r="B146" s="21"/>
      <c r="C146" s="22"/>
      <c r="D146" s="21"/>
      <c r="E146" s="20"/>
      <c r="F146" s="23"/>
      <c r="G146" s="24" t="str">
        <f aca="false">IF(OR($A146="",$F146=""),"",IFERROR(IF(INDEX(MODELS!$K$4:$K$28,MATCH($A146,MODELS!$A$4:$A$28,0))="","",$F146*INDEX(MODELS!$K$4:$K$28,MATCH($A146,MODELS!$A$4:$A$28,0))),""))</f>
        <v/>
      </c>
      <c r="H146" s="21"/>
      <c r="I146" s="21"/>
      <c r="J146" s="21"/>
      <c r="K146" s="25" t="str">
        <f aca="false">IF($E146="","",IFERROR(IF(INDEX(SUPPLIERS!$K$4:$K$63,MATCH($E146,SUPPLIERS!$A$4:$A$63,0))="","",INDEX(SUPPLIERS!$K$4:$K$63,MATCH($E146,SUPPLIERS!$A$4:$A$63,0))),""))</f>
        <v/>
      </c>
      <c r="L146" s="25" t="str">
        <f aca="false">IF($E146="","",IFERROR(IF(INDEX(SUPPLIERS!$L$4:$L$63,MATCH($E146,SUPPLIERS!$A$4:$A$63,0))="","",INDEX(SUPPLIERS!$L$4:$L$63,MATCH($E146,SUPPLIERS!$A$4:$A$63,0))),""))</f>
        <v/>
      </c>
      <c r="M146" s="21"/>
      <c r="N146" s="11" t="str">
        <f aca="false">IF($E146="","",IFERROR(_xlfn.TEXTJOIN("; ",TRUE(),INDEX(SUPPLIERS!$F$4:$F$63,MATCH($E146,SUPPLIERS!$A$4:$A$63,0)),INDEX(SUPPLIERS!$G$4:$G$63,MATCH($E146,SUPPLIERS!$A$4:$A$63,0)),INDEX(SUPPLIERS!$H$4:$H$63,MATCH($E146,SUPPLIERS!$A$4:$A$63,0)),INDEX(SUPPLIERS!$I$4:$I$63,MATCH($E146,SUPPLIERS!$A$4:$A$63,0)),INDEX(SUPPLIERS!$J$4:$J$63,MATCH($E146,SUPPLIERS!$A$4:$A$63,0))),""))</f>
        <v/>
      </c>
      <c r="O146" s="26" t="str">
        <f aca="false">IF(COUNT($H146:$L146)&lt;5,"",ROUND($H146*W_SRC+$I146*W_QC+$J146*W_CAP+$K146*W_SUP+$L146*W_EXT,1))</f>
        <v/>
      </c>
      <c r="P146" s="27" t="str">
        <f aca="false">IF(OR($O146="",$M146=""),"",ROUND($O146*$M146,1))</f>
        <v/>
      </c>
      <c r="Q146" s="28" t="str">
        <f aca="false">IF($E146="","",IF($U146&gt;0,"CRITICAL (FLAG)",IF(OR($O146="",$M146=""),"NOT SCORED",IF($P146&gt;=T_CRIT,"CRITICAL",IF($P146&gt;=T_MON,"MONITOR","LOW")))))</f>
        <v/>
      </c>
      <c r="R146" s="12" t="str">
        <f aca="false">IF($O146="","",INDEX(DriverNames,MATCH(MAX($H146:$L146),$H146:$L146,0)))</f>
        <v/>
      </c>
      <c r="S146" s="22"/>
      <c r="T146" s="29"/>
      <c r="U146" s="2" t="str">
        <f aca="false">IF($E146="","",IFERROR(INDEX(SUPPLIERS!$Q$4:$Q$63,MATCH($E146,SUPPLIERS!$A$4:$A$63,0)),0))</f>
        <v/>
      </c>
      <c r="V146" s="2" t="str">
        <f aca="false">IF($Q146="","",IF($U146&gt;0,100,0)+IF($P146="",0,$P146)+ROW()/100000)</f>
        <v/>
      </c>
      <c r="W146" s="2" t="str">
        <f aca="false">IF($V146="","",IF($A146=SEL_MODEL,$V146,""))</f>
        <v/>
      </c>
    </row>
    <row r="147" customFormat="false" ht="15" hidden="false" customHeight="false" outlineLevel="0" collapsed="false">
      <c r="A147" s="20"/>
      <c r="B147" s="21"/>
      <c r="C147" s="22"/>
      <c r="D147" s="21"/>
      <c r="E147" s="20"/>
      <c r="F147" s="23"/>
      <c r="G147" s="24" t="str">
        <f aca="false">IF(OR($A147="",$F147=""),"",IFERROR(IF(INDEX(MODELS!$K$4:$K$28,MATCH($A147,MODELS!$A$4:$A$28,0))="","",$F147*INDEX(MODELS!$K$4:$K$28,MATCH($A147,MODELS!$A$4:$A$28,0))),""))</f>
        <v/>
      </c>
      <c r="H147" s="21"/>
      <c r="I147" s="21"/>
      <c r="J147" s="21"/>
      <c r="K147" s="25" t="str">
        <f aca="false">IF($E147="","",IFERROR(IF(INDEX(SUPPLIERS!$K$4:$K$63,MATCH($E147,SUPPLIERS!$A$4:$A$63,0))="","",INDEX(SUPPLIERS!$K$4:$K$63,MATCH($E147,SUPPLIERS!$A$4:$A$63,0))),""))</f>
        <v/>
      </c>
      <c r="L147" s="25" t="str">
        <f aca="false">IF($E147="","",IFERROR(IF(INDEX(SUPPLIERS!$L$4:$L$63,MATCH($E147,SUPPLIERS!$A$4:$A$63,0))="","",INDEX(SUPPLIERS!$L$4:$L$63,MATCH($E147,SUPPLIERS!$A$4:$A$63,0))),""))</f>
        <v/>
      </c>
      <c r="M147" s="21"/>
      <c r="N147" s="11" t="str">
        <f aca="false">IF($E147="","",IFERROR(_xlfn.TEXTJOIN("; ",TRUE(),INDEX(SUPPLIERS!$F$4:$F$63,MATCH($E147,SUPPLIERS!$A$4:$A$63,0)),INDEX(SUPPLIERS!$G$4:$G$63,MATCH($E147,SUPPLIERS!$A$4:$A$63,0)),INDEX(SUPPLIERS!$H$4:$H$63,MATCH($E147,SUPPLIERS!$A$4:$A$63,0)),INDEX(SUPPLIERS!$I$4:$I$63,MATCH($E147,SUPPLIERS!$A$4:$A$63,0)),INDEX(SUPPLIERS!$J$4:$J$63,MATCH($E147,SUPPLIERS!$A$4:$A$63,0))),""))</f>
        <v/>
      </c>
      <c r="O147" s="26" t="str">
        <f aca="false">IF(COUNT($H147:$L147)&lt;5,"",ROUND($H147*W_SRC+$I147*W_QC+$J147*W_CAP+$K147*W_SUP+$L147*W_EXT,1))</f>
        <v/>
      </c>
      <c r="P147" s="27" t="str">
        <f aca="false">IF(OR($O147="",$M147=""),"",ROUND($O147*$M147,1))</f>
        <v/>
      </c>
      <c r="Q147" s="28" t="str">
        <f aca="false">IF($E147="","",IF($U147&gt;0,"CRITICAL (FLAG)",IF(OR($O147="",$M147=""),"NOT SCORED",IF($P147&gt;=T_CRIT,"CRITICAL",IF($P147&gt;=T_MON,"MONITOR","LOW")))))</f>
        <v/>
      </c>
      <c r="R147" s="12" t="str">
        <f aca="false">IF($O147="","",INDEX(DriverNames,MATCH(MAX($H147:$L147),$H147:$L147,0)))</f>
        <v/>
      </c>
      <c r="S147" s="22"/>
      <c r="T147" s="29"/>
      <c r="U147" s="2" t="str">
        <f aca="false">IF($E147="","",IFERROR(INDEX(SUPPLIERS!$Q$4:$Q$63,MATCH($E147,SUPPLIERS!$A$4:$A$63,0)),0))</f>
        <v/>
      </c>
      <c r="V147" s="2" t="str">
        <f aca="false">IF($Q147="","",IF($U147&gt;0,100,0)+IF($P147="",0,$P147)+ROW()/100000)</f>
        <v/>
      </c>
      <c r="W147" s="2" t="str">
        <f aca="false">IF($V147="","",IF($A147=SEL_MODEL,$V147,""))</f>
        <v/>
      </c>
    </row>
    <row r="148" customFormat="false" ht="15" hidden="false" customHeight="false" outlineLevel="0" collapsed="false">
      <c r="A148" s="20"/>
      <c r="B148" s="21"/>
      <c r="C148" s="22"/>
      <c r="D148" s="21"/>
      <c r="E148" s="20"/>
      <c r="F148" s="23"/>
      <c r="G148" s="24" t="str">
        <f aca="false">IF(OR($A148="",$F148=""),"",IFERROR(IF(INDEX(MODELS!$K$4:$K$28,MATCH($A148,MODELS!$A$4:$A$28,0))="","",$F148*INDEX(MODELS!$K$4:$K$28,MATCH($A148,MODELS!$A$4:$A$28,0))),""))</f>
        <v/>
      </c>
      <c r="H148" s="21"/>
      <c r="I148" s="21"/>
      <c r="J148" s="21"/>
      <c r="K148" s="25" t="str">
        <f aca="false">IF($E148="","",IFERROR(IF(INDEX(SUPPLIERS!$K$4:$K$63,MATCH($E148,SUPPLIERS!$A$4:$A$63,0))="","",INDEX(SUPPLIERS!$K$4:$K$63,MATCH($E148,SUPPLIERS!$A$4:$A$63,0))),""))</f>
        <v/>
      </c>
      <c r="L148" s="25" t="str">
        <f aca="false">IF($E148="","",IFERROR(IF(INDEX(SUPPLIERS!$L$4:$L$63,MATCH($E148,SUPPLIERS!$A$4:$A$63,0))="","",INDEX(SUPPLIERS!$L$4:$L$63,MATCH($E148,SUPPLIERS!$A$4:$A$63,0))),""))</f>
        <v/>
      </c>
      <c r="M148" s="21"/>
      <c r="N148" s="11" t="str">
        <f aca="false">IF($E148="","",IFERROR(_xlfn.TEXTJOIN("; ",TRUE(),INDEX(SUPPLIERS!$F$4:$F$63,MATCH($E148,SUPPLIERS!$A$4:$A$63,0)),INDEX(SUPPLIERS!$G$4:$G$63,MATCH($E148,SUPPLIERS!$A$4:$A$63,0)),INDEX(SUPPLIERS!$H$4:$H$63,MATCH($E148,SUPPLIERS!$A$4:$A$63,0)),INDEX(SUPPLIERS!$I$4:$I$63,MATCH($E148,SUPPLIERS!$A$4:$A$63,0)),INDEX(SUPPLIERS!$J$4:$J$63,MATCH($E148,SUPPLIERS!$A$4:$A$63,0))),""))</f>
        <v/>
      </c>
      <c r="O148" s="26" t="str">
        <f aca="false">IF(COUNT($H148:$L148)&lt;5,"",ROUND($H148*W_SRC+$I148*W_QC+$J148*W_CAP+$K148*W_SUP+$L148*W_EXT,1))</f>
        <v/>
      </c>
      <c r="P148" s="27" t="str">
        <f aca="false">IF(OR($O148="",$M148=""),"",ROUND($O148*$M148,1))</f>
        <v/>
      </c>
      <c r="Q148" s="28" t="str">
        <f aca="false">IF($E148="","",IF($U148&gt;0,"CRITICAL (FLAG)",IF(OR($O148="",$M148=""),"NOT SCORED",IF($P148&gt;=T_CRIT,"CRITICAL",IF($P148&gt;=T_MON,"MONITOR","LOW")))))</f>
        <v/>
      </c>
      <c r="R148" s="12" t="str">
        <f aca="false">IF($O148="","",INDEX(DriverNames,MATCH(MAX($H148:$L148),$H148:$L148,0)))</f>
        <v/>
      </c>
      <c r="S148" s="22"/>
      <c r="T148" s="29"/>
      <c r="U148" s="2" t="str">
        <f aca="false">IF($E148="","",IFERROR(INDEX(SUPPLIERS!$Q$4:$Q$63,MATCH($E148,SUPPLIERS!$A$4:$A$63,0)),0))</f>
        <v/>
      </c>
      <c r="V148" s="2" t="str">
        <f aca="false">IF($Q148="","",IF($U148&gt;0,100,0)+IF($P148="",0,$P148)+ROW()/100000)</f>
        <v/>
      </c>
      <c r="W148" s="2" t="str">
        <f aca="false">IF($V148="","",IF($A148=SEL_MODEL,$V148,""))</f>
        <v/>
      </c>
    </row>
    <row r="149" customFormat="false" ht="15" hidden="false" customHeight="false" outlineLevel="0" collapsed="false">
      <c r="A149" s="20"/>
      <c r="B149" s="21"/>
      <c r="C149" s="22"/>
      <c r="D149" s="21"/>
      <c r="E149" s="20"/>
      <c r="F149" s="23"/>
      <c r="G149" s="24" t="str">
        <f aca="false">IF(OR($A149="",$F149=""),"",IFERROR(IF(INDEX(MODELS!$K$4:$K$28,MATCH($A149,MODELS!$A$4:$A$28,0))="","",$F149*INDEX(MODELS!$K$4:$K$28,MATCH($A149,MODELS!$A$4:$A$28,0))),""))</f>
        <v/>
      </c>
      <c r="H149" s="21"/>
      <c r="I149" s="21"/>
      <c r="J149" s="21"/>
      <c r="K149" s="25" t="str">
        <f aca="false">IF($E149="","",IFERROR(IF(INDEX(SUPPLIERS!$K$4:$K$63,MATCH($E149,SUPPLIERS!$A$4:$A$63,0))="","",INDEX(SUPPLIERS!$K$4:$K$63,MATCH($E149,SUPPLIERS!$A$4:$A$63,0))),""))</f>
        <v/>
      </c>
      <c r="L149" s="25" t="str">
        <f aca="false">IF($E149="","",IFERROR(IF(INDEX(SUPPLIERS!$L$4:$L$63,MATCH($E149,SUPPLIERS!$A$4:$A$63,0))="","",INDEX(SUPPLIERS!$L$4:$L$63,MATCH($E149,SUPPLIERS!$A$4:$A$63,0))),""))</f>
        <v/>
      </c>
      <c r="M149" s="21"/>
      <c r="N149" s="11" t="str">
        <f aca="false">IF($E149="","",IFERROR(_xlfn.TEXTJOIN("; ",TRUE(),INDEX(SUPPLIERS!$F$4:$F$63,MATCH($E149,SUPPLIERS!$A$4:$A$63,0)),INDEX(SUPPLIERS!$G$4:$G$63,MATCH($E149,SUPPLIERS!$A$4:$A$63,0)),INDEX(SUPPLIERS!$H$4:$H$63,MATCH($E149,SUPPLIERS!$A$4:$A$63,0)),INDEX(SUPPLIERS!$I$4:$I$63,MATCH($E149,SUPPLIERS!$A$4:$A$63,0)),INDEX(SUPPLIERS!$J$4:$J$63,MATCH($E149,SUPPLIERS!$A$4:$A$63,0))),""))</f>
        <v/>
      </c>
      <c r="O149" s="26" t="str">
        <f aca="false">IF(COUNT($H149:$L149)&lt;5,"",ROUND($H149*W_SRC+$I149*W_QC+$J149*W_CAP+$K149*W_SUP+$L149*W_EXT,1))</f>
        <v/>
      </c>
      <c r="P149" s="27" t="str">
        <f aca="false">IF(OR($O149="",$M149=""),"",ROUND($O149*$M149,1))</f>
        <v/>
      </c>
      <c r="Q149" s="28" t="str">
        <f aca="false">IF($E149="","",IF($U149&gt;0,"CRITICAL (FLAG)",IF(OR($O149="",$M149=""),"NOT SCORED",IF($P149&gt;=T_CRIT,"CRITICAL",IF($P149&gt;=T_MON,"MONITOR","LOW")))))</f>
        <v/>
      </c>
      <c r="R149" s="12" t="str">
        <f aca="false">IF($O149="","",INDEX(DriverNames,MATCH(MAX($H149:$L149),$H149:$L149,0)))</f>
        <v/>
      </c>
      <c r="S149" s="22"/>
      <c r="T149" s="29"/>
      <c r="U149" s="2" t="str">
        <f aca="false">IF($E149="","",IFERROR(INDEX(SUPPLIERS!$Q$4:$Q$63,MATCH($E149,SUPPLIERS!$A$4:$A$63,0)),0))</f>
        <v/>
      </c>
      <c r="V149" s="2" t="str">
        <f aca="false">IF($Q149="","",IF($U149&gt;0,100,0)+IF($P149="",0,$P149)+ROW()/100000)</f>
        <v/>
      </c>
      <c r="W149" s="2" t="str">
        <f aca="false">IF($V149="","",IF($A149=SEL_MODEL,$V149,""))</f>
        <v/>
      </c>
    </row>
    <row r="150" customFormat="false" ht="15" hidden="false" customHeight="false" outlineLevel="0" collapsed="false">
      <c r="A150" s="20"/>
      <c r="B150" s="21"/>
      <c r="C150" s="22"/>
      <c r="D150" s="21"/>
      <c r="E150" s="20"/>
      <c r="F150" s="23"/>
      <c r="G150" s="24" t="str">
        <f aca="false">IF(OR($A150="",$F150=""),"",IFERROR(IF(INDEX(MODELS!$K$4:$K$28,MATCH($A150,MODELS!$A$4:$A$28,0))="","",$F150*INDEX(MODELS!$K$4:$K$28,MATCH($A150,MODELS!$A$4:$A$28,0))),""))</f>
        <v/>
      </c>
      <c r="H150" s="21"/>
      <c r="I150" s="21"/>
      <c r="J150" s="21"/>
      <c r="K150" s="25" t="str">
        <f aca="false">IF($E150="","",IFERROR(IF(INDEX(SUPPLIERS!$K$4:$K$63,MATCH($E150,SUPPLIERS!$A$4:$A$63,0))="","",INDEX(SUPPLIERS!$K$4:$K$63,MATCH($E150,SUPPLIERS!$A$4:$A$63,0))),""))</f>
        <v/>
      </c>
      <c r="L150" s="25" t="str">
        <f aca="false">IF($E150="","",IFERROR(IF(INDEX(SUPPLIERS!$L$4:$L$63,MATCH($E150,SUPPLIERS!$A$4:$A$63,0))="","",INDEX(SUPPLIERS!$L$4:$L$63,MATCH($E150,SUPPLIERS!$A$4:$A$63,0))),""))</f>
        <v/>
      </c>
      <c r="M150" s="21"/>
      <c r="N150" s="11" t="str">
        <f aca="false">IF($E150="","",IFERROR(_xlfn.TEXTJOIN("; ",TRUE(),INDEX(SUPPLIERS!$F$4:$F$63,MATCH($E150,SUPPLIERS!$A$4:$A$63,0)),INDEX(SUPPLIERS!$G$4:$G$63,MATCH($E150,SUPPLIERS!$A$4:$A$63,0)),INDEX(SUPPLIERS!$H$4:$H$63,MATCH($E150,SUPPLIERS!$A$4:$A$63,0)),INDEX(SUPPLIERS!$I$4:$I$63,MATCH($E150,SUPPLIERS!$A$4:$A$63,0)),INDEX(SUPPLIERS!$J$4:$J$63,MATCH($E150,SUPPLIERS!$A$4:$A$63,0))),""))</f>
        <v/>
      </c>
      <c r="O150" s="26" t="str">
        <f aca="false">IF(COUNT($H150:$L150)&lt;5,"",ROUND($H150*W_SRC+$I150*W_QC+$J150*W_CAP+$K150*W_SUP+$L150*W_EXT,1))</f>
        <v/>
      </c>
      <c r="P150" s="27" t="str">
        <f aca="false">IF(OR($O150="",$M150=""),"",ROUND($O150*$M150,1))</f>
        <v/>
      </c>
      <c r="Q150" s="28" t="str">
        <f aca="false">IF($E150="","",IF($U150&gt;0,"CRITICAL (FLAG)",IF(OR($O150="",$M150=""),"NOT SCORED",IF($P150&gt;=T_CRIT,"CRITICAL",IF($P150&gt;=T_MON,"MONITOR","LOW")))))</f>
        <v/>
      </c>
      <c r="R150" s="12" t="str">
        <f aca="false">IF($O150="","",INDEX(DriverNames,MATCH(MAX($H150:$L150),$H150:$L150,0)))</f>
        <v/>
      </c>
      <c r="S150" s="22"/>
      <c r="T150" s="29"/>
      <c r="U150" s="2" t="str">
        <f aca="false">IF($E150="","",IFERROR(INDEX(SUPPLIERS!$Q$4:$Q$63,MATCH($E150,SUPPLIERS!$A$4:$A$63,0)),0))</f>
        <v/>
      </c>
      <c r="V150" s="2" t="str">
        <f aca="false">IF($Q150="","",IF($U150&gt;0,100,0)+IF($P150="",0,$P150)+ROW()/100000)</f>
        <v/>
      </c>
      <c r="W150" s="2" t="str">
        <f aca="false">IF($V150="","",IF($A150=SEL_MODEL,$V150,""))</f>
        <v/>
      </c>
    </row>
    <row r="151" customFormat="false" ht="15" hidden="false" customHeight="false" outlineLevel="0" collapsed="false">
      <c r="A151" s="20"/>
      <c r="B151" s="21"/>
      <c r="C151" s="22"/>
      <c r="D151" s="21"/>
      <c r="E151" s="20"/>
      <c r="F151" s="23"/>
      <c r="G151" s="24" t="str">
        <f aca="false">IF(OR($A151="",$F151=""),"",IFERROR(IF(INDEX(MODELS!$K$4:$K$28,MATCH($A151,MODELS!$A$4:$A$28,0))="","",$F151*INDEX(MODELS!$K$4:$K$28,MATCH($A151,MODELS!$A$4:$A$28,0))),""))</f>
        <v/>
      </c>
      <c r="H151" s="21"/>
      <c r="I151" s="21"/>
      <c r="J151" s="21"/>
      <c r="K151" s="25" t="str">
        <f aca="false">IF($E151="","",IFERROR(IF(INDEX(SUPPLIERS!$K$4:$K$63,MATCH($E151,SUPPLIERS!$A$4:$A$63,0))="","",INDEX(SUPPLIERS!$K$4:$K$63,MATCH($E151,SUPPLIERS!$A$4:$A$63,0))),""))</f>
        <v/>
      </c>
      <c r="L151" s="25" t="str">
        <f aca="false">IF($E151="","",IFERROR(IF(INDEX(SUPPLIERS!$L$4:$L$63,MATCH($E151,SUPPLIERS!$A$4:$A$63,0))="","",INDEX(SUPPLIERS!$L$4:$L$63,MATCH($E151,SUPPLIERS!$A$4:$A$63,0))),""))</f>
        <v/>
      </c>
      <c r="M151" s="21"/>
      <c r="N151" s="11" t="str">
        <f aca="false">IF($E151="","",IFERROR(_xlfn.TEXTJOIN("; ",TRUE(),INDEX(SUPPLIERS!$F$4:$F$63,MATCH($E151,SUPPLIERS!$A$4:$A$63,0)),INDEX(SUPPLIERS!$G$4:$G$63,MATCH($E151,SUPPLIERS!$A$4:$A$63,0)),INDEX(SUPPLIERS!$H$4:$H$63,MATCH($E151,SUPPLIERS!$A$4:$A$63,0)),INDEX(SUPPLIERS!$I$4:$I$63,MATCH($E151,SUPPLIERS!$A$4:$A$63,0)),INDEX(SUPPLIERS!$J$4:$J$63,MATCH($E151,SUPPLIERS!$A$4:$A$63,0))),""))</f>
        <v/>
      </c>
      <c r="O151" s="26" t="str">
        <f aca="false">IF(COUNT($H151:$L151)&lt;5,"",ROUND($H151*W_SRC+$I151*W_QC+$J151*W_CAP+$K151*W_SUP+$L151*W_EXT,1))</f>
        <v/>
      </c>
      <c r="P151" s="27" t="str">
        <f aca="false">IF(OR($O151="",$M151=""),"",ROUND($O151*$M151,1))</f>
        <v/>
      </c>
      <c r="Q151" s="28" t="str">
        <f aca="false">IF($E151="","",IF($U151&gt;0,"CRITICAL (FLAG)",IF(OR($O151="",$M151=""),"NOT SCORED",IF($P151&gt;=T_CRIT,"CRITICAL",IF($P151&gt;=T_MON,"MONITOR","LOW")))))</f>
        <v/>
      </c>
      <c r="R151" s="12" t="str">
        <f aca="false">IF($O151="","",INDEX(DriverNames,MATCH(MAX($H151:$L151),$H151:$L151,0)))</f>
        <v/>
      </c>
      <c r="S151" s="22"/>
      <c r="T151" s="29"/>
      <c r="U151" s="2" t="str">
        <f aca="false">IF($E151="","",IFERROR(INDEX(SUPPLIERS!$Q$4:$Q$63,MATCH($E151,SUPPLIERS!$A$4:$A$63,0)),0))</f>
        <v/>
      </c>
      <c r="V151" s="2" t="str">
        <f aca="false">IF($Q151="","",IF($U151&gt;0,100,0)+IF($P151="",0,$P151)+ROW()/100000)</f>
        <v/>
      </c>
      <c r="W151" s="2" t="str">
        <f aca="false">IF($V151="","",IF($A151=SEL_MODEL,$V151,""))</f>
        <v/>
      </c>
    </row>
    <row r="152" customFormat="false" ht="15" hidden="false" customHeight="false" outlineLevel="0" collapsed="false">
      <c r="A152" s="20"/>
      <c r="B152" s="21"/>
      <c r="C152" s="22"/>
      <c r="D152" s="21"/>
      <c r="E152" s="20"/>
      <c r="F152" s="23"/>
      <c r="G152" s="24" t="str">
        <f aca="false">IF(OR($A152="",$F152=""),"",IFERROR(IF(INDEX(MODELS!$K$4:$K$28,MATCH($A152,MODELS!$A$4:$A$28,0))="","",$F152*INDEX(MODELS!$K$4:$K$28,MATCH($A152,MODELS!$A$4:$A$28,0))),""))</f>
        <v/>
      </c>
      <c r="H152" s="21"/>
      <c r="I152" s="21"/>
      <c r="J152" s="21"/>
      <c r="K152" s="25" t="str">
        <f aca="false">IF($E152="","",IFERROR(IF(INDEX(SUPPLIERS!$K$4:$K$63,MATCH($E152,SUPPLIERS!$A$4:$A$63,0))="","",INDEX(SUPPLIERS!$K$4:$K$63,MATCH($E152,SUPPLIERS!$A$4:$A$63,0))),""))</f>
        <v/>
      </c>
      <c r="L152" s="25" t="str">
        <f aca="false">IF($E152="","",IFERROR(IF(INDEX(SUPPLIERS!$L$4:$L$63,MATCH($E152,SUPPLIERS!$A$4:$A$63,0))="","",INDEX(SUPPLIERS!$L$4:$L$63,MATCH($E152,SUPPLIERS!$A$4:$A$63,0))),""))</f>
        <v/>
      </c>
      <c r="M152" s="21"/>
      <c r="N152" s="11" t="str">
        <f aca="false">IF($E152="","",IFERROR(_xlfn.TEXTJOIN("; ",TRUE(),INDEX(SUPPLIERS!$F$4:$F$63,MATCH($E152,SUPPLIERS!$A$4:$A$63,0)),INDEX(SUPPLIERS!$G$4:$G$63,MATCH($E152,SUPPLIERS!$A$4:$A$63,0)),INDEX(SUPPLIERS!$H$4:$H$63,MATCH($E152,SUPPLIERS!$A$4:$A$63,0)),INDEX(SUPPLIERS!$I$4:$I$63,MATCH($E152,SUPPLIERS!$A$4:$A$63,0)),INDEX(SUPPLIERS!$J$4:$J$63,MATCH($E152,SUPPLIERS!$A$4:$A$63,0))),""))</f>
        <v/>
      </c>
      <c r="O152" s="26" t="str">
        <f aca="false">IF(COUNT($H152:$L152)&lt;5,"",ROUND($H152*W_SRC+$I152*W_QC+$J152*W_CAP+$K152*W_SUP+$L152*W_EXT,1))</f>
        <v/>
      </c>
      <c r="P152" s="27" t="str">
        <f aca="false">IF(OR($O152="",$M152=""),"",ROUND($O152*$M152,1))</f>
        <v/>
      </c>
      <c r="Q152" s="28" t="str">
        <f aca="false">IF($E152="","",IF($U152&gt;0,"CRITICAL (FLAG)",IF(OR($O152="",$M152=""),"NOT SCORED",IF($P152&gt;=T_CRIT,"CRITICAL",IF($P152&gt;=T_MON,"MONITOR","LOW")))))</f>
        <v/>
      </c>
      <c r="R152" s="12" t="str">
        <f aca="false">IF($O152="","",INDEX(DriverNames,MATCH(MAX($H152:$L152),$H152:$L152,0)))</f>
        <v/>
      </c>
      <c r="S152" s="22"/>
      <c r="T152" s="29"/>
      <c r="U152" s="2" t="str">
        <f aca="false">IF($E152="","",IFERROR(INDEX(SUPPLIERS!$Q$4:$Q$63,MATCH($E152,SUPPLIERS!$A$4:$A$63,0)),0))</f>
        <v/>
      </c>
      <c r="V152" s="2" t="str">
        <f aca="false">IF($Q152="","",IF($U152&gt;0,100,0)+IF($P152="",0,$P152)+ROW()/100000)</f>
        <v/>
      </c>
      <c r="W152" s="2" t="str">
        <f aca="false">IF($V152="","",IF($A152=SEL_MODEL,$V152,""))</f>
        <v/>
      </c>
    </row>
    <row r="153" customFormat="false" ht="15" hidden="false" customHeight="false" outlineLevel="0" collapsed="false">
      <c r="A153" s="20"/>
      <c r="B153" s="21"/>
      <c r="C153" s="22"/>
      <c r="D153" s="21"/>
      <c r="E153" s="20"/>
      <c r="F153" s="23"/>
      <c r="G153" s="24" t="str">
        <f aca="false">IF(OR($A153="",$F153=""),"",IFERROR(IF(INDEX(MODELS!$K$4:$K$28,MATCH($A153,MODELS!$A$4:$A$28,0))="","",$F153*INDEX(MODELS!$K$4:$K$28,MATCH($A153,MODELS!$A$4:$A$28,0))),""))</f>
        <v/>
      </c>
      <c r="H153" s="21"/>
      <c r="I153" s="21"/>
      <c r="J153" s="21"/>
      <c r="K153" s="25" t="str">
        <f aca="false">IF($E153="","",IFERROR(IF(INDEX(SUPPLIERS!$K$4:$K$63,MATCH($E153,SUPPLIERS!$A$4:$A$63,0))="","",INDEX(SUPPLIERS!$K$4:$K$63,MATCH($E153,SUPPLIERS!$A$4:$A$63,0))),""))</f>
        <v/>
      </c>
      <c r="L153" s="25" t="str">
        <f aca="false">IF($E153="","",IFERROR(IF(INDEX(SUPPLIERS!$L$4:$L$63,MATCH($E153,SUPPLIERS!$A$4:$A$63,0))="","",INDEX(SUPPLIERS!$L$4:$L$63,MATCH($E153,SUPPLIERS!$A$4:$A$63,0))),""))</f>
        <v/>
      </c>
      <c r="M153" s="21"/>
      <c r="N153" s="11" t="str">
        <f aca="false">IF($E153="","",IFERROR(_xlfn.TEXTJOIN("; ",TRUE(),INDEX(SUPPLIERS!$F$4:$F$63,MATCH($E153,SUPPLIERS!$A$4:$A$63,0)),INDEX(SUPPLIERS!$G$4:$G$63,MATCH($E153,SUPPLIERS!$A$4:$A$63,0)),INDEX(SUPPLIERS!$H$4:$H$63,MATCH($E153,SUPPLIERS!$A$4:$A$63,0)),INDEX(SUPPLIERS!$I$4:$I$63,MATCH($E153,SUPPLIERS!$A$4:$A$63,0)),INDEX(SUPPLIERS!$J$4:$J$63,MATCH($E153,SUPPLIERS!$A$4:$A$63,0))),""))</f>
        <v/>
      </c>
      <c r="O153" s="26" t="str">
        <f aca="false">IF(COUNT($H153:$L153)&lt;5,"",ROUND($H153*W_SRC+$I153*W_QC+$J153*W_CAP+$K153*W_SUP+$L153*W_EXT,1))</f>
        <v/>
      </c>
      <c r="P153" s="27" t="str">
        <f aca="false">IF(OR($O153="",$M153=""),"",ROUND($O153*$M153,1))</f>
        <v/>
      </c>
      <c r="Q153" s="28" t="str">
        <f aca="false">IF($E153="","",IF($U153&gt;0,"CRITICAL (FLAG)",IF(OR($O153="",$M153=""),"NOT SCORED",IF($P153&gt;=T_CRIT,"CRITICAL",IF($P153&gt;=T_MON,"MONITOR","LOW")))))</f>
        <v/>
      </c>
      <c r="R153" s="12" t="str">
        <f aca="false">IF($O153="","",INDEX(DriverNames,MATCH(MAX($H153:$L153),$H153:$L153,0)))</f>
        <v/>
      </c>
      <c r="S153" s="22"/>
      <c r="T153" s="29"/>
      <c r="U153" s="2" t="str">
        <f aca="false">IF($E153="","",IFERROR(INDEX(SUPPLIERS!$Q$4:$Q$63,MATCH($E153,SUPPLIERS!$A$4:$A$63,0)),0))</f>
        <v/>
      </c>
      <c r="V153" s="2" t="str">
        <f aca="false">IF($Q153="","",IF($U153&gt;0,100,0)+IF($P153="",0,$P153)+ROW()/100000)</f>
        <v/>
      </c>
      <c r="W153" s="2" t="str">
        <f aca="false">IF($V153="","",IF($A153=SEL_MODEL,$V153,""))</f>
        <v/>
      </c>
    </row>
    <row r="154" customFormat="false" ht="15" hidden="false" customHeight="false" outlineLevel="0" collapsed="false">
      <c r="A154" s="20"/>
      <c r="B154" s="21"/>
      <c r="C154" s="22"/>
      <c r="D154" s="21"/>
      <c r="E154" s="20"/>
      <c r="F154" s="23"/>
      <c r="G154" s="24" t="str">
        <f aca="false">IF(OR($A154="",$F154=""),"",IFERROR(IF(INDEX(MODELS!$K$4:$K$28,MATCH($A154,MODELS!$A$4:$A$28,0))="","",$F154*INDEX(MODELS!$K$4:$K$28,MATCH($A154,MODELS!$A$4:$A$28,0))),""))</f>
        <v/>
      </c>
      <c r="H154" s="21"/>
      <c r="I154" s="21"/>
      <c r="J154" s="21"/>
      <c r="K154" s="25" t="str">
        <f aca="false">IF($E154="","",IFERROR(IF(INDEX(SUPPLIERS!$K$4:$K$63,MATCH($E154,SUPPLIERS!$A$4:$A$63,0))="","",INDEX(SUPPLIERS!$K$4:$K$63,MATCH($E154,SUPPLIERS!$A$4:$A$63,0))),""))</f>
        <v/>
      </c>
      <c r="L154" s="25" t="str">
        <f aca="false">IF($E154="","",IFERROR(IF(INDEX(SUPPLIERS!$L$4:$L$63,MATCH($E154,SUPPLIERS!$A$4:$A$63,0))="","",INDEX(SUPPLIERS!$L$4:$L$63,MATCH($E154,SUPPLIERS!$A$4:$A$63,0))),""))</f>
        <v/>
      </c>
      <c r="M154" s="21"/>
      <c r="N154" s="11" t="str">
        <f aca="false">IF($E154="","",IFERROR(_xlfn.TEXTJOIN("; ",TRUE(),INDEX(SUPPLIERS!$F$4:$F$63,MATCH($E154,SUPPLIERS!$A$4:$A$63,0)),INDEX(SUPPLIERS!$G$4:$G$63,MATCH($E154,SUPPLIERS!$A$4:$A$63,0)),INDEX(SUPPLIERS!$H$4:$H$63,MATCH($E154,SUPPLIERS!$A$4:$A$63,0)),INDEX(SUPPLIERS!$I$4:$I$63,MATCH($E154,SUPPLIERS!$A$4:$A$63,0)),INDEX(SUPPLIERS!$J$4:$J$63,MATCH($E154,SUPPLIERS!$A$4:$A$63,0))),""))</f>
        <v/>
      </c>
      <c r="O154" s="26" t="str">
        <f aca="false">IF(COUNT($H154:$L154)&lt;5,"",ROUND($H154*W_SRC+$I154*W_QC+$J154*W_CAP+$K154*W_SUP+$L154*W_EXT,1))</f>
        <v/>
      </c>
      <c r="P154" s="27" t="str">
        <f aca="false">IF(OR($O154="",$M154=""),"",ROUND($O154*$M154,1))</f>
        <v/>
      </c>
      <c r="Q154" s="28" t="str">
        <f aca="false">IF($E154="","",IF($U154&gt;0,"CRITICAL (FLAG)",IF(OR($O154="",$M154=""),"NOT SCORED",IF($P154&gt;=T_CRIT,"CRITICAL",IF($P154&gt;=T_MON,"MONITOR","LOW")))))</f>
        <v/>
      </c>
      <c r="R154" s="12" t="str">
        <f aca="false">IF($O154="","",INDEX(DriverNames,MATCH(MAX($H154:$L154),$H154:$L154,0)))</f>
        <v/>
      </c>
      <c r="S154" s="22"/>
      <c r="T154" s="29"/>
      <c r="U154" s="2" t="str">
        <f aca="false">IF($E154="","",IFERROR(INDEX(SUPPLIERS!$Q$4:$Q$63,MATCH($E154,SUPPLIERS!$A$4:$A$63,0)),0))</f>
        <v/>
      </c>
      <c r="V154" s="2" t="str">
        <f aca="false">IF($Q154="","",IF($U154&gt;0,100,0)+IF($P154="",0,$P154)+ROW()/100000)</f>
        <v/>
      </c>
      <c r="W154" s="2" t="str">
        <f aca="false">IF($V154="","",IF($A154=SEL_MODEL,$V154,""))</f>
        <v/>
      </c>
    </row>
    <row r="155" customFormat="false" ht="15" hidden="false" customHeight="false" outlineLevel="0" collapsed="false">
      <c r="A155" s="20"/>
      <c r="B155" s="21"/>
      <c r="C155" s="22"/>
      <c r="D155" s="21"/>
      <c r="E155" s="20"/>
      <c r="F155" s="23"/>
      <c r="G155" s="24" t="str">
        <f aca="false">IF(OR($A155="",$F155=""),"",IFERROR(IF(INDEX(MODELS!$K$4:$K$28,MATCH($A155,MODELS!$A$4:$A$28,0))="","",$F155*INDEX(MODELS!$K$4:$K$28,MATCH($A155,MODELS!$A$4:$A$28,0))),""))</f>
        <v/>
      </c>
      <c r="H155" s="21"/>
      <c r="I155" s="21"/>
      <c r="J155" s="21"/>
      <c r="K155" s="25" t="str">
        <f aca="false">IF($E155="","",IFERROR(IF(INDEX(SUPPLIERS!$K$4:$K$63,MATCH($E155,SUPPLIERS!$A$4:$A$63,0))="","",INDEX(SUPPLIERS!$K$4:$K$63,MATCH($E155,SUPPLIERS!$A$4:$A$63,0))),""))</f>
        <v/>
      </c>
      <c r="L155" s="25" t="str">
        <f aca="false">IF($E155="","",IFERROR(IF(INDEX(SUPPLIERS!$L$4:$L$63,MATCH($E155,SUPPLIERS!$A$4:$A$63,0))="","",INDEX(SUPPLIERS!$L$4:$L$63,MATCH($E155,SUPPLIERS!$A$4:$A$63,0))),""))</f>
        <v/>
      </c>
      <c r="M155" s="21"/>
      <c r="N155" s="11" t="str">
        <f aca="false">IF($E155="","",IFERROR(_xlfn.TEXTJOIN("; ",TRUE(),INDEX(SUPPLIERS!$F$4:$F$63,MATCH($E155,SUPPLIERS!$A$4:$A$63,0)),INDEX(SUPPLIERS!$G$4:$G$63,MATCH($E155,SUPPLIERS!$A$4:$A$63,0)),INDEX(SUPPLIERS!$H$4:$H$63,MATCH($E155,SUPPLIERS!$A$4:$A$63,0)),INDEX(SUPPLIERS!$I$4:$I$63,MATCH($E155,SUPPLIERS!$A$4:$A$63,0)),INDEX(SUPPLIERS!$J$4:$J$63,MATCH($E155,SUPPLIERS!$A$4:$A$63,0))),""))</f>
        <v/>
      </c>
      <c r="O155" s="26" t="str">
        <f aca="false">IF(COUNT($H155:$L155)&lt;5,"",ROUND($H155*W_SRC+$I155*W_QC+$J155*W_CAP+$K155*W_SUP+$L155*W_EXT,1))</f>
        <v/>
      </c>
      <c r="P155" s="27" t="str">
        <f aca="false">IF(OR($O155="",$M155=""),"",ROUND($O155*$M155,1))</f>
        <v/>
      </c>
      <c r="Q155" s="28" t="str">
        <f aca="false">IF($E155="","",IF($U155&gt;0,"CRITICAL (FLAG)",IF(OR($O155="",$M155=""),"NOT SCORED",IF($P155&gt;=T_CRIT,"CRITICAL",IF($P155&gt;=T_MON,"MONITOR","LOW")))))</f>
        <v/>
      </c>
      <c r="R155" s="12" t="str">
        <f aca="false">IF($O155="","",INDEX(DriverNames,MATCH(MAX($H155:$L155),$H155:$L155,0)))</f>
        <v/>
      </c>
      <c r="S155" s="22"/>
      <c r="T155" s="29"/>
      <c r="U155" s="2" t="str">
        <f aca="false">IF($E155="","",IFERROR(INDEX(SUPPLIERS!$Q$4:$Q$63,MATCH($E155,SUPPLIERS!$A$4:$A$63,0)),0))</f>
        <v/>
      </c>
      <c r="V155" s="2" t="str">
        <f aca="false">IF($Q155="","",IF($U155&gt;0,100,0)+IF($P155="",0,$P155)+ROW()/100000)</f>
        <v/>
      </c>
      <c r="W155" s="2" t="str">
        <f aca="false">IF($V155="","",IF($A155=SEL_MODEL,$V155,""))</f>
        <v/>
      </c>
    </row>
    <row r="156" customFormat="false" ht="15" hidden="false" customHeight="false" outlineLevel="0" collapsed="false">
      <c r="A156" s="20"/>
      <c r="B156" s="21"/>
      <c r="C156" s="22"/>
      <c r="D156" s="21"/>
      <c r="E156" s="20"/>
      <c r="F156" s="23"/>
      <c r="G156" s="24" t="str">
        <f aca="false">IF(OR($A156="",$F156=""),"",IFERROR(IF(INDEX(MODELS!$K$4:$K$28,MATCH($A156,MODELS!$A$4:$A$28,0))="","",$F156*INDEX(MODELS!$K$4:$K$28,MATCH($A156,MODELS!$A$4:$A$28,0))),""))</f>
        <v/>
      </c>
      <c r="H156" s="21"/>
      <c r="I156" s="21"/>
      <c r="J156" s="21"/>
      <c r="K156" s="25" t="str">
        <f aca="false">IF($E156="","",IFERROR(IF(INDEX(SUPPLIERS!$K$4:$K$63,MATCH($E156,SUPPLIERS!$A$4:$A$63,0))="","",INDEX(SUPPLIERS!$K$4:$K$63,MATCH($E156,SUPPLIERS!$A$4:$A$63,0))),""))</f>
        <v/>
      </c>
      <c r="L156" s="25" t="str">
        <f aca="false">IF($E156="","",IFERROR(IF(INDEX(SUPPLIERS!$L$4:$L$63,MATCH($E156,SUPPLIERS!$A$4:$A$63,0))="","",INDEX(SUPPLIERS!$L$4:$L$63,MATCH($E156,SUPPLIERS!$A$4:$A$63,0))),""))</f>
        <v/>
      </c>
      <c r="M156" s="21"/>
      <c r="N156" s="11" t="str">
        <f aca="false">IF($E156="","",IFERROR(_xlfn.TEXTJOIN("; ",TRUE(),INDEX(SUPPLIERS!$F$4:$F$63,MATCH($E156,SUPPLIERS!$A$4:$A$63,0)),INDEX(SUPPLIERS!$G$4:$G$63,MATCH($E156,SUPPLIERS!$A$4:$A$63,0)),INDEX(SUPPLIERS!$H$4:$H$63,MATCH($E156,SUPPLIERS!$A$4:$A$63,0)),INDEX(SUPPLIERS!$I$4:$I$63,MATCH($E156,SUPPLIERS!$A$4:$A$63,0)),INDEX(SUPPLIERS!$J$4:$J$63,MATCH($E156,SUPPLIERS!$A$4:$A$63,0))),""))</f>
        <v/>
      </c>
      <c r="O156" s="26" t="str">
        <f aca="false">IF(COUNT($H156:$L156)&lt;5,"",ROUND($H156*W_SRC+$I156*W_QC+$J156*W_CAP+$K156*W_SUP+$L156*W_EXT,1))</f>
        <v/>
      </c>
      <c r="P156" s="27" t="str">
        <f aca="false">IF(OR($O156="",$M156=""),"",ROUND($O156*$M156,1))</f>
        <v/>
      </c>
      <c r="Q156" s="28" t="str">
        <f aca="false">IF($E156="","",IF($U156&gt;0,"CRITICAL (FLAG)",IF(OR($O156="",$M156=""),"NOT SCORED",IF($P156&gt;=T_CRIT,"CRITICAL",IF($P156&gt;=T_MON,"MONITOR","LOW")))))</f>
        <v/>
      </c>
      <c r="R156" s="12" t="str">
        <f aca="false">IF($O156="","",INDEX(DriverNames,MATCH(MAX($H156:$L156),$H156:$L156,0)))</f>
        <v/>
      </c>
      <c r="S156" s="22"/>
      <c r="T156" s="29"/>
      <c r="U156" s="2" t="str">
        <f aca="false">IF($E156="","",IFERROR(INDEX(SUPPLIERS!$Q$4:$Q$63,MATCH($E156,SUPPLIERS!$A$4:$A$63,0)),0))</f>
        <v/>
      </c>
      <c r="V156" s="2" t="str">
        <f aca="false">IF($Q156="","",IF($U156&gt;0,100,0)+IF($P156="",0,$P156)+ROW()/100000)</f>
        <v/>
      </c>
      <c r="W156" s="2" t="str">
        <f aca="false">IF($V156="","",IF($A156=SEL_MODEL,$V156,""))</f>
        <v/>
      </c>
    </row>
    <row r="157" customFormat="false" ht="15" hidden="false" customHeight="false" outlineLevel="0" collapsed="false">
      <c r="A157" s="20"/>
      <c r="B157" s="21"/>
      <c r="C157" s="22"/>
      <c r="D157" s="21"/>
      <c r="E157" s="20"/>
      <c r="F157" s="23"/>
      <c r="G157" s="24" t="str">
        <f aca="false">IF(OR($A157="",$F157=""),"",IFERROR(IF(INDEX(MODELS!$K$4:$K$28,MATCH($A157,MODELS!$A$4:$A$28,0))="","",$F157*INDEX(MODELS!$K$4:$K$28,MATCH($A157,MODELS!$A$4:$A$28,0))),""))</f>
        <v/>
      </c>
      <c r="H157" s="21"/>
      <c r="I157" s="21"/>
      <c r="J157" s="21"/>
      <c r="K157" s="25" t="str">
        <f aca="false">IF($E157="","",IFERROR(IF(INDEX(SUPPLIERS!$K$4:$K$63,MATCH($E157,SUPPLIERS!$A$4:$A$63,0))="","",INDEX(SUPPLIERS!$K$4:$K$63,MATCH($E157,SUPPLIERS!$A$4:$A$63,0))),""))</f>
        <v/>
      </c>
      <c r="L157" s="25" t="str">
        <f aca="false">IF($E157="","",IFERROR(IF(INDEX(SUPPLIERS!$L$4:$L$63,MATCH($E157,SUPPLIERS!$A$4:$A$63,0))="","",INDEX(SUPPLIERS!$L$4:$L$63,MATCH($E157,SUPPLIERS!$A$4:$A$63,0))),""))</f>
        <v/>
      </c>
      <c r="M157" s="21"/>
      <c r="N157" s="11" t="str">
        <f aca="false">IF($E157="","",IFERROR(_xlfn.TEXTJOIN("; ",TRUE(),INDEX(SUPPLIERS!$F$4:$F$63,MATCH($E157,SUPPLIERS!$A$4:$A$63,0)),INDEX(SUPPLIERS!$G$4:$G$63,MATCH($E157,SUPPLIERS!$A$4:$A$63,0)),INDEX(SUPPLIERS!$H$4:$H$63,MATCH($E157,SUPPLIERS!$A$4:$A$63,0)),INDEX(SUPPLIERS!$I$4:$I$63,MATCH($E157,SUPPLIERS!$A$4:$A$63,0)),INDEX(SUPPLIERS!$J$4:$J$63,MATCH($E157,SUPPLIERS!$A$4:$A$63,0))),""))</f>
        <v/>
      </c>
      <c r="O157" s="26" t="str">
        <f aca="false">IF(COUNT($H157:$L157)&lt;5,"",ROUND($H157*W_SRC+$I157*W_QC+$J157*W_CAP+$K157*W_SUP+$L157*W_EXT,1))</f>
        <v/>
      </c>
      <c r="P157" s="27" t="str">
        <f aca="false">IF(OR($O157="",$M157=""),"",ROUND($O157*$M157,1))</f>
        <v/>
      </c>
      <c r="Q157" s="28" t="str">
        <f aca="false">IF($E157="","",IF($U157&gt;0,"CRITICAL (FLAG)",IF(OR($O157="",$M157=""),"NOT SCORED",IF($P157&gt;=T_CRIT,"CRITICAL",IF($P157&gt;=T_MON,"MONITOR","LOW")))))</f>
        <v/>
      </c>
      <c r="R157" s="12" t="str">
        <f aca="false">IF($O157="","",INDEX(DriverNames,MATCH(MAX($H157:$L157),$H157:$L157,0)))</f>
        <v/>
      </c>
      <c r="S157" s="22"/>
      <c r="T157" s="29"/>
      <c r="U157" s="2" t="str">
        <f aca="false">IF($E157="","",IFERROR(INDEX(SUPPLIERS!$Q$4:$Q$63,MATCH($E157,SUPPLIERS!$A$4:$A$63,0)),0))</f>
        <v/>
      </c>
      <c r="V157" s="2" t="str">
        <f aca="false">IF($Q157="","",IF($U157&gt;0,100,0)+IF($P157="",0,$P157)+ROW()/100000)</f>
        <v/>
      </c>
      <c r="W157" s="2" t="str">
        <f aca="false">IF($V157="","",IF($A157=SEL_MODEL,$V157,""))</f>
        <v/>
      </c>
    </row>
    <row r="158" customFormat="false" ht="15" hidden="false" customHeight="false" outlineLevel="0" collapsed="false">
      <c r="A158" s="20"/>
      <c r="B158" s="21"/>
      <c r="C158" s="22"/>
      <c r="D158" s="21"/>
      <c r="E158" s="20"/>
      <c r="F158" s="23"/>
      <c r="G158" s="24" t="str">
        <f aca="false">IF(OR($A158="",$F158=""),"",IFERROR(IF(INDEX(MODELS!$K$4:$K$28,MATCH($A158,MODELS!$A$4:$A$28,0))="","",$F158*INDEX(MODELS!$K$4:$K$28,MATCH($A158,MODELS!$A$4:$A$28,0))),""))</f>
        <v/>
      </c>
      <c r="H158" s="21"/>
      <c r="I158" s="21"/>
      <c r="J158" s="21"/>
      <c r="K158" s="25" t="str">
        <f aca="false">IF($E158="","",IFERROR(IF(INDEX(SUPPLIERS!$K$4:$K$63,MATCH($E158,SUPPLIERS!$A$4:$A$63,0))="","",INDEX(SUPPLIERS!$K$4:$K$63,MATCH($E158,SUPPLIERS!$A$4:$A$63,0))),""))</f>
        <v/>
      </c>
      <c r="L158" s="25" t="str">
        <f aca="false">IF($E158="","",IFERROR(IF(INDEX(SUPPLIERS!$L$4:$L$63,MATCH($E158,SUPPLIERS!$A$4:$A$63,0))="","",INDEX(SUPPLIERS!$L$4:$L$63,MATCH($E158,SUPPLIERS!$A$4:$A$63,0))),""))</f>
        <v/>
      </c>
      <c r="M158" s="21"/>
      <c r="N158" s="11" t="str">
        <f aca="false">IF($E158="","",IFERROR(_xlfn.TEXTJOIN("; ",TRUE(),INDEX(SUPPLIERS!$F$4:$F$63,MATCH($E158,SUPPLIERS!$A$4:$A$63,0)),INDEX(SUPPLIERS!$G$4:$G$63,MATCH($E158,SUPPLIERS!$A$4:$A$63,0)),INDEX(SUPPLIERS!$H$4:$H$63,MATCH($E158,SUPPLIERS!$A$4:$A$63,0)),INDEX(SUPPLIERS!$I$4:$I$63,MATCH($E158,SUPPLIERS!$A$4:$A$63,0)),INDEX(SUPPLIERS!$J$4:$J$63,MATCH($E158,SUPPLIERS!$A$4:$A$63,0))),""))</f>
        <v/>
      </c>
      <c r="O158" s="26" t="str">
        <f aca="false">IF(COUNT($H158:$L158)&lt;5,"",ROUND($H158*W_SRC+$I158*W_QC+$J158*W_CAP+$K158*W_SUP+$L158*W_EXT,1))</f>
        <v/>
      </c>
      <c r="P158" s="27" t="str">
        <f aca="false">IF(OR($O158="",$M158=""),"",ROUND($O158*$M158,1))</f>
        <v/>
      </c>
      <c r="Q158" s="28" t="str">
        <f aca="false">IF($E158="","",IF($U158&gt;0,"CRITICAL (FLAG)",IF(OR($O158="",$M158=""),"NOT SCORED",IF($P158&gt;=T_CRIT,"CRITICAL",IF($P158&gt;=T_MON,"MONITOR","LOW")))))</f>
        <v/>
      </c>
      <c r="R158" s="12" t="str">
        <f aca="false">IF($O158="","",INDEX(DriverNames,MATCH(MAX($H158:$L158),$H158:$L158,0)))</f>
        <v/>
      </c>
      <c r="S158" s="22"/>
      <c r="T158" s="29"/>
      <c r="U158" s="2" t="str">
        <f aca="false">IF($E158="","",IFERROR(INDEX(SUPPLIERS!$Q$4:$Q$63,MATCH($E158,SUPPLIERS!$A$4:$A$63,0)),0))</f>
        <v/>
      </c>
      <c r="V158" s="2" t="str">
        <f aca="false">IF($Q158="","",IF($U158&gt;0,100,0)+IF($P158="",0,$P158)+ROW()/100000)</f>
        <v/>
      </c>
      <c r="W158" s="2" t="str">
        <f aca="false">IF($V158="","",IF($A158=SEL_MODEL,$V158,""))</f>
        <v/>
      </c>
    </row>
    <row r="159" customFormat="false" ht="15" hidden="false" customHeight="false" outlineLevel="0" collapsed="false">
      <c r="A159" s="20"/>
      <c r="B159" s="21"/>
      <c r="C159" s="22"/>
      <c r="D159" s="21"/>
      <c r="E159" s="20"/>
      <c r="F159" s="23"/>
      <c r="G159" s="24" t="str">
        <f aca="false">IF(OR($A159="",$F159=""),"",IFERROR(IF(INDEX(MODELS!$K$4:$K$28,MATCH($A159,MODELS!$A$4:$A$28,0))="","",$F159*INDEX(MODELS!$K$4:$K$28,MATCH($A159,MODELS!$A$4:$A$28,0))),""))</f>
        <v/>
      </c>
      <c r="H159" s="21"/>
      <c r="I159" s="21"/>
      <c r="J159" s="21"/>
      <c r="K159" s="25" t="str">
        <f aca="false">IF($E159="","",IFERROR(IF(INDEX(SUPPLIERS!$K$4:$K$63,MATCH($E159,SUPPLIERS!$A$4:$A$63,0))="","",INDEX(SUPPLIERS!$K$4:$K$63,MATCH($E159,SUPPLIERS!$A$4:$A$63,0))),""))</f>
        <v/>
      </c>
      <c r="L159" s="25" t="str">
        <f aca="false">IF($E159="","",IFERROR(IF(INDEX(SUPPLIERS!$L$4:$L$63,MATCH($E159,SUPPLIERS!$A$4:$A$63,0))="","",INDEX(SUPPLIERS!$L$4:$L$63,MATCH($E159,SUPPLIERS!$A$4:$A$63,0))),""))</f>
        <v/>
      </c>
      <c r="M159" s="21"/>
      <c r="N159" s="11" t="str">
        <f aca="false">IF($E159="","",IFERROR(_xlfn.TEXTJOIN("; ",TRUE(),INDEX(SUPPLIERS!$F$4:$F$63,MATCH($E159,SUPPLIERS!$A$4:$A$63,0)),INDEX(SUPPLIERS!$G$4:$G$63,MATCH($E159,SUPPLIERS!$A$4:$A$63,0)),INDEX(SUPPLIERS!$H$4:$H$63,MATCH($E159,SUPPLIERS!$A$4:$A$63,0)),INDEX(SUPPLIERS!$I$4:$I$63,MATCH($E159,SUPPLIERS!$A$4:$A$63,0)),INDEX(SUPPLIERS!$J$4:$J$63,MATCH($E159,SUPPLIERS!$A$4:$A$63,0))),""))</f>
        <v/>
      </c>
      <c r="O159" s="26" t="str">
        <f aca="false">IF(COUNT($H159:$L159)&lt;5,"",ROUND($H159*W_SRC+$I159*W_QC+$J159*W_CAP+$K159*W_SUP+$L159*W_EXT,1))</f>
        <v/>
      </c>
      <c r="P159" s="27" t="str">
        <f aca="false">IF(OR($O159="",$M159=""),"",ROUND($O159*$M159,1))</f>
        <v/>
      </c>
      <c r="Q159" s="28" t="str">
        <f aca="false">IF($E159="","",IF($U159&gt;0,"CRITICAL (FLAG)",IF(OR($O159="",$M159=""),"NOT SCORED",IF($P159&gt;=T_CRIT,"CRITICAL",IF($P159&gt;=T_MON,"MONITOR","LOW")))))</f>
        <v/>
      </c>
      <c r="R159" s="12" t="str">
        <f aca="false">IF($O159="","",INDEX(DriverNames,MATCH(MAX($H159:$L159),$H159:$L159,0)))</f>
        <v/>
      </c>
      <c r="S159" s="22"/>
      <c r="T159" s="29"/>
      <c r="U159" s="2" t="str">
        <f aca="false">IF($E159="","",IFERROR(INDEX(SUPPLIERS!$Q$4:$Q$63,MATCH($E159,SUPPLIERS!$A$4:$A$63,0)),0))</f>
        <v/>
      </c>
      <c r="V159" s="2" t="str">
        <f aca="false">IF($Q159="","",IF($U159&gt;0,100,0)+IF($P159="",0,$P159)+ROW()/100000)</f>
        <v/>
      </c>
      <c r="W159" s="2" t="str">
        <f aca="false">IF($V159="","",IF($A159=SEL_MODEL,$V159,""))</f>
        <v/>
      </c>
    </row>
    <row r="160" customFormat="false" ht="15" hidden="false" customHeight="false" outlineLevel="0" collapsed="false">
      <c r="A160" s="20"/>
      <c r="B160" s="21"/>
      <c r="C160" s="22"/>
      <c r="D160" s="21"/>
      <c r="E160" s="20"/>
      <c r="F160" s="23"/>
      <c r="G160" s="24" t="str">
        <f aca="false">IF(OR($A160="",$F160=""),"",IFERROR(IF(INDEX(MODELS!$K$4:$K$28,MATCH($A160,MODELS!$A$4:$A$28,0))="","",$F160*INDEX(MODELS!$K$4:$K$28,MATCH($A160,MODELS!$A$4:$A$28,0))),""))</f>
        <v/>
      </c>
      <c r="H160" s="21"/>
      <c r="I160" s="21"/>
      <c r="J160" s="21"/>
      <c r="K160" s="25" t="str">
        <f aca="false">IF($E160="","",IFERROR(IF(INDEX(SUPPLIERS!$K$4:$K$63,MATCH($E160,SUPPLIERS!$A$4:$A$63,0))="","",INDEX(SUPPLIERS!$K$4:$K$63,MATCH($E160,SUPPLIERS!$A$4:$A$63,0))),""))</f>
        <v/>
      </c>
      <c r="L160" s="25" t="str">
        <f aca="false">IF($E160="","",IFERROR(IF(INDEX(SUPPLIERS!$L$4:$L$63,MATCH($E160,SUPPLIERS!$A$4:$A$63,0))="","",INDEX(SUPPLIERS!$L$4:$L$63,MATCH($E160,SUPPLIERS!$A$4:$A$63,0))),""))</f>
        <v/>
      </c>
      <c r="M160" s="21"/>
      <c r="N160" s="11" t="str">
        <f aca="false">IF($E160="","",IFERROR(_xlfn.TEXTJOIN("; ",TRUE(),INDEX(SUPPLIERS!$F$4:$F$63,MATCH($E160,SUPPLIERS!$A$4:$A$63,0)),INDEX(SUPPLIERS!$G$4:$G$63,MATCH($E160,SUPPLIERS!$A$4:$A$63,0)),INDEX(SUPPLIERS!$H$4:$H$63,MATCH($E160,SUPPLIERS!$A$4:$A$63,0)),INDEX(SUPPLIERS!$I$4:$I$63,MATCH($E160,SUPPLIERS!$A$4:$A$63,0)),INDEX(SUPPLIERS!$J$4:$J$63,MATCH($E160,SUPPLIERS!$A$4:$A$63,0))),""))</f>
        <v/>
      </c>
      <c r="O160" s="26" t="str">
        <f aca="false">IF(COUNT($H160:$L160)&lt;5,"",ROUND($H160*W_SRC+$I160*W_QC+$J160*W_CAP+$K160*W_SUP+$L160*W_EXT,1))</f>
        <v/>
      </c>
      <c r="P160" s="27" t="str">
        <f aca="false">IF(OR($O160="",$M160=""),"",ROUND($O160*$M160,1))</f>
        <v/>
      </c>
      <c r="Q160" s="28" t="str">
        <f aca="false">IF($E160="","",IF($U160&gt;0,"CRITICAL (FLAG)",IF(OR($O160="",$M160=""),"NOT SCORED",IF($P160&gt;=T_CRIT,"CRITICAL",IF($P160&gt;=T_MON,"MONITOR","LOW")))))</f>
        <v/>
      </c>
      <c r="R160" s="12" t="str">
        <f aca="false">IF($O160="","",INDEX(DriverNames,MATCH(MAX($H160:$L160),$H160:$L160,0)))</f>
        <v/>
      </c>
      <c r="S160" s="22"/>
      <c r="T160" s="29"/>
      <c r="U160" s="2" t="str">
        <f aca="false">IF($E160="","",IFERROR(INDEX(SUPPLIERS!$Q$4:$Q$63,MATCH($E160,SUPPLIERS!$A$4:$A$63,0)),0))</f>
        <v/>
      </c>
      <c r="V160" s="2" t="str">
        <f aca="false">IF($Q160="","",IF($U160&gt;0,100,0)+IF($P160="",0,$P160)+ROW()/100000)</f>
        <v/>
      </c>
      <c r="W160" s="2" t="str">
        <f aca="false">IF($V160="","",IF($A160=SEL_MODEL,$V160,""))</f>
        <v/>
      </c>
    </row>
    <row r="161" customFormat="false" ht="15" hidden="false" customHeight="false" outlineLevel="0" collapsed="false">
      <c r="A161" s="20"/>
      <c r="B161" s="21"/>
      <c r="C161" s="22"/>
      <c r="D161" s="21"/>
      <c r="E161" s="20"/>
      <c r="F161" s="23"/>
      <c r="G161" s="24" t="str">
        <f aca="false">IF(OR($A161="",$F161=""),"",IFERROR(IF(INDEX(MODELS!$K$4:$K$28,MATCH($A161,MODELS!$A$4:$A$28,0))="","",$F161*INDEX(MODELS!$K$4:$K$28,MATCH($A161,MODELS!$A$4:$A$28,0))),""))</f>
        <v/>
      </c>
      <c r="H161" s="21"/>
      <c r="I161" s="21"/>
      <c r="J161" s="21"/>
      <c r="K161" s="25" t="str">
        <f aca="false">IF($E161="","",IFERROR(IF(INDEX(SUPPLIERS!$K$4:$K$63,MATCH($E161,SUPPLIERS!$A$4:$A$63,0))="","",INDEX(SUPPLIERS!$K$4:$K$63,MATCH($E161,SUPPLIERS!$A$4:$A$63,0))),""))</f>
        <v/>
      </c>
      <c r="L161" s="25" t="str">
        <f aca="false">IF($E161="","",IFERROR(IF(INDEX(SUPPLIERS!$L$4:$L$63,MATCH($E161,SUPPLIERS!$A$4:$A$63,0))="","",INDEX(SUPPLIERS!$L$4:$L$63,MATCH($E161,SUPPLIERS!$A$4:$A$63,0))),""))</f>
        <v/>
      </c>
      <c r="M161" s="21"/>
      <c r="N161" s="11" t="str">
        <f aca="false">IF($E161="","",IFERROR(_xlfn.TEXTJOIN("; ",TRUE(),INDEX(SUPPLIERS!$F$4:$F$63,MATCH($E161,SUPPLIERS!$A$4:$A$63,0)),INDEX(SUPPLIERS!$G$4:$G$63,MATCH($E161,SUPPLIERS!$A$4:$A$63,0)),INDEX(SUPPLIERS!$H$4:$H$63,MATCH($E161,SUPPLIERS!$A$4:$A$63,0)),INDEX(SUPPLIERS!$I$4:$I$63,MATCH($E161,SUPPLIERS!$A$4:$A$63,0)),INDEX(SUPPLIERS!$J$4:$J$63,MATCH($E161,SUPPLIERS!$A$4:$A$63,0))),""))</f>
        <v/>
      </c>
      <c r="O161" s="26" t="str">
        <f aca="false">IF(COUNT($H161:$L161)&lt;5,"",ROUND($H161*W_SRC+$I161*W_QC+$J161*W_CAP+$K161*W_SUP+$L161*W_EXT,1))</f>
        <v/>
      </c>
      <c r="P161" s="27" t="str">
        <f aca="false">IF(OR($O161="",$M161=""),"",ROUND($O161*$M161,1))</f>
        <v/>
      </c>
      <c r="Q161" s="28" t="str">
        <f aca="false">IF($E161="","",IF($U161&gt;0,"CRITICAL (FLAG)",IF(OR($O161="",$M161=""),"NOT SCORED",IF($P161&gt;=T_CRIT,"CRITICAL",IF($P161&gt;=T_MON,"MONITOR","LOW")))))</f>
        <v/>
      </c>
      <c r="R161" s="12" t="str">
        <f aca="false">IF($O161="","",INDEX(DriverNames,MATCH(MAX($H161:$L161),$H161:$L161,0)))</f>
        <v/>
      </c>
      <c r="S161" s="22"/>
      <c r="T161" s="29"/>
      <c r="U161" s="2" t="str">
        <f aca="false">IF($E161="","",IFERROR(INDEX(SUPPLIERS!$Q$4:$Q$63,MATCH($E161,SUPPLIERS!$A$4:$A$63,0)),0))</f>
        <v/>
      </c>
      <c r="V161" s="2" t="str">
        <f aca="false">IF($Q161="","",IF($U161&gt;0,100,0)+IF($P161="",0,$P161)+ROW()/100000)</f>
        <v/>
      </c>
      <c r="W161" s="2" t="str">
        <f aca="false">IF($V161="","",IF($A161=SEL_MODEL,$V161,""))</f>
        <v/>
      </c>
    </row>
    <row r="162" customFormat="false" ht="15" hidden="false" customHeight="false" outlineLevel="0" collapsed="false">
      <c r="A162" s="20"/>
      <c r="B162" s="21"/>
      <c r="C162" s="22"/>
      <c r="D162" s="21"/>
      <c r="E162" s="20"/>
      <c r="F162" s="23"/>
      <c r="G162" s="24" t="str">
        <f aca="false">IF(OR($A162="",$F162=""),"",IFERROR(IF(INDEX(MODELS!$K$4:$K$28,MATCH($A162,MODELS!$A$4:$A$28,0))="","",$F162*INDEX(MODELS!$K$4:$K$28,MATCH($A162,MODELS!$A$4:$A$28,0))),""))</f>
        <v/>
      </c>
      <c r="H162" s="21"/>
      <c r="I162" s="21"/>
      <c r="J162" s="21"/>
      <c r="K162" s="25" t="str">
        <f aca="false">IF($E162="","",IFERROR(IF(INDEX(SUPPLIERS!$K$4:$K$63,MATCH($E162,SUPPLIERS!$A$4:$A$63,0))="","",INDEX(SUPPLIERS!$K$4:$K$63,MATCH($E162,SUPPLIERS!$A$4:$A$63,0))),""))</f>
        <v/>
      </c>
      <c r="L162" s="25" t="str">
        <f aca="false">IF($E162="","",IFERROR(IF(INDEX(SUPPLIERS!$L$4:$L$63,MATCH($E162,SUPPLIERS!$A$4:$A$63,0))="","",INDEX(SUPPLIERS!$L$4:$L$63,MATCH($E162,SUPPLIERS!$A$4:$A$63,0))),""))</f>
        <v/>
      </c>
      <c r="M162" s="21"/>
      <c r="N162" s="11" t="str">
        <f aca="false">IF($E162="","",IFERROR(_xlfn.TEXTJOIN("; ",TRUE(),INDEX(SUPPLIERS!$F$4:$F$63,MATCH($E162,SUPPLIERS!$A$4:$A$63,0)),INDEX(SUPPLIERS!$G$4:$G$63,MATCH($E162,SUPPLIERS!$A$4:$A$63,0)),INDEX(SUPPLIERS!$H$4:$H$63,MATCH($E162,SUPPLIERS!$A$4:$A$63,0)),INDEX(SUPPLIERS!$I$4:$I$63,MATCH($E162,SUPPLIERS!$A$4:$A$63,0)),INDEX(SUPPLIERS!$J$4:$J$63,MATCH($E162,SUPPLIERS!$A$4:$A$63,0))),""))</f>
        <v/>
      </c>
      <c r="O162" s="26" t="str">
        <f aca="false">IF(COUNT($H162:$L162)&lt;5,"",ROUND($H162*W_SRC+$I162*W_QC+$J162*W_CAP+$K162*W_SUP+$L162*W_EXT,1))</f>
        <v/>
      </c>
      <c r="P162" s="27" t="str">
        <f aca="false">IF(OR($O162="",$M162=""),"",ROUND($O162*$M162,1))</f>
        <v/>
      </c>
      <c r="Q162" s="28" t="str">
        <f aca="false">IF($E162="","",IF($U162&gt;0,"CRITICAL (FLAG)",IF(OR($O162="",$M162=""),"NOT SCORED",IF($P162&gt;=T_CRIT,"CRITICAL",IF($P162&gt;=T_MON,"MONITOR","LOW")))))</f>
        <v/>
      </c>
      <c r="R162" s="12" t="str">
        <f aca="false">IF($O162="","",INDEX(DriverNames,MATCH(MAX($H162:$L162),$H162:$L162,0)))</f>
        <v/>
      </c>
      <c r="S162" s="22"/>
      <c r="T162" s="29"/>
      <c r="U162" s="2" t="str">
        <f aca="false">IF($E162="","",IFERROR(INDEX(SUPPLIERS!$Q$4:$Q$63,MATCH($E162,SUPPLIERS!$A$4:$A$63,0)),0))</f>
        <v/>
      </c>
      <c r="V162" s="2" t="str">
        <f aca="false">IF($Q162="","",IF($U162&gt;0,100,0)+IF($P162="",0,$P162)+ROW()/100000)</f>
        <v/>
      </c>
      <c r="W162" s="2" t="str">
        <f aca="false">IF($V162="","",IF($A162=SEL_MODEL,$V162,""))</f>
        <v/>
      </c>
    </row>
    <row r="163" customFormat="false" ht="15" hidden="false" customHeight="false" outlineLevel="0" collapsed="false">
      <c r="A163" s="20"/>
      <c r="B163" s="21"/>
      <c r="C163" s="22"/>
      <c r="D163" s="21"/>
      <c r="E163" s="20"/>
      <c r="F163" s="23"/>
      <c r="G163" s="24" t="str">
        <f aca="false">IF(OR($A163="",$F163=""),"",IFERROR(IF(INDEX(MODELS!$K$4:$K$28,MATCH($A163,MODELS!$A$4:$A$28,0))="","",$F163*INDEX(MODELS!$K$4:$K$28,MATCH($A163,MODELS!$A$4:$A$28,0))),""))</f>
        <v/>
      </c>
      <c r="H163" s="21"/>
      <c r="I163" s="21"/>
      <c r="J163" s="21"/>
      <c r="K163" s="25" t="str">
        <f aca="false">IF($E163="","",IFERROR(IF(INDEX(SUPPLIERS!$K$4:$K$63,MATCH($E163,SUPPLIERS!$A$4:$A$63,0))="","",INDEX(SUPPLIERS!$K$4:$K$63,MATCH($E163,SUPPLIERS!$A$4:$A$63,0))),""))</f>
        <v/>
      </c>
      <c r="L163" s="25" t="str">
        <f aca="false">IF($E163="","",IFERROR(IF(INDEX(SUPPLIERS!$L$4:$L$63,MATCH($E163,SUPPLIERS!$A$4:$A$63,0))="","",INDEX(SUPPLIERS!$L$4:$L$63,MATCH($E163,SUPPLIERS!$A$4:$A$63,0))),""))</f>
        <v/>
      </c>
      <c r="M163" s="21"/>
      <c r="N163" s="11" t="str">
        <f aca="false">IF($E163="","",IFERROR(_xlfn.TEXTJOIN("; ",TRUE(),INDEX(SUPPLIERS!$F$4:$F$63,MATCH($E163,SUPPLIERS!$A$4:$A$63,0)),INDEX(SUPPLIERS!$G$4:$G$63,MATCH($E163,SUPPLIERS!$A$4:$A$63,0)),INDEX(SUPPLIERS!$H$4:$H$63,MATCH($E163,SUPPLIERS!$A$4:$A$63,0)),INDEX(SUPPLIERS!$I$4:$I$63,MATCH($E163,SUPPLIERS!$A$4:$A$63,0)),INDEX(SUPPLIERS!$J$4:$J$63,MATCH($E163,SUPPLIERS!$A$4:$A$63,0))),""))</f>
        <v/>
      </c>
      <c r="O163" s="26" t="str">
        <f aca="false">IF(COUNT($H163:$L163)&lt;5,"",ROUND($H163*W_SRC+$I163*W_QC+$J163*W_CAP+$K163*W_SUP+$L163*W_EXT,1))</f>
        <v/>
      </c>
      <c r="P163" s="27" t="str">
        <f aca="false">IF(OR($O163="",$M163=""),"",ROUND($O163*$M163,1))</f>
        <v/>
      </c>
      <c r="Q163" s="28" t="str">
        <f aca="false">IF($E163="","",IF($U163&gt;0,"CRITICAL (FLAG)",IF(OR($O163="",$M163=""),"NOT SCORED",IF($P163&gt;=T_CRIT,"CRITICAL",IF($P163&gt;=T_MON,"MONITOR","LOW")))))</f>
        <v/>
      </c>
      <c r="R163" s="12" t="str">
        <f aca="false">IF($O163="","",INDEX(DriverNames,MATCH(MAX($H163:$L163),$H163:$L163,0)))</f>
        <v/>
      </c>
      <c r="S163" s="22"/>
      <c r="T163" s="29"/>
      <c r="U163" s="2" t="str">
        <f aca="false">IF($E163="","",IFERROR(INDEX(SUPPLIERS!$Q$4:$Q$63,MATCH($E163,SUPPLIERS!$A$4:$A$63,0)),0))</f>
        <v/>
      </c>
      <c r="V163" s="2" t="str">
        <f aca="false">IF($Q163="","",IF($U163&gt;0,100,0)+IF($P163="",0,$P163)+ROW()/100000)</f>
        <v/>
      </c>
      <c r="W163" s="2" t="str">
        <f aca="false">IF($V163="","",IF($A163=SEL_MODEL,$V163,""))</f>
        <v/>
      </c>
    </row>
    <row r="164" customFormat="false" ht="15" hidden="false" customHeight="false" outlineLevel="0" collapsed="false">
      <c r="A164" s="20"/>
      <c r="B164" s="21"/>
      <c r="C164" s="22"/>
      <c r="D164" s="21"/>
      <c r="E164" s="20"/>
      <c r="F164" s="23"/>
      <c r="G164" s="24" t="str">
        <f aca="false">IF(OR($A164="",$F164=""),"",IFERROR(IF(INDEX(MODELS!$K$4:$K$28,MATCH($A164,MODELS!$A$4:$A$28,0))="","",$F164*INDEX(MODELS!$K$4:$K$28,MATCH($A164,MODELS!$A$4:$A$28,0))),""))</f>
        <v/>
      </c>
      <c r="H164" s="21"/>
      <c r="I164" s="21"/>
      <c r="J164" s="21"/>
      <c r="K164" s="25" t="str">
        <f aca="false">IF($E164="","",IFERROR(IF(INDEX(SUPPLIERS!$K$4:$K$63,MATCH($E164,SUPPLIERS!$A$4:$A$63,0))="","",INDEX(SUPPLIERS!$K$4:$K$63,MATCH($E164,SUPPLIERS!$A$4:$A$63,0))),""))</f>
        <v/>
      </c>
      <c r="L164" s="25" t="str">
        <f aca="false">IF($E164="","",IFERROR(IF(INDEX(SUPPLIERS!$L$4:$L$63,MATCH($E164,SUPPLIERS!$A$4:$A$63,0))="","",INDEX(SUPPLIERS!$L$4:$L$63,MATCH($E164,SUPPLIERS!$A$4:$A$63,0))),""))</f>
        <v/>
      </c>
      <c r="M164" s="21"/>
      <c r="N164" s="11" t="str">
        <f aca="false">IF($E164="","",IFERROR(_xlfn.TEXTJOIN("; ",TRUE(),INDEX(SUPPLIERS!$F$4:$F$63,MATCH($E164,SUPPLIERS!$A$4:$A$63,0)),INDEX(SUPPLIERS!$G$4:$G$63,MATCH($E164,SUPPLIERS!$A$4:$A$63,0)),INDEX(SUPPLIERS!$H$4:$H$63,MATCH($E164,SUPPLIERS!$A$4:$A$63,0)),INDEX(SUPPLIERS!$I$4:$I$63,MATCH($E164,SUPPLIERS!$A$4:$A$63,0)),INDEX(SUPPLIERS!$J$4:$J$63,MATCH($E164,SUPPLIERS!$A$4:$A$63,0))),""))</f>
        <v/>
      </c>
      <c r="O164" s="26" t="str">
        <f aca="false">IF(COUNT($H164:$L164)&lt;5,"",ROUND($H164*W_SRC+$I164*W_QC+$J164*W_CAP+$K164*W_SUP+$L164*W_EXT,1))</f>
        <v/>
      </c>
      <c r="P164" s="27" t="str">
        <f aca="false">IF(OR($O164="",$M164=""),"",ROUND($O164*$M164,1))</f>
        <v/>
      </c>
      <c r="Q164" s="28" t="str">
        <f aca="false">IF($E164="","",IF($U164&gt;0,"CRITICAL (FLAG)",IF(OR($O164="",$M164=""),"NOT SCORED",IF($P164&gt;=T_CRIT,"CRITICAL",IF($P164&gt;=T_MON,"MONITOR","LOW")))))</f>
        <v/>
      </c>
      <c r="R164" s="12" t="str">
        <f aca="false">IF($O164="","",INDEX(DriverNames,MATCH(MAX($H164:$L164),$H164:$L164,0)))</f>
        <v/>
      </c>
      <c r="S164" s="22"/>
      <c r="T164" s="29"/>
      <c r="U164" s="2" t="str">
        <f aca="false">IF($E164="","",IFERROR(INDEX(SUPPLIERS!$Q$4:$Q$63,MATCH($E164,SUPPLIERS!$A$4:$A$63,0)),0))</f>
        <v/>
      </c>
      <c r="V164" s="2" t="str">
        <f aca="false">IF($Q164="","",IF($U164&gt;0,100,0)+IF($P164="",0,$P164)+ROW()/100000)</f>
        <v/>
      </c>
      <c r="W164" s="2" t="str">
        <f aca="false">IF($V164="","",IF($A164=SEL_MODEL,$V164,""))</f>
        <v/>
      </c>
    </row>
    <row r="165" customFormat="false" ht="15" hidden="false" customHeight="false" outlineLevel="0" collapsed="false">
      <c r="A165" s="20"/>
      <c r="B165" s="21"/>
      <c r="C165" s="22"/>
      <c r="D165" s="21"/>
      <c r="E165" s="20"/>
      <c r="F165" s="23"/>
      <c r="G165" s="24" t="str">
        <f aca="false">IF(OR($A165="",$F165=""),"",IFERROR(IF(INDEX(MODELS!$K$4:$K$28,MATCH($A165,MODELS!$A$4:$A$28,0))="","",$F165*INDEX(MODELS!$K$4:$K$28,MATCH($A165,MODELS!$A$4:$A$28,0))),""))</f>
        <v/>
      </c>
      <c r="H165" s="21"/>
      <c r="I165" s="21"/>
      <c r="J165" s="21"/>
      <c r="K165" s="25" t="str">
        <f aca="false">IF($E165="","",IFERROR(IF(INDEX(SUPPLIERS!$K$4:$K$63,MATCH($E165,SUPPLIERS!$A$4:$A$63,0))="","",INDEX(SUPPLIERS!$K$4:$K$63,MATCH($E165,SUPPLIERS!$A$4:$A$63,0))),""))</f>
        <v/>
      </c>
      <c r="L165" s="25" t="str">
        <f aca="false">IF($E165="","",IFERROR(IF(INDEX(SUPPLIERS!$L$4:$L$63,MATCH($E165,SUPPLIERS!$A$4:$A$63,0))="","",INDEX(SUPPLIERS!$L$4:$L$63,MATCH($E165,SUPPLIERS!$A$4:$A$63,0))),""))</f>
        <v/>
      </c>
      <c r="M165" s="21"/>
      <c r="N165" s="11" t="str">
        <f aca="false">IF($E165="","",IFERROR(_xlfn.TEXTJOIN("; ",TRUE(),INDEX(SUPPLIERS!$F$4:$F$63,MATCH($E165,SUPPLIERS!$A$4:$A$63,0)),INDEX(SUPPLIERS!$G$4:$G$63,MATCH($E165,SUPPLIERS!$A$4:$A$63,0)),INDEX(SUPPLIERS!$H$4:$H$63,MATCH($E165,SUPPLIERS!$A$4:$A$63,0)),INDEX(SUPPLIERS!$I$4:$I$63,MATCH($E165,SUPPLIERS!$A$4:$A$63,0)),INDEX(SUPPLIERS!$J$4:$J$63,MATCH($E165,SUPPLIERS!$A$4:$A$63,0))),""))</f>
        <v/>
      </c>
      <c r="O165" s="26" t="str">
        <f aca="false">IF(COUNT($H165:$L165)&lt;5,"",ROUND($H165*W_SRC+$I165*W_QC+$J165*W_CAP+$K165*W_SUP+$L165*W_EXT,1))</f>
        <v/>
      </c>
      <c r="P165" s="27" t="str">
        <f aca="false">IF(OR($O165="",$M165=""),"",ROUND($O165*$M165,1))</f>
        <v/>
      </c>
      <c r="Q165" s="28" t="str">
        <f aca="false">IF($E165="","",IF($U165&gt;0,"CRITICAL (FLAG)",IF(OR($O165="",$M165=""),"NOT SCORED",IF($P165&gt;=T_CRIT,"CRITICAL",IF($P165&gt;=T_MON,"MONITOR","LOW")))))</f>
        <v/>
      </c>
      <c r="R165" s="12" t="str">
        <f aca="false">IF($O165="","",INDEX(DriverNames,MATCH(MAX($H165:$L165),$H165:$L165,0)))</f>
        <v/>
      </c>
      <c r="S165" s="22"/>
      <c r="T165" s="29"/>
      <c r="U165" s="2" t="str">
        <f aca="false">IF($E165="","",IFERROR(INDEX(SUPPLIERS!$Q$4:$Q$63,MATCH($E165,SUPPLIERS!$A$4:$A$63,0)),0))</f>
        <v/>
      </c>
      <c r="V165" s="2" t="str">
        <f aca="false">IF($Q165="","",IF($U165&gt;0,100,0)+IF($P165="",0,$P165)+ROW()/100000)</f>
        <v/>
      </c>
      <c r="W165" s="2" t="str">
        <f aca="false">IF($V165="","",IF($A165=SEL_MODEL,$V165,""))</f>
        <v/>
      </c>
    </row>
    <row r="166" customFormat="false" ht="15" hidden="false" customHeight="false" outlineLevel="0" collapsed="false">
      <c r="A166" s="20"/>
      <c r="B166" s="21"/>
      <c r="C166" s="22"/>
      <c r="D166" s="21"/>
      <c r="E166" s="20"/>
      <c r="F166" s="23"/>
      <c r="G166" s="24" t="str">
        <f aca="false">IF(OR($A166="",$F166=""),"",IFERROR(IF(INDEX(MODELS!$K$4:$K$28,MATCH($A166,MODELS!$A$4:$A$28,0))="","",$F166*INDEX(MODELS!$K$4:$K$28,MATCH($A166,MODELS!$A$4:$A$28,0))),""))</f>
        <v/>
      </c>
      <c r="H166" s="21"/>
      <c r="I166" s="21"/>
      <c r="J166" s="21"/>
      <c r="K166" s="25" t="str">
        <f aca="false">IF($E166="","",IFERROR(IF(INDEX(SUPPLIERS!$K$4:$K$63,MATCH($E166,SUPPLIERS!$A$4:$A$63,0))="","",INDEX(SUPPLIERS!$K$4:$K$63,MATCH($E166,SUPPLIERS!$A$4:$A$63,0))),""))</f>
        <v/>
      </c>
      <c r="L166" s="25" t="str">
        <f aca="false">IF($E166="","",IFERROR(IF(INDEX(SUPPLIERS!$L$4:$L$63,MATCH($E166,SUPPLIERS!$A$4:$A$63,0))="","",INDEX(SUPPLIERS!$L$4:$L$63,MATCH($E166,SUPPLIERS!$A$4:$A$63,0))),""))</f>
        <v/>
      </c>
      <c r="M166" s="21"/>
      <c r="N166" s="11" t="str">
        <f aca="false">IF($E166="","",IFERROR(_xlfn.TEXTJOIN("; ",TRUE(),INDEX(SUPPLIERS!$F$4:$F$63,MATCH($E166,SUPPLIERS!$A$4:$A$63,0)),INDEX(SUPPLIERS!$G$4:$G$63,MATCH($E166,SUPPLIERS!$A$4:$A$63,0)),INDEX(SUPPLIERS!$H$4:$H$63,MATCH($E166,SUPPLIERS!$A$4:$A$63,0)),INDEX(SUPPLIERS!$I$4:$I$63,MATCH($E166,SUPPLIERS!$A$4:$A$63,0)),INDEX(SUPPLIERS!$J$4:$J$63,MATCH($E166,SUPPLIERS!$A$4:$A$63,0))),""))</f>
        <v/>
      </c>
      <c r="O166" s="26" t="str">
        <f aca="false">IF(COUNT($H166:$L166)&lt;5,"",ROUND($H166*W_SRC+$I166*W_QC+$J166*W_CAP+$K166*W_SUP+$L166*W_EXT,1))</f>
        <v/>
      </c>
      <c r="P166" s="27" t="str">
        <f aca="false">IF(OR($O166="",$M166=""),"",ROUND($O166*$M166,1))</f>
        <v/>
      </c>
      <c r="Q166" s="28" t="str">
        <f aca="false">IF($E166="","",IF($U166&gt;0,"CRITICAL (FLAG)",IF(OR($O166="",$M166=""),"NOT SCORED",IF($P166&gt;=T_CRIT,"CRITICAL",IF($P166&gt;=T_MON,"MONITOR","LOW")))))</f>
        <v/>
      </c>
      <c r="R166" s="12" t="str">
        <f aca="false">IF($O166="","",INDEX(DriverNames,MATCH(MAX($H166:$L166),$H166:$L166,0)))</f>
        <v/>
      </c>
      <c r="S166" s="22"/>
      <c r="T166" s="29"/>
      <c r="U166" s="2" t="str">
        <f aca="false">IF($E166="","",IFERROR(INDEX(SUPPLIERS!$Q$4:$Q$63,MATCH($E166,SUPPLIERS!$A$4:$A$63,0)),0))</f>
        <v/>
      </c>
      <c r="V166" s="2" t="str">
        <f aca="false">IF($Q166="","",IF($U166&gt;0,100,0)+IF($P166="",0,$P166)+ROW()/100000)</f>
        <v/>
      </c>
      <c r="W166" s="2" t="str">
        <f aca="false">IF($V166="","",IF($A166=SEL_MODEL,$V166,""))</f>
        <v/>
      </c>
    </row>
    <row r="167" customFormat="false" ht="15" hidden="false" customHeight="false" outlineLevel="0" collapsed="false">
      <c r="A167" s="20"/>
      <c r="B167" s="21"/>
      <c r="C167" s="22"/>
      <c r="D167" s="21"/>
      <c r="E167" s="20"/>
      <c r="F167" s="23"/>
      <c r="G167" s="24" t="str">
        <f aca="false">IF(OR($A167="",$F167=""),"",IFERROR(IF(INDEX(MODELS!$K$4:$K$28,MATCH($A167,MODELS!$A$4:$A$28,0))="","",$F167*INDEX(MODELS!$K$4:$K$28,MATCH($A167,MODELS!$A$4:$A$28,0))),""))</f>
        <v/>
      </c>
      <c r="H167" s="21"/>
      <c r="I167" s="21"/>
      <c r="J167" s="21"/>
      <c r="K167" s="25" t="str">
        <f aca="false">IF($E167="","",IFERROR(IF(INDEX(SUPPLIERS!$K$4:$K$63,MATCH($E167,SUPPLIERS!$A$4:$A$63,0))="","",INDEX(SUPPLIERS!$K$4:$K$63,MATCH($E167,SUPPLIERS!$A$4:$A$63,0))),""))</f>
        <v/>
      </c>
      <c r="L167" s="25" t="str">
        <f aca="false">IF($E167="","",IFERROR(IF(INDEX(SUPPLIERS!$L$4:$L$63,MATCH($E167,SUPPLIERS!$A$4:$A$63,0))="","",INDEX(SUPPLIERS!$L$4:$L$63,MATCH($E167,SUPPLIERS!$A$4:$A$63,0))),""))</f>
        <v/>
      </c>
      <c r="M167" s="21"/>
      <c r="N167" s="11" t="str">
        <f aca="false">IF($E167="","",IFERROR(_xlfn.TEXTJOIN("; ",TRUE(),INDEX(SUPPLIERS!$F$4:$F$63,MATCH($E167,SUPPLIERS!$A$4:$A$63,0)),INDEX(SUPPLIERS!$G$4:$G$63,MATCH($E167,SUPPLIERS!$A$4:$A$63,0)),INDEX(SUPPLIERS!$H$4:$H$63,MATCH($E167,SUPPLIERS!$A$4:$A$63,0)),INDEX(SUPPLIERS!$I$4:$I$63,MATCH($E167,SUPPLIERS!$A$4:$A$63,0)),INDEX(SUPPLIERS!$J$4:$J$63,MATCH($E167,SUPPLIERS!$A$4:$A$63,0))),""))</f>
        <v/>
      </c>
      <c r="O167" s="26" t="str">
        <f aca="false">IF(COUNT($H167:$L167)&lt;5,"",ROUND($H167*W_SRC+$I167*W_QC+$J167*W_CAP+$K167*W_SUP+$L167*W_EXT,1))</f>
        <v/>
      </c>
      <c r="P167" s="27" t="str">
        <f aca="false">IF(OR($O167="",$M167=""),"",ROUND($O167*$M167,1))</f>
        <v/>
      </c>
      <c r="Q167" s="28" t="str">
        <f aca="false">IF($E167="","",IF($U167&gt;0,"CRITICAL (FLAG)",IF(OR($O167="",$M167=""),"NOT SCORED",IF($P167&gt;=T_CRIT,"CRITICAL",IF($P167&gt;=T_MON,"MONITOR","LOW")))))</f>
        <v/>
      </c>
      <c r="R167" s="12" t="str">
        <f aca="false">IF($O167="","",INDEX(DriverNames,MATCH(MAX($H167:$L167),$H167:$L167,0)))</f>
        <v/>
      </c>
      <c r="S167" s="22"/>
      <c r="T167" s="29"/>
      <c r="U167" s="2" t="str">
        <f aca="false">IF($E167="","",IFERROR(INDEX(SUPPLIERS!$Q$4:$Q$63,MATCH($E167,SUPPLIERS!$A$4:$A$63,0)),0))</f>
        <v/>
      </c>
      <c r="V167" s="2" t="str">
        <f aca="false">IF($Q167="","",IF($U167&gt;0,100,0)+IF($P167="",0,$P167)+ROW()/100000)</f>
        <v/>
      </c>
      <c r="W167" s="2" t="str">
        <f aca="false">IF($V167="","",IF($A167=SEL_MODEL,$V167,""))</f>
        <v/>
      </c>
    </row>
    <row r="168" customFormat="false" ht="15" hidden="false" customHeight="false" outlineLevel="0" collapsed="false">
      <c r="A168" s="20"/>
      <c r="B168" s="21"/>
      <c r="C168" s="22"/>
      <c r="D168" s="21"/>
      <c r="E168" s="20"/>
      <c r="F168" s="23"/>
      <c r="G168" s="24" t="str">
        <f aca="false">IF(OR($A168="",$F168=""),"",IFERROR(IF(INDEX(MODELS!$K$4:$K$28,MATCH($A168,MODELS!$A$4:$A$28,0))="","",$F168*INDEX(MODELS!$K$4:$K$28,MATCH($A168,MODELS!$A$4:$A$28,0))),""))</f>
        <v/>
      </c>
      <c r="H168" s="21"/>
      <c r="I168" s="21"/>
      <c r="J168" s="21"/>
      <c r="K168" s="25" t="str">
        <f aca="false">IF($E168="","",IFERROR(IF(INDEX(SUPPLIERS!$K$4:$K$63,MATCH($E168,SUPPLIERS!$A$4:$A$63,0))="","",INDEX(SUPPLIERS!$K$4:$K$63,MATCH($E168,SUPPLIERS!$A$4:$A$63,0))),""))</f>
        <v/>
      </c>
      <c r="L168" s="25" t="str">
        <f aca="false">IF($E168="","",IFERROR(IF(INDEX(SUPPLIERS!$L$4:$L$63,MATCH($E168,SUPPLIERS!$A$4:$A$63,0))="","",INDEX(SUPPLIERS!$L$4:$L$63,MATCH($E168,SUPPLIERS!$A$4:$A$63,0))),""))</f>
        <v/>
      </c>
      <c r="M168" s="21"/>
      <c r="N168" s="11" t="str">
        <f aca="false">IF($E168="","",IFERROR(_xlfn.TEXTJOIN("; ",TRUE(),INDEX(SUPPLIERS!$F$4:$F$63,MATCH($E168,SUPPLIERS!$A$4:$A$63,0)),INDEX(SUPPLIERS!$G$4:$G$63,MATCH($E168,SUPPLIERS!$A$4:$A$63,0)),INDEX(SUPPLIERS!$H$4:$H$63,MATCH($E168,SUPPLIERS!$A$4:$A$63,0)),INDEX(SUPPLIERS!$I$4:$I$63,MATCH($E168,SUPPLIERS!$A$4:$A$63,0)),INDEX(SUPPLIERS!$J$4:$J$63,MATCH($E168,SUPPLIERS!$A$4:$A$63,0))),""))</f>
        <v/>
      </c>
      <c r="O168" s="26" t="str">
        <f aca="false">IF(COUNT($H168:$L168)&lt;5,"",ROUND($H168*W_SRC+$I168*W_QC+$J168*W_CAP+$K168*W_SUP+$L168*W_EXT,1))</f>
        <v/>
      </c>
      <c r="P168" s="27" t="str">
        <f aca="false">IF(OR($O168="",$M168=""),"",ROUND($O168*$M168,1))</f>
        <v/>
      </c>
      <c r="Q168" s="28" t="str">
        <f aca="false">IF($E168="","",IF($U168&gt;0,"CRITICAL (FLAG)",IF(OR($O168="",$M168=""),"NOT SCORED",IF($P168&gt;=T_CRIT,"CRITICAL",IF($P168&gt;=T_MON,"MONITOR","LOW")))))</f>
        <v/>
      </c>
      <c r="R168" s="12" t="str">
        <f aca="false">IF($O168="","",INDEX(DriverNames,MATCH(MAX($H168:$L168),$H168:$L168,0)))</f>
        <v/>
      </c>
      <c r="S168" s="22"/>
      <c r="T168" s="29"/>
      <c r="U168" s="2" t="str">
        <f aca="false">IF($E168="","",IFERROR(INDEX(SUPPLIERS!$Q$4:$Q$63,MATCH($E168,SUPPLIERS!$A$4:$A$63,0)),0))</f>
        <v/>
      </c>
      <c r="V168" s="2" t="str">
        <f aca="false">IF($Q168="","",IF($U168&gt;0,100,0)+IF($P168="",0,$P168)+ROW()/100000)</f>
        <v/>
      </c>
      <c r="W168" s="2" t="str">
        <f aca="false">IF($V168="","",IF($A168=SEL_MODEL,$V168,""))</f>
        <v/>
      </c>
    </row>
    <row r="169" customFormat="false" ht="15" hidden="false" customHeight="false" outlineLevel="0" collapsed="false">
      <c r="A169" s="20"/>
      <c r="B169" s="21"/>
      <c r="C169" s="22"/>
      <c r="D169" s="21"/>
      <c r="E169" s="20"/>
      <c r="F169" s="23"/>
      <c r="G169" s="24" t="str">
        <f aca="false">IF(OR($A169="",$F169=""),"",IFERROR(IF(INDEX(MODELS!$K$4:$K$28,MATCH($A169,MODELS!$A$4:$A$28,0))="","",$F169*INDEX(MODELS!$K$4:$K$28,MATCH($A169,MODELS!$A$4:$A$28,0))),""))</f>
        <v/>
      </c>
      <c r="H169" s="21"/>
      <c r="I169" s="21"/>
      <c r="J169" s="21"/>
      <c r="K169" s="25" t="str">
        <f aca="false">IF($E169="","",IFERROR(IF(INDEX(SUPPLIERS!$K$4:$K$63,MATCH($E169,SUPPLIERS!$A$4:$A$63,0))="","",INDEX(SUPPLIERS!$K$4:$K$63,MATCH($E169,SUPPLIERS!$A$4:$A$63,0))),""))</f>
        <v/>
      </c>
      <c r="L169" s="25" t="str">
        <f aca="false">IF($E169="","",IFERROR(IF(INDEX(SUPPLIERS!$L$4:$L$63,MATCH($E169,SUPPLIERS!$A$4:$A$63,0))="","",INDEX(SUPPLIERS!$L$4:$L$63,MATCH($E169,SUPPLIERS!$A$4:$A$63,0))),""))</f>
        <v/>
      </c>
      <c r="M169" s="21"/>
      <c r="N169" s="11" t="str">
        <f aca="false">IF($E169="","",IFERROR(_xlfn.TEXTJOIN("; ",TRUE(),INDEX(SUPPLIERS!$F$4:$F$63,MATCH($E169,SUPPLIERS!$A$4:$A$63,0)),INDEX(SUPPLIERS!$G$4:$G$63,MATCH($E169,SUPPLIERS!$A$4:$A$63,0)),INDEX(SUPPLIERS!$H$4:$H$63,MATCH($E169,SUPPLIERS!$A$4:$A$63,0)),INDEX(SUPPLIERS!$I$4:$I$63,MATCH($E169,SUPPLIERS!$A$4:$A$63,0)),INDEX(SUPPLIERS!$J$4:$J$63,MATCH($E169,SUPPLIERS!$A$4:$A$63,0))),""))</f>
        <v/>
      </c>
      <c r="O169" s="26" t="str">
        <f aca="false">IF(COUNT($H169:$L169)&lt;5,"",ROUND($H169*W_SRC+$I169*W_QC+$J169*W_CAP+$K169*W_SUP+$L169*W_EXT,1))</f>
        <v/>
      </c>
      <c r="P169" s="27" t="str">
        <f aca="false">IF(OR($O169="",$M169=""),"",ROUND($O169*$M169,1))</f>
        <v/>
      </c>
      <c r="Q169" s="28" t="str">
        <f aca="false">IF($E169="","",IF($U169&gt;0,"CRITICAL (FLAG)",IF(OR($O169="",$M169=""),"NOT SCORED",IF($P169&gt;=T_CRIT,"CRITICAL",IF($P169&gt;=T_MON,"MONITOR","LOW")))))</f>
        <v/>
      </c>
      <c r="R169" s="12" t="str">
        <f aca="false">IF($O169="","",INDEX(DriverNames,MATCH(MAX($H169:$L169),$H169:$L169,0)))</f>
        <v/>
      </c>
      <c r="S169" s="22"/>
      <c r="T169" s="29"/>
      <c r="U169" s="2" t="str">
        <f aca="false">IF($E169="","",IFERROR(INDEX(SUPPLIERS!$Q$4:$Q$63,MATCH($E169,SUPPLIERS!$A$4:$A$63,0)),0))</f>
        <v/>
      </c>
      <c r="V169" s="2" t="str">
        <f aca="false">IF($Q169="","",IF($U169&gt;0,100,0)+IF($P169="",0,$P169)+ROW()/100000)</f>
        <v/>
      </c>
      <c r="W169" s="2" t="str">
        <f aca="false">IF($V169="","",IF($A169=SEL_MODEL,$V169,""))</f>
        <v/>
      </c>
    </row>
    <row r="170" customFormat="false" ht="15" hidden="false" customHeight="false" outlineLevel="0" collapsed="false">
      <c r="A170" s="20"/>
      <c r="B170" s="21"/>
      <c r="C170" s="22"/>
      <c r="D170" s="21"/>
      <c r="E170" s="20"/>
      <c r="F170" s="23"/>
      <c r="G170" s="24" t="str">
        <f aca="false">IF(OR($A170="",$F170=""),"",IFERROR(IF(INDEX(MODELS!$K$4:$K$28,MATCH($A170,MODELS!$A$4:$A$28,0))="","",$F170*INDEX(MODELS!$K$4:$K$28,MATCH($A170,MODELS!$A$4:$A$28,0))),""))</f>
        <v/>
      </c>
      <c r="H170" s="21"/>
      <c r="I170" s="21"/>
      <c r="J170" s="21"/>
      <c r="K170" s="25" t="str">
        <f aca="false">IF($E170="","",IFERROR(IF(INDEX(SUPPLIERS!$K$4:$K$63,MATCH($E170,SUPPLIERS!$A$4:$A$63,0))="","",INDEX(SUPPLIERS!$K$4:$K$63,MATCH($E170,SUPPLIERS!$A$4:$A$63,0))),""))</f>
        <v/>
      </c>
      <c r="L170" s="25" t="str">
        <f aca="false">IF($E170="","",IFERROR(IF(INDEX(SUPPLIERS!$L$4:$L$63,MATCH($E170,SUPPLIERS!$A$4:$A$63,0))="","",INDEX(SUPPLIERS!$L$4:$L$63,MATCH($E170,SUPPLIERS!$A$4:$A$63,0))),""))</f>
        <v/>
      </c>
      <c r="M170" s="21"/>
      <c r="N170" s="11" t="str">
        <f aca="false">IF($E170="","",IFERROR(_xlfn.TEXTJOIN("; ",TRUE(),INDEX(SUPPLIERS!$F$4:$F$63,MATCH($E170,SUPPLIERS!$A$4:$A$63,0)),INDEX(SUPPLIERS!$G$4:$G$63,MATCH($E170,SUPPLIERS!$A$4:$A$63,0)),INDEX(SUPPLIERS!$H$4:$H$63,MATCH($E170,SUPPLIERS!$A$4:$A$63,0)),INDEX(SUPPLIERS!$I$4:$I$63,MATCH($E170,SUPPLIERS!$A$4:$A$63,0)),INDEX(SUPPLIERS!$J$4:$J$63,MATCH($E170,SUPPLIERS!$A$4:$A$63,0))),""))</f>
        <v/>
      </c>
      <c r="O170" s="26" t="str">
        <f aca="false">IF(COUNT($H170:$L170)&lt;5,"",ROUND($H170*W_SRC+$I170*W_QC+$J170*W_CAP+$K170*W_SUP+$L170*W_EXT,1))</f>
        <v/>
      </c>
      <c r="P170" s="27" t="str">
        <f aca="false">IF(OR($O170="",$M170=""),"",ROUND($O170*$M170,1))</f>
        <v/>
      </c>
      <c r="Q170" s="28" t="str">
        <f aca="false">IF($E170="","",IF($U170&gt;0,"CRITICAL (FLAG)",IF(OR($O170="",$M170=""),"NOT SCORED",IF($P170&gt;=T_CRIT,"CRITICAL",IF($P170&gt;=T_MON,"MONITOR","LOW")))))</f>
        <v/>
      </c>
      <c r="R170" s="12" t="str">
        <f aca="false">IF($O170="","",INDEX(DriverNames,MATCH(MAX($H170:$L170),$H170:$L170,0)))</f>
        <v/>
      </c>
      <c r="S170" s="22"/>
      <c r="T170" s="29"/>
      <c r="U170" s="2" t="str">
        <f aca="false">IF($E170="","",IFERROR(INDEX(SUPPLIERS!$Q$4:$Q$63,MATCH($E170,SUPPLIERS!$A$4:$A$63,0)),0))</f>
        <v/>
      </c>
      <c r="V170" s="2" t="str">
        <f aca="false">IF($Q170="","",IF($U170&gt;0,100,0)+IF($P170="",0,$P170)+ROW()/100000)</f>
        <v/>
      </c>
      <c r="W170" s="2" t="str">
        <f aca="false">IF($V170="","",IF($A170=SEL_MODEL,$V170,""))</f>
        <v/>
      </c>
    </row>
    <row r="171" customFormat="false" ht="15" hidden="false" customHeight="false" outlineLevel="0" collapsed="false">
      <c r="A171" s="20"/>
      <c r="B171" s="21"/>
      <c r="C171" s="22"/>
      <c r="D171" s="21"/>
      <c r="E171" s="20"/>
      <c r="F171" s="23"/>
      <c r="G171" s="24" t="str">
        <f aca="false">IF(OR($A171="",$F171=""),"",IFERROR(IF(INDEX(MODELS!$K$4:$K$28,MATCH($A171,MODELS!$A$4:$A$28,0))="","",$F171*INDEX(MODELS!$K$4:$K$28,MATCH($A171,MODELS!$A$4:$A$28,0))),""))</f>
        <v/>
      </c>
      <c r="H171" s="21"/>
      <c r="I171" s="21"/>
      <c r="J171" s="21"/>
      <c r="K171" s="25" t="str">
        <f aca="false">IF($E171="","",IFERROR(IF(INDEX(SUPPLIERS!$K$4:$K$63,MATCH($E171,SUPPLIERS!$A$4:$A$63,0))="","",INDEX(SUPPLIERS!$K$4:$K$63,MATCH($E171,SUPPLIERS!$A$4:$A$63,0))),""))</f>
        <v/>
      </c>
      <c r="L171" s="25" t="str">
        <f aca="false">IF($E171="","",IFERROR(IF(INDEX(SUPPLIERS!$L$4:$L$63,MATCH($E171,SUPPLIERS!$A$4:$A$63,0))="","",INDEX(SUPPLIERS!$L$4:$L$63,MATCH($E171,SUPPLIERS!$A$4:$A$63,0))),""))</f>
        <v/>
      </c>
      <c r="M171" s="21"/>
      <c r="N171" s="11" t="str">
        <f aca="false">IF($E171="","",IFERROR(_xlfn.TEXTJOIN("; ",TRUE(),INDEX(SUPPLIERS!$F$4:$F$63,MATCH($E171,SUPPLIERS!$A$4:$A$63,0)),INDEX(SUPPLIERS!$G$4:$G$63,MATCH($E171,SUPPLIERS!$A$4:$A$63,0)),INDEX(SUPPLIERS!$H$4:$H$63,MATCH($E171,SUPPLIERS!$A$4:$A$63,0)),INDEX(SUPPLIERS!$I$4:$I$63,MATCH($E171,SUPPLIERS!$A$4:$A$63,0)),INDEX(SUPPLIERS!$J$4:$J$63,MATCH($E171,SUPPLIERS!$A$4:$A$63,0))),""))</f>
        <v/>
      </c>
      <c r="O171" s="26" t="str">
        <f aca="false">IF(COUNT($H171:$L171)&lt;5,"",ROUND($H171*W_SRC+$I171*W_QC+$J171*W_CAP+$K171*W_SUP+$L171*W_EXT,1))</f>
        <v/>
      </c>
      <c r="P171" s="27" t="str">
        <f aca="false">IF(OR($O171="",$M171=""),"",ROUND($O171*$M171,1))</f>
        <v/>
      </c>
      <c r="Q171" s="28" t="str">
        <f aca="false">IF($E171="","",IF($U171&gt;0,"CRITICAL (FLAG)",IF(OR($O171="",$M171=""),"NOT SCORED",IF($P171&gt;=T_CRIT,"CRITICAL",IF($P171&gt;=T_MON,"MONITOR","LOW")))))</f>
        <v/>
      </c>
      <c r="R171" s="12" t="str">
        <f aca="false">IF($O171="","",INDEX(DriverNames,MATCH(MAX($H171:$L171),$H171:$L171,0)))</f>
        <v/>
      </c>
      <c r="S171" s="22"/>
      <c r="T171" s="29"/>
      <c r="U171" s="2" t="str">
        <f aca="false">IF($E171="","",IFERROR(INDEX(SUPPLIERS!$Q$4:$Q$63,MATCH($E171,SUPPLIERS!$A$4:$A$63,0)),0))</f>
        <v/>
      </c>
      <c r="V171" s="2" t="str">
        <f aca="false">IF($Q171="","",IF($U171&gt;0,100,0)+IF($P171="",0,$P171)+ROW()/100000)</f>
        <v/>
      </c>
      <c r="W171" s="2" t="str">
        <f aca="false">IF($V171="","",IF($A171=SEL_MODEL,$V171,""))</f>
        <v/>
      </c>
    </row>
    <row r="172" customFormat="false" ht="15" hidden="false" customHeight="false" outlineLevel="0" collapsed="false">
      <c r="A172" s="20"/>
      <c r="B172" s="21"/>
      <c r="C172" s="22"/>
      <c r="D172" s="21"/>
      <c r="E172" s="20"/>
      <c r="F172" s="23"/>
      <c r="G172" s="24" t="str">
        <f aca="false">IF(OR($A172="",$F172=""),"",IFERROR(IF(INDEX(MODELS!$K$4:$K$28,MATCH($A172,MODELS!$A$4:$A$28,0))="","",$F172*INDEX(MODELS!$K$4:$K$28,MATCH($A172,MODELS!$A$4:$A$28,0))),""))</f>
        <v/>
      </c>
      <c r="H172" s="21"/>
      <c r="I172" s="21"/>
      <c r="J172" s="21"/>
      <c r="K172" s="25" t="str">
        <f aca="false">IF($E172="","",IFERROR(IF(INDEX(SUPPLIERS!$K$4:$K$63,MATCH($E172,SUPPLIERS!$A$4:$A$63,0))="","",INDEX(SUPPLIERS!$K$4:$K$63,MATCH($E172,SUPPLIERS!$A$4:$A$63,0))),""))</f>
        <v/>
      </c>
      <c r="L172" s="25" t="str">
        <f aca="false">IF($E172="","",IFERROR(IF(INDEX(SUPPLIERS!$L$4:$L$63,MATCH($E172,SUPPLIERS!$A$4:$A$63,0))="","",INDEX(SUPPLIERS!$L$4:$L$63,MATCH($E172,SUPPLIERS!$A$4:$A$63,0))),""))</f>
        <v/>
      </c>
      <c r="M172" s="21"/>
      <c r="N172" s="11" t="str">
        <f aca="false">IF($E172="","",IFERROR(_xlfn.TEXTJOIN("; ",TRUE(),INDEX(SUPPLIERS!$F$4:$F$63,MATCH($E172,SUPPLIERS!$A$4:$A$63,0)),INDEX(SUPPLIERS!$G$4:$G$63,MATCH($E172,SUPPLIERS!$A$4:$A$63,0)),INDEX(SUPPLIERS!$H$4:$H$63,MATCH($E172,SUPPLIERS!$A$4:$A$63,0)),INDEX(SUPPLIERS!$I$4:$I$63,MATCH($E172,SUPPLIERS!$A$4:$A$63,0)),INDEX(SUPPLIERS!$J$4:$J$63,MATCH($E172,SUPPLIERS!$A$4:$A$63,0))),""))</f>
        <v/>
      </c>
      <c r="O172" s="26" t="str">
        <f aca="false">IF(COUNT($H172:$L172)&lt;5,"",ROUND($H172*W_SRC+$I172*W_QC+$J172*W_CAP+$K172*W_SUP+$L172*W_EXT,1))</f>
        <v/>
      </c>
      <c r="P172" s="27" t="str">
        <f aca="false">IF(OR($O172="",$M172=""),"",ROUND($O172*$M172,1))</f>
        <v/>
      </c>
      <c r="Q172" s="28" t="str">
        <f aca="false">IF($E172="","",IF($U172&gt;0,"CRITICAL (FLAG)",IF(OR($O172="",$M172=""),"NOT SCORED",IF($P172&gt;=T_CRIT,"CRITICAL",IF($P172&gt;=T_MON,"MONITOR","LOW")))))</f>
        <v/>
      </c>
      <c r="R172" s="12" t="str">
        <f aca="false">IF($O172="","",INDEX(DriverNames,MATCH(MAX($H172:$L172),$H172:$L172,0)))</f>
        <v/>
      </c>
      <c r="S172" s="22"/>
      <c r="T172" s="29"/>
      <c r="U172" s="2" t="str">
        <f aca="false">IF($E172="","",IFERROR(INDEX(SUPPLIERS!$Q$4:$Q$63,MATCH($E172,SUPPLIERS!$A$4:$A$63,0)),0))</f>
        <v/>
      </c>
      <c r="V172" s="2" t="str">
        <f aca="false">IF($Q172="","",IF($U172&gt;0,100,0)+IF($P172="",0,$P172)+ROW()/100000)</f>
        <v/>
      </c>
      <c r="W172" s="2" t="str">
        <f aca="false">IF($V172="","",IF($A172=SEL_MODEL,$V172,""))</f>
        <v/>
      </c>
    </row>
    <row r="173" customFormat="false" ht="15" hidden="false" customHeight="false" outlineLevel="0" collapsed="false">
      <c r="A173" s="20"/>
      <c r="B173" s="21"/>
      <c r="C173" s="22"/>
      <c r="D173" s="21"/>
      <c r="E173" s="20"/>
      <c r="F173" s="23"/>
      <c r="G173" s="24" t="str">
        <f aca="false">IF(OR($A173="",$F173=""),"",IFERROR(IF(INDEX(MODELS!$K$4:$K$28,MATCH($A173,MODELS!$A$4:$A$28,0))="","",$F173*INDEX(MODELS!$K$4:$K$28,MATCH($A173,MODELS!$A$4:$A$28,0))),""))</f>
        <v/>
      </c>
      <c r="H173" s="21"/>
      <c r="I173" s="21"/>
      <c r="J173" s="21"/>
      <c r="K173" s="25" t="str">
        <f aca="false">IF($E173="","",IFERROR(IF(INDEX(SUPPLIERS!$K$4:$K$63,MATCH($E173,SUPPLIERS!$A$4:$A$63,0))="","",INDEX(SUPPLIERS!$K$4:$K$63,MATCH($E173,SUPPLIERS!$A$4:$A$63,0))),""))</f>
        <v/>
      </c>
      <c r="L173" s="25" t="str">
        <f aca="false">IF($E173="","",IFERROR(IF(INDEX(SUPPLIERS!$L$4:$L$63,MATCH($E173,SUPPLIERS!$A$4:$A$63,0))="","",INDEX(SUPPLIERS!$L$4:$L$63,MATCH($E173,SUPPLIERS!$A$4:$A$63,0))),""))</f>
        <v/>
      </c>
      <c r="M173" s="21"/>
      <c r="N173" s="11" t="str">
        <f aca="false">IF($E173="","",IFERROR(_xlfn.TEXTJOIN("; ",TRUE(),INDEX(SUPPLIERS!$F$4:$F$63,MATCH($E173,SUPPLIERS!$A$4:$A$63,0)),INDEX(SUPPLIERS!$G$4:$G$63,MATCH($E173,SUPPLIERS!$A$4:$A$63,0)),INDEX(SUPPLIERS!$H$4:$H$63,MATCH($E173,SUPPLIERS!$A$4:$A$63,0)),INDEX(SUPPLIERS!$I$4:$I$63,MATCH($E173,SUPPLIERS!$A$4:$A$63,0)),INDEX(SUPPLIERS!$J$4:$J$63,MATCH($E173,SUPPLIERS!$A$4:$A$63,0))),""))</f>
        <v/>
      </c>
      <c r="O173" s="26" t="str">
        <f aca="false">IF(COUNT($H173:$L173)&lt;5,"",ROUND($H173*W_SRC+$I173*W_QC+$J173*W_CAP+$K173*W_SUP+$L173*W_EXT,1))</f>
        <v/>
      </c>
      <c r="P173" s="27" t="str">
        <f aca="false">IF(OR($O173="",$M173=""),"",ROUND($O173*$M173,1))</f>
        <v/>
      </c>
      <c r="Q173" s="28" t="str">
        <f aca="false">IF($E173="","",IF($U173&gt;0,"CRITICAL (FLAG)",IF(OR($O173="",$M173=""),"NOT SCORED",IF($P173&gt;=T_CRIT,"CRITICAL",IF($P173&gt;=T_MON,"MONITOR","LOW")))))</f>
        <v/>
      </c>
      <c r="R173" s="12" t="str">
        <f aca="false">IF($O173="","",INDEX(DriverNames,MATCH(MAX($H173:$L173),$H173:$L173,0)))</f>
        <v/>
      </c>
      <c r="S173" s="22"/>
      <c r="T173" s="29"/>
      <c r="U173" s="2" t="str">
        <f aca="false">IF($E173="","",IFERROR(INDEX(SUPPLIERS!$Q$4:$Q$63,MATCH($E173,SUPPLIERS!$A$4:$A$63,0)),0))</f>
        <v/>
      </c>
      <c r="V173" s="2" t="str">
        <f aca="false">IF($Q173="","",IF($U173&gt;0,100,0)+IF($P173="",0,$P173)+ROW()/100000)</f>
        <v/>
      </c>
      <c r="W173" s="2" t="str">
        <f aca="false">IF($V173="","",IF($A173=SEL_MODEL,$V173,""))</f>
        <v/>
      </c>
    </row>
    <row r="174" customFormat="false" ht="15" hidden="false" customHeight="false" outlineLevel="0" collapsed="false">
      <c r="A174" s="20"/>
      <c r="B174" s="21"/>
      <c r="C174" s="22"/>
      <c r="D174" s="21"/>
      <c r="E174" s="20"/>
      <c r="F174" s="23"/>
      <c r="G174" s="24" t="str">
        <f aca="false">IF(OR($A174="",$F174=""),"",IFERROR(IF(INDEX(MODELS!$K$4:$K$28,MATCH($A174,MODELS!$A$4:$A$28,0))="","",$F174*INDEX(MODELS!$K$4:$K$28,MATCH($A174,MODELS!$A$4:$A$28,0))),""))</f>
        <v/>
      </c>
      <c r="H174" s="21"/>
      <c r="I174" s="21"/>
      <c r="J174" s="21"/>
      <c r="K174" s="25" t="str">
        <f aca="false">IF($E174="","",IFERROR(IF(INDEX(SUPPLIERS!$K$4:$K$63,MATCH($E174,SUPPLIERS!$A$4:$A$63,0))="","",INDEX(SUPPLIERS!$K$4:$K$63,MATCH($E174,SUPPLIERS!$A$4:$A$63,0))),""))</f>
        <v/>
      </c>
      <c r="L174" s="25" t="str">
        <f aca="false">IF($E174="","",IFERROR(IF(INDEX(SUPPLIERS!$L$4:$L$63,MATCH($E174,SUPPLIERS!$A$4:$A$63,0))="","",INDEX(SUPPLIERS!$L$4:$L$63,MATCH($E174,SUPPLIERS!$A$4:$A$63,0))),""))</f>
        <v/>
      </c>
      <c r="M174" s="21"/>
      <c r="N174" s="11" t="str">
        <f aca="false">IF($E174="","",IFERROR(_xlfn.TEXTJOIN("; ",TRUE(),INDEX(SUPPLIERS!$F$4:$F$63,MATCH($E174,SUPPLIERS!$A$4:$A$63,0)),INDEX(SUPPLIERS!$G$4:$G$63,MATCH($E174,SUPPLIERS!$A$4:$A$63,0)),INDEX(SUPPLIERS!$H$4:$H$63,MATCH($E174,SUPPLIERS!$A$4:$A$63,0)),INDEX(SUPPLIERS!$I$4:$I$63,MATCH($E174,SUPPLIERS!$A$4:$A$63,0)),INDEX(SUPPLIERS!$J$4:$J$63,MATCH($E174,SUPPLIERS!$A$4:$A$63,0))),""))</f>
        <v/>
      </c>
      <c r="O174" s="26" t="str">
        <f aca="false">IF(COUNT($H174:$L174)&lt;5,"",ROUND($H174*W_SRC+$I174*W_QC+$J174*W_CAP+$K174*W_SUP+$L174*W_EXT,1))</f>
        <v/>
      </c>
      <c r="P174" s="27" t="str">
        <f aca="false">IF(OR($O174="",$M174=""),"",ROUND($O174*$M174,1))</f>
        <v/>
      </c>
      <c r="Q174" s="28" t="str">
        <f aca="false">IF($E174="","",IF($U174&gt;0,"CRITICAL (FLAG)",IF(OR($O174="",$M174=""),"NOT SCORED",IF($P174&gt;=T_CRIT,"CRITICAL",IF($P174&gt;=T_MON,"MONITOR","LOW")))))</f>
        <v/>
      </c>
      <c r="R174" s="12" t="str">
        <f aca="false">IF($O174="","",INDEX(DriverNames,MATCH(MAX($H174:$L174),$H174:$L174,0)))</f>
        <v/>
      </c>
      <c r="S174" s="22"/>
      <c r="T174" s="29"/>
      <c r="U174" s="2" t="str">
        <f aca="false">IF($E174="","",IFERROR(INDEX(SUPPLIERS!$Q$4:$Q$63,MATCH($E174,SUPPLIERS!$A$4:$A$63,0)),0))</f>
        <v/>
      </c>
      <c r="V174" s="2" t="str">
        <f aca="false">IF($Q174="","",IF($U174&gt;0,100,0)+IF($P174="",0,$P174)+ROW()/100000)</f>
        <v/>
      </c>
      <c r="W174" s="2" t="str">
        <f aca="false">IF($V174="","",IF($A174=SEL_MODEL,$V174,""))</f>
        <v/>
      </c>
    </row>
    <row r="175" customFormat="false" ht="15" hidden="false" customHeight="false" outlineLevel="0" collapsed="false">
      <c r="A175" s="20"/>
      <c r="B175" s="21"/>
      <c r="C175" s="22"/>
      <c r="D175" s="21"/>
      <c r="E175" s="20"/>
      <c r="F175" s="23"/>
      <c r="G175" s="24" t="str">
        <f aca="false">IF(OR($A175="",$F175=""),"",IFERROR(IF(INDEX(MODELS!$K$4:$K$28,MATCH($A175,MODELS!$A$4:$A$28,0))="","",$F175*INDEX(MODELS!$K$4:$K$28,MATCH($A175,MODELS!$A$4:$A$28,0))),""))</f>
        <v/>
      </c>
      <c r="H175" s="21"/>
      <c r="I175" s="21"/>
      <c r="J175" s="21"/>
      <c r="K175" s="25" t="str">
        <f aca="false">IF($E175="","",IFERROR(IF(INDEX(SUPPLIERS!$K$4:$K$63,MATCH($E175,SUPPLIERS!$A$4:$A$63,0))="","",INDEX(SUPPLIERS!$K$4:$K$63,MATCH($E175,SUPPLIERS!$A$4:$A$63,0))),""))</f>
        <v/>
      </c>
      <c r="L175" s="25" t="str">
        <f aca="false">IF($E175="","",IFERROR(IF(INDEX(SUPPLIERS!$L$4:$L$63,MATCH($E175,SUPPLIERS!$A$4:$A$63,0))="","",INDEX(SUPPLIERS!$L$4:$L$63,MATCH($E175,SUPPLIERS!$A$4:$A$63,0))),""))</f>
        <v/>
      </c>
      <c r="M175" s="21"/>
      <c r="N175" s="11" t="str">
        <f aca="false">IF($E175="","",IFERROR(_xlfn.TEXTJOIN("; ",TRUE(),INDEX(SUPPLIERS!$F$4:$F$63,MATCH($E175,SUPPLIERS!$A$4:$A$63,0)),INDEX(SUPPLIERS!$G$4:$G$63,MATCH($E175,SUPPLIERS!$A$4:$A$63,0)),INDEX(SUPPLIERS!$H$4:$H$63,MATCH($E175,SUPPLIERS!$A$4:$A$63,0)),INDEX(SUPPLIERS!$I$4:$I$63,MATCH($E175,SUPPLIERS!$A$4:$A$63,0)),INDEX(SUPPLIERS!$J$4:$J$63,MATCH($E175,SUPPLIERS!$A$4:$A$63,0))),""))</f>
        <v/>
      </c>
      <c r="O175" s="26" t="str">
        <f aca="false">IF(COUNT($H175:$L175)&lt;5,"",ROUND($H175*W_SRC+$I175*W_QC+$J175*W_CAP+$K175*W_SUP+$L175*W_EXT,1))</f>
        <v/>
      </c>
      <c r="P175" s="27" t="str">
        <f aca="false">IF(OR($O175="",$M175=""),"",ROUND($O175*$M175,1))</f>
        <v/>
      </c>
      <c r="Q175" s="28" t="str">
        <f aca="false">IF($E175="","",IF($U175&gt;0,"CRITICAL (FLAG)",IF(OR($O175="",$M175=""),"NOT SCORED",IF($P175&gt;=T_CRIT,"CRITICAL",IF($P175&gt;=T_MON,"MONITOR","LOW")))))</f>
        <v/>
      </c>
      <c r="R175" s="12" t="str">
        <f aca="false">IF($O175="","",INDEX(DriverNames,MATCH(MAX($H175:$L175),$H175:$L175,0)))</f>
        <v/>
      </c>
      <c r="S175" s="22"/>
      <c r="T175" s="29"/>
      <c r="U175" s="2" t="str">
        <f aca="false">IF($E175="","",IFERROR(INDEX(SUPPLIERS!$Q$4:$Q$63,MATCH($E175,SUPPLIERS!$A$4:$A$63,0)),0))</f>
        <v/>
      </c>
      <c r="V175" s="2" t="str">
        <f aca="false">IF($Q175="","",IF($U175&gt;0,100,0)+IF($P175="",0,$P175)+ROW()/100000)</f>
        <v/>
      </c>
      <c r="W175" s="2" t="str">
        <f aca="false">IF($V175="","",IF($A175=SEL_MODEL,$V175,""))</f>
        <v/>
      </c>
    </row>
    <row r="176" customFormat="false" ht="15" hidden="false" customHeight="false" outlineLevel="0" collapsed="false">
      <c r="A176" s="20"/>
      <c r="B176" s="21"/>
      <c r="C176" s="22"/>
      <c r="D176" s="21"/>
      <c r="E176" s="20"/>
      <c r="F176" s="23"/>
      <c r="G176" s="24" t="str">
        <f aca="false">IF(OR($A176="",$F176=""),"",IFERROR(IF(INDEX(MODELS!$K$4:$K$28,MATCH($A176,MODELS!$A$4:$A$28,0))="","",$F176*INDEX(MODELS!$K$4:$K$28,MATCH($A176,MODELS!$A$4:$A$28,0))),""))</f>
        <v/>
      </c>
      <c r="H176" s="21"/>
      <c r="I176" s="21"/>
      <c r="J176" s="21"/>
      <c r="K176" s="25" t="str">
        <f aca="false">IF($E176="","",IFERROR(IF(INDEX(SUPPLIERS!$K$4:$K$63,MATCH($E176,SUPPLIERS!$A$4:$A$63,0))="","",INDEX(SUPPLIERS!$K$4:$K$63,MATCH($E176,SUPPLIERS!$A$4:$A$63,0))),""))</f>
        <v/>
      </c>
      <c r="L176" s="25" t="str">
        <f aca="false">IF($E176="","",IFERROR(IF(INDEX(SUPPLIERS!$L$4:$L$63,MATCH($E176,SUPPLIERS!$A$4:$A$63,0))="","",INDEX(SUPPLIERS!$L$4:$L$63,MATCH($E176,SUPPLIERS!$A$4:$A$63,0))),""))</f>
        <v/>
      </c>
      <c r="M176" s="21"/>
      <c r="N176" s="11" t="str">
        <f aca="false">IF($E176="","",IFERROR(_xlfn.TEXTJOIN("; ",TRUE(),INDEX(SUPPLIERS!$F$4:$F$63,MATCH($E176,SUPPLIERS!$A$4:$A$63,0)),INDEX(SUPPLIERS!$G$4:$G$63,MATCH($E176,SUPPLIERS!$A$4:$A$63,0)),INDEX(SUPPLIERS!$H$4:$H$63,MATCH($E176,SUPPLIERS!$A$4:$A$63,0)),INDEX(SUPPLIERS!$I$4:$I$63,MATCH($E176,SUPPLIERS!$A$4:$A$63,0)),INDEX(SUPPLIERS!$J$4:$J$63,MATCH($E176,SUPPLIERS!$A$4:$A$63,0))),""))</f>
        <v/>
      </c>
      <c r="O176" s="26" t="str">
        <f aca="false">IF(COUNT($H176:$L176)&lt;5,"",ROUND($H176*W_SRC+$I176*W_QC+$J176*W_CAP+$K176*W_SUP+$L176*W_EXT,1))</f>
        <v/>
      </c>
      <c r="P176" s="27" t="str">
        <f aca="false">IF(OR($O176="",$M176=""),"",ROUND($O176*$M176,1))</f>
        <v/>
      </c>
      <c r="Q176" s="28" t="str">
        <f aca="false">IF($E176="","",IF($U176&gt;0,"CRITICAL (FLAG)",IF(OR($O176="",$M176=""),"NOT SCORED",IF($P176&gt;=T_CRIT,"CRITICAL",IF($P176&gt;=T_MON,"MONITOR","LOW")))))</f>
        <v/>
      </c>
      <c r="R176" s="12" t="str">
        <f aca="false">IF($O176="","",INDEX(DriverNames,MATCH(MAX($H176:$L176),$H176:$L176,0)))</f>
        <v/>
      </c>
      <c r="S176" s="22"/>
      <c r="T176" s="29"/>
      <c r="U176" s="2" t="str">
        <f aca="false">IF($E176="","",IFERROR(INDEX(SUPPLIERS!$Q$4:$Q$63,MATCH($E176,SUPPLIERS!$A$4:$A$63,0)),0))</f>
        <v/>
      </c>
      <c r="V176" s="2" t="str">
        <f aca="false">IF($Q176="","",IF($U176&gt;0,100,0)+IF($P176="",0,$P176)+ROW()/100000)</f>
        <v/>
      </c>
      <c r="W176" s="2" t="str">
        <f aca="false">IF($V176="","",IF($A176=SEL_MODEL,$V176,""))</f>
        <v/>
      </c>
    </row>
    <row r="177" customFormat="false" ht="15" hidden="false" customHeight="false" outlineLevel="0" collapsed="false">
      <c r="A177" s="20"/>
      <c r="B177" s="21"/>
      <c r="C177" s="22"/>
      <c r="D177" s="21"/>
      <c r="E177" s="20"/>
      <c r="F177" s="23"/>
      <c r="G177" s="24" t="str">
        <f aca="false">IF(OR($A177="",$F177=""),"",IFERROR(IF(INDEX(MODELS!$K$4:$K$28,MATCH($A177,MODELS!$A$4:$A$28,0))="","",$F177*INDEX(MODELS!$K$4:$K$28,MATCH($A177,MODELS!$A$4:$A$28,0))),""))</f>
        <v/>
      </c>
      <c r="H177" s="21"/>
      <c r="I177" s="21"/>
      <c r="J177" s="21"/>
      <c r="K177" s="25" t="str">
        <f aca="false">IF($E177="","",IFERROR(IF(INDEX(SUPPLIERS!$K$4:$K$63,MATCH($E177,SUPPLIERS!$A$4:$A$63,0))="","",INDEX(SUPPLIERS!$K$4:$K$63,MATCH($E177,SUPPLIERS!$A$4:$A$63,0))),""))</f>
        <v/>
      </c>
      <c r="L177" s="25" t="str">
        <f aca="false">IF($E177="","",IFERROR(IF(INDEX(SUPPLIERS!$L$4:$L$63,MATCH($E177,SUPPLIERS!$A$4:$A$63,0))="","",INDEX(SUPPLIERS!$L$4:$L$63,MATCH($E177,SUPPLIERS!$A$4:$A$63,0))),""))</f>
        <v/>
      </c>
      <c r="M177" s="21"/>
      <c r="N177" s="11" t="str">
        <f aca="false">IF($E177="","",IFERROR(_xlfn.TEXTJOIN("; ",TRUE(),INDEX(SUPPLIERS!$F$4:$F$63,MATCH($E177,SUPPLIERS!$A$4:$A$63,0)),INDEX(SUPPLIERS!$G$4:$G$63,MATCH($E177,SUPPLIERS!$A$4:$A$63,0)),INDEX(SUPPLIERS!$H$4:$H$63,MATCH($E177,SUPPLIERS!$A$4:$A$63,0)),INDEX(SUPPLIERS!$I$4:$I$63,MATCH($E177,SUPPLIERS!$A$4:$A$63,0)),INDEX(SUPPLIERS!$J$4:$J$63,MATCH($E177,SUPPLIERS!$A$4:$A$63,0))),""))</f>
        <v/>
      </c>
      <c r="O177" s="26" t="str">
        <f aca="false">IF(COUNT($H177:$L177)&lt;5,"",ROUND($H177*W_SRC+$I177*W_QC+$J177*W_CAP+$K177*W_SUP+$L177*W_EXT,1))</f>
        <v/>
      </c>
      <c r="P177" s="27" t="str">
        <f aca="false">IF(OR($O177="",$M177=""),"",ROUND($O177*$M177,1))</f>
        <v/>
      </c>
      <c r="Q177" s="28" t="str">
        <f aca="false">IF($E177="","",IF($U177&gt;0,"CRITICAL (FLAG)",IF(OR($O177="",$M177=""),"NOT SCORED",IF($P177&gt;=T_CRIT,"CRITICAL",IF($P177&gt;=T_MON,"MONITOR","LOW")))))</f>
        <v/>
      </c>
      <c r="R177" s="12" t="str">
        <f aca="false">IF($O177="","",INDEX(DriverNames,MATCH(MAX($H177:$L177),$H177:$L177,0)))</f>
        <v/>
      </c>
      <c r="S177" s="22"/>
      <c r="T177" s="29"/>
      <c r="U177" s="2" t="str">
        <f aca="false">IF($E177="","",IFERROR(INDEX(SUPPLIERS!$Q$4:$Q$63,MATCH($E177,SUPPLIERS!$A$4:$A$63,0)),0))</f>
        <v/>
      </c>
      <c r="V177" s="2" t="str">
        <f aca="false">IF($Q177="","",IF($U177&gt;0,100,0)+IF($P177="",0,$P177)+ROW()/100000)</f>
        <v/>
      </c>
      <c r="W177" s="2" t="str">
        <f aca="false">IF($V177="","",IF($A177=SEL_MODEL,$V177,""))</f>
        <v/>
      </c>
    </row>
    <row r="178" customFormat="false" ht="15" hidden="false" customHeight="false" outlineLevel="0" collapsed="false">
      <c r="A178" s="20"/>
      <c r="B178" s="21"/>
      <c r="C178" s="22"/>
      <c r="D178" s="21"/>
      <c r="E178" s="20"/>
      <c r="F178" s="23"/>
      <c r="G178" s="24" t="str">
        <f aca="false">IF(OR($A178="",$F178=""),"",IFERROR(IF(INDEX(MODELS!$K$4:$K$28,MATCH($A178,MODELS!$A$4:$A$28,0))="","",$F178*INDEX(MODELS!$K$4:$K$28,MATCH($A178,MODELS!$A$4:$A$28,0))),""))</f>
        <v/>
      </c>
      <c r="H178" s="21"/>
      <c r="I178" s="21"/>
      <c r="J178" s="21"/>
      <c r="K178" s="25" t="str">
        <f aca="false">IF($E178="","",IFERROR(IF(INDEX(SUPPLIERS!$K$4:$K$63,MATCH($E178,SUPPLIERS!$A$4:$A$63,0))="","",INDEX(SUPPLIERS!$K$4:$K$63,MATCH($E178,SUPPLIERS!$A$4:$A$63,0))),""))</f>
        <v/>
      </c>
      <c r="L178" s="25" t="str">
        <f aca="false">IF($E178="","",IFERROR(IF(INDEX(SUPPLIERS!$L$4:$L$63,MATCH($E178,SUPPLIERS!$A$4:$A$63,0))="","",INDEX(SUPPLIERS!$L$4:$L$63,MATCH($E178,SUPPLIERS!$A$4:$A$63,0))),""))</f>
        <v/>
      </c>
      <c r="M178" s="21"/>
      <c r="N178" s="11" t="str">
        <f aca="false">IF($E178="","",IFERROR(_xlfn.TEXTJOIN("; ",TRUE(),INDEX(SUPPLIERS!$F$4:$F$63,MATCH($E178,SUPPLIERS!$A$4:$A$63,0)),INDEX(SUPPLIERS!$G$4:$G$63,MATCH($E178,SUPPLIERS!$A$4:$A$63,0)),INDEX(SUPPLIERS!$H$4:$H$63,MATCH($E178,SUPPLIERS!$A$4:$A$63,0)),INDEX(SUPPLIERS!$I$4:$I$63,MATCH($E178,SUPPLIERS!$A$4:$A$63,0)),INDEX(SUPPLIERS!$J$4:$J$63,MATCH($E178,SUPPLIERS!$A$4:$A$63,0))),""))</f>
        <v/>
      </c>
      <c r="O178" s="26" t="str">
        <f aca="false">IF(COUNT($H178:$L178)&lt;5,"",ROUND($H178*W_SRC+$I178*W_QC+$J178*W_CAP+$K178*W_SUP+$L178*W_EXT,1))</f>
        <v/>
      </c>
      <c r="P178" s="27" t="str">
        <f aca="false">IF(OR($O178="",$M178=""),"",ROUND($O178*$M178,1))</f>
        <v/>
      </c>
      <c r="Q178" s="28" t="str">
        <f aca="false">IF($E178="","",IF($U178&gt;0,"CRITICAL (FLAG)",IF(OR($O178="",$M178=""),"NOT SCORED",IF($P178&gt;=T_CRIT,"CRITICAL",IF($P178&gt;=T_MON,"MONITOR","LOW")))))</f>
        <v/>
      </c>
      <c r="R178" s="12" t="str">
        <f aca="false">IF($O178="","",INDEX(DriverNames,MATCH(MAX($H178:$L178),$H178:$L178,0)))</f>
        <v/>
      </c>
      <c r="S178" s="22"/>
      <c r="T178" s="29"/>
      <c r="U178" s="2" t="str">
        <f aca="false">IF($E178="","",IFERROR(INDEX(SUPPLIERS!$Q$4:$Q$63,MATCH($E178,SUPPLIERS!$A$4:$A$63,0)),0))</f>
        <v/>
      </c>
      <c r="V178" s="2" t="str">
        <f aca="false">IF($Q178="","",IF($U178&gt;0,100,0)+IF($P178="",0,$P178)+ROW()/100000)</f>
        <v/>
      </c>
      <c r="W178" s="2" t="str">
        <f aca="false">IF($V178="","",IF($A178=SEL_MODEL,$V178,""))</f>
        <v/>
      </c>
    </row>
    <row r="179" customFormat="false" ht="15" hidden="false" customHeight="false" outlineLevel="0" collapsed="false">
      <c r="A179" s="20"/>
      <c r="B179" s="21"/>
      <c r="C179" s="22"/>
      <c r="D179" s="21"/>
      <c r="E179" s="20"/>
      <c r="F179" s="23"/>
      <c r="G179" s="24" t="str">
        <f aca="false">IF(OR($A179="",$F179=""),"",IFERROR(IF(INDEX(MODELS!$K$4:$K$28,MATCH($A179,MODELS!$A$4:$A$28,0))="","",$F179*INDEX(MODELS!$K$4:$K$28,MATCH($A179,MODELS!$A$4:$A$28,0))),""))</f>
        <v/>
      </c>
      <c r="H179" s="21"/>
      <c r="I179" s="21"/>
      <c r="J179" s="21"/>
      <c r="K179" s="25" t="str">
        <f aca="false">IF($E179="","",IFERROR(IF(INDEX(SUPPLIERS!$K$4:$K$63,MATCH($E179,SUPPLIERS!$A$4:$A$63,0))="","",INDEX(SUPPLIERS!$K$4:$K$63,MATCH($E179,SUPPLIERS!$A$4:$A$63,0))),""))</f>
        <v/>
      </c>
      <c r="L179" s="25" t="str">
        <f aca="false">IF($E179="","",IFERROR(IF(INDEX(SUPPLIERS!$L$4:$L$63,MATCH($E179,SUPPLIERS!$A$4:$A$63,0))="","",INDEX(SUPPLIERS!$L$4:$L$63,MATCH($E179,SUPPLIERS!$A$4:$A$63,0))),""))</f>
        <v/>
      </c>
      <c r="M179" s="21"/>
      <c r="N179" s="11" t="str">
        <f aca="false">IF($E179="","",IFERROR(_xlfn.TEXTJOIN("; ",TRUE(),INDEX(SUPPLIERS!$F$4:$F$63,MATCH($E179,SUPPLIERS!$A$4:$A$63,0)),INDEX(SUPPLIERS!$G$4:$G$63,MATCH($E179,SUPPLIERS!$A$4:$A$63,0)),INDEX(SUPPLIERS!$H$4:$H$63,MATCH($E179,SUPPLIERS!$A$4:$A$63,0)),INDEX(SUPPLIERS!$I$4:$I$63,MATCH($E179,SUPPLIERS!$A$4:$A$63,0)),INDEX(SUPPLIERS!$J$4:$J$63,MATCH($E179,SUPPLIERS!$A$4:$A$63,0))),""))</f>
        <v/>
      </c>
      <c r="O179" s="26" t="str">
        <f aca="false">IF(COUNT($H179:$L179)&lt;5,"",ROUND($H179*W_SRC+$I179*W_QC+$J179*W_CAP+$K179*W_SUP+$L179*W_EXT,1))</f>
        <v/>
      </c>
      <c r="P179" s="27" t="str">
        <f aca="false">IF(OR($O179="",$M179=""),"",ROUND($O179*$M179,1))</f>
        <v/>
      </c>
      <c r="Q179" s="28" t="str">
        <f aca="false">IF($E179="","",IF($U179&gt;0,"CRITICAL (FLAG)",IF(OR($O179="",$M179=""),"NOT SCORED",IF($P179&gt;=T_CRIT,"CRITICAL",IF($P179&gt;=T_MON,"MONITOR","LOW")))))</f>
        <v/>
      </c>
      <c r="R179" s="12" t="str">
        <f aca="false">IF($O179="","",INDEX(DriverNames,MATCH(MAX($H179:$L179),$H179:$L179,0)))</f>
        <v/>
      </c>
      <c r="S179" s="22"/>
      <c r="T179" s="29"/>
      <c r="U179" s="2" t="str">
        <f aca="false">IF($E179="","",IFERROR(INDEX(SUPPLIERS!$Q$4:$Q$63,MATCH($E179,SUPPLIERS!$A$4:$A$63,0)),0))</f>
        <v/>
      </c>
      <c r="V179" s="2" t="str">
        <f aca="false">IF($Q179="","",IF($U179&gt;0,100,0)+IF($P179="",0,$P179)+ROW()/100000)</f>
        <v/>
      </c>
      <c r="W179" s="2" t="str">
        <f aca="false">IF($V179="","",IF($A179=SEL_MODEL,$V179,""))</f>
        <v/>
      </c>
    </row>
    <row r="180" customFormat="false" ht="15" hidden="false" customHeight="false" outlineLevel="0" collapsed="false">
      <c r="A180" s="20"/>
      <c r="B180" s="21"/>
      <c r="C180" s="22"/>
      <c r="D180" s="21"/>
      <c r="E180" s="20"/>
      <c r="F180" s="23"/>
      <c r="G180" s="24" t="str">
        <f aca="false">IF(OR($A180="",$F180=""),"",IFERROR(IF(INDEX(MODELS!$K$4:$K$28,MATCH($A180,MODELS!$A$4:$A$28,0))="","",$F180*INDEX(MODELS!$K$4:$K$28,MATCH($A180,MODELS!$A$4:$A$28,0))),""))</f>
        <v/>
      </c>
      <c r="H180" s="21"/>
      <c r="I180" s="21"/>
      <c r="J180" s="21"/>
      <c r="K180" s="25" t="str">
        <f aca="false">IF($E180="","",IFERROR(IF(INDEX(SUPPLIERS!$K$4:$K$63,MATCH($E180,SUPPLIERS!$A$4:$A$63,0))="","",INDEX(SUPPLIERS!$K$4:$K$63,MATCH($E180,SUPPLIERS!$A$4:$A$63,0))),""))</f>
        <v/>
      </c>
      <c r="L180" s="25" t="str">
        <f aca="false">IF($E180="","",IFERROR(IF(INDEX(SUPPLIERS!$L$4:$L$63,MATCH($E180,SUPPLIERS!$A$4:$A$63,0))="","",INDEX(SUPPLIERS!$L$4:$L$63,MATCH($E180,SUPPLIERS!$A$4:$A$63,0))),""))</f>
        <v/>
      </c>
      <c r="M180" s="21"/>
      <c r="N180" s="11" t="str">
        <f aca="false">IF($E180="","",IFERROR(_xlfn.TEXTJOIN("; ",TRUE(),INDEX(SUPPLIERS!$F$4:$F$63,MATCH($E180,SUPPLIERS!$A$4:$A$63,0)),INDEX(SUPPLIERS!$G$4:$G$63,MATCH($E180,SUPPLIERS!$A$4:$A$63,0)),INDEX(SUPPLIERS!$H$4:$H$63,MATCH($E180,SUPPLIERS!$A$4:$A$63,0)),INDEX(SUPPLIERS!$I$4:$I$63,MATCH($E180,SUPPLIERS!$A$4:$A$63,0)),INDEX(SUPPLIERS!$J$4:$J$63,MATCH($E180,SUPPLIERS!$A$4:$A$63,0))),""))</f>
        <v/>
      </c>
      <c r="O180" s="26" t="str">
        <f aca="false">IF(COUNT($H180:$L180)&lt;5,"",ROUND($H180*W_SRC+$I180*W_QC+$J180*W_CAP+$K180*W_SUP+$L180*W_EXT,1))</f>
        <v/>
      </c>
      <c r="P180" s="27" t="str">
        <f aca="false">IF(OR($O180="",$M180=""),"",ROUND($O180*$M180,1))</f>
        <v/>
      </c>
      <c r="Q180" s="28" t="str">
        <f aca="false">IF($E180="","",IF($U180&gt;0,"CRITICAL (FLAG)",IF(OR($O180="",$M180=""),"NOT SCORED",IF($P180&gt;=T_CRIT,"CRITICAL",IF($P180&gt;=T_MON,"MONITOR","LOW")))))</f>
        <v/>
      </c>
      <c r="R180" s="12" t="str">
        <f aca="false">IF($O180="","",INDEX(DriverNames,MATCH(MAX($H180:$L180),$H180:$L180,0)))</f>
        <v/>
      </c>
      <c r="S180" s="22"/>
      <c r="T180" s="29"/>
      <c r="U180" s="2" t="str">
        <f aca="false">IF($E180="","",IFERROR(INDEX(SUPPLIERS!$Q$4:$Q$63,MATCH($E180,SUPPLIERS!$A$4:$A$63,0)),0))</f>
        <v/>
      </c>
      <c r="V180" s="2" t="str">
        <f aca="false">IF($Q180="","",IF($U180&gt;0,100,0)+IF($P180="",0,$P180)+ROW()/100000)</f>
        <v/>
      </c>
      <c r="W180" s="2" t="str">
        <f aca="false">IF($V180="","",IF($A180=SEL_MODEL,$V180,""))</f>
        <v/>
      </c>
    </row>
    <row r="181" customFormat="false" ht="15" hidden="false" customHeight="false" outlineLevel="0" collapsed="false">
      <c r="A181" s="20"/>
      <c r="B181" s="21"/>
      <c r="C181" s="22"/>
      <c r="D181" s="21"/>
      <c r="E181" s="20"/>
      <c r="F181" s="23"/>
      <c r="G181" s="24" t="str">
        <f aca="false">IF(OR($A181="",$F181=""),"",IFERROR(IF(INDEX(MODELS!$K$4:$K$28,MATCH($A181,MODELS!$A$4:$A$28,0))="","",$F181*INDEX(MODELS!$K$4:$K$28,MATCH($A181,MODELS!$A$4:$A$28,0))),""))</f>
        <v/>
      </c>
      <c r="H181" s="21"/>
      <c r="I181" s="21"/>
      <c r="J181" s="21"/>
      <c r="K181" s="25" t="str">
        <f aca="false">IF($E181="","",IFERROR(IF(INDEX(SUPPLIERS!$K$4:$K$63,MATCH($E181,SUPPLIERS!$A$4:$A$63,0))="","",INDEX(SUPPLIERS!$K$4:$K$63,MATCH($E181,SUPPLIERS!$A$4:$A$63,0))),""))</f>
        <v/>
      </c>
      <c r="L181" s="25" t="str">
        <f aca="false">IF($E181="","",IFERROR(IF(INDEX(SUPPLIERS!$L$4:$L$63,MATCH($E181,SUPPLIERS!$A$4:$A$63,0))="","",INDEX(SUPPLIERS!$L$4:$L$63,MATCH($E181,SUPPLIERS!$A$4:$A$63,0))),""))</f>
        <v/>
      </c>
      <c r="M181" s="21"/>
      <c r="N181" s="11" t="str">
        <f aca="false">IF($E181="","",IFERROR(_xlfn.TEXTJOIN("; ",TRUE(),INDEX(SUPPLIERS!$F$4:$F$63,MATCH($E181,SUPPLIERS!$A$4:$A$63,0)),INDEX(SUPPLIERS!$G$4:$G$63,MATCH($E181,SUPPLIERS!$A$4:$A$63,0)),INDEX(SUPPLIERS!$H$4:$H$63,MATCH($E181,SUPPLIERS!$A$4:$A$63,0)),INDEX(SUPPLIERS!$I$4:$I$63,MATCH($E181,SUPPLIERS!$A$4:$A$63,0)),INDEX(SUPPLIERS!$J$4:$J$63,MATCH($E181,SUPPLIERS!$A$4:$A$63,0))),""))</f>
        <v/>
      </c>
      <c r="O181" s="26" t="str">
        <f aca="false">IF(COUNT($H181:$L181)&lt;5,"",ROUND($H181*W_SRC+$I181*W_QC+$J181*W_CAP+$K181*W_SUP+$L181*W_EXT,1))</f>
        <v/>
      </c>
      <c r="P181" s="27" t="str">
        <f aca="false">IF(OR($O181="",$M181=""),"",ROUND($O181*$M181,1))</f>
        <v/>
      </c>
      <c r="Q181" s="28" t="str">
        <f aca="false">IF($E181="","",IF($U181&gt;0,"CRITICAL (FLAG)",IF(OR($O181="",$M181=""),"NOT SCORED",IF($P181&gt;=T_CRIT,"CRITICAL",IF($P181&gt;=T_MON,"MONITOR","LOW")))))</f>
        <v/>
      </c>
      <c r="R181" s="12" t="str">
        <f aca="false">IF($O181="","",INDEX(DriverNames,MATCH(MAX($H181:$L181),$H181:$L181,0)))</f>
        <v/>
      </c>
      <c r="S181" s="22"/>
      <c r="T181" s="29"/>
      <c r="U181" s="2" t="str">
        <f aca="false">IF($E181="","",IFERROR(INDEX(SUPPLIERS!$Q$4:$Q$63,MATCH($E181,SUPPLIERS!$A$4:$A$63,0)),0))</f>
        <v/>
      </c>
      <c r="V181" s="2" t="str">
        <f aca="false">IF($Q181="","",IF($U181&gt;0,100,0)+IF($P181="",0,$P181)+ROW()/100000)</f>
        <v/>
      </c>
      <c r="W181" s="2" t="str">
        <f aca="false">IF($V181="","",IF($A181=SEL_MODEL,$V181,""))</f>
        <v/>
      </c>
    </row>
    <row r="182" customFormat="false" ht="15" hidden="false" customHeight="false" outlineLevel="0" collapsed="false">
      <c r="A182" s="20"/>
      <c r="B182" s="21"/>
      <c r="C182" s="22"/>
      <c r="D182" s="21"/>
      <c r="E182" s="20"/>
      <c r="F182" s="23"/>
      <c r="G182" s="24" t="str">
        <f aca="false">IF(OR($A182="",$F182=""),"",IFERROR(IF(INDEX(MODELS!$K$4:$K$28,MATCH($A182,MODELS!$A$4:$A$28,0))="","",$F182*INDEX(MODELS!$K$4:$K$28,MATCH($A182,MODELS!$A$4:$A$28,0))),""))</f>
        <v/>
      </c>
      <c r="H182" s="21"/>
      <c r="I182" s="21"/>
      <c r="J182" s="21"/>
      <c r="K182" s="25" t="str">
        <f aca="false">IF($E182="","",IFERROR(IF(INDEX(SUPPLIERS!$K$4:$K$63,MATCH($E182,SUPPLIERS!$A$4:$A$63,0))="","",INDEX(SUPPLIERS!$K$4:$K$63,MATCH($E182,SUPPLIERS!$A$4:$A$63,0))),""))</f>
        <v/>
      </c>
      <c r="L182" s="25" t="str">
        <f aca="false">IF($E182="","",IFERROR(IF(INDEX(SUPPLIERS!$L$4:$L$63,MATCH($E182,SUPPLIERS!$A$4:$A$63,0))="","",INDEX(SUPPLIERS!$L$4:$L$63,MATCH($E182,SUPPLIERS!$A$4:$A$63,0))),""))</f>
        <v/>
      </c>
      <c r="M182" s="21"/>
      <c r="N182" s="11" t="str">
        <f aca="false">IF($E182="","",IFERROR(_xlfn.TEXTJOIN("; ",TRUE(),INDEX(SUPPLIERS!$F$4:$F$63,MATCH($E182,SUPPLIERS!$A$4:$A$63,0)),INDEX(SUPPLIERS!$G$4:$G$63,MATCH($E182,SUPPLIERS!$A$4:$A$63,0)),INDEX(SUPPLIERS!$H$4:$H$63,MATCH($E182,SUPPLIERS!$A$4:$A$63,0)),INDEX(SUPPLIERS!$I$4:$I$63,MATCH($E182,SUPPLIERS!$A$4:$A$63,0)),INDEX(SUPPLIERS!$J$4:$J$63,MATCH($E182,SUPPLIERS!$A$4:$A$63,0))),""))</f>
        <v/>
      </c>
      <c r="O182" s="26" t="str">
        <f aca="false">IF(COUNT($H182:$L182)&lt;5,"",ROUND($H182*W_SRC+$I182*W_QC+$J182*W_CAP+$K182*W_SUP+$L182*W_EXT,1))</f>
        <v/>
      </c>
      <c r="P182" s="27" t="str">
        <f aca="false">IF(OR($O182="",$M182=""),"",ROUND($O182*$M182,1))</f>
        <v/>
      </c>
      <c r="Q182" s="28" t="str">
        <f aca="false">IF($E182="","",IF($U182&gt;0,"CRITICAL (FLAG)",IF(OR($O182="",$M182=""),"NOT SCORED",IF($P182&gt;=T_CRIT,"CRITICAL",IF($P182&gt;=T_MON,"MONITOR","LOW")))))</f>
        <v/>
      </c>
      <c r="R182" s="12" t="str">
        <f aca="false">IF($O182="","",INDEX(DriverNames,MATCH(MAX($H182:$L182),$H182:$L182,0)))</f>
        <v/>
      </c>
      <c r="S182" s="22"/>
      <c r="T182" s="29"/>
      <c r="U182" s="2" t="str">
        <f aca="false">IF($E182="","",IFERROR(INDEX(SUPPLIERS!$Q$4:$Q$63,MATCH($E182,SUPPLIERS!$A$4:$A$63,0)),0))</f>
        <v/>
      </c>
      <c r="V182" s="2" t="str">
        <f aca="false">IF($Q182="","",IF($U182&gt;0,100,0)+IF($P182="",0,$P182)+ROW()/100000)</f>
        <v/>
      </c>
      <c r="W182" s="2" t="str">
        <f aca="false">IF($V182="","",IF($A182=SEL_MODEL,$V182,""))</f>
        <v/>
      </c>
    </row>
    <row r="183" customFormat="false" ht="15" hidden="false" customHeight="false" outlineLevel="0" collapsed="false">
      <c r="A183" s="20"/>
      <c r="B183" s="21"/>
      <c r="C183" s="22"/>
      <c r="D183" s="21"/>
      <c r="E183" s="20"/>
      <c r="F183" s="23"/>
      <c r="G183" s="24" t="str">
        <f aca="false">IF(OR($A183="",$F183=""),"",IFERROR(IF(INDEX(MODELS!$K$4:$K$28,MATCH($A183,MODELS!$A$4:$A$28,0))="","",$F183*INDEX(MODELS!$K$4:$K$28,MATCH($A183,MODELS!$A$4:$A$28,0))),""))</f>
        <v/>
      </c>
      <c r="H183" s="21"/>
      <c r="I183" s="21"/>
      <c r="J183" s="21"/>
      <c r="K183" s="25" t="str">
        <f aca="false">IF($E183="","",IFERROR(IF(INDEX(SUPPLIERS!$K$4:$K$63,MATCH($E183,SUPPLIERS!$A$4:$A$63,0))="","",INDEX(SUPPLIERS!$K$4:$K$63,MATCH($E183,SUPPLIERS!$A$4:$A$63,0))),""))</f>
        <v/>
      </c>
      <c r="L183" s="25" t="str">
        <f aca="false">IF($E183="","",IFERROR(IF(INDEX(SUPPLIERS!$L$4:$L$63,MATCH($E183,SUPPLIERS!$A$4:$A$63,0))="","",INDEX(SUPPLIERS!$L$4:$L$63,MATCH($E183,SUPPLIERS!$A$4:$A$63,0))),""))</f>
        <v/>
      </c>
      <c r="M183" s="21"/>
      <c r="N183" s="11" t="str">
        <f aca="false">IF($E183="","",IFERROR(_xlfn.TEXTJOIN("; ",TRUE(),INDEX(SUPPLIERS!$F$4:$F$63,MATCH($E183,SUPPLIERS!$A$4:$A$63,0)),INDEX(SUPPLIERS!$G$4:$G$63,MATCH($E183,SUPPLIERS!$A$4:$A$63,0)),INDEX(SUPPLIERS!$H$4:$H$63,MATCH($E183,SUPPLIERS!$A$4:$A$63,0)),INDEX(SUPPLIERS!$I$4:$I$63,MATCH($E183,SUPPLIERS!$A$4:$A$63,0)),INDEX(SUPPLIERS!$J$4:$J$63,MATCH($E183,SUPPLIERS!$A$4:$A$63,0))),""))</f>
        <v/>
      </c>
      <c r="O183" s="26" t="str">
        <f aca="false">IF(COUNT($H183:$L183)&lt;5,"",ROUND($H183*W_SRC+$I183*W_QC+$J183*W_CAP+$K183*W_SUP+$L183*W_EXT,1))</f>
        <v/>
      </c>
      <c r="P183" s="27" t="str">
        <f aca="false">IF(OR($O183="",$M183=""),"",ROUND($O183*$M183,1))</f>
        <v/>
      </c>
      <c r="Q183" s="28" t="str">
        <f aca="false">IF($E183="","",IF($U183&gt;0,"CRITICAL (FLAG)",IF(OR($O183="",$M183=""),"NOT SCORED",IF($P183&gt;=T_CRIT,"CRITICAL",IF($P183&gt;=T_MON,"MONITOR","LOW")))))</f>
        <v/>
      </c>
      <c r="R183" s="12" t="str">
        <f aca="false">IF($O183="","",INDEX(DriverNames,MATCH(MAX($H183:$L183),$H183:$L183,0)))</f>
        <v/>
      </c>
      <c r="S183" s="22"/>
      <c r="T183" s="29"/>
      <c r="U183" s="2" t="str">
        <f aca="false">IF($E183="","",IFERROR(INDEX(SUPPLIERS!$Q$4:$Q$63,MATCH($E183,SUPPLIERS!$A$4:$A$63,0)),0))</f>
        <v/>
      </c>
      <c r="V183" s="2" t="str">
        <f aca="false">IF($Q183="","",IF($U183&gt;0,100,0)+IF($P183="",0,$P183)+ROW()/100000)</f>
        <v/>
      </c>
      <c r="W183" s="2" t="str">
        <f aca="false">IF($V183="","",IF($A183=SEL_MODEL,$V183,""))</f>
        <v/>
      </c>
    </row>
    <row r="184" customFormat="false" ht="15" hidden="false" customHeight="false" outlineLevel="0" collapsed="false">
      <c r="A184" s="20"/>
      <c r="B184" s="21"/>
      <c r="C184" s="22"/>
      <c r="D184" s="21"/>
      <c r="E184" s="20"/>
      <c r="F184" s="23"/>
      <c r="G184" s="24" t="str">
        <f aca="false">IF(OR($A184="",$F184=""),"",IFERROR(IF(INDEX(MODELS!$K$4:$K$28,MATCH($A184,MODELS!$A$4:$A$28,0))="","",$F184*INDEX(MODELS!$K$4:$K$28,MATCH($A184,MODELS!$A$4:$A$28,0))),""))</f>
        <v/>
      </c>
      <c r="H184" s="21"/>
      <c r="I184" s="21"/>
      <c r="J184" s="21"/>
      <c r="K184" s="25" t="str">
        <f aca="false">IF($E184="","",IFERROR(IF(INDEX(SUPPLIERS!$K$4:$K$63,MATCH($E184,SUPPLIERS!$A$4:$A$63,0))="","",INDEX(SUPPLIERS!$K$4:$K$63,MATCH($E184,SUPPLIERS!$A$4:$A$63,0))),""))</f>
        <v/>
      </c>
      <c r="L184" s="25" t="str">
        <f aca="false">IF($E184="","",IFERROR(IF(INDEX(SUPPLIERS!$L$4:$L$63,MATCH($E184,SUPPLIERS!$A$4:$A$63,0))="","",INDEX(SUPPLIERS!$L$4:$L$63,MATCH($E184,SUPPLIERS!$A$4:$A$63,0))),""))</f>
        <v/>
      </c>
      <c r="M184" s="21"/>
      <c r="N184" s="11" t="str">
        <f aca="false">IF($E184="","",IFERROR(_xlfn.TEXTJOIN("; ",TRUE(),INDEX(SUPPLIERS!$F$4:$F$63,MATCH($E184,SUPPLIERS!$A$4:$A$63,0)),INDEX(SUPPLIERS!$G$4:$G$63,MATCH($E184,SUPPLIERS!$A$4:$A$63,0)),INDEX(SUPPLIERS!$H$4:$H$63,MATCH($E184,SUPPLIERS!$A$4:$A$63,0)),INDEX(SUPPLIERS!$I$4:$I$63,MATCH($E184,SUPPLIERS!$A$4:$A$63,0)),INDEX(SUPPLIERS!$J$4:$J$63,MATCH($E184,SUPPLIERS!$A$4:$A$63,0))),""))</f>
        <v/>
      </c>
      <c r="O184" s="26" t="str">
        <f aca="false">IF(COUNT($H184:$L184)&lt;5,"",ROUND($H184*W_SRC+$I184*W_QC+$J184*W_CAP+$K184*W_SUP+$L184*W_EXT,1))</f>
        <v/>
      </c>
      <c r="P184" s="27" t="str">
        <f aca="false">IF(OR($O184="",$M184=""),"",ROUND($O184*$M184,1))</f>
        <v/>
      </c>
      <c r="Q184" s="28" t="str">
        <f aca="false">IF($E184="","",IF($U184&gt;0,"CRITICAL (FLAG)",IF(OR($O184="",$M184=""),"NOT SCORED",IF($P184&gt;=T_CRIT,"CRITICAL",IF($P184&gt;=T_MON,"MONITOR","LOW")))))</f>
        <v/>
      </c>
      <c r="R184" s="12" t="str">
        <f aca="false">IF($O184="","",INDEX(DriverNames,MATCH(MAX($H184:$L184),$H184:$L184,0)))</f>
        <v/>
      </c>
      <c r="S184" s="22"/>
      <c r="T184" s="29"/>
      <c r="U184" s="2" t="str">
        <f aca="false">IF($E184="","",IFERROR(INDEX(SUPPLIERS!$Q$4:$Q$63,MATCH($E184,SUPPLIERS!$A$4:$A$63,0)),0))</f>
        <v/>
      </c>
      <c r="V184" s="2" t="str">
        <f aca="false">IF($Q184="","",IF($U184&gt;0,100,0)+IF($P184="",0,$P184)+ROW()/100000)</f>
        <v/>
      </c>
      <c r="W184" s="2" t="str">
        <f aca="false">IF($V184="","",IF($A184=SEL_MODEL,$V184,""))</f>
        <v/>
      </c>
    </row>
    <row r="185" customFormat="false" ht="15" hidden="false" customHeight="false" outlineLevel="0" collapsed="false">
      <c r="A185" s="20"/>
      <c r="B185" s="21"/>
      <c r="C185" s="22"/>
      <c r="D185" s="21"/>
      <c r="E185" s="20"/>
      <c r="F185" s="23"/>
      <c r="G185" s="24" t="str">
        <f aca="false">IF(OR($A185="",$F185=""),"",IFERROR(IF(INDEX(MODELS!$K$4:$K$28,MATCH($A185,MODELS!$A$4:$A$28,0))="","",$F185*INDEX(MODELS!$K$4:$K$28,MATCH($A185,MODELS!$A$4:$A$28,0))),""))</f>
        <v/>
      </c>
      <c r="H185" s="21"/>
      <c r="I185" s="21"/>
      <c r="J185" s="21"/>
      <c r="K185" s="25" t="str">
        <f aca="false">IF($E185="","",IFERROR(IF(INDEX(SUPPLIERS!$K$4:$K$63,MATCH($E185,SUPPLIERS!$A$4:$A$63,0))="","",INDEX(SUPPLIERS!$K$4:$K$63,MATCH($E185,SUPPLIERS!$A$4:$A$63,0))),""))</f>
        <v/>
      </c>
      <c r="L185" s="25" t="str">
        <f aca="false">IF($E185="","",IFERROR(IF(INDEX(SUPPLIERS!$L$4:$L$63,MATCH($E185,SUPPLIERS!$A$4:$A$63,0))="","",INDEX(SUPPLIERS!$L$4:$L$63,MATCH($E185,SUPPLIERS!$A$4:$A$63,0))),""))</f>
        <v/>
      </c>
      <c r="M185" s="21"/>
      <c r="N185" s="11" t="str">
        <f aca="false">IF($E185="","",IFERROR(_xlfn.TEXTJOIN("; ",TRUE(),INDEX(SUPPLIERS!$F$4:$F$63,MATCH($E185,SUPPLIERS!$A$4:$A$63,0)),INDEX(SUPPLIERS!$G$4:$G$63,MATCH($E185,SUPPLIERS!$A$4:$A$63,0)),INDEX(SUPPLIERS!$H$4:$H$63,MATCH($E185,SUPPLIERS!$A$4:$A$63,0)),INDEX(SUPPLIERS!$I$4:$I$63,MATCH($E185,SUPPLIERS!$A$4:$A$63,0)),INDEX(SUPPLIERS!$J$4:$J$63,MATCH($E185,SUPPLIERS!$A$4:$A$63,0))),""))</f>
        <v/>
      </c>
      <c r="O185" s="26" t="str">
        <f aca="false">IF(COUNT($H185:$L185)&lt;5,"",ROUND($H185*W_SRC+$I185*W_QC+$J185*W_CAP+$K185*W_SUP+$L185*W_EXT,1))</f>
        <v/>
      </c>
      <c r="P185" s="27" t="str">
        <f aca="false">IF(OR($O185="",$M185=""),"",ROUND($O185*$M185,1))</f>
        <v/>
      </c>
      <c r="Q185" s="28" t="str">
        <f aca="false">IF($E185="","",IF($U185&gt;0,"CRITICAL (FLAG)",IF(OR($O185="",$M185=""),"NOT SCORED",IF($P185&gt;=T_CRIT,"CRITICAL",IF($P185&gt;=T_MON,"MONITOR","LOW")))))</f>
        <v/>
      </c>
      <c r="R185" s="12" t="str">
        <f aca="false">IF($O185="","",INDEX(DriverNames,MATCH(MAX($H185:$L185),$H185:$L185,0)))</f>
        <v/>
      </c>
      <c r="S185" s="22"/>
      <c r="T185" s="29"/>
      <c r="U185" s="2" t="str">
        <f aca="false">IF($E185="","",IFERROR(INDEX(SUPPLIERS!$Q$4:$Q$63,MATCH($E185,SUPPLIERS!$A$4:$A$63,0)),0))</f>
        <v/>
      </c>
      <c r="V185" s="2" t="str">
        <f aca="false">IF($Q185="","",IF($U185&gt;0,100,0)+IF($P185="",0,$P185)+ROW()/100000)</f>
        <v/>
      </c>
      <c r="W185" s="2" t="str">
        <f aca="false">IF($V185="","",IF($A185=SEL_MODEL,$V185,""))</f>
        <v/>
      </c>
    </row>
    <row r="186" customFormat="false" ht="15" hidden="false" customHeight="false" outlineLevel="0" collapsed="false">
      <c r="A186" s="20"/>
      <c r="B186" s="21"/>
      <c r="C186" s="22"/>
      <c r="D186" s="21"/>
      <c r="E186" s="20"/>
      <c r="F186" s="23"/>
      <c r="G186" s="24" t="str">
        <f aca="false">IF(OR($A186="",$F186=""),"",IFERROR(IF(INDEX(MODELS!$K$4:$K$28,MATCH($A186,MODELS!$A$4:$A$28,0))="","",$F186*INDEX(MODELS!$K$4:$K$28,MATCH($A186,MODELS!$A$4:$A$28,0))),""))</f>
        <v/>
      </c>
      <c r="H186" s="21"/>
      <c r="I186" s="21"/>
      <c r="J186" s="21"/>
      <c r="K186" s="25" t="str">
        <f aca="false">IF($E186="","",IFERROR(IF(INDEX(SUPPLIERS!$K$4:$K$63,MATCH($E186,SUPPLIERS!$A$4:$A$63,0))="","",INDEX(SUPPLIERS!$K$4:$K$63,MATCH($E186,SUPPLIERS!$A$4:$A$63,0))),""))</f>
        <v/>
      </c>
      <c r="L186" s="25" t="str">
        <f aca="false">IF($E186="","",IFERROR(IF(INDEX(SUPPLIERS!$L$4:$L$63,MATCH($E186,SUPPLIERS!$A$4:$A$63,0))="","",INDEX(SUPPLIERS!$L$4:$L$63,MATCH($E186,SUPPLIERS!$A$4:$A$63,0))),""))</f>
        <v/>
      </c>
      <c r="M186" s="21"/>
      <c r="N186" s="11" t="str">
        <f aca="false">IF($E186="","",IFERROR(_xlfn.TEXTJOIN("; ",TRUE(),INDEX(SUPPLIERS!$F$4:$F$63,MATCH($E186,SUPPLIERS!$A$4:$A$63,0)),INDEX(SUPPLIERS!$G$4:$G$63,MATCH($E186,SUPPLIERS!$A$4:$A$63,0)),INDEX(SUPPLIERS!$H$4:$H$63,MATCH($E186,SUPPLIERS!$A$4:$A$63,0)),INDEX(SUPPLIERS!$I$4:$I$63,MATCH($E186,SUPPLIERS!$A$4:$A$63,0)),INDEX(SUPPLIERS!$J$4:$J$63,MATCH($E186,SUPPLIERS!$A$4:$A$63,0))),""))</f>
        <v/>
      </c>
      <c r="O186" s="26" t="str">
        <f aca="false">IF(COUNT($H186:$L186)&lt;5,"",ROUND($H186*W_SRC+$I186*W_QC+$J186*W_CAP+$K186*W_SUP+$L186*W_EXT,1))</f>
        <v/>
      </c>
      <c r="P186" s="27" t="str">
        <f aca="false">IF(OR($O186="",$M186=""),"",ROUND($O186*$M186,1))</f>
        <v/>
      </c>
      <c r="Q186" s="28" t="str">
        <f aca="false">IF($E186="","",IF($U186&gt;0,"CRITICAL (FLAG)",IF(OR($O186="",$M186=""),"NOT SCORED",IF($P186&gt;=T_CRIT,"CRITICAL",IF($P186&gt;=T_MON,"MONITOR","LOW")))))</f>
        <v/>
      </c>
      <c r="R186" s="12" t="str">
        <f aca="false">IF($O186="","",INDEX(DriverNames,MATCH(MAX($H186:$L186),$H186:$L186,0)))</f>
        <v/>
      </c>
      <c r="S186" s="22"/>
      <c r="T186" s="29"/>
      <c r="U186" s="2" t="str">
        <f aca="false">IF($E186="","",IFERROR(INDEX(SUPPLIERS!$Q$4:$Q$63,MATCH($E186,SUPPLIERS!$A$4:$A$63,0)),0))</f>
        <v/>
      </c>
      <c r="V186" s="2" t="str">
        <f aca="false">IF($Q186="","",IF($U186&gt;0,100,0)+IF($P186="",0,$P186)+ROW()/100000)</f>
        <v/>
      </c>
      <c r="W186" s="2" t="str">
        <f aca="false">IF($V186="","",IF($A186=SEL_MODEL,$V186,""))</f>
        <v/>
      </c>
    </row>
    <row r="187" customFormat="false" ht="15" hidden="false" customHeight="false" outlineLevel="0" collapsed="false">
      <c r="A187" s="20"/>
      <c r="B187" s="21"/>
      <c r="C187" s="22"/>
      <c r="D187" s="21"/>
      <c r="E187" s="20"/>
      <c r="F187" s="23"/>
      <c r="G187" s="24" t="str">
        <f aca="false">IF(OR($A187="",$F187=""),"",IFERROR(IF(INDEX(MODELS!$K$4:$K$28,MATCH($A187,MODELS!$A$4:$A$28,0))="","",$F187*INDEX(MODELS!$K$4:$K$28,MATCH($A187,MODELS!$A$4:$A$28,0))),""))</f>
        <v/>
      </c>
      <c r="H187" s="21"/>
      <c r="I187" s="21"/>
      <c r="J187" s="21"/>
      <c r="K187" s="25" t="str">
        <f aca="false">IF($E187="","",IFERROR(IF(INDEX(SUPPLIERS!$K$4:$K$63,MATCH($E187,SUPPLIERS!$A$4:$A$63,0))="","",INDEX(SUPPLIERS!$K$4:$K$63,MATCH($E187,SUPPLIERS!$A$4:$A$63,0))),""))</f>
        <v/>
      </c>
      <c r="L187" s="25" t="str">
        <f aca="false">IF($E187="","",IFERROR(IF(INDEX(SUPPLIERS!$L$4:$L$63,MATCH($E187,SUPPLIERS!$A$4:$A$63,0))="","",INDEX(SUPPLIERS!$L$4:$L$63,MATCH($E187,SUPPLIERS!$A$4:$A$63,0))),""))</f>
        <v/>
      </c>
      <c r="M187" s="21"/>
      <c r="N187" s="11" t="str">
        <f aca="false">IF($E187="","",IFERROR(_xlfn.TEXTJOIN("; ",TRUE(),INDEX(SUPPLIERS!$F$4:$F$63,MATCH($E187,SUPPLIERS!$A$4:$A$63,0)),INDEX(SUPPLIERS!$G$4:$G$63,MATCH($E187,SUPPLIERS!$A$4:$A$63,0)),INDEX(SUPPLIERS!$H$4:$H$63,MATCH($E187,SUPPLIERS!$A$4:$A$63,0)),INDEX(SUPPLIERS!$I$4:$I$63,MATCH($E187,SUPPLIERS!$A$4:$A$63,0)),INDEX(SUPPLIERS!$J$4:$J$63,MATCH($E187,SUPPLIERS!$A$4:$A$63,0))),""))</f>
        <v/>
      </c>
      <c r="O187" s="26" t="str">
        <f aca="false">IF(COUNT($H187:$L187)&lt;5,"",ROUND($H187*W_SRC+$I187*W_QC+$J187*W_CAP+$K187*W_SUP+$L187*W_EXT,1))</f>
        <v/>
      </c>
      <c r="P187" s="27" t="str">
        <f aca="false">IF(OR($O187="",$M187=""),"",ROUND($O187*$M187,1))</f>
        <v/>
      </c>
      <c r="Q187" s="28" t="str">
        <f aca="false">IF($E187="","",IF($U187&gt;0,"CRITICAL (FLAG)",IF(OR($O187="",$M187=""),"NOT SCORED",IF($P187&gt;=T_CRIT,"CRITICAL",IF($P187&gt;=T_MON,"MONITOR","LOW")))))</f>
        <v/>
      </c>
      <c r="R187" s="12" t="str">
        <f aca="false">IF($O187="","",INDEX(DriverNames,MATCH(MAX($H187:$L187),$H187:$L187,0)))</f>
        <v/>
      </c>
      <c r="S187" s="22"/>
      <c r="T187" s="29"/>
      <c r="U187" s="2" t="str">
        <f aca="false">IF($E187="","",IFERROR(INDEX(SUPPLIERS!$Q$4:$Q$63,MATCH($E187,SUPPLIERS!$A$4:$A$63,0)),0))</f>
        <v/>
      </c>
      <c r="V187" s="2" t="str">
        <f aca="false">IF($Q187="","",IF($U187&gt;0,100,0)+IF($P187="",0,$P187)+ROW()/100000)</f>
        <v/>
      </c>
      <c r="W187" s="2" t="str">
        <f aca="false">IF($V187="","",IF($A187=SEL_MODEL,$V187,""))</f>
        <v/>
      </c>
    </row>
    <row r="188" customFormat="false" ht="15" hidden="false" customHeight="false" outlineLevel="0" collapsed="false">
      <c r="A188" s="20"/>
      <c r="B188" s="21"/>
      <c r="C188" s="22"/>
      <c r="D188" s="21"/>
      <c r="E188" s="20"/>
      <c r="F188" s="23"/>
      <c r="G188" s="24" t="str">
        <f aca="false">IF(OR($A188="",$F188=""),"",IFERROR(IF(INDEX(MODELS!$K$4:$K$28,MATCH($A188,MODELS!$A$4:$A$28,0))="","",$F188*INDEX(MODELS!$K$4:$K$28,MATCH($A188,MODELS!$A$4:$A$28,0))),""))</f>
        <v/>
      </c>
      <c r="H188" s="21"/>
      <c r="I188" s="21"/>
      <c r="J188" s="21"/>
      <c r="K188" s="25" t="str">
        <f aca="false">IF($E188="","",IFERROR(IF(INDEX(SUPPLIERS!$K$4:$K$63,MATCH($E188,SUPPLIERS!$A$4:$A$63,0))="","",INDEX(SUPPLIERS!$K$4:$K$63,MATCH($E188,SUPPLIERS!$A$4:$A$63,0))),""))</f>
        <v/>
      </c>
      <c r="L188" s="25" t="str">
        <f aca="false">IF($E188="","",IFERROR(IF(INDEX(SUPPLIERS!$L$4:$L$63,MATCH($E188,SUPPLIERS!$A$4:$A$63,0))="","",INDEX(SUPPLIERS!$L$4:$L$63,MATCH($E188,SUPPLIERS!$A$4:$A$63,0))),""))</f>
        <v/>
      </c>
      <c r="M188" s="21"/>
      <c r="N188" s="11" t="str">
        <f aca="false">IF($E188="","",IFERROR(_xlfn.TEXTJOIN("; ",TRUE(),INDEX(SUPPLIERS!$F$4:$F$63,MATCH($E188,SUPPLIERS!$A$4:$A$63,0)),INDEX(SUPPLIERS!$G$4:$G$63,MATCH($E188,SUPPLIERS!$A$4:$A$63,0)),INDEX(SUPPLIERS!$H$4:$H$63,MATCH($E188,SUPPLIERS!$A$4:$A$63,0)),INDEX(SUPPLIERS!$I$4:$I$63,MATCH($E188,SUPPLIERS!$A$4:$A$63,0)),INDEX(SUPPLIERS!$J$4:$J$63,MATCH($E188,SUPPLIERS!$A$4:$A$63,0))),""))</f>
        <v/>
      </c>
      <c r="O188" s="26" t="str">
        <f aca="false">IF(COUNT($H188:$L188)&lt;5,"",ROUND($H188*W_SRC+$I188*W_QC+$J188*W_CAP+$K188*W_SUP+$L188*W_EXT,1))</f>
        <v/>
      </c>
      <c r="P188" s="27" t="str">
        <f aca="false">IF(OR($O188="",$M188=""),"",ROUND($O188*$M188,1))</f>
        <v/>
      </c>
      <c r="Q188" s="28" t="str">
        <f aca="false">IF($E188="","",IF($U188&gt;0,"CRITICAL (FLAG)",IF(OR($O188="",$M188=""),"NOT SCORED",IF($P188&gt;=T_CRIT,"CRITICAL",IF($P188&gt;=T_MON,"MONITOR","LOW")))))</f>
        <v/>
      </c>
      <c r="R188" s="12" t="str">
        <f aca="false">IF($O188="","",INDEX(DriverNames,MATCH(MAX($H188:$L188),$H188:$L188,0)))</f>
        <v/>
      </c>
      <c r="S188" s="22"/>
      <c r="T188" s="29"/>
      <c r="U188" s="2" t="str">
        <f aca="false">IF($E188="","",IFERROR(INDEX(SUPPLIERS!$Q$4:$Q$63,MATCH($E188,SUPPLIERS!$A$4:$A$63,0)),0))</f>
        <v/>
      </c>
      <c r="V188" s="2" t="str">
        <f aca="false">IF($Q188="","",IF($U188&gt;0,100,0)+IF($P188="",0,$P188)+ROW()/100000)</f>
        <v/>
      </c>
      <c r="W188" s="2" t="str">
        <f aca="false">IF($V188="","",IF($A188=SEL_MODEL,$V188,""))</f>
        <v/>
      </c>
    </row>
    <row r="189" customFormat="false" ht="15" hidden="false" customHeight="false" outlineLevel="0" collapsed="false">
      <c r="A189" s="20"/>
      <c r="B189" s="21"/>
      <c r="C189" s="22"/>
      <c r="D189" s="21"/>
      <c r="E189" s="20"/>
      <c r="F189" s="23"/>
      <c r="G189" s="24" t="str">
        <f aca="false">IF(OR($A189="",$F189=""),"",IFERROR(IF(INDEX(MODELS!$K$4:$K$28,MATCH($A189,MODELS!$A$4:$A$28,0))="","",$F189*INDEX(MODELS!$K$4:$K$28,MATCH($A189,MODELS!$A$4:$A$28,0))),""))</f>
        <v/>
      </c>
      <c r="H189" s="21"/>
      <c r="I189" s="21"/>
      <c r="J189" s="21"/>
      <c r="K189" s="25" t="str">
        <f aca="false">IF($E189="","",IFERROR(IF(INDEX(SUPPLIERS!$K$4:$K$63,MATCH($E189,SUPPLIERS!$A$4:$A$63,0))="","",INDEX(SUPPLIERS!$K$4:$K$63,MATCH($E189,SUPPLIERS!$A$4:$A$63,0))),""))</f>
        <v/>
      </c>
      <c r="L189" s="25" t="str">
        <f aca="false">IF($E189="","",IFERROR(IF(INDEX(SUPPLIERS!$L$4:$L$63,MATCH($E189,SUPPLIERS!$A$4:$A$63,0))="","",INDEX(SUPPLIERS!$L$4:$L$63,MATCH($E189,SUPPLIERS!$A$4:$A$63,0))),""))</f>
        <v/>
      </c>
      <c r="M189" s="21"/>
      <c r="N189" s="11" t="str">
        <f aca="false">IF($E189="","",IFERROR(_xlfn.TEXTJOIN("; ",TRUE(),INDEX(SUPPLIERS!$F$4:$F$63,MATCH($E189,SUPPLIERS!$A$4:$A$63,0)),INDEX(SUPPLIERS!$G$4:$G$63,MATCH($E189,SUPPLIERS!$A$4:$A$63,0)),INDEX(SUPPLIERS!$H$4:$H$63,MATCH($E189,SUPPLIERS!$A$4:$A$63,0)),INDEX(SUPPLIERS!$I$4:$I$63,MATCH($E189,SUPPLIERS!$A$4:$A$63,0)),INDEX(SUPPLIERS!$J$4:$J$63,MATCH($E189,SUPPLIERS!$A$4:$A$63,0))),""))</f>
        <v/>
      </c>
      <c r="O189" s="26" t="str">
        <f aca="false">IF(COUNT($H189:$L189)&lt;5,"",ROUND($H189*W_SRC+$I189*W_QC+$J189*W_CAP+$K189*W_SUP+$L189*W_EXT,1))</f>
        <v/>
      </c>
      <c r="P189" s="27" t="str">
        <f aca="false">IF(OR($O189="",$M189=""),"",ROUND($O189*$M189,1))</f>
        <v/>
      </c>
      <c r="Q189" s="28" t="str">
        <f aca="false">IF($E189="","",IF($U189&gt;0,"CRITICAL (FLAG)",IF(OR($O189="",$M189=""),"NOT SCORED",IF($P189&gt;=T_CRIT,"CRITICAL",IF($P189&gt;=T_MON,"MONITOR","LOW")))))</f>
        <v/>
      </c>
      <c r="R189" s="12" t="str">
        <f aca="false">IF($O189="","",INDEX(DriverNames,MATCH(MAX($H189:$L189),$H189:$L189,0)))</f>
        <v/>
      </c>
      <c r="S189" s="22"/>
      <c r="T189" s="29"/>
      <c r="U189" s="2" t="str">
        <f aca="false">IF($E189="","",IFERROR(INDEX(SUPPLIERS!$Q$4:$Q$63,MATCH($E189,SUPPLIERS!$A$4:$A$63,0)),0))</f>
        <v/>
      </c>
      <c r="V189" s="2" t="str">
        <f aca="false">IF($Q189="","",IF($U189&gt;0,100,0)+IF($P189="",0,$P189)+ROW()/100000)</f>
        <v/>
      </c>
      <c r="W189" s="2" t="str">
        <f aca="false">IF($V189="","",IF($A189=SEL_MODEL,$V189,""))</f>
        <v/>
      </c>
    </row>
    <row r="190" customFormat="false" ht="15" hidden="false" customHeight="false" outlineLevel="0" collapsed="false">
      <c r="A190" s="20"/>
      <c r="B190" s="21"/>
      <c r="C190" s="22"/>
      <c r="D190" s="21"/>
      <c r="E190" s="20"/>
      <c r="F190" s="23"/>
      <c r="G190" s="24" t="str">
        <f aca="false">IF(OR($A190="",$F190=""),"",IFERROR(IF(INDEX(MODELS!$K$4:$K$28,MATCH($A190,MODELS!$A$4:$A$28,0))="","",$F190*INDEX(MODELS!$K$4:$K$28,MATCH($A190,MODELS!$A$4:$A$28,0))),""))</f>
        <v/>
      </c>
      <c r="H190" s="21"/>
      <c r="I190" s="21"/>
      <c r="J190" s="21"/>
      <c r="K190" s="25" t="str">
        <f aca="false">IF($E190="","",IFERROR(IF(INDEX(SUPPLIERS!$K$4:$K$63,MATCH($E190,SUPPLIERS!$A$4:$A$63,0))="","",INDEX(SUPPLIERS!$K$4:$K$63,MATCH($E190,SUPPLIERS!$A$4:$A$63,0))),""))</f>
        <v/>
      </c>
      <c r="L190" s="25" t="str">
        <f aca="false">IF($E190="","",IFERROR(IF(INDEX(SUPPLIERS!$L$4:$L$63,MATCH($E190,SUPPLIERS!$A$4:$A$63,0))="","",INDEX(SUPPLIERS!$L$4:$L$63,MATCH($E190,SUPPLIERS!$A$4:$A$63,0))),""))</f>
        <v/>
      </c>
      <c r="M190" s="21"/>
      <c r="N190" s="11" t="str">
        <f aca="false">IF($E190="","",IFERROR(_xlfn.TEXTJOIN("; ",TRUE(),INDEX(SUPPLIERS!$F$4:$F$63,MATCH($E190,SUPPLIERS!$A$4:$A$63,0)),INDEX(SUPPLIERS!$G$4:$G$63,MATCH($E190,SUPPLIERS!$A$4:$A$63,0)),INDEX(SUPPLIERS!$H$4:$H$63,MATCH($E190,SUPPLIERS!$A$4:$A$63,0)),INDEX(SUPPLIERS!$I$4:$I$63,MATCH($E190,SUPPLIERS!$A$4:$A$63,0)),INDEX(SUPPLIERS!$J$4:$J$63,MATCH($E190,SUPPLIERS!$A$4:$A$63,0))),""))</f>
        <v/>
      </c>
      <c r="O190" s="26" t="str">
        <f aca="false">IF(COUNT($H190:$L190)&lt;5,"",ROUND($H190*W_SRC+$I190*W_QC+$J190*W_CAP+$K190*W_SUP+$L190*W_EXT,1))</f>
        <v/>
      </c>
      <c r="P190" s="27" t="str">
        <f aca="false">IF(OR($O190="",$M190=""),"",ROUND($O190*$M190,1))</f>
        <v/>
      </c>
      <c r="Q190" s="28" t="str">
        <f aca="false">IF($E190="","",IF($U190&gt;0,"CRITICAL (FLAG)",IF(OR($O190="",$M190=""),"NOT SCORED",IF($P190&gt;=T_CRIT,"CRITICAL",IF($P190&gt;=T_MON,"MONITOR","LOW")))))</f>
        <v/>
      </c>
      <c r="R190" s="12" t="str">
        <f aca="false">IF($O190="","",INDEX(DriverNames,MATCH(MAX($H190:$L190),$H190:$L190,0)))</f>
        <v/>
      </c>
      <c r="S190" s="22"/>
      <c r="T190" s="29"/>
      <c r="U190" s="2" t="str">
        <f aca="false">IF($E190="","",IFERROR(INDEX(SUPPLIERS!$Q$4:$Q$63,MATCH($E190,SUPPLIERS!$A$4:$A$63,0)),0))</f>
        <v/>
      </c>
      <c r="V190" s="2" t="str">
        <f aca="false">IF($Q190="","",IF($U190&gt;0,100,0)+IF($P190="",0,$P190)+ROW()/100000)</f>
        <v/>
      </c>
      <c r="W190" s="2" t="str">
        <f aca="false">IF($V190="","",IF($A190=SEL_MODEL,$V190,""))</f>
        <v/>
      </c>
    </row>
    <row r="191" customFormat="false" ht="15" hidden="false" customHeight="false" outlineLevel="0" collapsed="false">
      <c r="A191" s="20"/>
      <c r="B191" s="21"/>
      <c r="C191" s="22"/>
      <c r="D191" s="21"/>
      <c r="E191" s="20"/>
      <c r="F191" s="23"/>
      <c r="G191" s="24" t="str">
        <f aca="false">IF(OR($A191="",$F191=""),"",IFERROR(IF(INDEX(MODELS!$K$4:$K$28,MATCH($A191,MODELS!$A$4:$A$28,0))="","",$F191*INDEX(MODELS!$K$4:$K$28,MATCH($A191,MODELS!$A$4:$A$28,0))),""))</f>
        <v/>
      </c>
      <c r="H191" s="21"/>
      <c r="I191" s="21"/>
      <c r="J191" s="21"/>
      <c r="K191" s="25" t="str">
        <f aca="false">IF($E191="","",IFERROR(IF(INDEX(SUPPLIERS!$K$4:$K$63,MATCH($E191,SUPPLIERS!$A$4:$A$63,0))="","",INDEX(SUPPLIERS!$K$4:$K$63,MATCH($E191,SUPPLIERS!$A$4:$A$63,0))),""))</f>
        <v/>
      </c>
      <c r="L191" s="25" t="str">
        <f aca="false">IF($E191="","",IFERROR(IF(INDEX(SUPPLIERS!$L$4:$L$63,MATCH($E191,SUPPLIERS!$A$4:$A$63,0))="","",INDEX(SUPPLIERS!$L$4:$L$63,MATCH($E191,SUPPLIERS!$A$4:$A$63,0))),""))</f>
        <v/>
      </c>
      <c r="M191" s="21"/>
      <c r="N191" s="11" t="str">
        <f aca="false">IF($E191="","",IFERROR(_xlfn.TEXTJOIN("; ",TRUE(),INDEX(SUPPLIERS!$F$4:$F$63,MATCH($E191,SUPPLIERS!$A$4:$A$63,0)),INDEX(SUPPLIERS!$G$4:$G$63,MATCH($E191,SUPPLIERS!$A$4:$A$63,0)),INDEX(SUPPLIERS!$H$4:$H$63,MATCH($E191,SUPPLIERS!$A$4:$A$63,0)),INDEX(SUPPLIERS!$I$4:$I$63,MATCH($E191,SUPPLIERS!$A$4:$A$63,0)),INDEX(SUPPLIERS!$J$4:$J$63,MATCH($E191,SUPPLIERS!$A$4:$A$63,0))),""))</f>
        <v/>
      </c>
      <c r="O191" s="26" t="str">
        <f aca="false">IF(COUNT($H191:$L191)&lt;5,"",ROUND($H191*W_SRC+$I191*W_QC+$J191*W_CAP+$K191*W_SUP+$L191*W_EXT,1))</f>
        <v/>
      </c>
      <c r="P191" s="27" t="str">
        <f aca="false">IF(OR($O191="",$M191=""),"",ROUND($O191*$M191,1))</f>
        <v/>
      </c>
      <c r="Q191" s="28" t="str">
        <f aca="false">IF($E191="","",IF($U191&gt;0,"CRITICAL (FLAG)",IF(OR($O191="",$M191=""),"NOT SCORED",IF($P191&gt;=T_CRIT,"CRITICAL",IF($P191&gt;=T_MON,"MONITOR","LOW")))))</f>
        <v/>
      </c>
      <c r="R191" s="12" t="str">
        <f aca="false">IF($O191="","",INDEX(DriverNames,MATCH(MAX($H191:$L191),$H191:$L191,0)))</f>
        <v/>
      </c>
      <c r="S191" s="22"/>
      <c r="T191" s="29"/>
      <c r="U191" s="2" t="str">
        <f aca="false">IF($E191="","",IFERROR(INDEX(SUPPLIERS!$Q$4:$Q$63,MATCH($E191,SUPPLIERS!$A$4:$A$63,0)),0))</f>
        <v/>
      </c>
      <c r="V191" s="2" t="str">
        <f aca="false">IF($Q191="","",IF($U191&gt;0,100,0)+IF($P191="",0,$P191)+ROW()/100000)</f>
        <v/>
      </c>
      <c r="W191" s="2" t="str">
        <f aca="false">IF($V191="","",IF($A191=SEL_MODEL,$V191,""))</f>
        <v/>
      </c>
    </row>
    <row r="192" customFormat="false" ht="15" hidden="false" customHeight="false" outlineLevel="0" collapsed="false">
      <c r="A192" s="20"/>
      <c r="B192" s="21"/>
      <c r="C192" s="22"/>
      <c r="D192" s="21"/>
      <c r="E192" s="20"/>
      <c r="F192" s="23"/>
      <c r="G192" s="24" t="str">
        <f aca="false">IF(OR($A192="",$F192=""),"",IFERROR(IF(INDEX(MODELS!$K$4:$K$28,MATCH($A192,MODELS!$A$4:$A$28,0))="","",$F192*INDEX(MODELS!$K$4:$K$28,MATCH($A192,MODELS!$A$4:$A$28,0))),""))</f>
        <v/>
      </c>
      <c r="H192" s="21"/>
      <c r="I192" s="21"/>
      <c r="J192" s="21"/>
      <c r="K192" s="25" t="str">
        <f aca="false">IF($E192="","",IFERROR(IF(INDEX(SUPPLIERS!$K$4:$K$63,MATCH($E192,SUPPLIERS!$A$4:$A$63,0))="","",INDEX(SUPPLIERS!$K$4:$K$63,MATCH($E192,SUPPLIERS!$A$4:$A$63,0))),""))</f>
        <v/>
      </c>
      <c r="L192" s="25" t="str">
        <f aca="false">IF($E192="","",IFERROR(IF(INDEX(SUPPLIERS!$L$4:$L$63,MATCH($E192,SUPPLIERS!$A$4:$A$63,0))="","",INDEX(SUPPLIERS!$L$4:$L$63,MATCH($E192,SUPPLIERS!$A$4:$A$63,0))),""))</f>
        <v/>
      </c>
      <c r="M192" s="21"/>
      <c r="N192" s="11" t="str">
        <f aca="false">IF($E192="","",IFERROR(_xlfn.TEXTJOIN("; ",TRUE(),INDEX(SUPPLIERS!$F$4:$F$63,MATCH($E192,SUPPLIERS!$A$4:$A$63,0)),INDEX(SUPPLIERS!$G$4:$G$63,MATCH($E192,SUPPLIERS!$A$4:$A$63,0)),INDEX(SUPPLIERS!$H$4:$H$63,MATCH($E192,SUPPLIERS!$A$4:$A$63,0)),INDEX(SUPPLIERS!$I$4:$I$63,MATCH($E192,SUPPLIERS!$A$4:$A$63,0)),INDEX(SUPPLIERS!$J$4:$J$63,MATCH($E192,SUPPLIERS!$A$4:$A$63,0))),""))</f>
        <v/>
      </c>
      <c r="O192" s="26" t="str">
        <f aca="false">IF(COUNT($H192:$L192)&lt;5,"",ROUND($H192*W_SRC+$I192*W_QC+$J192*W_CAP+$K192*W_SUP+$L192*W_EXT,1))</f>
        <v/>
      </c>
      <c r="P192" s="27" t="str">
        <f aca="false">IF(OR($O192="",$M192=""),"",ROUND($O192*$M192,1))</f>
        <v/>
      </c>
      <c r="Q192" s="28" t="str">
        <f aca="false">IF($E192="","",IF($U192&gt;0,"CRITICAL (FLAG)",IF(OR($O192="",$M192=""),"NOT SCORED",IF($P192&gt;=T_CRIT,"CRITICAL",IF($P192&gt;=T_MON,"MONITOR","LOW")))))</f>
        <v/>
      </c>
      <c r="R192" s="12" t="str">
        <f aca="false">IF($O192="","",INDEX(DriverNames,MATCH(MAX($H192:$L192),$H192:$L192,0)))</f>
        <v/>
      </c>
      <c r="S192" s="22"/>
      <c r="T192" s="29"/>
      <c r="U192" s="2" t="str">
        <f aca="false">IF($E192="","",IFERROR(INDEX(SUPPLIERS!$Q$4:$Q$63,MATCH($E192,SUPPLIERS!$A$4:$A$63,0)),0))</f>
        <v/>
      </c>
      <c r="V192" s="2" t="str">
        <f aca="false">IF($Q192="","",IF($U192&gt;0,100,0)+IF($P192="",0,$P192)+ROW()/100000)</f>
        <v/>
      </c>
      <c r="W192" s="2" t="str">
        <f aca="false">IF($V192="","",IF($A192=SEL_MODEL,$V192,""))</f>
        <v/>
      </c>
    </row>
    <row r="193" customFormat="false" ht="15" hidden="false" customHeight="false" outlineLevel="0" collapsed="false">
      <c r="A193" s="20"/>
      <c r="B193" s="21"/>
      <c r="C193" s="22"/>
      <c r="D193" s="21"/>
      <c r="E193" s="20"/>
      <c r="F193" s="23"/>
      <c r="G193" s="24" t="str">
        <f aca="false">IF(OR($A193="",$F193=""),"",IFERROR(IF(INDEX(MODELS!$K$4:$K$28,MATCH($A193,MODELS!$A$4:$A$28,0))="","",$F193*INDEX(MODELS!$K$4:$K$28,MATCH($A193,MODELS!$A$4:$A$28,0))),""))</f>
        <v/>
      </c>
      <c r="H193" s="21"/>
      <c r="I193" s="21"/>
      <c r="J193" s="21"/>
      <c r="K193" s="25" t="str">
        <f aca="false">IF($E193="","",IFERROR(IF(INDEX(SUPPLIERS!$K$4:$K$63,MATCH($E193,SUPPLIERS!$A$4:$A$63,0))="","",INDEX(SUPPLIERS!$K$4:$K$63,MATCH($E193,SUPPLIERS!$A$4:$A$63,0))),""))</f>
        <v/>
      </c>
      <c r="L193" s="25" t="str">
        <f aca="false">IF($E193="","",IFERROR(IF(INDEX(SUPPLIERS!$L$4:$L$63,MATCH($E193,SUPPLIERS!$A$4:$A$63,0))="","",INDEX(SUPPLIERS!$L$4:$L$63,MATCH($E193,SUPPLIERS!$A$4:$A$63,0))),""))</f>
        <v/>
      </c>
      <c r="M193" s="21"/>
      <c r="N193" s="11" t="str">
        <f aca="false">IF($E193="","",IFERROR(_xlfn.TEXTJOIN("; ",TRUE(),INDEX(SUPPLIERS!$F$4:$F$63,MATCH($E193,SUPPLIERS!$A$4:$A$63,0)),INDEX(SUPPLIERS!$G$4:$G$63,MATCH($E193,SUPPLIERS!$A$4:$A$63,0)),INDEX(SUPPLIERS!$H$4:$H$63,MATCH($E193,SUPPLIERS!$A$4:$A$63,0)),INDEX(SUPPLIERS!$I$4:$I$63,MATCH($E193,SUPPLIERS!$A$4:$A$63,0)),INDEX(SUPPLIERS!$J$4:$J$63,MATCH($E193,SUPPLIERS!$A$4:$A$63,0))),""))</f>
        <v/>
      </c>
      <c r="O193" s="26" t="str">
        <f aca="false">IF(COUNT($H193:$L193)&lt;5,"",ROUND($H193*W_SRC+$I193*W_QC+$J193*W_CAP+$K193*W_SUP+$L193*W_EXT,1))</f>
        <v/>
      </c>
      <c r="P193" s="27" t="str">
        <f aca="false">IF(OR($O193="",$M193=""),"",ROUND($O193*$M193,1))</f>
        <v/>
      </c>
      <c r="Q193" s="28" t="str">
        <f aca="false">IF($E193="","",IF($U193&gt;0,"CRITICAL (FLAG)",IF(OR($O193="",$M193=""),"NOT SCORED",IF($P193&gt;=T_CRIT,"CRITICAL",IF($P193&gt;=T_MON,"MONITOR","LOW")))))</f>
        <v/>
      </c>
      <c r="R193" s="12" t="str">
        <f aca="false">IF($O193="","",INDEX(DriverNames,MATCH(MAX($H193:$L193),$H193:$L193,0)))</f>
        <v/>
      </c>
      <c r="S193" s="22"/>
      <c r="T193" s="29"/>
      <c r="U193" s="2" t="str">
        <f aca="false">IF($E193="","",IFERROR(INDEX(SUPPLIERS!$Q$4:$Q$63,MATCH($E193,SUPPLIERS!$A$4:$A$63,0)),0))</f>
        <v/>
      </c>
      <c r="V193" s="2" t="str">
        <f aca="false">IF($Q193="","",IF($U193&gt;0,100,0)+IF($P193="",0,$P193)+ROW()/100000)</f>
        <v/>
      </c>
      <c r="W193" s="2" t="str">
        <f aca="false">IF($V193="","",IF($A193=SEL_MODEL,$V193,""))</f>
        <v/>
      </c>
    </row>
    <row r="194" customFormat="false" ht="15" hidden="false" customHeight="false" outlineLevel="0" collapsed="false">
      <c r="A194" s="20"/>
      <c r="B194" s="21"/>
      <c r="C194" s="22"/>
      <c r="D194" s="21"/>
      <c r="E194" s="20"/>
      <c r="F194" s="23"/>
      <c r="G194" s="24" t="str">
        <f aca="false">IF(OR($A194="",$F194=""),"",IFERROR(IF(INDEX(MODELS!$K$4:$K$28,MATCH($A194,MODELS!$A$4:$A$28,0))="","",$F194*INDEX(MODELS!$K$4:$K$28,MATCH($A194,MODELS!$A$4:$A$28,0))),""))</f>
        <v/>
      </c>
      <c r="H194" s="21"/>
      <c r="I194" s="21"/>
      <c r="J194" s="21"/>
      <c r="K194" s="25" t="str">
        <f aca="false">IF($E194="","",IFERROR(IF(INDEX(SUPPLIERS!$K$4:$K$63,MATCH($E194,SUPPLIERS!$A$4:$A$63,0))="","",INDEX(SUPPLIERS!$K$4:$K$63,MATCH($E194,SUPPLIERS!$A$4:$A$63,0))),""))</f>
        <v/>
      </c>
      <c r="L194" s="25" t="str">
        <f aca="false">IF($E194="","",IFERROR(IF(INDEX(SUPPLIERS!$L$4:$L$63,MATCH($E194,SUPPLIERS!$A$4:$A$63,0))="","",INDEX(SUPPLIERS!$L$4:$L$63,MATCH($E194,SUPPLIERS!$A$4:$A$63,0))),""))</f>
        <v/>
      </c>
      <c r="M194" s="21"/>
      <c r="N194" s="11" t="str">
        <f aca="false">IF($E194="","",IFERROR(_xlfn.TEXTJOIN("; ",TRUE(),INDEX(SUPPLIERS!$F$4:$F$63,MATCH($E194,SUPPLIERS!$A$4:$A$63,0)),INDEX(SUPPLIERS!$G$4:$G$63,MATCH($E194,SUPPLIERS!$A$4:$A$63,0)),INDEX(SUPPLIERS!$H$4:$H$63,MATCH($E194,SUPPLIERS!$A$4:$A$63,0)),INDEX(SUPPLIERS!$I$4:$I$63,MATCH($E194,SUPPLIERS!$A$4:$A$63,0)),INDEX(SUPPLIERS!$J$4:$J$63,MATCH($E194,SUPPLIERS!$A$4:$A$63,0))),""))</f>
        <v/>
      </c>
      <c r="O194" s="26" t="str">
        <f aca="false">IF(COUNT($H194:$L194)&lt;5,"",ROUND($H194*W_SRC+$I194*W_QC+$J194*W_CAP+$K194*W_SUP+$L194*W_EXT,1))</f>
        <v/>
      </c>
      <c r="P194" s="27" t="str">
        <f aca="false">IF(OR($O194="",$M194=""),"",ROUND($O194*$M194,1))</f>
        <v/>
      </c>
      <c r="Q194" s="28" t="str">
        <f aca="false">IF($E194="","",IF($U194&gt;0,"CRITICAL (FLAG)",IF(OR($O194="",$M194=""),"NOT SCORED",IF($P194&gt;=T_CRIT,"CRITICAL",IF($P194&gt;=T_MON,"MONITOR","LOW")))))</f>
        <v/>
      </c>
      <c r="R194" s="12" t="str">
        <f aca="false">IF($O194="","",INDEX(DriverNames,MATCH(MAX($H194:$L194),$H194:$L194,0)))</f>
        <v/>
      </c>
      <c r="S194" s="22"/>
      <c r="T194" s="29"/>
      <c r="U194" s="2" t="str">
        <f aca="false">IF($E194="","",IFERROR(INDEX(SUPPLIERS!$Q$4:$Q$63,MATCH($E194,SUPPLIERS!$A$4:$A$63,0)),0))</f>
        <v/>
      </c>
      <c r="V194" s="2" t="str">
        <f aca="false">IF($Q194="","",IF($U194&gt;0,100,0)+IF($P194="",0,$P194)+ROW()/100000)</f>
        <v/>
      </c>
      <c r="W194" s="2" t="str">
        <f aca="false">IF($V194="","",IF($A194=SEL_MODEL,$V194,""))</f>
        <v/>
      </c>
    </row>
    <row r="195" customFormat="false" ht="15" hidden="false" customHeight="false" outlineLevel="0" collapsed="false">
      <c r="A195" s="20"/>
      <c r="B195" s="21"/>
      <c r="C195" s="22"/>
      <c r="D195" s="21"/>
      <c r="E195" s="20"/>
      <c r="F195" s="23"/>
      <c r="G195" s="24" t="str">
        <f aca="false">IF(OR($A195="",$F195=""),"",IFERROR(IF(INDEX(MODELS!$K$4:$K$28,MATCH($A195,MODELS!$A$4:$A$28,0))="","",$F195*INDEX(MODELS!$K$4:$K$28,MATCH($A195,MODELS!$A$4:$A$28,0))),""))</f>
        <v/>
      </c>
      <c r="H195" s="21"/>
      <c r="I195" s="21"/>
      <c r="J195" s="21"/>
      <c r="K195" s="25" t="str">
        <f aca="false">IF($E195="","",IFERROR(IF(INDEX(SUPPLIERS!$K$4:$K$63,MATCH($E195,SUPPLIERS!$A$4:$A$63,0))="","",INDEX(SUPPLIERS!$K$4:$K$63,MATCH($E195,SUPPLIERS!$A$4:$A$63,0))),""))</f>
        <v/>
      </c>
      <c r="L195" s="25" t="str">
        <f aca="false">IF($E195="","",IFERROR(IF(INDEX(SUPPLIERS!$L$4:$L$63,MATCH($E195,SUPPLIERS!$A$4:$A$63,0))="","",INDEX(SUPPLIERS!$L$4:$L$63,MATCH($E195,SUPPLIERS!$A$4:$A$63,0))),""))</f>
        <v/>
      </c>
      <c r="M195" s="21"/>
      <c r="N195" s="11" t="str">
        <f aca="false">IF($E195="","",IFERROR(_xlfn.TEXTJOIN("; ",TRUE(),INDEX(SUPPLIERS!$F$4:$F$63,MATCH($E195,SUPPLIERS!$A$4:$A$63,0)),INDEX(SUPPLIERS!$G$4:$G$63,MATCH($E195,SUPPLIERS!$A$4:$A$63,0)),INDEX(SUPPLIERS!$H$4:$H$63,MATCH($E195,SUPPLIERS!$A$4:$A$63,0)),INDEX(SUPPLIERS!$I$4:$I$63,MATCH($E195,SUPPLIERS!$A$4:$A$63,0)),INDEX(SUPPLIERS!$J$4:$J$63,MATCH($E195,SUPPLIERS!$A$4:$A$63,0))),""))</f>
        <v/>
      </c>
      <c r="O195" s="26" t="str">
        <f aca="false">IF(COUNT($H195:$L195)&lt;5,"",ROUND($H195*W_SRC+$I195*W_QC+$J195*W_CAP+$K195*W_SUP+$L195*W_EXT,1))</f>
        <v/>
      </c>
      <c r="P195" s="27" t="str">
        <f aca="false">IF(OR($O195="",$M195=""),"",ROUND($O195*$M195,1))</f>
        <v/>
      </c>
      <c r="Q195" s="28" t="str">
        <f aca="false">IF($E195="","",IF($U195&gt;0,"CRITICAL (FLAG)",IF(OR($O195="",$M195=""),"NOT SCORED",IF($P195&gt;=T_CRIT,"CRITICAL",IF($P195&gt;=T_MON,"MONITOR","LOW")))))</f>
        <v/>
      </c>
      <c r="R195" s="12" t="str">
        <f aca="false">IF($O195="","",INDEX(DriverNames,MATCH(MAX($H195:$L195),$H195:$L195,0)))</f>
        <v/>
      </c>
      <c r="S195" s="22"/>
      <c r="T195" s="29"/>
      <c r="U195" s="2" t="str">
        <f aca="false">IF($E195="","",IFERROR(INDEX(SUPPLIERS!$Q$4:$Q$63,MATCH($E195,SUPPLIERS!$A$4:$A$63,0)),0))</f>
        <v/>
      </c>
      <c r="V195" s="2" t="str">
        <f aca="false">IF($Q195="","",IF($U195&gt;0,100,0)+IF($P195="",0,$P195)+ROW()/100000)</f>
        <v/>
      </c>
      <c r="W195" s="2" t="str">
        <f aca="false">IF($V195="","",IF($A195=SEL_MODEL,$V195,""))</f>
        <v/>
      </c>
    </row>
    <row r="196" customFormat="false" ht="15" hidden="false" customHeight="false" outlineLevel="0" collapsed="false">
      <c r="A196" s="20"/>
      <c r="B196" s="21"/>
      <c r="C196" s="22"/>
      <c r="D196" s="21"/>
      <c r="E196" s="20"/>
      <c r="F196" s="23"/>
      <c r="G196" s="24" t="str">
        <f aca="false">IF(OR($A196="",$F196=""),"",IFERROR(IF(INDEX(MODELS!$K$4:$K$28,MATCH($A196,MODELS!$A$4:$A$28,0))="","",$F196*INDEX(MODELS!$K$4:$K$28,MATCH($A196,MODELS!$A$4:$A$28,0))),""))</f>
        <v/>
      </c>
      <c r="H196" s="21"/>
      <c r="I196" s="21"/>
      <c r="J196" s="21"/>
      <c r="K196" s="25" t="str">
        <f aca="false">IF($E196="","",IFERROR(IF(INDEX(SUPPLIERS!$K$4:$K$63,MATCH($E196,SUPPLIERS!$A$4:$A$63,0))="","",INDEX(SUPPLIERS!$K$4:$K$63,MATCH($E196,SUPPLIERS!$A$4:$A$63,0))),""))</f>
        <v/>
      </c>
      <c r="L196" s="25" t="str">
        <f aca="false">IF($E196="","",IFERROR(IF(INDEX(SUPPLIERS!$L$4:$L$63,MATCH($E196,SUPPLIERS!$A$4:$A$63,0))="","",INDEX(SUPPLIERS!$L$4:$L$63,MATCH($E196,SUPPLIERS!$A$4:$A$63,0))),""))</f>
        <v/>
      </c>
      <c r="M196" s="21"/>
      <c r="N196" s="11" t="str">
        <f aca="false">IF($E196="","",IFERROR(_xlfn.TEXTJOIN("; ",TRUE(),INDEX(SUPPLIERS!$F$4:$F$63,MATCH($E196,SUPPLIERS!$A$4:$A$63,0)),INDEX(SUPPLIERS!$G$4:$G$63,MATCH($E196,SUPPLIERS!$A$4:$A$63,0)),INDEX(SUPPLIERS!$H$4:$H$63,MATCH($E196,SUPPLIERS!$A$4:$A$63,0)),INDEX(SUPPLIERS!$I$4:$I$63,MATCH($E196,SUPPLIERS!$A$4:$A$63,0)),INDEX(SUPPLIERS!$J$4:$J$63,MATCH($E196,SUPPLIERS!$A$4:$A$63,0))),""))</f>
        <v/>
      </c>
      <c r="O196" s="26" t="str">
        <f aca="false">IF(COUNT($H196:$L196)&lt;5,"",ROUND($H196*W_SRC+$I196*W_QC+$J196*W_CAP+$K196*W_SUP+$L196*W_EXT,1))</f>
        <v/>
      </c>
      <c r="P196" s="27" t="str">
        <f aca="false">IF(OR($O196="",$M196=""),"",ROUND($O196*$M196,1))</f>
        <v/>
      </c>
      <c r="Q196" s="28" t="str">
        <f aca="false">IF($E196="","",IF($U196&gt;0,"CRITICAL (FLAG)",IF(OR($O196="",$M196=""),"NOT SCORED",IF($P196&gt;=T_CRIT,"CRITICAL",IF($P196&gt;=T_MON,"MONITOR","LOW")))))</f>
        <v/>
      </c>
      <c r="R196" s="12" t="str">
        <f aca="false">IF($O196="","",INDEX(DriverNames,MATCH(MAX($H196:$L196),$H196:$L196,0)))</f>
        <v/>
      </c>
      <c r="S196" s="22"/>
      <c r="T196" s="29"/>
      <c r="U196" s="2" t="str">
        <f aca="false">IF($E196="","",IFERROR(INDEX(SUPPLIERS!$Q$4:$Q$63,MATCH($E196,SUPPLIERS!$A$4:$A$63,0)),0))</f>
        <v/>
      </c>
      <c r="V196" s="2" t="str">
        <f aca="false">IF($Q196="","",IF($U196&gt;0,100,0)+IF($P196="",0,$P196)+ROW()/100000)</f>
        <v/>
      </c>
      <c r="W196" s="2" t="str">
        <f aca="false">IF($V196="","",IF($A196=SEL_MODEL,$V196,""))</f>
        <v/>
      </c>
    </row>
    <row r="197" customFormat="false" ht="15" hidden="false" customHeight="false" outlineLevel="0" collapsed="false">
      <c r="A197" s="20"/>
      <c r="B197" s="21"/>
      <c r="C197" s="22"/>
      <c r="D197" s="21"/>
      <c r="E197" s="20"/>
      <c r="F197" s="23"/>
      <c r="G197" s="24" t="str">
        <f aca="false">IF(OR($A197="",$F197=""),"",IFERROR(IF(INDEX(MODELS!$K$4:$K$28,MATCH($A197,MODELS!$A$4:$A$28,0))="","",$F197*INDEX(MODELS!$K$4:$K$28,MATCH($A197,MODELS!$A$4:$A$28,0))),""))</f>
        <v/>
      </c>
      <c r="H197" s="21"/>
      <c r="I197" s="21"/>
      <c r="J197" s="21"/>
      <c r="K197" s="25" t="str">
        <f aca="false">IF($E197="","",IFERROR(IF(INDEX(SUPPLIERS!$K$4:$K$63,MATCH($E197,SUPPLIERS!$A$4:$A$63,0))="","",INDEX(SUPPLIERS!$K$4:$K$63,MATCH($E197,SUPPLIERS!$A$4:$A$63,0))),""))</f>
        <v/>
      </c>
      <c r="L197" s="25" t="str">
        <f aca="false">IF($E197="","",IFERROR(IF(INDEX(SUPPLIERS!$L$4:$L$63,MATCH($E197,SUPPLIERS!$A$4:$A$63,0))="","",INDEX(SUPPLIERS!$L$4:$L$63,MATCH($E197,SUPPLIERS!$A$4:$A$63,0))),""))</f>
        <v/>
      </c>
      <c r="M197" s="21"/>
      <c r="N197" s="11" t="str">
        <f aca="false">IF($E197="","",IFERROR(_xlfn.TEXTJOIN("; ",TRUE(),INDEX(SUPPLIERS!$F$4:$F$63,MATCH($E197,SUPPLIERS!$A$4:$A$63,0)),INDEX(SUPPLIERS!$G$4:$G$63,MATCH($E197,SUPPLIERS!$A$4:$A$63,0)),INDEX(SUPPLIERS!$H$4:$H$63,MATCH($E197,SUPPLIERS!$A$4:$A$63,0)),INDEX(SUPPLIERS!$I$4:$I$63,MATCH($E197,SUPPLIERS!$A$4:$A$63,0)),INDEX(SUPPLIERS!$J$4:$J$63,MATCH($E197,SUPPLIERS!$A$4:$A$63,0))),""))</f>
        <v/>
      </c>
      <c r="O197" s="26" t="str">
        <f aca="false">IF(COUNT($H197:$L197)&lt;5,"",ROUND($H197*W_SRC+$I197*W_QC+$J197*W_CAP+$K197*W_SUP+$L197*W_EXT,1))</f>
        <v/>
      </c>
      <c r="P197" s="27" t="str">
        <f aca="false">IF(OR($O197="",$M197=""),"",ROUND($O197*$M197,1))</f>
        <v/>
      </c>
      <c r="Q197" s="28" t="str">
        <f aca="false">IF($E197="","",IF($U197&gt;0,"CRITICAL (FLAG)",IF(OR($O197="",$M197=""),"NOT SCORED",IF($P197&gt;=T_CRIT,"CRITICAL",IF($P197&gt;=T_MON,"MONITOR","LOW")))))</f>
        <v/>
      </c>
      <c r="R197" s="12" t="str">
        <f aca="false">IF($O197="","",INDEX(DriverNames,MATCH(MAX($H197:$L197),$H197:$L197,0)))</f>
        <v/>
      </c>
      <c r="S197" s="22"/>
      <c r="T197" s="29"/>
      <c r="U197" s="2" t="str">
        <f aca="false">IF($E197="","",IFERROR(INDEX(SUPPLIERS!$Q$4:$Q$63,MATCH($E197,SUPPLIERS!$A$4:$A$63,0)),0))</f>
        <v/>
      </c>
      <c r="V197" s="2" t="str">
        <f aca="false">IF($Q197="","",IF($U197&gt;0,100,0)+IF($P197="",0,$P197)+ROW()/100000)</f>
        <v/>
      </c>
      <c r="W197" s="2" t="str">
        <f aca="false">IF($V197="","",IF($A197=SEL_MODEL,$V197,""))</f>
        <v/>
      </c>
    </row>
    <row r="198" customFormat="false" ht="15" hidden="false" customHeight="false" outlineLevel="0" collapsed="false">
      <c r="A198" s="20"/>
      <c r="B198" s="21"/>
      <c r="C198" s="22"/>
      <c r="D198" s="21"/>
      <c r="E198" s="20"/>
      <c r="F198" s="23"/>
      <c r="G198" s="24" t="str">
        <f aca="false">IF(OR($A198="",$F198=""),"",IFERROR(IF(INDEX(MODELS!$K$4:$K$28,MATCH($A198,MODELS!$A$4:$A$28,0))="","",$F198*INDEX(MODELS!$K$4:$K$28,MATCH($A198,MODELS!$A$4:$A$28,0))),""))</f>
        <v/>
      </c>
      <c r="H198" s="21"/>
      <c r="I198" s="21"/>
      <c r="J198" s="21"/>
      <c r="K198" s="25" t="str">
        <f aca="false">IF($E198="","",IFERROR(IF(INDEX(SUPPLIERS!$K$4:$K$63,MATCH($E198,SUPPLIERS!$A$4:$A$63,0))="","",INDEX(SUPPLIERS!$K$4:$K$63,MATCH($E198,SUPPLIERS!$A$4:$A$63,0))),""))</f>
        <v/>
      </c>
      <c r="L198" s="25" t="str">
        <f aca="false">IF($E198="","",IFERROR(IF(INDEX(SUPPLIERS!$L$4:$L$63,MATCH($E198,SUPPLIERS!$A$4:$A$63,0))="","",INDEX(SUPPLIERS!$L$4:$L$63,MATCH($E198,SUPPLIERS!$A$4:$A$63,0))),""))</f>
        <v/>
      </c>
      <c r="M198" s="21"/>
      <c r="N198" s="11" t="str">
        <f aca="false">IF($E198="","",IFERROR(_xlfn.TEXTJOIN("; ",TRUE(),INDEX(SUPPLIERS!$F$4:$F$63,MATCH($E198,SUPPLIERS!$A$4:$A$63,0)),INDEX(SUPPLIERS!$G$4:$G$63,MATCH($E198,SUPPLIERS!$A$4:$A$63,0)),INDEX(SUPPLIERS!$H$4:$H$63,MATCH($E198,SUPPLIERS!$A$4:$A$63,0)),INDEX(SUPPLIERS!$I$4:$I$63,MATCH($E198,SUPPLIERS!$A$4:$A$63,0)),INDEX(SUPPLIERS!$J$4:$J$63,MATCH($E198,SUPPLIERS!$A$4:$A$63,0))),""))</f>
        <v/>
      </c>
      <c r="O198" s="26" t="str">
        <f aca="false">IF(COUNT($H198:$L198)&lt;5,"",ROUND($H198*W_SRC+$I198*W_QC+$J198*W_CAP+$K198*W_SUP+$L198*W_EXT,1))</f>
        <v/>
      </c>
      <c r="P198" s="27" t="str">
        <f aca="false">IF(OR($O198="",$M198=""),"",ROUND($O198*$M198,1))</f>
        <v/>
      </c>
      <c r="Q198" s="28" t="str">
        <f aca="false">IF($E198="","",IF($U198&gt;0,"CRITICAL (FLAG)",IF(OR($O198="",$M198=""),"NOT SCORED",IF($P198&gt;=T_CRIT,"CRITICAL",IF($P198&gt;=T_MON,"MONITOR","LOW")))))</f>
        <v/>
      </c>
      <c r="R198" s="12" t="str">
        <f aca="false">IF($O198="","",INDEX(DriverNames,MATCH(MAX($H198:$L198),$H198:$L198,0)))</f>
        <v/>
      </c>
      <c r="S198" s="22"/>
      <c r="T198" s="29"/>
      <c r="U198" s="2" t="str">
        <f aca="false">IF($E198="","",IFERROR(INDEX(SUPPLIERS!$Q$4:$Q$63,MATCH($E198,SUPPLIERS!$A$4:$A$63,0)),0))</f>
        <v/>
      </c>
      <c r="V198" s="2" t="str">
        <f aca="false">IF($Q198="","",IF($U198&gt;0,100,0)+IF($P198="",0,$P198)+ROW()/100000)</f>
        <v/>
      </c>
      <c r="W198" s="2" t="str">
        <f aca="false">IF($V198="","",IF($A198=SEL_MODEL,$V198,""))</f>
        <v/>
      </c>
    </row>
    <row r="199" customFormat="false" ht="15" hidden="false" customHeight="false" outlineLevel="0" collapsed="false">
      <c r="A199" s="20"/>
      <c r="B199" s="21"/>
      <c r="C199" s="22"/>
      <c r="D199" s="21"/>
      <c r="E199" s="20"/>
      <c r="F199" s="23"/>
      <c r="G199" s="24" t="str">
        <f aca="false">IF(OR($A199="",$F199=""),"",IFERROR(IF(INDEX(MODELS!$K$4:$K$28,MATCH($A199,MODELS!$A$4:$A$28,0))="","",$F199*INDEX(MODELS!$K$4:$K$28,MATCH($A199,MODELS!$A$4:$A$28,0))),""))</f>
        <v/>
      </c>
      <c r="H199" s="21"/>
      <c r="I199" s="21"/>
      <c r="J199" s="21"/>
      <c r="K199" s="25" t="str">
        <f aca="false">IF($E199="","",IFERROR(IF(INDEX(SUPPLIERS!$K$4:$K$63,MATCH($E199,SUPPLIERS!$A$4:$A$63,0))="","",INDEX(SUPPLIERS!$K$4:$K$63,MATCH($E199,SUPPLIERS!$A$4:$A$63,0))),""))</f>
        <v/>
      </c>
      <c r="L199" s="25" t="str">
        <f aca="false">IF($E199="","",IFERROR(IF(INDEX(SUPPLIERS!$L$4:$L$63,MATCH($E199,SUPPLIERS!$A$4:$A$63,0))="","",INDEX(SUPPLIERS!$L$4:$L$63,MATCH($E199,SUPPLIERS!$A$4:$A$63,0))),""))</f>
        <v/>
      </c>
      <c r="M199" s="21"/>
      <c r="N199" s="11" t="str">
        <f aca="false">IF($E199="","",IFERROR(_xlfn.TEXTJOIN("; ",TRUE(),INDEX(SUPPLIERS!$F$4:$F$63,MATCH($E199,SUPPLIERS!$A$4:$A$63,0)),INDEX(SUPPLIERS!$G$4:$G$63,MATCH($E199,SUPPLIERS!$A$4:$A$63,0)),INDEX(SUPPLIERS!$H$4:$H$63,MATCH($E199,SUPPLIERS!$A$4:$A$63,0)),INDEX(SUPPLIERS!$I$4:$I$63,MATCH($E199,SUPPLIERS!$A$4:$A$63,0)),INDEX(SUPPLIERS!$J$4:$J$63,MATCH($E199,SUPPLIERS!$A$4:$A$63,0))),""))</f>
        <v/>
      </c>
      <c r="O199" s="26" t="str">
        <f aca="false">IF(COUNT($H199:$L199)&lt;5,"",ROUND($H199*W_SRC+$I199*W_QC+$J199*W_CAP+$K199*W_SUP+$L199*W_EXT,1))</f>
        <v/>
      </c>
      <c r="P199" s="27" t="str">
        <f aca="false">IF(OR($O199="",$M199=""),"",ROUND($O199*$M199,1))</f>
        <v/>
      </c>
      <c r="Q199" s="28" t="str">
        <f aca="false">IF($E199="","",IF($U199&gt;0,"CRITICAL (FLAG)",IF(OR($O199="",$M199=""),"NOT SCORED",IF($P199&gt;=T_CRIT,"CRITICAL",IF($P199&gt;=T_MON,"MONITOR","LOW")))))</f>
        <v/>
      </c>
      <c r="R199" s="12" t="str">
        <f aca="false">IF($O199="","",INDEX(DriverNames,MATCH(MAX($H199:$L199),$H199:$L199,0)))</f>
        <v/>
      </c>
      <c r="S199" s="22"/>
      <c r="T199" s="29"/>
      <c r="U199" s="2" t="str">
        <f aca="false">IF($E199="","",IFERROR(INDEX(SUPPLIERS!$Q$4:$Q$63,MATCH($E199,SUPPLIERS!$A$4:$A$63,0)),0))</f>
        <v/>
      </c>
      <c r="V199" s="2" t="str">
        <f aca="false">IF($Q199="","",IF($U199&gt;0,100,0)+IF($P199="",0,$P199)+ROW()/100000)</f>
        <v/>
      </c>
      <c r="W199" s="2" t="str">
        <f aca="false">IF($V199="","",IF($A199=SEL_MODEL,$V199,""))</f>
        <v/>
      </c>
    </row>
    <row r="200" customFormat="false" ht="15" hidden="false" customHeight="false" outlineLevel="0" collapsed="false">
      <c r="A200" s="20"/>
      <c r="B200" s="21"/>
      <c r="C200" s="22"/>
      <c r="D200" s="21"/>
      <c r="E200" s="20"/>
      <c r="F200" s="23"/>
      <c r="G200" s="24" t="str">
        <f aca="false">IF(OR($A200="",$F200=""),"",IFERROR(IF(INDEX(MODELS!$K$4:$K$28,MATCH($A200,MODELS!$A$4:$A$28,0))="","",$F200*INDEX(MODELS!$K$4:$K$28,MATCH($A200,MODELS!$A$4:$A$28,0))),""))</f>
        <v/>
      </c>
      <c r="H200" s="21"/>
      <c r="I200" s="21"/>
      <c r="J200" s="21"/>
      <c r="K200" s="25" t="str">
        <f aca="false">IF($E200="","",IFERROR(IF(INDEX(SUPPLIERS!$K$4:$K$63,MATCH($E200,SUPPLIERS!$A$4:$A$63,0))="","",INDEX(SUPPLIERS!$K$4:$K$63,MATCH($E200,SUPPLIERS!$A$4:$A$63,0))),""))</f>
        <v/>
      </c>
      <c r="L200" s="25" t="str">
        <f aca="false">IF($E200="","",IFERROR(IF(INDEX(SUPPLIERS!$L$4:$L$63,MATCH($E200,SUPPLIERS!$A$4:$A$63,0))="","",INDEX(SUPPLIERS!$L$4:$L$63,MATCH($E200,SUPPLIERS!$A$4:$A$63,0))),""))</f>
        <v/>
      </c>
      <c r="M200" s="21"/>
      <c r="N200" s="11" t="str">
        <f aca="false">IF($E200="","",IFERROR(_xlfn.TEXTJOIN("; ",TRUE(),INDEX(SUPPLIERS!$F$4:$F$63,MATCH($E200,SUPPLIERS!$A$4:$A$63,0)),INDEX(SUPPLIERS!$G$4:$G$63,MATCH($E200,SUPPLIERS!$A$4:$A$63,0)),INDEX(SUPPLIERS!$H$4:$H$63,MATCH($E200,SUPPLIERS!$A$4:$A$63,0)),INDEX(SUPPLIERS!$I$4:$I$63,MATCH($E200,SUPPLIERS!$A$4:$A$63,0)),INDEX(SUPPLIERS!$J$4:$J$63,MATCH($E200,SUPPLIERS!$A$4:$A$63,0))),""))</f>
        <v/>
      </c>
      <c r="O200" s="26" t="str">
        <f aca="false">IF(COUNT($H200:$L200)&lt;5,"",ROUND($H200*W_SRC+$I200*W_QC+$J200*W_CAP+$K200*W_SUP+$L200*W_EXT,1))</f>
        <v/>
      </c>
      <c r="P200" s="27" t="str">
        <f aca="false">IF(OR($O200="",$M200=""),"",ROUND($O200*$M200,1))</f>
        <v/>
      </c>
      <c r="Q200" s="28" t="str">
        <f aca="false">IF($E200="","",IF($U200&gt;0,"CRITICAL (FLAG)",IF(OR($O200="",$M200=""),"NOT SCORED",IF($P200&gt;=T_CRIT,"CRITICAL",IF($P200&gt;=T_MON,"MONITOR","LOW")))))</f>
        <v/>
      </c>
      <c r="R200" s="12" t="str">
        <f aca="false">IF($O200="","",INDEX(DriverNames,MATCH(MAX($H200:$L200),$H200:$L200,0)))</f>
        <v/>
      </c>
      <c r="S200" s="22"/>
      <c r="T200" s="29"/>
      <c r="U200" s="2" t="str">
        <f aca="false">IF($E200="","",IFERROR(INDEX(SUPPLIERS!$Q$4:$Q$63,MATCH($E200,SUPPLIERS!$A$4:$A$63,0)),0))</f>
        <v/>
      </c>
      <c r="V200" s="2" t="str">
        <f aca="false">IF($Q200="","",IF($U200&gt;0,100,0)+IF($P200="",0,$P200)+ROW()/100000)</f>
        <v/>
      </c>
      <c r="W200" s="2" t="str">
        <f aca="false">IF($V200="","",IF($A200=SEL_MODEL,$V200,""))</f>
        <v/>
      </c>
    </row>
    <row r="201" customFormat="false" ht="15" hidden="false" customHeight="false" outlineLevel="0" collapsed="false">
      <c r="A201" s="20"/>
      <c r="B201" s="21"/>
      <c r="C201" s="22"/>
      <c r="D201" s="21"/>
      <c r="E201" s="20"/>
      <c r="F201" s="23"/>
      <c r="G201" s="24" t="str">
        <f aca="false">IF(OR($A201="",$F201=""),"",IFERROR(IF(INDEX(MODELS!$K$4:$K$28,MATCH($A201,MODELS!$A$4:$A$28,0))="","",$F201*INDEX(MODELS!$K$4:$K$28,MATCH($A201,MODELS!$A$4:$A$28,0))),""))</f>
        <v/>
      </c>
      <c r="H201" s="21"/>
      <c r="I201" s="21"/>
      <c r="J201" s="21"/>
      <c r="K201" s="25" t="str">
        <f aca="false">IF($E201="","",IFERROR(IF(INDEX(SUPPLIERS!$K$4:$K$63,MATCH($E201,SUPPLIERS!$A$4:$A$63,0))="","",INDEX(SUPPLIERS!$K$4:$K$63,MATCH($E201,SUPPLIERS!$A$4:$A$63,0))),""))</f>
        <v/>
      </c>
      <c r="L201" s="25" t="str">
        <f aca="false">IF($E201="","",IFERROR(IF(INDEX(SUPPLIERS!$L$4:$L$63,MATCH($E201,SUPPLIERS!$A$4:$A$63,0))="","",INDEX(SUPPLIERS!$L$4:$L$63,MATCH($E201,SUPPLIERS!$A$4:$A$63,0))),""))</f>
        <v/>
      </c>
      <c r="M201" s="21"/>
      <c r="N201" s="11" t="str">
        <f aca="false">IF($E201="","",IFERROR(_xlfn.TEXTJOIN("; ",TRUE(),INDEX(SUPPLIERS!$F$4:$F$63,MATCH($E201,SUPPLIERS!$A$4:$A$63,0)),INDEX(SUPPLIERS!$G$4:$G$63,MATCH($E201,SUPPLIERS!$A$4:$A$63,0)),INDEX(SUPPLIERS!$H$4:$H$63,MATCH($E201,SUPPLIERS!$A$4:$A$63,0)),INDEX(SUPPLIERS!$I$4:$I$63,MATCH($E201,SUPPLIERS!$A$4:$A$63,0)),INDEX(SUPPLIERS!$J$4:$J$63,MATCH($E201,SUPPLIERS!$A$4:$A$63,0))),""))</f>
        <v/>
      </c>
      <c r="O201" s="26" t="str">
        <f aca="false">IF(COUNT($H201:$L201)&lt;5,"",ROUND($H201*W_SRC+$I201*W_QC+$J201*W_CAP+$K201*W_SUP+$L201*W_EXT,1))</f>
        <v/>
      </c>
      <c r="P201" s="27" t="str">
        <f aca="false">IF(OR($O201="",$M201=""),"",ROUND($O201*$M201,1))</f>
        <v/>
      </c>
      <c r="Q201" s="28" t="str">
        <f aca="false">IF($E201="","",IF($U201&gt;0,"CRITICAL (FLAG)",IF(OR($O201="",$M201=""),"NOT SCORED",IF($P201&gt;=T_CRIT,"CRITICAL",IF($P201&gt;=T_MON,"MONITOR","LOW")))))</f>
        <v/>
      </c>
      <c r="R201" s="12" t="str">
        <f aca="false">IF($O201="","",INDEX(DriverNames,MATCH(MAX($H201:$L201),$H201:$L201,0)))</f>
        <v/>
      </c>
      <c r="S201" s="22"/>
      <c r="T201" s="29"/>
      <c r="U201" s="2" t="str">
        <f aca="false">IF($E201="","",IFERROR(INDEX(SUPPLIERS!$Q$4:$Q$63,MATCH($E201,SUPPLIERS!$A$4:$A$63,0)),0))</f>
        <v/>
      </c>
      <c r="V201" s="2" t="str">
        <f aca="false">IF($Q201="","",IF($U201&gt;0,100,0)+IF($P201="",0,$P201)+ROW()/100000)</f>
        <v/>
      </c>
      <c r="W201" s="2" t="str">
        <f aca="false">IF($V201="","",IF($A201=SEL_MODEL,$V201,""))</f>
        <v/>
      </c>
    </row>
    <row r="202" customFormat="false" ht="15" hidden="false" customHeight="false" outlineLevel="0" collapsed="false">
      <c r="A202" s="20"/>
      <c r="B202" s="21"/>
      <c r="C202" s="22"/>
      <c r="D202" s="21"/>
      <c r="E202" s="20"/>
      <c r="F202" s="23"/>
      <c r="G202" s="24" t="str">
        <f aca="false">IF(OR($A202="",$F202=""),"",IFERROR(IF(INDEX(MODELS!$K$4:$K$28,MATCH($A202,MODELS!$A$4:$A$28,0))="","",$F202*INDEX(MODELS!$K$4:$K$28,MATCH($A202,MODELS!$A$4:$A$28,0))),""))</f>
        <v/>
      </c>
      <c r="H202" s="21"/>
      <c r="I202" s="21"/>
      <c r="J202" s="21"/>
      <c r="K202" s="25" t="str">
        <f aca="false">IF($E202="","",IFERROR(IF(INDEX(SUPPLIERS!$K$4:$K$63,MATCH($E202,SUPPLIERS!$A$4:$A$63,0))="","",INDEX(SUPPLIERS!$K$4:$K$63,MATCH($E202,SUPPLIERS!$A$4:$A$63,0))),""))</f>
        <v/>
      </c>
      <c r="L202" s="25" t="str">
        <f aca="false">IF($E202="","",IFERROR(IF(INDEX(SUPPLIERS!$L$4:$L$63,MATCH($E202,SUPPLIERS!$A$4:$A$63,0))="","",INDEX(SUPPLIERS!$L$4:$L$63,MATCH($E202,SUPPLIERS!$A$4:$A$63,0))),""))</f>
        <v/>
      </c>
      <c r="M202" s="21"/>
      <c r="N202" s="11" t="str">
        <f aca="false">IF($E202="","",IFERROR(_xlfn.TEXTJOIN("; ",TRUE(),INDEX(SUPPLIERS!$F$4:$F$63,MATCH($E202,SUPPLIERS!$A$4:$A$63,0)),INDEX(SUPPLIERS!$G$4:$G$63,MATCH($E202,SUPPLIERS!$A$4:$A$63,0)),INDEX(SUPPLIERS!$H$4:$H$63,MATCH($E202,SUPPLIERS!$A$4:$A$63,0)),INDEX(SUPPLIERS!$I$4:$I$63,MATCH($E202,SUPPLIERS!$A$4:$A$63,0)),INDEX(SUPPLIERS!$J$4:$J$63,MATCH($E202,SUPPLIERS!$A$4:$A$63,0))),""))</f>
        <v/>
      </c>
      <c r="O202" s="26" t="str">
        <f aca="false">IF(COUNT($H202:$L202)&lt;5,"",ROUND($H202*W_SRC+$I202*W_QC+$J202*W_CAP+$K202*W_SUP+$L202*W_EXT,1))</f>
        <v/>
      </c>
      <c r="P202" s="27" t="str">
        <f aca="false">IF(OR($O202="",$M202=""),"",ROUND($O202*$M202,1))</f>
        <v/>
      </c>
      <c r="Q202" s="28" t="str">
        <f aca="false">IF($E202="","",IF($U202&gt;0,"CRITICAL (FLAG)",IF(OR($O202="",$M202=""),"NOT SCORED",IF($P202&gt;=T_CRIT,"CRITICAL",IF($P202&gt;=T_MON,"MONITOR","LOW")))))</f>
        <v/>
      </c>
      <c r="R202" s="12" t="str">
        <f aca="false">IF($O202="","",INDEX(DriverNames,MATCH(MAX($H202:$L202),$H202:$L202,0)))</f>
        <v/>
      </c>
      <c r="S202" s="22"/>
      <c r="T202" s="29"/>
      <c r="U202" s="2" t="str">
        <f aca="false">IF($E202="","",IFERROR(INDEX(SUPPLIERS!$Q$4:$Q$63,MATCH($E202,SUPPLIERS!$A$4:$A$63,0)),0))</f>
        <v/>
      </c>
      <c r="V202" s="2" t="str">
        <f aca="false">IF($Q202="","",IF($U202&gt;0,100,0)+IF($P202="",0,$P202)+ROW()/100000)</f>
        <v/>
      </c>
      <c r="W202" s="2" t="str">
        <f aca="false">IF($V202="","",IF($A202=SEL_MODEL,$V202,""))</f>
        <v/>
      </c>
    </row>
    <row r="203" customFormat="false" ht="15" hidden="false" customHeight="false" outlineLevel="0" collapsed="false">
      <c r="A203" s="20"/>
      <c r="B203" s="21"/>
      <c r="C203" s="22"/>
      <c r="D203" s="21"/>
      <c r="E203" s="20"/>
      <c r="F203" s="23"/>
      <c r="G203" s="24" t="str">
        <f aca="false">IF(OR($A203="",$F203=""),"",IFERROR(IF(INDEX(MODELS!$K$4:$K$28,MATCH($A203,MODELS!$A$4:$A$28,0))="","",$F203*INDEX(MODELS!$K$4:$K$28,MATCH($A203,MODELS!$A$4:$A$28,0))),""))</f>
        <v/>
      </c>
      <c r="H203" s="21"/>
      <c r="I203" s="21"/>
      <c r="J203" s="21"/>
      <c r="K203" s="25" t="str">
        <f aca="false">IF($E203="","",IFERROR(IF(INDEX(SUPPLIERS!$K$4:$K$63,MATCH($E203,SUPPLIERS!$A$4:$A$63,0))="","",INDEX(SUPPLIERS!$K$4:$K$63,MATCH($E203,SUPPLIERS!$A$4:$A$63,0))),""))</f>
        <v/>
      </c>
      <c r="L203" s="25" t="str">
        <f aca="false">IF($E203="","",IFERROR(IF(INDEX(SUPPLIERS!$L$4:$L$63,MATCH($E203,SUPPLIERS!$A$4:$A$63,0))="","",INDEX(SUPPLIERS!$L$4:$L$63,MATCH($E203,SUPPLIERS!$A$4:$A$63,0))),""))</f>
        <v/>
      </c>
      <c r="M203" s="21"/>
      <c r="N203" s="11" t="str">
        <f aca="false">IF($E203="","",IFERROR(_xlfn.TEXTJOIN("; ",TRUE(),INDEX(SUPPLIERS!$F$4:$F$63,MATCH($E203,SUPPLIERS!$A$4:$A$63,0)),INDEX(SUPPLIERS!$G$4:$G$63,MATCH($E203,SUPPLIERS!$A$4:$A$63,0)),INDEX(SUPPLIERS!$H$4:$H$63,MATCH($E203,SUPPLIERS!$A$4:$A$63,0)),INDEX(SUPPLIERS!$I$4:$I$63,MATCH($E203,SUPPLIERS!$A$4:$A$63,0)),INDEX(SUPPLIERS!$J$4:$J$63,MATCH($E203,SUPPLIERS!$A$4:$A$63,0))),""))</f>
        <v/>
      </c>
      <c r="O203" s="26" t="str">
        <f aca="false">IF(COUNT($H203:$L203)&lt;5,"",ROUND($H203*W_SRC+$I203*W_QC+$J203*W_CAP+$K203*W_SUP+$L203*W_EXT,1))</f>
        <v/>
      </c>
      <c r="P203" s="27" t="str">
        <f aca="false">IF(OR($O203="",$M203=""),"",ROUND($O203*$M203,1))</f>
        <v/>
      </c>
      <c r="Q203" s="28" t="str">
        <f aca="false">IF($E203="","",IF($U203&gt;0,"CRITICAL (FLAG)",IF(OR($O203="",$M203=""),"NOT SCORED",IF($P203&gt;=T_CRIT,"CRITICAL",IF($P203&gt;=T_MON,"MONITOR","LOW")))))</f>
        <v/>
      </c>
      <c r="R203" s="12" t="str">
        <f aca="false">IF($O203="","",INDEX(DriverNames,MATCH(MAX($H203:$L203),$H203:$L203,0)))</f>
        <v/>
      </c>
      <c r="S203" s="22"/>
      <c r="T203" s="29"/>
      <c r="U203" s="2" t="str">
        <f aca="false">IF($E203="","",IFERROR(INDEX(SUPPLIERS!$Q$4:$Q$63,MATCH($E203,SUPPLIERS!$A$4:$A$63,0)),0))</f>
        <v/>
      </c>
      <c r="V203" s="2" t="str">
        <f aca="false">IF($Q203="","",IF($U203&gt;0,100,0)+IF($P203="",0,$P203)+ROW()/100000)</f>
        <v/>
      </c>
      <c r="W203" s="2" t="str">
        <f aca="false">IF($V203="","",IF($A203=SEL_MODEL,$V203,""))</f>
        <v/>
      </c>
    </row>
    <row r="204" customFormat="false" ht="15" hidden="false" customHeight="false" outlineLevel="0" collapsed="false">
      <c r="A204" s="20"/>
      <c r="B204" s="21"/>
      <c r="C204" s="22"/>
      <c r="D204" s="21"/>
      <c r="E204" s="20"/>
      <c r="F204" s="23"/>
      <c r="G204" s="24" t="str">
        <f aca="false">IF(OR($A204="",$F204=""),"",IFERROR(IF(INDEX(MODELS!$K$4:$K$28,MATCH($A204,MODELS!$A$4:$A$28,0))="","",$F204*INDEX(MODELS!$K$4:$K$28,MATCH($A204,MODELS!$A$4:$A$28,0))),""))</f>
        <v/>
      </c>
      <c r="H204" s="21"/>
      <c r="I204" s="21"/>
      <c r="J204" s="21"/>
      <c r="K204" s="25" t="str">
        <f aca="false">IF($E204="","",IFERROR(IF(INDEX(SUPPLIERS!$K$4:$K$63,MATCH($E204,SUPPLIERS!$A$4:$A$63,0))="","",INDEX(SUPPLIERS!$K$4:$K$63,MATCH($E204,SUPPLIERS!$A$4:$A$63,0))),""))</f>
        <v/>
      </c>
      <c r="L204" s="25" t="str">
        <f aca="false">IF($E204="","",IFERROR(IF(INDEX(SUPPLIERS!$L$4:$L$63,MATCH($E204,SUPPLIERS!$A$4:$A$63,0))="","",INDEX(SUPPLIERS!$L$4:$L$63,MATCH($E204,SUPPLIERS!$A$4:$A$63,0))),""))</f>
        <v/>
      </c>
      <c r="M204" s="21"/>
      <c r="N204" s="11" t="str">
        <f aca="false">IF($E204="","",IFERROR(_xlfn.TEXTJOIN("; ",TRUE(),INDEX(SUPPLIERS!$F$4:$F$63,MATCH($E204,SUPPLIERS!$A$4:$A$63,0)),INDEX(SUPPLIERS!$G$4:$G$63,MATCH($E204,SUPPLIERS!$A$4:$A$63,0)),INDEX(SUPPLIERS!$H$4:$H$63,MATCH($E204,SUPPLIERS!$A$4:$A$63,0)),INDEX(SUPPLIERS!$I$4:$I$63,MATCH($E204,SUPPLIERS!$A$4:$A$63,0)),INDEX(SUPPLIERS!$J$4:$J$63,MATCH($E204,SUPPLIERS!$A$4:$A$63,0))),""))</f>
        <v/>
      </c>
      <c r="O204" s="26" t="str">
        <f aca="false">IF(COUNT($H204:$L204)&lt;5,"",ROUND($H204*W_SRC+$I204*W_QC+$J204*W_CAP+$K204*W_SUP+$L204*W_EXT,1))</f>
        <v/>
      </c>
      <c r="P204" s="27" t="str">
        <f aca="false">IF(OR($O204="",$M204=""),"",ROUND($O204*$M204,1))</f>
        <v/>
      </c>
      <c r="Q204" s="28" t="str">
        <f aca="false">IF($E204="","",IF($U204&gt;0,"CRITICAL (FLAG)",IF(OR($O204="",$M204=""),"NOT SCORED",IF($P204&gt;=T_CRIT,"CRITICAL",IF($P204&gt;=T_MON,"MONITOR","LOW")))))</f>
        <v/>
      </c>
      <c r="R204" s="12" t="str">
        <f aca="false">IF($O204="","",INDEX(DriverNames,MATCH(MAX($H204:$L204),$H204:$L204,0)))</f>
        <v/>
      </c>
      <c r="S204" s="22"/>
      <c r="T204" s="29"/>
      <c r="U204" s="2" t="str">
        <f aca="false">IF($E204="","",IFERROR(INDEX(SUPPLIERS!$Q$4:$Q$63,MATCH($E204,SUPPLIERS!$A$4:$A$63,0)),0))</f>
        <v/>
      </c>
      <c r="V204" s="2" t="str">
        <f aca="false">IF($Q204="","",IF($U204&gt;0,100,0)+IF($P204="",0,$P204)+ROW()/100000)</f>
        <v/>
      </c>
      <c r="W204" s="2" t="str">
        <f aca="false">IF($V204="","",IF($A204=SEL_MODEL,$V204,""))</f>
        <v/>
      </c>
    </row>
    <row r="205" customFormat="false" ht="15" hidden="false" customHeight="false" outlineLevel="0" collapsed="false">
      <c r="A205" s="20"/>
      <c r="B205" s="21"/>
      <c r="C205" s="22"/>
      <c r="D205" s="21"/>
      <c r="E205" s="20"/>
      <c r="F205" s="23"/>
      <c r="G205" s="24" t="str">
        <f aca="false">IF(OR($A205="",$F205=""),"",IFERROR(IF(INDEX(MODELS!$K$4:$K$28,MATCH($A205,MODELS!$A$4:$A$28,0))="","",$F205*INDEX(MODELS!$K$4:$K$28,MATCH($A205,MODELS!$A$4:$A$28,0))),""))</f>
        <v/>
      </c>
      <c r="H205" s="21"/>
      <c r="I205" s="21"/>
      <c r="J205" s="21"/>
      <c r="K205" s="25" t="str">
        <f aca="false">IF($E205="","",IFERROR(IF(INDEX(SUPPLIERS!$K$4:$K$63,MATCH($E205,SUPPLIERS!$A$4:$A$63,0))="","",INDEX(SUPPLIERS!$K$4:$K$63,MATCH($E205,SUPPLIERS!$A$4:$A$63,0))),""))</f>
        <v/>
      </c>
      <c r="L205" s="25" t="str">
        <f aca="false">IF($E205="","",IFERROR(IF(INDEX(SUPPLIERS!$L$4:$L$63,MATCH($E205,SUPPLIERS!$A$4:$A$63,0))="","",INDEX(SUPPLIERS!$L$4:$L$63,MATCH($E205,SUPPLIERS!$A$4:$A$63,0))),""))</f>
        <v/>
      </c>
      <c r="M205" s="21"/>
      <c r="N205" s="11" t="str">
        <f aca="false">IF($E205="","",IFERROR(_xlfn.TEXTJOIN("; ",TRUE(),INDEX(SUPPLIERS!$F$4:$F$63,MATCH($E205,SUPPLIERS!$A$4:$A$63,0)),INDEX(SUPPLIERS!$G$4:$G$63,MATCH($E205,SUPPLIERS!$A$4:$A$63,0)),INDEX(SUPPLIERS!$H$4:$H$63,MATCH($E205,SUPPLIERS!$A$4:$A$63,0)),INDEX(SUPPLIERS!$I$4:$I$63,MATCH($E205,SUPPLIERS!$A$4:$A$63,0)),INDEX(SUPPLIERS!$J$4:$J$63,MATCH($E205,SUPPLIERS!$A$4:$A$63,0))),""))</f>
        <v/>
      </c>
      <c r="O205" s="26" t="str">
        <f aca="false">IF(COUNT($H205:$L205)&lt;5,"",ROUND($H205*W_SRC+$I205*W_QC+$J205*W_CAP+$K205*W_SUP+$L205*W_EXT,1))</f>
        <v/>
      </c>
      <c r="P205" s="27" t="str">
        <f aca="false">IF(OR($O205="",$M205=""),"",ROUND($O205*$M205,1))</f>
        <v/>
      </c>
      <c r="Q205" s="28" t="str">
        <f aca="false">IF($E205="","",IF($U205&gt;0,"CRITICAL (FLAG)",IF(OR($O205="",$M205=""),"NOT SCORED",IF($P205&gt;=T_CRIT,"CRITICAL",IF($P205&gt;=T_MON,"MONITOR","LOW")))))</f>
        <v/>
      </c>
      <c r="R205" s="12" t="str">
        <f aca="false">IF($O205="","",INDEX(DriverNames,MATCH(MAX($H205:$L205),$H205:$L205,0)))</f>
        <v/>
      </c>
      <c r="S205" s="22"/>
      <c r="T205" s="29"/>
      <c r="U205" s="2" t="str">
        <f aca="false">IF($E205="","",IFERROR(INDEX(SUPPLIERS!$Q$4:$Q$63,MATCH($E205,SUPPLIERS!$A$4:$A$63,0)),0))</f>
        <v/>
      </c>
      <c r="V205" s="2" t="str">
        <f aca="false">IF($Q205="","",IF($U205&gt;0,100,0)+IF($P205="",0,$P205)+ROW()/100000)</f>
        <v/>
      </c>
      <c r="W205" s="2" t="str">
        <f aca="false">IF($V205="","",IF($A205=SEL_MODEL,$V205,""))</f>
        <v/>
      </c>
    </row>
    <row r="206" customFormat="false" ht="15" hidden="false" customHeight="false" outlineLevel="0" collapsed="false">
      <c r="A206" s="20"/>
      <c r="B206" s="21"/>
      <c r="C206" s="22"/>
      <c r="D206" s="21"/>
      <c r="E206" s="20"/>
      <c r="F206" s="23"/>
      <c r="G206" s="24" t="str">
        <f aca="false">IF(OR($A206="",$F206=""),"",IFERROR(IF(INDEX(MODELS!$K$4:$K$28,MATCH($A206,MODELS!$A$4:$A$28,0))="","",$F206*INDEX(MODELS!$K$4:$K$28,MATCH($A206,MODELS!$A$4:$A$28,0))),""))</f>
        <v/>
      </c>
      <c r="H206" s="21"/>
      <c r="I206" s="21"/>
      <c r="J206" s="21"/>
      <c r="K206" s="25" t="str">
        <f aca="false">IF($E206="","",IFERROR(IF(INDEX(SUPPLIERS!$K$4:$K$63,MATCH($E206,SUPPLIERS!$A$4:$A$63,0))="","",INDEX(SUPPLIERS!$K$4:$K$63,MATCH($E206,SUPPLIERS!$A$4:$A$63,0))),""))</f>
        <v/>
      </c>
      <c r="L206" s="25" t="str">
        <f aca="false">IF($E206="","",IFERROR(IF(INDEX(SUPPLIERS!$L$4:$L$63,MATCH($E206,SUPPLIERS!$A$4:$A$63,0))="","",INDEX(SUPPLIERS!$L$4:$L$63,MATCH($E206,SUPPLIERS!$A$4:$A$63,0))),""))</f>
        <v/>
      </c>
      <c r="M206" s="21"/>
      <c r="N206" s="11" t="str">
        <f aca="false">IF($E206="","",IFERROR(_xlfn.TEXTJOIN("; ",TRUE(),INDEX(SUPPLIERS!$F$4:$F$63,MATCH($E206,SUPPLIERS!$A$4:$A$63,0)),INDEX(SUPPLIERS!$G$4:$G$63,MATCH($E206,SUPPLIERS!$A$4:$A$63,0)),INDEX(SUPPLIERS!$H$4:$H$63,MATCH($E206,SUPPLIERS!$A$4:$A$63,0)),INDEX(SUPPLIERS!$I$4:$I$63,MATCH($E206,SUPPLIERS!$A$4:$A$63,0)),INDEX(SUPPLIERS!$J$4:$J$63,MATCH($E206,SUPPLIERS!$A$4:$A$63,0))),""))</f>
        <v/>
      </c>
      <c r="O206" s="26" t="str">
        <f aca="false">IF(COUNT($H206:$L206)&lt;5,"",ROUND($H206*W_SRC+$I206*W_QC+$J206*W_CAP+$K206*W_SUP+$L206*W_EXT,1))</f>
        <v/>
      </c>
      <c r="P206" s="27" t="str">
        <f aca="false">IF(OR($O206="",$M206=""),"",ROUND($O206*$M206,1))</f>
        <v/>
      </c>
      <c r="Q206" s="28" t="str">
        <f aca="false">IF($E206="","",IF($U206&gt;0,"CRITICAL (FLAG)",IF(OR($O206="",$M206=""),"NOT SCORED",IF($P206&gt;=T_CRIT,"CRITICAL",IF($P206&gt;=T_MON,"MONITOR","LOW")))))</f>
        <v/>
      </c>
      <c r="R206" s="12" t="str">
        <f aca="false">IF($O206="","",INDEX(DriverNames,MATCH(MAX($H206:$L206),$H206:$L206,0)))</f>
        <v/>
      </c>
      <c r="S206" s="22"/>
      <c r="T206" s="29"/>
      <c r="U206" s="2" t="str">
        <f aca="false">IF($E206="","",IFERROR(INDEX(SUPPLIERS!$Q$4:$Q$63,MATCH($E206,SUPPLIERS!$A$4:$A$63,0)),0))</f>
        <v/>
      </c>
      <c r="V206" s="2" t="str">
        <f aca="false">IF($Q206="","",IF($U206&gt;0,100,0)+IF($P206="",0,$P206)+ROW()/100000)</f>
        <v/>
      </c>
      <c r="W206" s="2" t="str">
        <f aca="false">IF($V206="","",IF($A206=SEL_MODEL,$V206,""))</f>
        <v/>
      </c>
    </row>
    <row r="207" customFormat="false" ht="15" hidden="false" customHeight="false" outlineLevel="0" collapsed="false">
      <c r="A207" s="20"/>
      <c r="B207" s="21"/>
      <c r="C207" s="22"/>
      <c r="D207" s="21"/>
      <c r="E207" s="20"/>
      <c r="F207" s="23"/>
      <c r="G207" s="24" t="str">
        <f aca="false">IF(OR($A207="",$F207=""),"",IFERROR(IF(INDEX(MODELS!$K$4:$K$28,MATCH($A207,MODELS!$A$4:$A$28,0))="","",$F207*INDEX(MODELS!$K$4:$K$28,MATCH($A207,MODELS!$A$4:$A$28,0))),""))</f>
        <v/>
      </c>
      <c r="H207" s="21"/>
      <c r="I207" s="21"/>
      <c r="J207" s="21"/>
      <c r="K207" s="25" t="str">
        <f aca="false">IF($E207="","",IFERROR(IF(INDEX(SUPPLIERS!$K$4:$K$63,MATCH($E207,SUPPLIERS!$A$4:$A$63,0))="","",INDEX(SUPPLIERS!$K$4:$K$63,MATCH($E207,SUPPLIERS!$A$4:$A$63,0))),""))</f>
        <v/>
      </c>
      <c r="L207" s="25" t="str">
        <f aca="false">IF($E207="","",IFERROR(IF(INDEX(SUPPLIERS!$L$4:$L$63,MATCH($E207,SUPPLIERS!$A$4:$A$63,0))="","",INDEX(SUPPLIERS!$L$4:$L$63,MATCH($E207,SUPPLIERS!$A$4:$A$63,0))),""))</f>
        <v/>
      </c>
      <c r="M207" s="21"/>
      <c r="N207" s="11" t="str">
        <f aca="false">IF($E207="","",IFERROR(_xlfn.TEXTJOIN("; ",TRUE(),INDEX(SUPPLIERS!$F$4:$F$63,MATCH($E207,SUPPLIERS!$A$4:$A$63,0)),INDEX(SUPPLIERS!$G$4:$G$63,MATCH($E207,SUPPLIERS!$A$4:$A$63,0)),INDEX(SUPPLIERS!$H$4:$H$63,MATCH($E207,SUPPLIERS!$A$4:$A$63,0)),INDEX(SUPPLIERS!$I$4:$I$63,MATCH($E207,SUPPLIERS!$A$4:$A$63,0)),INDEX(SUPPLIERS!$J$4:$J$63,MATCH($E207,SUPPLIERS!$A$4:$A$63,0))),""))</f>
        <v/>
      </c>
      <c r="O207" s="26" t="str">
        <f aca="false">IF(COUNT($H207:$L207)&lt;5,"",ROUND($H207*W_SRC+$I207*W_QC+$J207*W_CAP+$K207*W_SUP+$L207*W_EXT,1))</f>
        <v/>
      </c>
      <c r="P207" s="27" t="str">
        <f aca="false">IF(OR($O207="",$M207=""),"",ROUND($O207*$M207,1))</f>
        <v/>
      </c>
      <c r="Q207" s="28" t="str">
        <f aca="false">IF($E207="","",IF($U207&gt;0,"CRITICAL (FLAG)",IF(OR($O207="",$M207=""),"NOT SCORED",IF($P207&gt;=T_CRIT,"CRITICAL",IF($P207&gt;=T_MON,"MONITOR","LOW")))))</f>
        <v/>
      </c>
      <c r="R207" s="12" t="str">
        <f aca="false">IF($O207="","",INDEX(DriverNames,MATCH(MAX($H207:$L207),$H207:$L207,0)))</f>
        <v/>
      </c>
      <c r="S207" s="22"/>
      <c r="T207" s="29"/>
      <c r="U207" s="2" t="str">
        <f aca="false">IF($E207="","",IFERROR(INDEX(SUPPLIERS!$Q$4:$Q$63,MATCH($E207,SUPPLIERS!$A$4:$A$63,0)),0))</f>
        <v/>
      </c>
      <c r="V207" s="2" t="str">
        <f aca="false">IF($Q207="","",IF($U207&gt;0,100,0)+IF($P207="",0,$P207)+ROW()/100000)</f>
        <v/>
      </c>
      <c r="W207" s="2" t="str">
        <f aca="false">IF($V207="","",IF($A207=SEL_MODEL,$V207,""))</f>
        <v/>
      </c>
    </row>
    <row r="208" customFormat="false" ht="15" hidden="false" customHeight="false" outlineLevel="0" collapsed="false">
      <c r="A208" s="20"/>
      <c r="B208" s="21"/>
      <c r="C208" s="22"/>
      <c r="D208" s="21"/>
      <c r="E208" s="20"/>
      <c r="F208" s="23"/>
      <c r="G208" s="24" t="str">
        <f aca="false">IF(OR($A208="",$F208=""),"",IFERROR(IF(INDEX(MODELS!$K$4:$K$28,MATCH($A208,MODELS!$A$4:$A$28,0))="","",$F208*INDEX(MODELS!$K$4:$K$28,MATCH($A208,MODELS!$A$4:$A$28,0))),""))</f>
        <v/>
      </c>
      <c r="H208" s="21"/>
      <c r="I208" s="21"/>
      <c r="J208" s="21"/>
      <c r="K208" s="25" t="str">
        <f aca="false">IF($E208="","",IFERROR(IF(INDEX(SUPPLIERS!$K$4:$K$63,MATCH($E208,SUPPLIERS!$A$4:$A$63,0))="","",INDEX(SUPPLIERS!$K$4:$K$63,MATCH($E208,SUPPLIERS!$A$4:$A$63,0))),""))</f>
        <v/>
      </c>
      <c r="L208" s="25" t="str">
        <f aca="false">IF($E208="","",IFERROR(IF(INDEX(SUPPLIERS!$L$4:$L$63,MATCH($E208,SUPPLIERS!$A$4:$A$63,0))="","",INDEX(SUPPLIERS!$L$4:$L$63,MATCH($E208,SUPPLIERS!$A$4:$A$63,0))),""))</f>
        <v/>
      </c>
      <c r="M208" s="21"/>
      <c r="N208" s="11" t="str">
        <f aca="false">IF($E208="","",IFERROR(_xlfn.TEXTJOIN("; ",TRUE(),INDEX(SUPPLIERS!$F$4:$F$63,MATCH($E208,SUPPLIERS!$A$4:$A$63,0)),INDEX(SUPPLIERS!$G$4:$G$63,MATCH($E208,SUPPLIERS!$A$4:$A$63,0)),INDEX(SUPPLIERS!$H$4:$H$63,MATCH($E208,SUPPLIERS!$A$4:$A$63,0)),INDEX(SUPPLIERS!$I$4:$I$63,MATCH($E208,SUPPLIERS!$A$4:$A$63,0)),INDEX(SUPPLIERS!$J$4:$J$63,MATCH($E208,SUPPLIERS!$A$4:$A$63,0))),""))</f>
        <v/>
      </c>
      <c r="O208" s="26" t="str">
        <f aca="false">IF(COUNT($H208:$L208)&lt;5,"",ROUND($H208*W_SRC+$I208*W_QC+$J208*W_CAP+$K208*W_SUP+$L208*W_EXT,1))</f>
        <v/>
      </c>
      <c r="P208" s="27" t="str">
        <f aca="false">IF(OR($O208="",$M208=""),"",ROUND($O208*$M208,1))</f>
        <v/>
      </c>
      <c r="Q208" s="28" t="str">
        <f aca="false">IF($E208="","",IF($U208&gt;0,"CRITICAL (FLAG)",IF(OR($O208="",$M208=""),"NOT SCORED",IF($P208&gt;=T_CRIT,"CRITICAL",IF($P208&gt;=T_MON,"MONITOR","LOW")))))</f>
        <v/>
      </c>
      <c r="R208" s="12" t="str">
        <f aca="false">IF($O208="","",INDEX(DriverNames,MATCH(MAX($H208:$L208),$H208:$L208,0)))</f>
        <v/>
      </c>
      <c r="S208" s="22"/>
      <c r="T208" s="29"/>
      <c r="U208" s="2" t="str">
        <f aca="false">IF($E208="","",IFERROR(INDEX(SUPPLIERS!$Q$4:$Q$63,MATCH($E208,SUPPLIERS!$A$4:$A$63,0)),0))</f>
        <v/>
      </c>
      <c r="V208" s="2" t="str">
        <f aca="false">IF($Q208="","",IF($U208&gt;0,100,0)+IF($P208="",0,$P208)+ROW()/100000)</f>
        <v/>
      </c>
      <c r="W208" s="2" t="str">
        <f aca="false">IF($V208="","",IF($A208=SEL_MODEL,$V208,""))</f>
        <v/>
      </c>
    </row>
    <row r="209" customFormat="false" ht="15" hidden="false" customHeight="false" outlineLevel="0" collapsed="false">
      <c r="A209" s="20"/>
      <c r="B209" s="21"/>
      <c r="C209" s="22"/>
      <c r="D209" s="21"/>
      <c r="E209" s="20"/>
      <c r="F209" s="23"/>
      <c r="G209" s="24" t="str">
        <f aca="false">IF(OR($A209="",$F209=""),"",IFERROR(IF(INDEX(MODELS!$K$4:$K$28,MATCH($A209,MODELS!$A$4:$A$28,0))="","",$F209*INDEX(MODELS!$K$4:$K$28,MATCH($A209,MODELS!$A$4:$A$28,0))),""))</f>
        <v/>
      </c>
      <c r="H209" s="21"/>
      <c r="I209" s="21"/>
      <c r="J209" s="21"/>
      <c r="K209" s="25" t="str">
        <f aca="false">IF($E209="","",IFERROR(IF(INDEX(SUPPLIERS!$K$4:$K$63,MATCH($E209,SUPPLIERS!$A$4:$A$63,0))="","",INDEX(SUPPLIERS!$K$4:$K$63,MATCH($E209,SUPPLIERS!$A$4:$A$63,0))),""))</f>
        <v/>
      </c>
      <c r="L209" s="25" t="str">
        <f aca="false">IF($E209="","",IFERROR(IF(INDEX(SUPPLIERS!$L$4:$L$63,MATCH($E209,SUPPLIERS!$A$4:$A$63,0))="","",INDEX(SUPPLIERS!$L$4:$L$63,MATCH($E209,SUPPLIERS!$A$4:$A$63,0))),""))</f>
        <v/>
      </c>
      <c r="M209" s="21"/>
      <c r="N209" s="11" t="str">
        <f aca="false">IF($E209="","",IFERROR(_xlfn.TEXTJOIN("; ",TRUE(),INDEX(SUPPLIERS!$F$4:$F$63,MATCH($E209,SUPPLIERS!$A$4:$A$63,0)),INDEX(SUPPLIERS!$G$4:$G$63,MATCH($E209,SUPPLIERS!$A$4:$A$63,0)),INDEX(SUPPLIERS!$H$4:$H$63,MATCH($E209,SUPPLIERS!$A$4:$A$63,0)),INDEX(SUPPLIERS!$I$4:$I$63,MATCH($E209,SUPPLIERS!$A$4:$A$63,0)),INDEX(SUPPLIERS!$J$4:$J$63,MATCH($E209,SUPPLIERS!$A$4:$A$63,0))),""))</f>
        <v/>
      </c>
      <c r="O209" s="26" t="str">
        <f aca="false">IF(COUNT($H209:$L209)&lt;5,"",ROUND($H209*W_SRC+$I209*W_QC+$J209*W_CAP+$K209*W_SUP+$L209*W_EXT,1))</f>
        <v/>
      </c>
      <c r="P209" s="27" t="str">
        <f aca="false">IF(OR($O209="",$M209=""),"",ROUND($O209*$M209,1))</f>
        <v/>
      </c>
      <c r="Q209" s="28" t="str">
        <f aca="false">IF($E209="","",IF($U209&gt;0,"CRITICAL (FLAG)",IF(OR($O209="",$M209=""),"NOT SCORED",IF($P209&gt;=T_CRIT,"CRITICAL",IF($P209&gt;=T_MON,"MONITOR","LOW")))))</f>
        <v/>
      </c>
      <c r="R209" s="12" t="str">
        <f aca="false">IF($O209="","",INDEX(DriverNames,MATCH(MAX($H209:$L209),$H209:$L209,0)))</f>
        <v/>
      </c>
      <c r="S209" s="22"/>
      <c r="T209" s="29"/>
      <c r="U209" s="2" t="str">
        <f aca="false">IF($E209="","",IFERROR(INDEX(SUPPLIERS!$Q$4:$Q$63,MATCH($E209,SUPPLIERS!$A$4:$A$63,0)),0))</f>
        <v/>
      </c>
      <c r="V209" s="2" t="str">
        <f aca="false">IF($Q209="","",IF($U209&gt;0,100,0)+IF($P209="",0,$P209)+ROW()/100000)</f>
        <v/>
      </c>
      <c r="W209" s="2" t="str">
        <f aca="false">IF($V209="","",IF($A209=SEL_MODEL,$V209,""))</f>
        <v/>
      </c>
    </row>
    <row r="210" customFormat="false" ht="15" hidden="false" customHeight="false" outlineLevel="0" collapsed="false">
      <c r="A210" s="20"/>
      <c r="B210" s="21"/>
      <c r="C210" s="22"/>
      <c r="D210" s="21"/>
      <c r="E210" s="20"/>
      <c r="F210" s="23"/>
      <c r="G210" s="24" t="str">
        <f aca="false">IF(OR($A210="",$F210=""),"",IFERROR(IF(INDEX(MODELS!$K$4:$K$28,MATCH($A210,MODELS!$A$4:$A$28,0))="","",$F210*INDEX(MODELS!$K$4:$K$28,MATCH($A210,MODELS!$A$4:$A$28,0))),""))</f>
        <v/>
      </c>
      <c r="H210" s="21"/>
      <c r="I210" s="21"/>
      <c r="J210" s="21"/>
      <c r="K210" s="25" t="str">
        <f aca="false">IF($E210="","",IFERROR(IF(INDEX(SUPPLIERS!$K$4:$K$63,MATCH($E210,SUPPLIERS!$A$4:$A$63,0))="","",INDEX(SUPPLIERS!$K$4:$K$63,MATCH($E210,SUPPLIERS!$A$4:$A$63,0))),""))</f>
        <v/>
      </c>
      <c r="L210" s="25" t="str">
        <f aca="false">IF($E210="","",IFERROR(IF(INDEX(SUPPLIERS!$L$4:$L$63,MATCH($E210,SUPPLIERS!$A$4:$A$63,0))="","",INDEX(SUPPLIERS!$L$4:$L$63,MATCH($E210,SUPPLIERS!$A$4:$A$63,0))),""))</f>
        <v/>
      </c>
      <c r="M210" s="21"/>
      <c r="N210" s="11" t="str">
        <f aca="false">IF($E210="","",IFERROR(_xlfn.TEXTJOIN("; ",TRUE(),INDEX(SUPPLIERS!$F$4:$F$63,MATCH($E210,SUPPLIERS!$A$4:$A$63,0)),INDEX(SUPPLIERS!$G$4:$G$63,MATCH($E210,SUPPLIERS!$A$4:$A$63,0)),INDEX(SUPPLIERS!$H$4:$H$63,MATCH($E210,SUPPLIERS!$A$4:$A$63,0)),INDEX(SUPPLIERS!$I$4:$I$63,MATCH($E210,SUPPLIERS!$A$4:$A$63,0)),INDEX(SUPPLIERS!$J$4:$J$63,MATCH($E210,SUPPLIERS!$A$4:$A$63,0))),""))</f>
        <v/>
      </c>
      <c r="O210" s="26" t="str">
        <f aca="false">IF(COUNT($H210:$L210)&lt;5,"",ROUND($H210*W_SRC+$I210*W_QC+$J210*W_CAP+$K210*W_SUP+$L210*W_EXT,1))</f>
        <v/>
      </c>
      <c r="P210" s="27" t="str">
        <f aca="false">IF(OR($O210="",$M210=""),"",ROUND($O210*$M210,1))</f>
        <v/>
      </c>
      <c r="Q210" s="28" t="str">
        <f aca="false">IF($E210="","",IF($U210&gt;0,"CRITICAL (FLAG)",IF(OR($O210="",$M210=""),"NOT SCORED",IF($P210&gt;=T_CRIT,"CRITICAL",IF($P210&gt;=T_MON,"MONITOR","LOW")))))</f>
        <v/>
      </c>
      <c r="R210" s="12" t="str">
        <f aca="false">IF($O210="","",INDEX(DriverNames,MATCH(MAX($H210:$L210),$H210:$L210,0)))</f>
        <v/>
      </c>
      <c r="S210" s="22"/>
      <c r="T210" s="29"/>
      <c r="U210" s="2" t="str">
        <f aca="false">IF($E210="","",IFERROR(INDEX(SUPPLIERS!$Q$4:$Q$63,MATCH($E210,SUPPLIERS!$A$4:$A$63,0)),0))</f>
        <v/>
      </c>
      <c r="V210" s="2" t="str">
        <f aca="false">IF($Q210="","",IF($U210&gt;0,100,0)+IF($P210="",0,$P210)+ROW()/100000)</f>
        <v/>
      </c>
      <c r="W210" s="2" t="str">
        <f aca="false">IF($V210="","",IF($A210=SEL_MODEL,$V210,""))</f>
        <v/>
      </c>
    </row>
    <row r="211" customFormat="false" ht="15" hidden="false" customHeight="false" outlineLevel="0" collapsed="false">
      <c r="A211" s="20"/>
      <c r="B211" s="21"/>
      <c r="C211" s="22"/>
      <c r="D211" s="21"/>
      <c r="E211" s="20"/>
      <c r="F211" s="23"/>
      <c r="G211" s="24" t="str">
        <f aca="false">IF(OR($A211="",$F211=""),"",IFERROR(IF(INDEX(MODELS!$K$4:$K$28,MATCH($A211,MODELS!$A$4:$A$28,0))="","",$F211*INDEX(MODELS!$K$4:$K$28,MATCH($A211,MODELS!$A$4:$A$28,0))),""))</f>
        <v/>
      </c>
      <c r="H211" s="21"/>
      <c r="I211" s="21"/>
      <c r="J211" s="21"/>
      <c r="K211" s="25" t="str">
        <f aca="false">IF($E211="","",IFERROR(IF(INDEX(SUPPLIERS!$K$4:$K$63,MATCH($E211,SUPPLIERS!$A$4:$A$63,0))="","",INDEX(SUPPLIERS!$K$4:$K$63,MATCH($E211,SUPPLIERS!$A$4:$A$63,0))),""))</f>
        <v/>
      </c>
      <c r="L211" s="25" t="str">
        <f aca="false">IF($E211="","",IFERROR(IF(INDEX(SUPPLIERS!$L$4:$L$63,MATCH($E211,SUPPLIERS!$A$4:$A$63,0))="","",INDEX(SUPPLIERS!$L$4:$L$63,MATCH($E211,SUPPLIERS!$A$4:$A$63,0))),""))</f>
        <v/>
      </c>
      <c r="M211" s="21"/>
      <c r="N211" s="11" t="str">
        <f aca="false">IF($E211="","",IFERROR(_xlfn.TEXTJOIN("; ",TRUE(),INDEX(SUPPLIERS!$F$4:$F$63,MATCH($E211,SUPPLIERS!$A$4:$A$63,0)),INDEX(SUPPLIERS!$G$4:$G$63,MATCH($E211,SUPPLIERS!$A$4:$A$63,0)),INDEX(SUPPLIERS!$H$4:$H$63,MATCH($E211,SUPPLIERS!$A$4:$A$63,0)),INDEX(SUPPLIERS!$I$4:$I$63,MATCH($E211,SUPPLIERS!$A$4:$A$63,0)),INDEX(SUPPLIERS!$J$4:$J$63,MATCH($E211,SUPPLIERS!$A$4:$A$63,0))),""))</f>
        <v/>
      </c>
      <c r="O211" s="26" t="str">
        <f aca="false">IF(COUNT($H211:$L211)&lt;5,"",ROUND($H211*W_SRC+$I211*W_QC+$J211*W_CAP+$K211*W_SUP+$L211*W_EXT,1))</f>
        <v/>
      </c>
      <c r="P211" s="27" t="str">
        <f aca="false">IF(OR($O211="",$M211=""),"",ROUND($O211*$M211,1))</f>
        <v/>
      </c>
      <c r="Q211" s="28" t="str">
        <f aca="false">IF($E211="","",IF($U211&gt;0,"CRITICAL (FLAG)",IF(OR($O211="",$M211=""),"NOT SCORED",IF($P211&gt;=T_CRIT,"CRITICAL",IF($P211&gt;=T_MON,"MONITOR","LOW")))))</f>
        <v/>
      </c>
      <c r="R211" s="12" t="str">
        <f aca="false">IF($O211="","",INDEX(DriverNames,MATCH(MAX($H211:$L211),$H211:$L211,0)))</f>
        <v/>
      </c>
      <c r="S211" s="22"/>
      <c r="T211" s="29"/>
      <c r="U211" s="2" t="str">
        <f aca="false">IF($E211="","",IFERROR(INDEX(SUPPLIERS!$Q$4:$Q$63,MATCH($E211,SUPPLIERS!$A$4:$A$63,0)),0))</f>
        <v/>
      </c>
      <c r="V211" s="2" t="str">
        <f aca="false">IF($Q211="","",IF($U211&gt;0,100,0)+IF($P211="",0,$P211)+ROW()/100000)</f>
        <v/>
      </c>
      <c r="W211" s="2" t="str">
        <f aca="false">IF($V211="","",IF($A211=SEL_MODEL,$V211,""))</f>
        <v/>
      </c>
    </row>
    <row r="212" customFormat="false" ht="15" hidden="false" customHeight="false" outlineLevel="0" collapsed="false">
      <c r="A212" s="20"/>
      <c r="B212" s="21"/>
      <c r="C212" s="22"/>
      <c r="D212" s="21"/>
      <c r="E212" s="20"/>
      <c r="F212" s="23"/>
      <c r="G212" s="24" t="str">
        <f aca="false">IF(OR($A212="",$F212=""),"",IFERROR(IF(INDEX(MODELS!$K$4:$K$28,MATCH($A212,MODELS!$A$4:$A$28,0))="","",$F212*INDEX(MODELS!$K$4:$K$28,MATCH($A212,MODELS!$A$4:$A$28,0))),""))</f>
        <v/>
      </c>
      <c r="H212" s="21"/>
      <c r="I212" s="21"/>
      <c r="J212" s="21"/>
      <c r="K212" s="25" t="str">
        <f aca="false">IF($E212="","",IFERROR(IF(INDEX(SUPPLIERS!$K$4:$K$63,MATCH($E212,SUPPLIERS!$A$4:$A$63,0))="","",INDEX(SUPPLIERS!$K$4:$K$63,MATCH($E212,SUPPLIERS!$A$4:$A$63,0))),""))</f>
        <v/>
      </c>
      <c r="L212" s="25" t="str">
        <f aca="false">IF($E212="","",IFERROR(IF(INDEX(SUPPLIERS!$L$4:$L$63,MATCH($E212,SUPPLIERS!$A$4:$A$63,0))="","",INDEX(SUPPLIERS!$L$4:$L$63,MATCH($E212,SUPPLIERS!$A$4:$A$63,0))),""))</f>
        <v/>
      </c>
      <c r="M212" s="21"/>
      <c r="N212" s="11" t="str">
        <f aca="false">IF($E212="","",IFERROR(_xlfn.TEXTJOIN("; ",TRUE(),INDEX(SUPPLIERS!$F$4:$F$63,MATCH($E212,SUPPLIERS!$A$4:$A$63,0)),INDEX(SUPPLIERS!$G$4:$G$63,MATCH($E212,SUPPLIERS!$A$4:$A$63,0)),INDEX(SUPPLIERS!$H$4:$H$63,MATCH($E212,SUPPLIERS!$A$4:$A$63,0)),INDEX(SUPPLIERS!$I$4:$I$63,MATCH($E212,SUPPLIERS!$A$4:$A$63,0)),INDEX(SUPPLIERS!$J$4:$J$63,MATCH($E212,SUPPLIERS!$A$4:$A$63,0))),""))</f>
        <v/>
      </c>
      <c r="O212" s="26" t="str">
        <f aca="false">IF(COUNT($H212:$L212)&lt;5,"",ROUND($H212*W_SRC+$I212*W_QC+$J212*W_CAP+$K212*W_SUP+$L212*W_EXT,1))</f>
        <v/>
      </c>
      <c r="P212" s="27" t="str">
        <f aca="false">IF(OR($O212="",$M212=""),"",ROUND($O212*$M212,1))</f>
        <v/>
      </c>
      <c r="Q212" s="28" t="str">
        <f aca="false">IF($E212="","",IF($U212&gt;0,"CRITICAL (FLAG)",IF(OR($O212="",$M212=""),"NOT SCORED",IF($P212&gt;=T_CRIT,"CRITICAL",IF($P212&gt;=T_MON,"MONITOR","LOW")))))</f>
        <v/>
      </c>
      <c r="R212" s="12" t="str">
        <f aca="false">IF($O212="","",INDEX(DriverNames,MATCH(MAX($H212:$L212),$H212:$L212,0)))</f>
        <v/>
      </c>
      <c r="S212" s="22"/>
      <c r="T212" s="29"/>
      <c r="U212" s="2" t="str">
        <f aca="false">IF($E212="","",IFERROR(INDEX(SUPPLIERS!$Q$4:$Q$63,MATCH($E212,SUPPLIERS!$A$4:$A$63,0)),0))</f>
        <v/>
      </c>
      <c r="V212" s="2" t="str">
        <f aca="false">IF($Q212="","",IF($U212&gt;0,100,0)+IF($P212="",0,$P212)+ROW()/100000)</f>
        <v/>
      </c>
      <c r="W212" s="2" t="str">
        <f aca="false">IF($V212="","",IF($A212=SEL_MODEL,$V212,""))</f>
        <v/>
      </c>
    </row>
    <row r="213" customFormat="false" ht="15" hidden="false" customHeight="false" outlineLevel="0" collapsed="false">
      <c r="A213" s="20"/>
      <c r="B213" s="21"/>
      <c r="C213" s="22"/>
      <c r="D213" s="21"/>
      <c r="E213" s="20"/>
      <c r="F213" s="23"/>
      <c r="G213" s="24" t="str">
        <f aca="false">IF(OR($A213="",$F213=""),"",IFERROR(IF(INDEX(MODELS!$K$4:$K$28,MATCH($A213,MODELS!$A$4:$A$28,0))="","",$F213*INDEX(MODELS!$K$4:$K$28,MATCH($A213,MODELS!$A$4:$A$28,0))),""))</f>
        <v/>
      </c>
      <c r="H213" s="21"/>
      <c r="I213" s="21"/>
      <c r="J213" s="21"/>
      <c r="K213" s="25" t="str">
        <f aca="false">IF($E213="","",IFERROR(IF(INDEX(SUPPLIERS!$K$4:$K$63,MATCH($E213,SUPPLIERS!$A$4:$A$63,0))="","",INDEX(SUPPLIERS!$K$4:$K$63,MATCH($E213,SUPPLIERS!$A$4:$A$63,0))),""))</f>
        <v/>
      </c>
      <c r="L213" s="25" t="str">
        <f aca="false">IF($E213="","",IFERROR(IF(INDEX(SUPPLIERS!$L$4:$L$63,MATCH($E213,SUPPLIERS!$A$4:$A$63,0))="","",INDEX(SUPPLIERS!$L$4:$L$63,MATCH($E213,SUPPLIERS!$A$4:$A$63,0))),""))</f>
        <v/>
      </c>
      <c r="M213" s="21"/>
      <c r="N213" s="11" t="str">
        <f aca="false">IF($E213="","",IFERROR(_xlfn.TEXTJOIN("; ",TRUE(),INDEX(SUPPLIERS!$F$4:$F$63,MATCH($E213,SUPPLIERS!$A$4:$A$63,0)),INDEX(SUPPLIERS!$G$4:$G$63,MATCH($E213,SUPPLIERS!$A$4:$A$63,0)),INDEX(SUPPLIERS!$H$4:$H$63,MATCH($E213,SUPPLIERS!$A$4:$A$63,0)),INDEX(SUPPLIERS!$I$4:$I$63,MATCH($E213,SUPPLIERS!$A$4:$A$63,0)),INDEX(SUPPLIERS!$J$4:$J$63,MATCH($E213,SUPPLIERS!$A$4:$A$63,0))),""))</f>
        <v/>
      </c>
      <c r="O213" s="26" t="str">
        <f aca="false">IF(COUNT($H213:$L213)&lt;5,"",ROUND($H213*W_SRC+$I213*W_QC+$J213*W_CAP+$K213*W_SUP+$L213*W_EXT,1))</f>
        <v/>
      </c>
      <c r="P213" s="27" t="str">
        <f aca="false">IF(OR($O213="",$M213=""),"",ROUND($O213*$M213,1))</f>
        <v/>
      </c>
      <c r="Q213" s="28" t="str">
        <f aca="false">IF($E213="","",IF($U213&gt;0,"CRITICAL (FLAG)",IF(OR($O213="",$M213=""),"NOT SCORED",IF($P213&gt;=T_CRIT,"CRITICAL",IF($P213&gt;=T_MON,"MONITOR","LOW")))))</f>
        <v/>
      </c>
      <c r="R213" s="12" t="str">
        <f aca="false">IF($O213="","",INDEX(DriverNames,MATCH(MAX($H213:$L213),$H213:$L213,0)))</f>
        <v/>
      </c>
      <c r="S213" s="22"/>
      <c r="T213" s="29"/>
      <c r="U213" s="2" t="str">
        <f aca="false">IF($E213="","",IFERROR(INDEX(SUPPLIERS!$Q$4:$Q$63,MATCH($E213,SUPPLIERS!$A$4:$A$63,0)),0))</f>
        <v/>
      </c>
      <c r="V213" s="2" t="str">
        <f aca="false">IF($Q213="","",IF($U213&gt;0,100,0)+IF($P213="",0,$P213)+ROW()/100000)</f>
        <v/>
      </c>
      <c r="W213" s="2" t="str">
        <f aca="false">IF($V213="","",IF($A213=SEL_MODEL,$V213,""))</f>
        <v/>
      </c>
    </row>
    <row r="214" customFormat="false" ht="15" hidden="false" customHeight="false" outlineLevel="0" collapsed="false">
      <c r="A214" s="20"/>
      <c r="B214" s="21"/>
      <c r="C214" s="22"/>
      <c r="D214" s="21"/>
      <c r="E214" s="20"/>
      <c r="F214" s="23"/>
      <c r="G214" s="24" t="str">
        <f aca="false">IF(OR($A214="",$F214=""),"",IFERROR(IF(INDEX(MODELS!$K$4:$K$28,MATCH($A214,MODELS!$A$4:$A$28,0))="","",$F214*INDEX(MODELS!$K$4:$K$28,MATCH($A214,MODELS!$A$4:$A$28,0))),""))</f>
        <v/>
      </c>
      <c r="H214" s="21"/>
      <c r="I214" s="21"/>
      <c r="J214" s="21"/>
      <c r="K214" s="25" t="str">
        <f aca="false">IF($E214="","",IFERROR(IF(INDEX(SUPPLIERS!$K$4:$K$63,MATCH($E214,SUPPLIERS!$A$4:$A$63,0))="","",INDEX(SUPPLIERS!$K$4:$K$63,MATCH($E214,SUPPLIERS!$A$4:$A$63,0))),""))</f>
        <v/>
      </c>
      <c r="L214" s="25" t="str">
        <f aca="false">IF($E214="","",IFERROR(IF(INDEX(SUPPLIERS!$L$4:$L$63,MATCH($E214,SUPPLIERS!$A$4:$A$63,0))="","",INDEX(SUPPLIERS!$L$4:$L$63,MATCH($E214,SUPPLIERS!$A$4:$A$63,0))),""))</f>
        <v/>
      </c>
      <c r="M214" s="21"/>
      <c r="N214" s="11" t="str">
        <f aca="false">IF($E214="","",IFERROR(_xlfn.TEXTJOIN("; ",TRUE(),INDEX(SUPPLIERS!$F$4:$F$63,MATCH($E214,SUPPLIERS!$A$4:$A$63,0)),INDEX(SUPPLIERS!$G$4:$G$63,MATCH($E214,SUPPLIERS!$A$4:$A$63,0)),INDEX(SUPPLIERS!$H$4:$H$63,MATCH($E214,SUPPLIERS!$A$4:$A$63,0)),INDEX(SUPPLIERS!$I$4:$I$63,MATCH($E214,SUPPLIERS!$A$4:$A$63,0)),INDEX(SUPPLIERS!$J$4:$J$63,MATCH($E214,SUPPLIERS!$A$4:$A$63,0))),""))</f>
        <v/>
      </c>
      <c r="O214" s="26" t="str">
        <f aca="false">IF(COUNT($H214:$L214)&lt;5,"",ROUND($H214*W_SRC+$I214*W_QC+$J214*W_CAP+$K214*W_SUP+$L214*W_EXT,1))</f>
        <v/>
      </c>
      <c r="P214" s="27" t="str">
        <f aca="false">IF(OR($O214="",$M214=""),"",ROUND($O214*$M214,1))</f>
        <v/>
      </c>
      <c r="Q214" s="28" t="str">
        <f aca="false">IF($E214="","",IF($U214&gt;0,"CRITICAL (FLAG)",IF(OR($O214="",$M214=""),"NOT SCORED",IF($P214&gt;=T_CRIT,"CRITICAL",IF($P214&gt;=T_MON,"MONITOR","LOW")))))</f>
        <v/>
      </c>
      <c r="R214" s="12" t="str">
        <f aca="false">IF($O214="","",INDEX(DriverNames,MATCH(MAX($H214:$L214),$H214:$L214,0)))</f>
        <v/>
      </c>
      <c r="S214" s="22"/>
      <c r="T214" s="29"/>
      <c r="U214" s="2" t="str">
        <f aca="false">IF($E214="","",IFERROR(INDEX(SUPPLIERS!$Q$4:$Q$63,MATCH($E214,SUPPLIERS!$A$4:$A$63,0)),0))</f>
        <v/>
      </c>
      <c r="V214" s="2" t="str">
        <f aca="false">IF($Q214="","",IF($U214&gt;0,100,0)+IF($P214="",0,$P214)+ROW()/100000)</f>
        <v/>
      </c>
      <c r="W214" s="2" t="str">
        <f aca="false">IF($V214="","",IF($A214=SEL_MODEL,$V214,""))</f>
        <v/>
      </c>
    </row>
    <row r="215" customFormat="false" ht="15" hidden="false" customHeight="false" outlineLevel="0" collapsed="false">
      <c r="A215" s="20"/>
      <c r="B215" s="21"/>
      <c r="C215" s="22"/>
      <c r="D215" s="21"/>
      <c r="E215" s="20"/>
      <c r="F215" s="23"/>
      <c r="G215" s="24" t="str">
        <f aca="false">IF(OR($A215="",$F215=""),"",IFERROR(IF(INDEX(MODELS!$K$4:$K$28,MATCH($A215,MODELS!$A$4:$A$28,0))="","",$F215*INDEX(MODELS!$K$4:$K$28,MATCH($A215,MODELS!$A$4:$A$28,0))),""))</f>
        <v/>
      </c>
      <c r="H215" s="21"/>
      <c r="I215" s="21"/>
      <c r="J215" s="21"/>
      <c r="K215" s="25" t="str">
        <f aca="false">IF($E215="","",IFERROR(IF(INDEX(SUPPLIERS!$K$4:$K$63,MATCH($E215,SUPPLIERS!$A$4:$A$63,0))="","",INDEX(SUPPLIERS!$K$4:$K$63,MATCH($E215,SUPPLIERS!$A$4:$A$63,0))),""))</f>
        <v/>
      </c>
      <c r="L215" s="25" t="str">
        <f aca="false">IF($E215="","",IFERROR(IF(INDEX(SUPPLIERS!$L$4:$L$63,MATCH($E215,SUPPLIERS!$A$4:$A$63,0))="","",INDEX(SUPPLIERS!$L$4:$L$63,MATCH($E215,SUPPLIERS!$A$4:$A$63,0))),""))</f>
        <v/>
      </c>
      <c r="M215" s="21"/>
      <c r="N215" s="11" t="str">
        <f aca="false">IF($E215="","",IFERROR(_xlfn.TEXTJOIN("; ",TRUE(),INDEX(SUPPLIERS!$F$4:$F$63,MATCH($E215,SUPPLIERS!$A$4:$A$63,0)),INDEX(SUPPLIERS!$G$4:$G$63,MATCH($E215,SUPPLIERS!$A$4:$A$63,0)),INDEX(SUPPLIERS!$H$4:$H$63,MATCH($E215,SUPPLIERS!$A$4:$A$63,0)),INDEX(SUPPLIERS!$I$4:$I$63,MATCH($E215,SUPPLIERS!$A$4:$A$63,0)),INDEX(SUPPLIERS!$J$4:$J$63,MATCH($E215,SUPPLIERS!$A$4:$A$63,0))),""))</f>
        <v/>
      </c>
      <c r="O215" s="26" t="str">
        <f aca="false">IF(COUNT($H215:$L215)&lt;5,"",ROUND($H215*W_SRC+$I215*W_QC+$J215*W_CAP+$K215*W_SUP+$L215*W_EXT,1))</f>
        <v/>
      </c>
      <c r="P215" s="27" t="str">
        <f aca="false">IF(OR($O215="",$M215=""),"",ROUND($O215*$M215,1))</f>
        <v/>
      </c>
      <c r="Q215" s="28" t="str">
        <f aca="false">IF($E215="","",IF($U215&gt;0,"CRITICAL (FLAG)",IF(OR($O215="",$M215=""),"NOT SCORED",IF($P215&gt;=T_CRIT,"CRITICAL",IF($P215&gt;=T_MON,"MONITOR","LOW")))))</f>
        <v/>
      </c>
      <c r="R215" s="12" t="str">
        <f aca="false">IF($O215="","",INDEX(DriverNames,MATCH(MAX($H215:$L215),$H215:$L215,0)))</f>
        <v/>
      </c>
      <c r="S215" s="22"/>
      <c r="T215" s="29"/>
      <c r="U215" s="2" t="str">
        <f aca="false">IF($E215="","",IFERROR(INDEX(SUPPLIERS!$Q$4:$Q$63,MATCH($E215,SUPPLIERS!$A$4:$A$63,0)),0))</f>
        <v/>
      </c>
      <c r="V215" s="2" t="str">
        <f aca="false">IF($Q215="","",IF($U215&gt;0,100,0)+IF($P215="",0,$P215)+ROW()/100000)</f>
        <v/>
      </c>
      <c r="W215" s="2" t="str">
        <f aca="false">IF($V215="","",IF($A215=SEL_MODEL,$V215,""))</f>
        <v/>
      </c>
    </row>
    <row r="216" customFormat="false" ht="15" hidden="false" customHeight="false" outlineLevel="0" collapsed="false">
      <c r="A216" s="20"/>
      <c r="B216" s="21"/>
      <c r="C216" s="22"/>
      <c r="D216" s="21"/>
      <c r="E216" s="20"/>
      <c r="F216" s="23"/>
      <c r="G216" s="24" t="str">
        <f aca="false">IF(OR($A216="",$F216=""),"",IFERROR(IF(INDEX(MODELS!$K$4:$K$28,MATCH($A216,MODELS!$A$4:$A$28,0))="","",$F216*INDEX(MODELS!$K$4:$K$28,MATCH($A216,MODELS!$A$4:$A$28,0))),""))</f>
        <v/>
      </c>
      <c r="H216" s="21"/>
      <c r="I216" s="21"/>
      <c r="J216" s="21"/>
      <c r="K216" s="25" t="str">
        <f aca="false">IF($E216="","",IFERROR(IF(INDEX(SUPPLIERS!$K$4:$K$63,MATCH($E216,SUPPLIERS!$A$4:$A$63,0))="","",INDEX(SUPPLIERS!$K$4:$K$63,MATCH($E216,SUPPLIERS!$A$4:$A$63,0))),""))</f>
        <v/>
      </c>
      <c r="L216" s="25" t="str">
        <f aca="false">IF($E216="","",IFERROR(IF(INDEX(SUPPLIERS!$L$4:$L$63,MATCH($E216,SUPPLIERS!$A$4:$A$63,0))="","",INDEX(SUPPLIERS!$L$4:$L$63,MATCH($E216,SUPPLIERS!$A$4:$A$63,0))),""))</f>
        <v/>
      </c>
      <c r="M216" s="21"/>
      <c r="N216" s="11" t="str">
        <f aca="false">IF($E216="","",IFERROR(_xlfn.TEXTJOIN("; ",TRUE(),INDEX(SUPPLIERS!$F$4:$F$63,MATCH($E216,SUPPLIERS!$A$4:$A$63,0)),INDEX(SUPPLIERS!$G$4:$G$63,MATCH($E216,SUPPLIERS!$A$4:$A$63,0)),INDEX(SUPPLIERS!$H$4:$H$63,MATCH($E216,SUPPLIERS!$A$4:$A$63,0)),INDEX(SUPPLIERS!$I$4:$I$63,MATCH($E216,SUPPLIERS!$A$4:$A$63,0)),INDEX(SUPPLIERS!$J$4:$J$63,MATCH($E216,SUPPLIERS!$A$4:$A$63,0))),""))</f>
        <v/>
      </c>
      <c r="O216" s="26" t="str">
        <f aca="false">IF(COUNT($H216:$L216)&lt;5,"",ROUND($H216*W_SRC+$I216*W_QC+$J216*W_CAP+$K216*W_SUP+$L216*W_EXT,1))</f>
        <v/>
      </c>
      <c r="P216" s="27" t="str">
        <f aca="false">IF(OR($O216="",$M216=""),"",ROUND($O216*$M216,1))</f>
        <v/>
      </c>
      <c r="Q216" s="28" t="str">
        <f aca="false">IF($E216="","",IF($U216&gt;0,"CRITICAL (FLAG)",IF(OR($O216="",$M216=""),"NOT SCORED",IF($P216&gt;=T_CRIT,"CRITICAL",IF($P216&gt;=T_MON,"MONITOR","LOW")))))</f>
        <v/>
      </c>
      <c r="R216" s="12" t="str">
        <f aca="false">IF($O216="","",INDEX(DriverNames,MATCH(MAX($H216:$L216),$H216:$L216,0)))</f>
        <v/>
      </c>
      <c r="S216" s="22"/>
      <c r="T216" s="29"/>
      <c r="U216" s="2" t="str">
        <f aca="false">IF($E216="","",IFERROR(INDEX(SUPPLIERS!$Q$4:$Q$63,MATCH($E216,SUPPLIERS!$A$4:$A$63,0)),0))</f>
        <v/>
      </c>
      <c r="V216" s="2" t="str">
        <f aca="false">IF($Q216="","",IF($U216&gt;0,100,0)+IF($P216="",0,$P216)+ROW()/100000)</f>
        <v/>
      </c>
      <c r="W216" s="2" t="str">
        <f aca="false">IF($V216="","",IF($A216=SEL_MODEL,$V216,""))</f>
        <v/>
      </c>
    </row>
    <row r="217" customFormat="false" ht="15" hidden="false" customHeight="false" outlineLevel="0" collapsed="false">
      <c r="A217" s="20"/>
      <c r="B217" s="21"/>
      <c r="C217" s="22"/>
      <c r="D217" s="21"/>
      <c r="E217" s="20"/>
      <c r="F217" s="23"/>
      <c r="G217" s="24" t="str">
        <f aca="false">IF(OR($A217="",$F217=""),"",IFERROR(IF(INDEX(MODELS!$K$4:$K$28,MATCH($A217,MODELS!$A$4:$A$28,0))="","",$F217*INDEX(MODELS!$K$4:$K$28,MATCH($A217,MODELS!$A$4:$A$28,0))),""))</f>
        <v/>
      </c>
      <c r="H217" s="21"/>
      <c r="I217" s="21"/>
      <c r="J217" s="21"/>
      <c r="K217" s="25" t="str">
        <f aca="false">IF($E217="","",IFERROR(IF(INDEX(SUPPLIERS!$K$4:$K$63,MATCH($E217,SUPPLIERS!$A$4:$A$63,0))="","",INDEX(SUPPLIERS!$K$4:$K$63,MATCH($E217,SUPPLIERS!$A$4:$A$63,0))),""))</f>
        <v/>
      </c>
      <c r="L217" s="25" t="str">
        <f aca="false">IF($E217="","",IFERROR(IF(INDEX(SUPPLIERS!$L$4:$L$63,MATCH($E217,SUPPLIERS!$A$4:$A$63,0))="","",INDEX(SUPPLIERS!$L$4:$L$63,MATCH($E217,SUPPLIERS!$A$4:$A$63,0))),""))</f>
        <v/>
      </c>
      <c r="M217" s="21"/>
      <c r="N217" s="11" t="str">
        <f aca="false">IF($E217="","",IFERROR(_xlfn.TEXTJOIN("; ",TRUE(),INDEX(SUPPLIERS!$F$4:$F$63,MATCH($E217,SUPPLIERS!$A$4:$A$63,0)),INDEX(SUPPLIERS!$G$4:$G$63,MATCH($E217,SUPPLIERS!$A$4:$A$63,0)),INDEX(SUPPLIERS!$H$4:$H$63,MATCH($E217,SUPPLIERS!$A$4:$A$63,0)),INDEX(SUPPLIERS!$I$4:$I$63,MATCH($E217,SUPPLIERS!$A$4:$A$63,0)),INDEX(SUPPLIERS!$J$4:$J$63,MATCH($E217,SUPPLIERS!$A$4:$A$63,0))),""))</f>
        <v/>
      </c>
      <c r="O217" s="26" t="str">
        <f aca="false">IF(COUNT($H217:$L217)&lt;5,"",ROUND($H217*W_SRC+$I217*W_QC+$J217*W_CAP+$K217*W_SUP+$L217*W_EXT,1))</f>
        <v/>
      </c>
      <c r="P217" s="27" t="str">
        <f aca="false">IF(OR($O217="",$M217=""),"",ROUND($O217*$M217,1))</f>
        <v/>
      </c>
      <c r="Q217" s="28" t="str">
        <f aca="false">IF($E217="","",IF($U217&gt;0,"CRITICAL (FLAG)",IF(OR($O217="",$M217=""),"NOT SCORED",IF($P217&gt;=T_CRIT,"CRITICAL",IF($P217&gt;=T_MON,"MONITOR","LOW")))))</f>
        <v/>
      </c>
      <c r="R217" s="12" t="str">
        <f aca="false">IF($O217="","",INDEX(DriverNames,MATCH(MAX($H217:$L217),$H217:$L217,0)))</f>
        <v/>
      </c>
      <c r="S217" s="22"/>
      <c r="T217" s="29"/>
      <c r="U217" s="2" t="str">
        <f aca="false">IF($E217="","",IFERROR(INDEX(SUPPLIERS!$Q$4:$Q$63,MATCH($E217,SUPPLIERS!$A$4:$A$63,0)),0))</f>
        <v/>
      </c>
      <c r="V217" s="2" t="str">
        <f aca="false">IF($Q217="","",IF($U217&gt;0,100,0)+IF($P217="",0,$P217)+ROW()/100000)</f>
        <v/>
      </c>
      <c r="W217" s="2" t="str">
        <f aca="false">IF($V217="","",IF($A217=SEL_MODEL,$V217,""))</f>
        <v/>
      </c>
    </row>
    <row r="218" customFormat="false" ht="15" hidden="false" customHeight="false" outlineLevel="0" collapsed="false">
      <c r="A218" s="20"/>
      <c r="B218" s="21"/>
      <c r="C218" s="22"/>
      <c r="D218" s="21"/>
      <c r="E218" s="20"/>
      <c r="F218" s="23"/>
      <c r="G218" s="24" t="str">
        <f aca="false">IF(OR($A218="",$F218=""),"",IFERROR(IF(INDEX(MODELS!$K$4:$K$28,MATCH($A218,MODELS!$A$4:$A$28,0))="","",$F218*INDEX(MODELS!$K$4:$K$28,MATCH($A218,MODELS!$A$4:$A$28,0))),""))</f>
        <v/>
      </c>
      <c r="H218" s="21"/>
      <c r="I218" s="21"/>
      <c r="J218" s="21"/>
      <c r="K218" s="25" t="str">
        <f aca="false">IF($E218="","",IFERROR(IF(INDEX(SUPPLIERS!$K$4:$K$63,MATCH($E218,SUPPLIERS!$A$4:$A$63,0))="","",INDEX(SUPPLIERS!$K$4:$K$63,MATCH($E218,SUPPLIERS!$A$4:$A$63,0))),""))</f>
        <v/>
      </c>
      <c r="L218" s="25" t="str">
        <f aca="false">IF($E218="","",IFERROR(IF(INDEX(SUPPLIERS!$L$4:$L$63,MATCH($E218,SUPPLIERS!$A$4:$A$63,0))="","",INDEX(SUPPLIERS!$L$4:$L$63,MATCH($E218,SUPPLIERS!$A$4:$A$63,0))),""))</f>
        <v/>
      </c>
      <c r="M218" s="21"/>
      <c r="N218" s="11" t="str">
        <f aca="false">IF($E218="","",IFERROR(_xlfn.TEXTJOIN("; ",TRUE(),INDEX(SUPPLIERS!$F$4:$F$63,MATCH($E218,SUPPLIERS!$A$4:$A$63,0)),INDEX(SUPPLIERS!$G$4:$G$63,MATCH($E218,SUPPLIERS!$A$4:$A$63,0)),INDEX(SUPPLIERS!$H$4:$H$63,MATCH($E218,SUPPLIERS!$A$4:$A$63,0)),INDEX(SUPPLIERS!$I$4:$I$63,MATCH($E218,SUPPLIERS!$A$4:$A$63,0)),INDEX(SUPPLIERS!$J$4:$J$63,MATCH($E218,SUPPLIERS!$A$4:$A$63,0))),""))</f>
        <v/>
      </c>
      <c r="O218" s="26" t="str">
        <f aca="false">IF(COUNT($H218:$L218)&lt;5,"",ROUND($H218*W_SRC+$I218*W_QC+$J218*W_CAP+$K218*W_SUP+$L218*W_EXT,1))</f>
        <v/>
      </c>
      <c r="P218" s="27" t="str">
        <f aca="false">IF(OR($O218="",$M218=""),"",ROUND($O218*$M218,1))</f>
        <v/>
      </c>
      <c r="Q218" s="28" t="str">
        <f aca="false">IF($E218="","",IF($U218&gt;0,"CRITICAL (FLAG)",IF(OR($O218="",$M218=""),"NOT SCORED",IF($P218&gt;=T_CRIT,"CRITICAL",IF($P218&gt;=T_MON,"MONITOR","LOW")))))</f>
        <v/>
      </c>
      <c r="R218" s="12" t="str">
        <f aca="false">IF($O218="","",INDEX(DriverNames,MATCH(MAX($H218:$L218),$H218:$L218,0)))</f>
        <v/>
      </c>
      <c r="S218" s="22"/>
      <c r="T218" s="29"/>
      <c r="U218" s="2" t="str">
        <f aca="false">IF($E218="","",IFERROR(INDEX(SUPPLIERS!$Q$4:$Q$63,MATCH($E218,SUPPLIERS!$A$4:$A$63,0)),0))</f>
        <v/>
      </c>
      <c r="V218" s="2" t="str">
        <f aca="false">IF($Q218="","",IF($U218&gt;0,100,0)+IF($P218="",0,$P218)+ROW()/100000)</f>
        <v/>
      </c>
      <c r="W218" s="2" t="str">
        <f aca="false">IF($V218="","",IF($A218=SEL_MODEL,$V218,""))</f>
        <v/>
      </c>
    </row>
    <row r="219" customFormat="false" ht="15" hidden="false" customHeight="false" outlineLevel="0" collapsed="false">
      <c r="A219" s="20"/>
      <c r="B219" s="21"/>
      <c r="C219" s="22"/>
      <c r="D219" s="21"/>
      <c r="E219" s="20"/>
      <c r="F219" s="23"/>
      <c r="G219" s="24" t="str">
        <f aca="false">IF(OR($A219="",$F219=""),"",IFERROR(IF(INDEX(MODELS!$K$4:$K$28,MATCH($A219,MODELS!$A$4:$A$28,0))="","",$F219*INDEX(MODELS!$K$4:$K$28,MATCH($A219,MODELS!$A$4:$A$28,0))),""))</f>
        <v/>
      </c>
      <c r="H219" s="21"/>
      <c r="I219" s="21"/>
      <c r="J219" s="21"/>
      <c r="K219" s="25" t="str">
        <f aca="false">IF($E219="","",IFERROR(IF(INDEX(SUPPLIERS!$K$4:$K$63,MATCH($E219,SUPPLIERS!$A$4:$A$63,0))="","",INDEX(SUPPLIERS!$K$4:$K$63,MATCH($E219,SUPPLIERS!$A$4:$A$63,0))),""))</f>
        <v/>
      </c>
      <c r="L219" s="25" t="str">
        <f aca="false">IF($E219="","",IFERROR(IF(INDEX(SUPPLIERS!$L$4:$L$63,MATCH($E219,SUPPLIERS!$A$4:$A$63,0))="","",INDEX(SUPPLIERS!$L$4:$L$63,MATCH($E219,SUPPLIERS!$A$4:$A$63,0))),""))</f>
        <v/>
      </c>
      <c r="M219" s="21"/>
      <c r="N219" s="11" t="str">
        <f aca="false">IF($E219="","",IFERROR(_xlfn.TEXTJOIN("; ",TRUE(),INDEX(SUPPLIERS!$F$4:$F$63,MATCH($E219,SUPPLIERS!$A$4:$A$63,0)),INDEX(SUPPLIERS!$G$4:$G$63,MATCH($E219,SUPPLIERS!$A$4:$A$63,0)),INDEX(SUPPLIERS!$H$4:$H$63,MATCH($E219,SUPPLIERS!$A$4:$A$63,0)),INDEX(SUPPLIERS!$I$4:$I$63,MATCH($E219,SUPPLIERS!$A$4:$A$63,0)),INDEX(SUPPLIERS!$J$4:$J$63,MATCH($E219,SUPPLIERS!$A$4:$A$63,0))),""))</f>
        <v/>
      </c>
      <c r="O219" s="26" t="str">
        <f aca="false">IF(COUNT($H219:$L219)&lt;5,"",ROUND($H219*W_SRC+$I219*W_QC+$J219*W_CAP+$K219*W_SUP+$L219*W_EXT,1))</f>
        <v/>
      </c>
      <c r="P219" s="27" t="str">
        <f aca="false">IF(OR($O219="",$M219=""),"",ROUND($O219*$M219,1))</f>
        <v/>
      </c>
      <c r="Q219" s="28" t="str">
        <f aca="false">IF($E219="","",IF($U219&gt;0,"CRITICAL (FLAG)",IF(OR($O219="",$M219=""),"NOT SCORED",IF($P219&gt;=T_CRIT,"CRITICAL",IF($P219&gt;=T_MON,"MONITOR","LOW")))))</f>
        <v/>
      </c>
      <c r="R219" s="12" t="str">
        <f aca="false">IF($O219="","",INDEX(DriverNames,MATCH(MAX($H219:$L219),$H219:$L219,0)))</f>
        <v/>
      </c>
      <c r="S219" s="22"/>
      <c r="T219" s="29"/>
      <c r="U219" s="2" t="str">
        <f aca="false">IF($E219="","",IFERROR(INDEX(SUPPLIERS!$Q$4:$Q$63,MATCH($E219,SUPPLIERS!$A$4:$A$63,0)),0))</f>
        <v/>
      </c>
      <c r="V219" s="2" t="str">
        <f aca="false">IF($Q219="","",IF($U219&gt;0,100,0)+IF($P219="",0,$P219)+ROW()/100000)</f>
        <v/>
      </c>
      <c r="W219" s="2" t="str">
        <f aca="false">IF($V219="","",IF($A219=SEL_MODEL,$V219,""))</f>
        <v/>
      </c>
    </row>
    <row r="220" customFormat="false" ht="15" hidden="false" customHeight="false" outlineLevel="0" collapsed="false">
      <c r="A220" s="20"/>
      <c r="B220" s="21"/>
      <c r="C220" s="22"/>
      <c r="D220" s="21"/>
      <c r="E220" s="20"/>
      <c r="F220" s="23"/>
      <c r="G220" s="24" t="str">
        <f aca="false">IF(OR($A220="",$F220=""),"",IFERROR(IF(INDEX(MODELS!$K$4:$K$28,MATCH($A220,MODELS!$A$4:$A$28,0))="","",$F220*INDEX(MODELS!$K$4:$K$28,MATCH($A220,MODELS!$A$4:$A$28,0))),""))</f>
        <v/>
      </c>
      <c r="H220" s="21"/>
      <c r="I220" s="21"/>
      <c r="J220" s="21"/>
      <c r="K220" s="25" t="str">
        <f aca="false">IF($E220="","",IFERROR(IF(INDEX(SUPPLIERS!$K$4:$K$63,MATCH($E220,SUPPLIERS!$A$4:$A$63,0))="","",INDEX(SUPPLIERS!$K$4:$K$63,MATCH($E220,SUPPLIERS!$A$4:$A$63,0))),""))</f>
        <v/>
      </c>
      <c r="L220" s="25" t="str">
        <f aca="false">IF($E220="","",IFERROR(IF(INDEX(SUPPLIERS!$L$4:$L$63,MATCH($E220,SUPPLIERS!$A$4:$A$63,0))="","",INDEX(SUPPLIERS!$L$4:$L$63,MATCH($E220,SUPPLIERS!$A$4:$A$63,0))),""))</f>
        <v/>
      </c>
      <c r="M220" s="21"/>
      <c r="N220" s="11" t="str">
        <f aca="false">IF($E220="","",IFERROR(_xlfn.TEXTJOIN("; ",TRUE(),INDEX(SUPPLIERS!$F$4:$F$63,MATCH($E220,SUPPLIERS!$A$4:$A$63,0)),INDEX(SUPPLIERS!$G$4:$G$63,MATCH($E220,SUPPLIERS!$A$4:$A$63,0)),INDEX(SUPPLIERS!$H$4:$H$63,MATCH($E220,SUPPLIERS!$A$4:$A$63,0)),INDEX(SUPPLIERS!$I$4:$I$63,MATCH($E220,SUPPLIERS!$A$4:$A$63,0)),INDEX(SUPPLIERS!$J$4:$J$63,MATCH($E220,SUPPLIERS!$A$4:$A$63,0))),""))</f>
        <v/>
      </c>
      <c r="O220" s="26" t="str">
        <f aca="false">IF(COUNT($H220:$L220)&lt;5,"",ROUND($H220*W_SRC+$I220*W_QC+$J220*W_CAP+$K220*W_SUP+$L220*W_EXT,1))</f>
        <v/>
      </c>
      <c r="P220" s="27" t="str">
        <f aca="false">IF(OR($O220="",$M220=""),"",ROUND($O220*$M220,1))</f>
        <v/>
      </c>
      <c r="Q220" s="28" t="str">
        <f aca="false">IF($E220="","",IF($U220&gt;0,"CRITICAL (FLAG)",IF(OR($O220="",$M220=""),"NOT SCORED",IF($P220&gt;=T_CRIT,"CRITICAL",IF($P220&gt;=T_MON,"MONITOR","LOW")))))</f>
        <v/>
      </c>
      <c r="R220" s="12" t="str">
        <f aca="false">IF($O220="","",INDEX(DriverNames,MATCH(MAX($H220:$L220),$H220:$L220,0)))</f>
        <v/>
      </c>
      <c r="S220" s="22"/>
      <c r="T220" s="29"/>
      <c r="U220" s="2" t="str">
        <f aca="false">IF($E220="","",IFERROR(INDEX(SUPPLIERS!$Q$4:$Q$63,MATCH($E220,SUPPLIERS!$A$4:$A$63,0)),0))</f>
        <v/>
      </c>
      <c r="V220" s="2" t="str">
        <f aca="false">IF($Q220="","",IF($U220&gt;0,100,0)+IF($P220="",0,$P220)+ROW()/100000)</f>
        <v/>
      </c>
      <c r="W220" s="2" t="str">
        <f aca="false">IF($V220="","",IF($A220=SEL_MODEL,$V220,""))</f>
        <v/>
      </c>
    </row>
    <row r="221" customFormat="false" ht="15" hidden="false" customHeight="false" outlineLevel="0" collapsed="false">
      <c r="A221" s="20"/>
      <c r="B221" s="21"/>
      <c r="C221" s="22"/>
      <c r="D221" s="21"/>
      <c r="E221" s="20"/>
      <c r="F221" s="23"/>
      <c r="G221" s="24" t="str">
        <f aca="false">IF(OR($A221="",$F221=""),"",IFERROR(IF(INDEX(MODELS!$K$4:$K$28,MATCH($A221,MODELS!$A$4:$A$28,0))="","",$F221*INDEX(MODELS!$K$4:$K$28,MATCH($A221,MODELS!$A$4:$A$28,0))),""))</f>
        <v/>
      </c>
      <c r="H221" s="21"/>
      <c r="I221" s="21"/>
      <c r="J221" s="21"/>
      <c r="K221" s="25" t="str">
        <f aca="false">IF($E221="","",IFERROR(IF(INDEX(SUPPLIERS!$K$4:$K$63,MATCH($E221,SUPPLIERS!$A$4:$A$63,0))="","",INDEX(SUPPLIERS!$K$4:$K$63,MATCH($E221,SUPPLIERS!$A$4:$A$63,0))),""))</f>
        <v/>
      </c>
      <c r="L221" s="25" t="str">
        <f aca="false">IF($E221="","",IFERROR(IF(INDEX(SUPPLIERS!$L$4:$L$63,MATCH($E221,SUPPLIERS!$A$4:$A$63,0))="","",INDEX(SUPPLIERS!$L$4:$L$63,MATCH($E221,SUPPLIERS!$A$4:$A$63,0))),""))</f>
        <v/>
      </c>
      <c r="M221" s="21"/>
      <c r="N221" s="11" t="str">
        <f aca="false">IF($E221="","",IFERROR(_xlfn.TEXTJOIN("; ",TRUE(),INDEX(SUPPLIERS!$F$4:$F$63,MATCH($E221,SUPPLIERS!$A$4:$A$63,0)),INDEX(SUPPLIERS!$G$4:$G$63,MATCH($E221,SUPPLIERS!$A$4:$A$63,0)),INDEX(SUPPLIERS!$H$4:$H$63,MATCH($E221,SUPPLIERS!$A$4:$A$63,0)),INDEX(SUPPLIERS!$I$4:$I$63,MATCH($E221,SUPPLIERS!$A$4:$A$63,0)),INDEX(SUPPLIERS!$J$4:$J$63,MATCH($E221,SUPPLIERS!$A$4:$A$63,0))),""))</f>
        <v/>
      </c>
      <c r="O221" s="26" t="str">
        <f aca="false">IF(COUNT($H221:$L221)&lt;5,"",ROUND($H221*W_SRC+$I221*W_QC+$J221*W_CAP+$K221*W_SUP+$L221*W_EXT,1))</f>
        <v/>
      </c>
      <c r="P221" s="27" t="str">
        <f aca="false">IF(OR($O221="",$M221=""),"",ROUND($O221*$M221,1))</f>
        <v/>
      </c>
      <c r="Q221" s="28" t="str">
        <f aca="false">IF($E221="","",IF($U221&gt;0,"CRITICAL (FLAG)",IF(OR($O221="",$M221=""),"NOT SCORED",IF($P221&gt;=T_CRIT,"CRITICAL",IF($P221&gt;=T_MON,"MONITOR","LOW")))))</f>
        <v/>
      </c>
      <c r="R221" s="12" t="str">
        <f aca="false">IF($O221="","",INDEX(DriverNames,MATCH(MAX($H221:$L221),$H221:$L221,0)))</f>
        <v/>
      </c>
      <c r="S221" s="22"/>
      <c r="T221" s="29"/>
      <c r="U221" s="2" t="str">
        <f aca="false">IF($E221="","",IFERROR(INDEX(SUPPLIERS!$Q$4:$Q$63,MATCH($E221,SUPPLIERS!$A$4:$A$63,0)),0))</f>
        <v/>
      </c>
      <c r="V221" s="2" t="str">
        <f aca="false">IF($Q221="","",IF($U221&gt;0,100,0)+IF($P221="",0,$P221)+ROW()/100000)</f>
        <v/>
      </c>
      <c r="W221" s="2" t="str">
        <f aca="false">IF($V221="","",IF($A221=SEL_MODEL,$V221,""))</f>
        <v/>
      </c>
    </row>
    <row r="222" customFormat="false" ht="15" hidden="false" customHeight="false" outlineLevel="0" collapsed="false">
      <c r="A222" s="20"/>
      <c r="B222" s="21"/>
      <c r="C222" s="22"/>
      <c r="D222" s="21"/>
      <c r="E222" s="20"/>
      <c r="F222" s="23"/>
      <c r="G222" s="24" t="str">
        <f aca="false">IF(OR($A222="",$F222=""),"",IFERROR(IF(INDEX(MODELS!$K$4:$K$28,MATCH($A222,MODELS!$A$4:$A$28,0))="","",$F222*INDEX(MODELS!$K$4:$K$28,MATCH($A222,MODELS!$A$4:$A$28,0))),""))</f>
        <v/>
      </c>
      <c r="H222" s="21"/>
      <c r="I222" s="21"/>
      <c r="J222" s="21"/>
      <c r="K222" s="25" t="str">
        <f aca="false">IF($E222="","",IFERROR(IF(INDEX(SUPPLIERS!$K$4:$K$63,MATCH($E222,SUPPLIERS!$A$4:$A$63,0))="","",INDEX(SUPPLIERS!$K$4:$K$63,MATCH($E222,SUPPLIERS!$A$4:$A$63,0))),""))</f>
        <v/>
      </c>
      <c r="L222" s="25" t="str">
        <f aca="false">IF($E222="","",IFERROR(IF(INDEX(SUPPLIERS!$L$4:$L$63,MATCH($E222,SUPPLIERS!$A$4:$A$63,0))="","",INDEX(SUPPLIERS!$L$4:$L$63,MATCH($E222,SUPPLIERS!$A$4:$A$63,0))),""))</f>
        <v/>
      </c>
      <c r="M222" s="21"/>
      <c r="N222" s="11" t="str">
        <f aca="false">IF($E222="","",IFERROR(_xlfn.TEXTJOIN("; ",TRUE(),INDEX(SUPPLIERS!$F$4:$F$63,MATCH($E222,SUPPLIERS!$A$4:$A$63,0)),INDEX(SUPPLIERS!$G$4:$G$63,MATCH($E222,SUPPLIERS!$A$4:$A$63,0)),INDEX(SUPPLIERS!$H$4:$H$63,MATCH($E222,SUPPLIERS!$A$4:$A$63,0)),INDEX(SUPPLIERS!$I$4:$I$63,MATCH($E222,SUPPLIERS!$A$4:$A$63,0)),INDEX(SUPPLIERS!$J$4:$J$63,MATCH($E222,SUPPLIERS!$A$4:$A$63,0))),""))</f>
        <v/>
      </c>
      <c r="O222" s="26" t="str">
        <f aca="false">IF(COUNT($H222:$L222)&lt;5,"",ROUND($H222*W_SRC+$I222*W_QC+$J222*W_CAP+$K222*W_SUP+$L222*W_EXT,1))</f>
        <v/>
      </c>
      <c r="P222" s="27" t="str">
        <f aca="false">IF(OR($O222="",$M222=""),"",ROUND($O222*$M222,1))</f>
        <v/>
      </c>
      <c r="Q222" s="28" t="str">
        <f aca="false">IF($E222="","",IF($U222&gt;0,"CRITICAL (FLAG)",IF(OR($O222="",$M222=""),"NOT SCORED",IF($P222&gt;=T_CRIT,"CRITICAL",IF($P222&gt;=T_MON,"MONITOR","LOW")))))</f>
        <v/>
      </c>
      <c r="R222" s="12" t="str">
        <f aca="false">IF($O222="","",INDEX(DriverNames,MATCH(MAX($H222:$L222),$H222:$L222,0)))</f>
        <v/>
      </c>
      <c r="S222" s="22"/>
      <c r="T222" s="29"/>
      <c r="U222" s="2" t="str">
        <f aca="false">IF($E222="","",IFERROR(INDEX(SUPPLIERS!$Q$4:$Q$63,MATCH($E222,SUPPLIERS!$A$4:$A$63,0)),0))</f>
        <v/>
      </c>
      <c r="V222" s="2" t="str">
        <f aca="false">IF($Q222="","",IF($U222&gt;0,100,0)+IF($P222="",0,$P222)+ROW()/100000)</f>
        <v/>
      </c>
      <c r="W222" s="2" t="str">
        <f aca="false">IF($V222="","",IF($A222=SEL_MODEL,$V222,""))</f>
        <v/>
      </c>
    </row>
    <row r="223" customFormat="false" ht="15" hidden="false" customHeight="false" outlineLevel="0" collapsed="false">
      <c r="A223" s="20"/>
      <c r="B223" s="21"/>
      <c r="C223" s="22"/>
      <c r="D223" s="21"/>
      <c r="E223" s="20"/>
      <c r="F223" s="23"/>
      <c r="G223" s="24" t="str">
        <f aca="false">IF(OR($A223="",$F223=""),"",IFERROR(IF(INDEX(MODELS!$K$4:$K$28,MATCH($A223,MODELS!$A$4:$A$28,0))="","",$F223*INDEX(MODELS!$K$4:$K$28,MATCH($A223,MODELS!$A$4:$A$28,0))),""))</f>
        <v/>
      </c>
      <c r="H223" s="21"/>
      <c r="I223" s="21"/>
      <c r="J223" s="21"/>
      <c r="K223" s="25" t="str">
        <f aca="false">IF($E223="","",IFERROR(IF(INDEX(SUPPLIERS!$K$4:$K$63,MATCH($E223,SUPPLIERS!$A$4:$A$63,0))="","",INDEX(SUPPLIERS!$K$4:$K$63,MATCH($E223,SUPPLIERS!$A$4:$A$63,0))),""))</f>
        <v/>
      </c>
      <c r="L223" s="25" t="str">
        <f aca="false">IF($E223="","",IFERROR(IF(INDEX(SUPPLIERS!$L$4:$L$63,MATCH($E223,SUPPLIERS!$A$4:$A$63,0))="","",INDEX(SUPPLIERS!$L$4:$L$63,MATCH($E223,SUPPLIERS!$A$4:$A$63,0))),""))</f>
        <v/>
      </c>
      <c r="M223" s="21"/>
      <c r="N223" s="11" t="str">
        <f aca="false">IF($E223="","",IFERROR(_xlfn.TEXTJOIN("; ",TRUE(),INDEX(SUPPLIERS!$F$4:$F$63,MATCH($E223,SUPPLIERS!$A$4:$A$63,0)),INDEX(SUPPLIERS!$G$4:$G$63,MATCH($E223,SUPPLIERS!$A$4:$A$63,0)),INDEX(SUPPLIERS!$H$4:$H$63,MATCH($E223,SUPPLIERS!$A$4:$A$63,0)),INDEX(SUPPLIERS!$I$4:$I$63,MATCH($E223,SUPPLIERS!$A$4:$A$63,0)),INDEX(SUPPLIERS!$J$4:$J$63,MATCH($E223,SUPPLIERS!$A$4:$A$63,0))),""))</f>
        <v/>
      </c>
      <c r="O223" s="26" t="str">
        <f aca="false">IF(COUNT($H223:$L223)&lt;5,"",ROUND($H223*W_SRC+$I223*W_QC+$J223*W_CAP+$K223*W_SUP+$L223*W_EXT,1))</f>
        <v/>
      </c>
      <c r="P223" s="27" t="str">
        <f aca="false">IF(OR($O223="",$M223=""),"",ROUND($O223*$M223,1))</f>
        <v/>
      </c>
      <c r="Q223" s="28" t="str">
        <f aca="false">IF($E223="","",IF($U223&gt;0,"CRITICAL (FLAG)",IF(OR($O223="",$M223=""),"NOT SCORED",IF($P223&gt;=T_CRIT,"CRITICAL",IF($P223&gt;=T_MON,"MONITOR","LOW")))))</f>
        <v/>
      </c>
      <c r="R223" s="12" t="str">
        <f aca="false">IF($O223="","",INDEX(DriverNames,MATCH(MAX($H223:$L223),$H223:$L223,0)))</f>
        <v/>
      </c>
      <c r="S223" s="22"/>
      <c r="T223" s="29"/>
      <c r="U223" s="2" t="str">
        <f aca="false">IF($E223="","",IFERROR(INDEX(SUPPLIERS!$Q$4:$Q$63,MATCH($E223,SUPPLIERS!$A$4:$A$63,0)),0))</f>
        <v/>
      </c>
      <c r="V223" s="2" t="str">
        <f aca="false">IF($Q223="","",IF($U223&gt;0,100,0)+IF($P223="",0,$P223)+ROW()/100000)</f>
        <v/>
      </c>
      <c r="W223" s="2" t="str">
        <f aca="false">IF($V223="","",IF($A223=SEL_MODEL,$V223,""))</f>
        <v/>
      </c>
    </row>
    <row r="224" customFormat="false" ht="15" hidden="false" customHeight="false" outlineLevel="0" collapsed="false">
      <c r="A224" s="20"/>
      <c r="B224" s="21"/>
      <c r="C224" s="22"/>
      <c r="D224" s="21"/>
      <c r="E224" s="20"/>
      <c r="F224" s="23"/>
      <c r="G224" s="24" t="str">
        <f aca="false">IF(OR($A224="",$F224=""),"",IFERROR(IF(INDEX(MODELS!$K$4:$K$28,MATCH($A224,MODELS!$A$4:$A$28,0))="","",$F224*INDEX(MODELS!$K$4:$K$28,MATCH($A224,MODELS!$A$4:$A$28,0))),""))</f>
        <v/>
      </c>
      <c r="H224" s="21"/>
      <c r="I224" s="21"/>
      <c r="J224" s="21"/>
      <c r="K224" s="25" t="str">
        <f aca="false">IF($E224="","",IFERROR(IF(INDEX(SUPPLIERS!$K$4:$K$63,MATCH($E224,SUPPLIERS!$A$4:$A$63,0))="","",INDEX(SUPPLIERS!$K$4:$K$63,MATCH($E224,SUPPLIERS!$A$4:$A$63,0))),""))</f>
        <v/>
      </c>
      <c r="L224" s="25" t="str">
        <f aca="false">IF($E224="","",IFERROR(IF(INDEX(SUPPLIERS!$L$4:$L$63,MATCH($E224,SUPPLIERS!$A$4:$A$63,0))="","",INDEX(SUPPLIERS!$L$4:$L$63,MATCH($E224,SUPPLIERS!$A$4:$A$63,0))),""))</f>
        <v/>
      </c>
      <c r="M224" s="21"/>
      <c r="N224" s="11" t="str">
        <f aca="false">IF($E224="","",IFERROR(_xlfn.TEXTJOIN("; ",TRUE(),INDEX(SUPPLIERS!$F$4:$F$63,MATCH($E224,SUPPLIERS!$A$4:$A$63,0)),INDEX(SUPPLIERS!$G$4:$G$63,MATCH($E224,SUPPLIERS!$A$4:$A$63,0)),INDEX(SUPPLIERS!$H$4:$H$63,MATCH($E224,SUPPLIERS!$A$4:$A$63,0)),INDEX(SUPPLIERS!$I$4:$I$63,MATCH($E224,SUPPLIERS!$A$4:$A$63,0)),INDEX(SUPPLIERS!$J$4:$J$63,MATCH($E224,SUPPLIERS!$A$4:$A$63,0))),""))</f>
        <v/>
      </c>
      <c r="O224" s="26" t="str">
        <f aca="false">IF(COUNT($H224:$L224)&lt;5,"",ROUND($H224*W_SRC+$I224*W_QC+$J224*W_CAP+$K224*W_SUP+$L224*W_EXT,1))</f>
        <v/>
      </c>
      <c r="P224" s="27" t="str">
        <f aca="false">IF(OR($O224="",$M224=""),"",ROUND($O224*$M224,1))</f>
        <v/>
      </c>
      <c r="Q224" s="28" t="str">
        <f aca="false">IF($E224="","",IF($U224&gt;0,"CRITICAL (FLAG)",IF(OR($O224="",$M224=""),"NOT SCORED",IF($P224&gt;=T_CRIT,"CRITICAL",IF($P224&gt;=T_MON,"MONITOR","LOW")))))</f>
        <v/>
      </c>
      <c r="R224" s="12" t="str">
        <f aca="false">IF($O224="","",INDEX(DriverNames,MATCH(MAX($H224:$L224),$H224:$L224,0)))</f>
        <v/>
      </c>
      <c r="S224" s="22"/>
      <c r="T224" s="29"/>
      <c r="U224" s="2" t="str">
        <f aca="false">IF($E224="","",IFERROR(INDEX(SUPPLIERS!$Q$4:$Q$63,MATCH($E224,SUPPLIERS!$A$4:$A$63,0)),0))</f>
        <v/>
      </c>
      <c r="V224" s="2" t="str">
        <f aca="false">IF($Q224="","",IF($U224&gt;0,100,0)+IF($P224="",0,$P224)+ROW()/100000)</f>
        <v/>
      </c>
      <c r="W224" s="2" t="str">
        <f aca="false">IF($V224="","",IF($A224=SEL_MODEL,$V224,""))</f>
        <v/>
      </c>
    </row>
    <row r="225" customFormat="false" ht="15" hidden="false" customHeight="false" outlineLevel="0" collapsed="false">
      <c r="A225" s="20"/>
      <c r="B225" s="21"/>
      <c r="C225" s="22"/>
      <c r="D225" s="21"/>
      <c r="E225" s="20"/>
      <c r="F225" s="23"/>
      <c r="G225" s="24" t="str">
        <f aca="false">IF(OR($A225="",$F225=""),"",IFERROR(IF(INDEX(MODELS!$K$4:$K$28,MATCH($A225,MODELS!$A$4:$A$28,0))="","",$F225*INDEX(MODELS!$K$4:$K$28,MATCH($A225,MODELS!$A$4:$A$28,0))),""))</f>
        <v/>
      </c>
      <c r="H225" s="21"/>
      <c r="I225" s="21"/>
      <c r="J225" s="21"/>
      <c r="K225" s="25" t="str">
        <f aca="false">IF($E225="","",IFERROR(IF(INDEX(SUPPLIERS!$K$4:$K$63,MATCH($E225,SUPPLIERS!$A$4:$A$63,0))="","",INDEX(SUPPLIERS!$K$4:$K$63,MATCH($E225,SUPPLIERS!$A$4:$A$63,0))),""))</f>
        <v/>
      </c>
      <c r="L225" s="25" t="str">
        <f aca="false">IF($E225="","",IFERROR(IF(INDEX(SUPPLIERS!$L$4:$L$63,MATCH($E225,SUPPLIERS!$A$4:$A$63,0))="","",INDEX(SUPPLIERS!$L$4:$L$63,MATCH($E225,SUPPLIERS!$A$4:$A$63,0))),""))</f>
        <v/>
      </c>
      <c r="M225" s="21"/>
      <c r="N225" s="11" t="str">
        <f aca="false">IF($E225="","",IFERROR(_xlfn.TEXTJOIN("; ",TRUE(),INDEX(SUPPLIERS!$F$4:$F$63,MATCH($E225,SUPPLIERS!$A$4:$A$63,0)),INDEX(SUPPLIERS!$G$4:$G$63,MATCH($E225,SUPPLIERS!$A$4:$A$63,0)),INDEX(SUPPLIERS!$H$4:$H$63,MATCH($E225,SUPPLIERS!$A$4:$A$63,0)),INDEX(SUPPLIERS!$I$4:$I$63,MATCH($E225,SUPPLIERS!$A$4:$A$63,0)),INDEX(SUPPLIERS!$J$4:$J$63,MATCH($E225,SUPPLIERS!$A$4:$A$63,0))),""))</f>
        <v/>
      </c>
      <c r="O225" s="26" t="str">
        <f aca="false">IF(COUNT($H225:$L225)&lt;5,"",ROUND($H225*W_SRC+$I225*W_QC+$J225*W_CAP+$K225*W_SUP+$L225*W_EXT,1))</f>
        <v/>
      </c>
      <c r="P225" s="27" t="str">
        <f aca="false">IF(OR($O225="",$M225=""),"",ROUND($O225*$M225,1))</f>
        <v/>
      </c>
      <c r="Q225" s="28" t="str">
        <f aca="false">IF($E225="","",IF($U225&gt;0,"CRITICAL (FLAG)",IF(OR($O225="",$M225=""),"NOT SCORED",IF($P225&gt;=T_CRIT,"CRITICAL",IF($P225&gt;=T_MON,"MONITOR","LOW")))))</f>
        <v/>
      </c>
      <c r="R225" s="12" t="str">
        <f aca="false">IF($O225="","",INDEX(DriverNames,MATCH(MAX($H225:$L225),$H225:$L225,0)))</f>
        <v/>
      </c>
      <c r="S225" s="22"/>
      <c r="T225" s="29"/>
      <c r="U225" s="2" t="str">
        <f aca="false">IF($E225="","",IFERROR(INDEX(SUPPLIERS!$Q$4:$Q$63,MATCH($E225,SUPPLIERS!$A$4:$A$63,0)),0))</f>
        <v/>
      </c>
      <c r="V225" s="2" t="str">
        <f aca="false">IF($Q225="","",IF($U225&gt;0,100,0)+IF($P225="",0,$P225)+ROW()/100000)</f>
        <v/>
      </c>
      <c r="W225" s="2" t="str">
        <f aca="false">IF($V225="","",IF($A225=SEL_MODEL,$V225,""))</f>
        <v/>
      </c>
    </row>
    <row r="226" customFormat="false" ht="15" hidden="false" customHeight="false" outlineLevel="0" collapsed="false">
      <c r="A226" s="20"/>
      <c r="B226" s="21"/>
      <c r="C226" s="22"/>
      <c r="D226" s="21"/>
      <c r="E226" s="20"/>
      <c r="F226" s="23"/>
      <c r="G226" s="24" t="str">
        <f aca="false">IF(OR($A226="",$F226=""),"",IFERROR(IF(INDEX(MODELS!$K$4:$K$28,MATCH($A226,MODELS!$A$4:$A$28,0))="","",$F226*INDEX(MODELS!$K$4:$K$28,MATCH($A226,MODELS!$A$4:$A$28,0))),""))</f>
        <v/>
      </c>
      <c r="H226" s="21"/>
      <c r="I226" s="21"/>
      <c r="J226" s="21"/>
      <c r="K226" s="25" t="str">
        <f aca="false">IF($E226="","",IFERROR(IF(INDEX(SUPPLIERS!$K$4:$K$63,MATCH($E226,SUPPLIERS!$A$4:$A$63,0))="","",INDEX(SUPPLIERS!$K$4:$K$63,MATCH($E226,SUPPLIERS!$A$4:$A$63,0))),""))</f>
        <v/>
      </c>
      <c r="L226" s="25" t="str">
        <f aca="false">IF($E226="","",IFERROR(IF(INDEX(SUPPLIERS!$L$4:$L$63,MATCH($E226,SUPPLIERS!$A$4:$A$63,0))="","",INDEX(SUPPLIERS!$L$4:$L$63,MATCH($E226,SUPPLIERS!$A$4:$A$63,0))),""))</f>
        <v/>
      </c>
      <c r="M226" s="21"/>
      <c r="N226" s="11" t="str">
        <f aca="false">IF($E226="","",IFERROR(_xlfn.TEXTJOIN("; ",TRUE(),INDEX(SUPPLIERS!$F$4:$F$63,MATCH($E226,SUPPLIERS!$A$4:$A$63,0)),INDEX(SUPPLIERS!$G$4:$G$63,MATCH($E226,SUPPLIERS!$A$4:$A$63,0)),INDEX(SUPPLIERS!$H$4:$H$63,MATCH($E226,SUPPLIERS!$A$4:$A$63,0)),INDEX(SUPPLIERS!$I$4:$I$63,MATCH($E226,SUPPLIERS!$A$4:$A$63,0)),INDEX(SUPPLIERS!$J$4:$J$63,MATCH($E226,SUPPLIERS!$A$4:$A$63,0))),""))</f>
        <v/>
      </c>
      <c r="O226" s="26" t="str">
        <f aca="false">IF(COUNT($H226:$L226)&lt;5,"",ROUND($H226*W_SRC+$I226*W_QC+$J226*W_CAP+$K226*W_SUP+$L226*W_EXT,1))</f>
        <v/>
      </c>
      <c r="P226" s="27" t="str">
        <f aca="false">IF(OR($O226="",$M226=""),"",ROUND($O226*$M226,1))</f>
        <v/>
      </c>
      <c r="Q226" s="28" t="str">
        <f aca="false">IF($E226="","",IF($U226&gt;0,"CRITICAL (FLAG)",IF(OR($O226="",$M226=""),"NOT SCORED",IF($P226&gt;=T_CRIT,"CRITICAL",IF($P226&gt;=T_MON,"MONITOR","LOW")))))</f>
        <v/>
      </c>
      <c r="R226" s="12" t="str">
        <f aca="false">IF($O226="","",INDEX(DriverNames,MATCH(MAX($H226:$L226),$H226:$L226,0)))</f>
        <v/>
      </c>
      <c r="S226" s="22"/>
      <c r="T226" s="29"/>
      <c r="U226" s="2" t="str">
        <f aca="false">IF($E226="","",IFERROR(INDEX(SUPPLIERS!$Q$4:$Q$63,MATCH($E226,SUPPLIERS!$A$4:$A$63,0)),0))</f>
        <v/>
      </c>
      <c r="V226" s="2" t="str">
        <f aca="false">IF($Q226="","",IF($U226&gt;0,100,0)+IF($P226="",0,$P226)+ROW()/100000)</f>
        <v/>
      </c>
      <c r="W226" s="2" t="str">
        <f aca="false">IF($V226="","",IF($A226=SEL_MODEL,$V226,""))</f>
        <v/>
      </c>
    </row>
    <row r="227" customFormat="false" ht="15" hidden="false" customHeight="false" outlineLevel="0" collapsed="false">
      <c r="A227" s="20"/>
      <c r="B227" s="21"/>
      <c r="C227" s="22"/>
      <c r="D227" s="21"/>
      <c r="E227" s="20"/>
      <c r="F227" s="23"/>
      <c r="G227" s="24" t="str">
        <f aca="false">IF(OR($A227="",$F227=""),"",IFERROR(IF(INDEX(MODELS!$K$4:$K$28,MATCH($A227,MODELS!$A$4:$A$28,0))="","",$F227*INDEX(MODELS!$K$4:$K$28,MATCH($A227,MODELS!$A$4:$A$28,0))),""))</f>
        <v/>
      </c>
      <c r="H227" s="21"/>
      <c r="I227" s="21"/>
      <c r="J227" s="21"/>
      <c r="K227" s="25" t="str">
        <f aca="false">IF($E227="","",IFERROR(IF(INDEX(SUPPLIERS!$K$4:$K$63,MATCH($E227,SUPPLIERS!$A$4:$A$63,0))="","",INDEX(SUPPLIERS!$K$4:$K$63,MATCH($E227,SUPPLIERS!$A$4:$A$63,0))),""))</f>
        <v/>
      </c>
      <c r="L227" s="25" t="str">
        <f aca="false">IF($E227="","",IFERROR(IF(INDEX(SUPPLIERS!$L$4:$L$63,MATCH($E227,SUPPLIERS!$A$4:$A$63,0))="","",INDEX(SUPPLIERS!$L$4:$L$63,MATCH($E227,SUPPLIERS!$A$4:$A$63,0))),""))</f>
        <v/>
      </c>
      <c r="M227" s="21"/>
      <c r="N227" s="11" t="str">
        <f aca="false">IF($E227="","",IFERROR(_xlfn.TEXTJOIN("; ",TRUE(),INDEX(SUPPLIERS!$F$4:$F$63,MATCH($E227,SUPPLIERS!$A$4:$A$63,0)),INDEX(SUPPLIERS!$G$4:$G$63,MATCH($E227,SUPPLIERS!$A$4:$A$63,0)),INDEX(SUPPLIERS!$H$4:$H$63,MATCH($E227,SUPPLIERS!$A$4:$A$63,0)),INDEX(SUPPLIERS!$I$4:$I$63,MATCH($E227,SUPPLIERS!$A$4:$A$63,0)),INDEX(SUPPLIERS!$J$4:$J$63,MATCH($E227,SUPPLIERS!$A$4:$A$63,0))),""))</f>
        <v/>
      </c>
      <c r="O227" s="26" t="str">
        <f aca="false">IF(COUNT($H227:$L227)&lt;5,"",ROUND($H227*W_SRC+$I227*W_QC+$J227*W_CAP+$K227*W_SUP+$L227*W_EXT,1))</f>
        <v/>
      </c>
      <c r="P227" s="27" t="str">
        <f aca="false">IF(OR($O227="",$M227=""),"",ROUND($O227*$M227,1))</f>
        <v/>
      </c>
      <c r="Q227" s="28" t="str">
        <f aca="false">IF($E227="","",IF($U227&gt;0,"CRITICAL (FLAG)",IF(OR($O227="",$M227=""),"NOT SCORED",IF($P227&gt;=T_CRIT,"CRITICAL",IF($P227&gt;=T_MON,"MONITOR","LOW")))))</f>
        <v/>
      </c>
      <c r="R227" s="12" t="str">
        <f aca="false">IF($O227="","",INDEX(DriverNames,MATCH(MAX($H227:$L227),$H227:$L227,0)))</f>
        <v/>
      </c>
      <c r="S227" s="22"/>
      <c r="T227" s="29"/>
      <c r="U227" s="2" t="str">
        <f aca="false">IF($E227="","",IFERROR(INDEX(SUPPLIERS!$Q$4:$Q$63,MATCH($E227,SUPPLIERS!$A$4:$A$63,0)),0))</f>
        <v/>
      </c>
      <c r="V227" s="2" t="str">
        <f aca="false">IF($Q227="","",IF($U227&gt;0,100,0)+IF($P227="",0,$P227)+ROW()/100000)</f>
        <v/>
      </c>
      <c r="W227" s="2" t="str">
        <f aca="false">IF($V227="","",IF($A227=SEL_MODEL,$V227,""))</f>
        <v/>
      </c>
    </row>
    <row r="228" customFormat="false" ht="15" hidden="false" customHeight="false" outlineLevel="0" collapsed="false">
      <c r="A228" s="20"/>
      <c r="B228" s="21"/>
      <c r="C228" s="22"/>
      <c r="D228" s="21"/>
      <c r="E228" s="20"/>
      <c r="F228" s="23"/>
      <c r="G228" s="24" t="str">
        <f aca="false">IF(OR($A228="",$F228=""),"",IFERROR(IF(INDEX(MODELS!$K$4:$K$28,MATCH($A228,MODELS!$A$4:$A$28,0))="","",$F228*INDEX(MODELS!$K$4:$K$28,MATCH($A228,MODELS!$A$4:$A$28,0))),""))</f>
        <v/>
      </c>
      <c r="H228" s="21"/>
      <c r="I228" s="21"/>
      <c r="J228" s="21"/>
      <c r="K228" s="25" t="str">
        <f aca="false">IF($E228="","",IFERROR(IF(INDEX(SUPPLIERS!$K$4:$K$63,MATCH($E228,SUPPLIERS!$A$4:$A$63,0))="","",INDEX(SUPPLIERS!$K$4:$K$63,MATCH($E228,SUPPLIERS!$A$4:$A$63,0))),""))</f>
        <v/>
      </c>
      <c r="L228" s="25" t="str">
        <f aca="false">IF($E228="","",IFERROR(IF(INDEX(SUPPLIERS!$L$4:$L$63,MATCH($E228,SUPPLIERS!$A$4:$A$63,0))="","",INDEX(SUPPLIERS!$L$4:$L$63,MATCH($E228,SUPPLIERS!$A$4:$A$63,0))),""))</f>
        <v/>
      </c>
      <c r="M228" s="21"/>
      <c r="N228" s="11" t="str">
        <f aca="false">IF($E228="","",IFERROR(_xlfn.TEXTJOIN("; ",TRUE(),INDEX(SUPPLIERS!$F$4:$F$63,MATCH($E228,SUPPLIERS!$A$4:$A$63,0)),INDEX(SUPPLIERS!$G$4:$G$63,MATCH($E228,SUPPLIERS!$A$4:$A$63,0)),INDEX(SUPPLIERS!$H$4:$H$63,MATCH($E228,SUPPLIERS!$A$4:$A$63,0)),INDEX(SUPPLIERS!$I$4:$I$63,MATCH($E228,SUPPLIERS!$A$4:$A$63,0)),INDEX(SUPPLIERS!$J$4:$J$63,MATCH($E228,SUPPLIERS!$A$4:$A$63,0))),""))</f>
        <v/>
      </c>
      <c r="O228" s="26" t="str">
        <f aca="false">IF(COUNT($H228:$L228)&lt;5,"",ROUND($H228*W_SRC+$I228*W_QC+$J228*W_CAP+$K228*W_SUP+$L228*W_EXT,1))</f>
        <v/>
      </c>
      <c r="P228" s="27" t="str">
        <f aca="false">IF(OR($O228="",$M228=""),"",ROUND($O228*$M228,1))</f>
        <v/>
      </c>
      <c r="Q228" s="28" t="str">
        <f aca="false">IF($E228="","",IF($U228&gt;0,"CRITICAL (FLAG)",IF(OR($O228="",$M228=""),"NOT SCORED",IF($P228&gt;=T_CRIT,"CRITICAL",IF($P228&gt;=T_MON,"MONITOR","LOW")))))</f>
        <v/>
      </c>
      <c r="R228" s="12" t="str">
        <f aca="false">IF($O228="","",INDEX(DriverNames,MATCH(MAX($H228:$L228),$H228:$L228,0)))</f>
        <v/>
      </c>
      <c r="S228" s="22"/>
      <c r="T228" s="29"/>
      <c r="U228" s="2" t="str">
        <f aca="false">IF($E228="","",IFERROR(INDEX(SUPPLIERS!$Q$4:$Q$63,MATCH($E228,SUPPLIERS!$A$4:$A$63,0)),0))</f>
        <v/>
      </c>
      <c r="V228" s="2" t="str">
        <f aca="false">IF($Q228="","",IF($U228&gt;0,100,0)+IF($P228="",0,$P228)+ROW()/100000)</f>
        <v/>
      </c>
      <c r="W228" s="2" t="str">
        <f aca="false">IF($V228="","",IF($A228=SEL_MODEL,$V228,""))</f>
        <v/>
      </c>
    </row>
    <row r="229" customFormat="false" ht="15" hidden="false" customHeight="false" outlineLevel="0" collapsed="false">
      <c r="A229" s="20"/>
      <c r="B229" s="21"/>
      <c r="C229" s="22"/>
      <c r="D229" s="21"/>
      <c r="E229" s="20"/>
      <c r="F229" s="23"/>
      <c r="G229" s="24" t="str">
        <f aca="false">IF(OR($A229="",$F229=""),"",IFERROR(IF(INDEX(MODELS!$K$4:$K$28,MATCH($A229,MODELS!$A$4:$A$28,0))="","",$F229*INDEX(MODELS!$K$4:$K$28,MATCH($A229,MODELS!$A$4:$A$28,0))),""))</f>
        <v/>
      </c>
      <c r="H229" s="21"/>
      <c r="I229" s="21"/>
      <c r="J229" s="21"/>
      <c r="K229" s="25" t="str">
        <f aca="false">IF($E229="","",IFERROR(IF(INDEX(SUPPLIERS!$K$4:$K$63,MATCH($E229,SUPPLIERS!$A$4:$A$63,0))="","",INDEX(SUPPLIERS!$K$4:$K$63,MATCH($E229,SUPPLIERS!$A$4:$A$63,0))),""))</f>
        <v/>
      </c>
      <c r="L229" s="25" t="str">
        <f aca="false">IF($E229="","",IFERROR(IF(INDEX(SUPPLIERS!$L$4:$L$63,MATCH($E229,SUPPLIERS!$A$4:$A$63,0))="","",INDEX(SUPPLIERS!$L$4:$L$63,MATCH($E229,SUPPLIERS!$A$4:$A$63,0))),""))</f>
        <v/>
      </c>
      <c r="M229" s="21"/>
      <c r="N229" s="11" t="str">
        <f aca="false">IF($E229="","",IFERROR(_xlfn.TEXTJOIN("; ",TRUE(),INDEX(SUPPLIERS!$F$4:$F$63,MATCH($E229,SUPPLIERS!$A$4:$A$63,0)),INDEX(SUPPLIERS!$G$4:$G$63,MATCH($E229,SUPPLIERS!$A$4:$A$63,0)),INDEX(SUPPLIERS!$H$4:$H$63,MATCH($E229,SUPPLIERS!$A$4:$A$63,0)),INDEX(SUPPLIERS!$I$4:$I$63,MATCH($E229,SUPPLIERS!$A$4:$A$63,0)),INDEX(SUPPLIERS!$J$4:$J$63,MATCH($E229,SUPPLIERS!$A$4:$A$63,0))),""))</f>
        <v/>
      </c>
      <c r="O229" s="26" t="str">
        <f aca="false">IF(COUNT($H229:$L229)&lt;5,"",ROUND($H229*W_SRC+$I229*W_QC+$J229*W_CAP+$K229*W_SUP+$L229*W_EXT,1))</f>
        <v/>
      </c>
      <c r="P229" s="27" t="str">
        <f aca="false">IF(OR($O229="",$M229=""),"",ROUND($O229*$M229,1))</f>
        <v/>
      </c>
      <c r="Q229" s="28" t="str">
        <f aca="false">IF($E229="","",IF($U229&gt;0,"CRITICAL (FLAG)",IF(OR($O229="",$M229=""),"NOT SCORED",IF($P229&gt;=T_CRIT,"CRITICAL",IF($P229&gt;=T_MON,"MONITOR","LOW")))))</f>
        <v/>
      </c>
      <c r="R229" s="12" t="str">
        <f aca="false">IF($O229="","",INDEX(DriverNames,MATCH(MAX($H229:$L229),$H229:$L229,0)))</f>
        <v/>
      </c>
      <c r="S229" s="22"/>
      <c r="T229" s="29"/>
      <c r="U229" s="2" t="str">
        <f aca="false">IF($E229="","",IFERROR(INDEX(SUPPLIERS!$Q$4:$Q$63,MATCH($E229,SUPPLIERS!$A$4:$A$63,0)),0))</f>
        <v/>
      </c>
      <c r="V229" s="2" t="str">
        <f aca="false">IF($Q229="","",IF($U229&gt;0,100,0)+IF($P229="",0,$P229)+ROW()/100000)</f>
        <v/>
      </c>
      <c r="W229" s="2" t="str">
        <f aca="false">IF($V229="","",IF($A229=SEL_MODEL,$V229,""))</f>
        <v/>
      </c>
    </row>
    <row r="230" customFormat="false" ht="15" hidden="false" customHeight="false" outlineLevel="0" collapsed="false">
      <c r="A230" s="20"/>
      <c r="B230" s="21"/>
      <c r="C230" s="22"/>
      <c r="D230" s="21"/>
      <c r="E230" s="20"/>
      <c r="F230" s="23"/>
      <c r="G230" s="24" t="str">
        <f aca="false">IF(OR($A230="",$F230=""),"",IFERROR(IF(INDEX(MODELS!$K$4:$K$28,MATCH($A230,MODELS!$A$4:$A$28,0))="","",$F230*INDEX(MODELS!$K$4:$K$28,MATCH($A230,MODELS!$A$4:$A$28,0))),""))</f>
        <v/>
      </c>
      <c r="H230" s="21"/>
      <c r="I230" s="21"/>
      <c r="J230" s="21"/>
      <c r="K230" s="25" t="str">
        <f aca="false">IF($E230="","",IFERROR(IF(INDEX(SUPPLIERS!$K$4:$K$63,MATCH($E230,SUPPLIERS!$A$4:$A$63,0))="","",INDEX(SUPPLIERS!$K$4:$K$63,MATCH($E230,SUPPLIERS!$A$4:$A$63,0))),""))</f>
        <v/>
      </c>
      <c r="L230" s="25" t="str">
        <f aca="false">IF($E230="","",IFERROR(IF(INDEX(SUPPLIERS!$L$4:$L$63,MATCH($E230,SUPPLIERS!$A$4:$A$63,0))="","",INDEX(SUPPLIERS!$L$4:$L$63,MATCH($E230,SUPPLIERS!$A$4:$A$63,0))),""))</f>
        <v/>
      </c>
      <c r="M230" s="21"/>
      <c r="N230" s="11" t="str">
        <f aca="false">IF($E230="","",IFERROR(_xlfn.TEXTJOIN("; ",TRUE(),INDEX(SUPPLIERS!$F$4:$F$63,MATCH($E230,SUPPLIERS!$A$4:$A$63,0)),INDEX(SUPPLIERS!$G$4:$G$63,MATCH($E230,SUPPLIERS!$A$4:$A$63,0)),INDEX(SUPPLIERS!$H$4:$H$63,MATCH($E230,SUPPLIERS!$A$4:$A$63,0)),INDEX(SUPPLIERS!$I$4:$I$63,MATCH($E230,SUPPLIERS!$A$4:$A$63,0)),INDEX(SUPPLIERS!$J$4:$J$63,MATCH($E230,SUPPLIERS!$A$4:$A$63,0))),""))</f>
        <v/>
      </c>
      <c r="O230" s="26" t="str">
        <f aca="false">IF(COUNT($H230:$L230)&lt;5,"",ROUND($H230*W_SRC+$I230*W_QC+$J230*W_CAP+$K230*W_SUP+$L230*W_EXT,1))</f>
        <v/>
      </c>
      <c r="P230" s="27" t="str">
        <f aca="false">IF(OR($O230="",$M230=""),"",ROUND($O230*$M230,1))</f>
        <v/>
      </c>
      <c r="Q230" s="28" t="str">
        <f aca="false">IF($E230="","",IF($U230&gt;0,"CRITICAL (FLAG)",IF(OR($O230="",$M230=""),"NOT SCORED",IF($P230&gt;=T_CRIT,"CRITICAL",IF($P230&gt;=T_MON,"MONITOR","LOW")))))</f>
        <v/>
      </c>
      <c r="R230" s="12" t="str">
        <f aca="false">IF($O230="","",INDEX(DriverNames,MATCH(MAX($H230:$L230),$H230:$L230,0)))</f>
        <v/>
      </c>
      <c r="S230" s="22"/>
      <c r="T230" s="29"/>
      <c r="U230" s="2" t="str">
        <f aca="false">IF($E230="","",IFERROR(INDEX(SUPPLIERS!$Q$4:$Q$63,MATCH($E230,SUPPLIERS!$A$4:$A$63,0)),0))</f>
        <v/>
      </c>
      <c r="V230" s="2" t="str">
        <f aca="false">IF($Q230="","",IF($U230&gt;0,100,0)+IF($P230="",0,$P230)+ROW()/100000)</f>
        <v/>
      </c>
      <c r="W230" s="2" t="str">
        <f aca="false">IF($V230="","",IF($A230=SEL_MODEL,$V230,""))</f>
        <v/>
      </c>
    </row>
    <row r="231" customFormat="false" ht="15" hidden="false" customHeight="false" outlineLevel="0" collapsed="false">
      <c r="A231" s="20"/>
      <c r="B231" s="21"/>
      <c r="C231" s="22"/>
      <c r="D231" s="21"/>
      <c r="E231" s="20"/>
      <c r="F231" s="23"/>
      <c r="G231" s="24" t="str">
        <f aca="false">IF(OR($A231="",$F231=""),"",IFERROR(IF(INDEX(MODELS!$K$4:$K$28,MATCH($A231,MODELS!$A$4:$A$28,0))="","",$F231*INDEX(MODELS!$K$4:$K$28,MATCH($A231,MODELS!$A$4:$A$28,0))),""))</f>
        <v/>
      </c>
      <c r="H231" s="21"/>
      <c r="I231" s="21"/>
      <c r="J231" s="21"/>
      <c r="K231" s="25" t="str">
        <f aca="false">IF($E231="","",IFERROR(IF(INDEX(SUPPLIERS!$K$4:$K$63,MATCH($E231,SUPPLIERS!$A$4:$A$63,0))="","",INDEX(SUPPLIERS!$K$4:$K$63,MATCH($E231,SUPPLIERS!$A$4:$A$63,0))),""))</f>
        <v/>
      </c>
      <c r="L231" s="25" t="str">
        <f aca="false">IF($E231="","",IFERROR(IF(INDEX(SUPPLIERS!$L$4:$L$63,MATCH($E231,SUPPLIERS!$A$4:$A$63,0))="","",INDEX(SUPPLIERS!$L$4:$L$63,MATCH($E231,SUPPLIERS!$A$4:$A$63,0))),""))</f>
        <v/>
      </c>
      <c r="M231" s="21"/>
      <c r="N231" s="11" t="str">
        <f aca="false">IF($E231="","",IFERROR(_xlfn.TEXTJOIN("; ",TRUE(),INDEX(SUPPLIERS!$F$4:$F$63,MATCH($E231,SUPPLIERS!$A$4:$A$63,0)),INDEX(SUPPLIERS!$G$4:$G$63,MATCH($E231,SUPPLIERS!$A$4:$A$63,0)),INDEX(SUPPLIERS!$H$4:$H$63,MATCH($E231,SUPPLIERS!$A$4:$A$63,0)),INDEX(SUPPLIERS!$I$4:$I$63,MATCH($E231,SUPPLIERS!$A$4:$A$63,0)),INDEX(SUPPLIERS!$J$4:$J$63,MATCH($E231,SUPPLIERS!$A$4:$A$63,0))),""))</f>
        <v/>
      </c>
      <c r="O231" s="26" t="str">
        <f aca="false">IF(COUNT($H231:$L231)&lt;5,"",ROUND($H231*W_SRC+$I231*W_QC+$J231*W_CAP+$K231*W_SUP+$L231*W_EXT,1))</f>
        <v/>
      </c>
      <c r="P231" s="27" t="str">
        <f aca="false">IF(OR($O231="",$M231=""),"",ROUND($O231*$M231,1))</f>
        <v/>
      </c>
      <c r="Q231" s="28" t="str">
        <f aca="false">IF($E231="","",IF($U231&gt;0,"CRITICAL (FLAG)",IF(OR($O231="",$M231=""),"NOT SCORED",IF($P231&gt;=T_CRIT,"CRITICAL",IF($P231&gt;=T_MON,"MONITOR","LOW")))))</f>
        <v/>
      </c>
      <c r="R231" s="12" t="str">
        <f aca="false">IF($O231="","",INDEX(DriverNames,MATCH(MAX($H231:$L231),$H231:$L231,0)))</f>
        <v/>
      </c>
      <c r="S231" s="22"/>
      <c r="T231" s="29"/>
      <c r="U231" s="2" t="str">
        <f aca="false">IF($E231="","",IFERROR(INDEX(SUPPLIERS!$Q$4:$Q$63,MATCH($E231,SUPPLIERS!$A$4:$A$63,0)),0))</f>
        <v/>
      </c>
      <c r="V231" s="2" t="str">
        <f aca="false">IF($Q231="","",IF($U231&gt;0,100,0)+IF($P231="",0,$P231)+ROW()/100000)</f>
        <v/>
      </c>
      <c r="W231" s="2" t="str">
        <f aca="false">IF($V231="","",IF($A231=SEL_MODEL,$V231,""))</f>
        <v/>
      </c>
    </row>
    <row r="232" customFormat="false" ht="15" hidden="false" customHeight="false" outlineLevel="0" collapsed="false">
      <c r="A232" s="20"/>
      <c r="B232" s="21"/>
      <c r="C232" s="22"/>
      <c r="D232" s="21"/>
      <c r="E232" s="20"/>
      <c r="F232" s="23"/>
      <c r="G232" s="24" t="str">
        <f aca="false">IF(OR($A232="",$F232=""),"",IFERROR(IF(INDEX(MODELS!$K$4:$K$28,MATCH($A232,MODELS!$A$4:$A$28,0))="","",$F232*INDEX(MODELS!$K$4:$K$28,MATCH($A232,MODELS!$A$4:$A$28,0))),""))</f>
        <v/>
      </c>
      <c r="H232" s="21"/>
      <c r="I232" s="21"/>
      <c r="J232" s="21"/>
      <c r="K232" s="25" t="str">
        <f aca="false">IF($E232="","",IFERROR(IF(INDEX(SUPPLIERS!$K$4:$K$63,MATCH($E232,SUPPLIERS!$A$4:$A$63,0))="","",INDEX(SUPPLIERS!$K$4:$K$63,MATCH($E232,SUPPLIERS!$A$4:$A$63,0))),""))</f>
        <v/>
      </c>
      <c r="L232" s="25" t="str">
        <f aca="false">IF($E232="","",IFERROR(IF(INDEX(SUPPLIERS!$L$4:$L$63,MATCH($E232,SUPPLIERS!$A$4:$A$63,0))="","",INDEX(SUPPLIERS!$L$4:$L$63,MATCH($E232,SUPPLIERS!$A$4:$A$63,0))),""))</f>
        <v/>
      </c>
      <c r="M232" s="21"/>
      <c r="N232" s="11" t="str">
        <f aca="false">IF($E232="","",IFERROR(_xlfn.TEXTJOIN("; ",TRUE(),INDEX(SUPPLIERS!$F$4:$F$63,MATCH($E232,SUPPLIERS!$A$4:$A$63,0)),INDEX(SUPPLIERS!$G$4:$G$63,MATCH($E232,SUPPLIERS!$A$4:$A$63,0)),INDEX(SUPPLIERS!$H$4:$H$63,MATCH($E232,SUPPLIERS!$A$4:$A$63,0)),INDEX(SUPPLIERS!$I$4:$I$63,MATCH($E232,SUPPLIERS!$A$4:$A$63,0)),INDEX(SUPPLIERS!$J$4:$J$63,MATCH($E232,SUPPLIERS!$A$4:$A$63,0))),""))</f>
        <v/>
      </c>
      <c r="O232" s="26" t="str">
        <f aca="false">IF(COUNT($H232:$L232)&lt;5,"",ROUND($H232*W_SRC+$I232*W_QC+$J232*W_CAP+$K232*W_SUP+$L232*W_EXT,1))</f>
        <v/>
      </c>
      <c r="P232" s="27" t="str">
        <f aca="false">IF(OR($O232="",$M232=""),"",ROUND($O232*$M232,1))</f>
        <v/>
      </c>
      <c r="Q232" s="28" t="str">
        <f aca="false">IF($E232="","",IF($U232&gt;0,"CRITICAL (FLAG)",IF(OR($O232="",$M232=""),"NOT SCORED",IF($P232&gt;=T_CRIT,"CRITICAL",IF($P232&gt;=T_MON,"MONITOR","LOW")))))</f>
        <v/>
      </c>
      <c r="R232" s="12" t="str">
        <f aca="false">IF($O232="","",INDEX(DriverNames,MATCH(MAX($H232:$L232),$H232:$L232,0)))</f>
        <v/>
      </c>
      <c r="S232" s="22"/>
      <c r="T232" s="29"/>
      <c r="U232" s="2" t="str">
        <f aca="false">IF($E232="","",IFERROR(INDEX(SUPPLIERS!$Q$4:$Q$63,MATCH($E232,SUPPLIERS!$A$4:$A$63,0)),0))</f>
        <v/>
      </c>
      <c r="V232" s="2" t="str">
        <f aca="false">IF($Q232="","",IF($U232&gt;0,100,0)+IF($P232="",0,$P232)+ROW()/100000)</f>
        <v/>
      </c>
      <c r="W232" s="2" t="str">
        <f aca="false">IF($V232="","",IF($A232=SEL_MODEL,$V232,""))</f>
        <v/>
      </c>
    </row>
    <row r="233" customFormat="false" ht="15" hidden="false" customHeight="false" outlineLevel="0" collapsed="false">
      <c r="A233" s="20"/>
      <c r="B233" s="21"/>
      <c r="C233" s="22"/>
      <c r="D233" s="21"/>
      <c r="E233" s="20"/>
      <c r="F233" s="23"/>
      <c r="G233" s="24" t="str">
        <f aca="false">IF(OR($A233="",$F233=""),"",IFERROR(IF(INDEX(MODELS!$K$4:$K$28,MATCH($A233,MODELS!$A$4:$A$28,0))="","",$F233*INDEX(MODELS!$K$4:$K$28,MATCH($A233,MODELS!$A$4:$A$28,0))),""))</f>
        <v/>
      </c>
      <c r="H233" s="21"/>
      <c r="I233" s="21"/>
      <c r="J233" s="21"/>
      <c r="K233" s="25" t="str">
        <f aca="false">IF($E233="","",IFERROR(IF(INDEX(SUPPLIERS!$K$4:$K$63,MATCH($E233,SUPPLIERS!$A$4:$A$63,0))="","",INDEX(SUPPLIERS!$K$4:$K$63,MATCH($E233,SUPPLIERS!$A$4:$A$63,0))),""))</f>
        <v/>
      </c>
      <c r="L233" s="25" t="str">
        <f aca="false">IF($E233="","",IFERROR(IF(INDEX(SUPPLIERS!$L$4:$L$63,MATCH($E233,SUPPLIERS!$A$4:$A$63,0))="","",INDEX(SUPPLIERS!$L$4:$L$63,MATCH($E233,SUPPLIERS!$A$4:$A$63,0))),""))</f>
        <v/>
      </c>
      <c r="M233" s="21"/>
      <c r="N233" s="11" t="str">
        <f aca="false">IF($E233="","",IFERROR(_xlfn.TEXTJOIN("; ",TRUE(),INDEX(SUPPLIERS!$F$4:$F$63,MATCH($E233,SUPPLIERS!$A$4:$A$63,0)),INDEX(SUPPLIERS!$G$4:$G$63,MATCH($E233,SUPPLIERS!$A$4:$A$63,0)),INDEX(SUPPLIERS!$H$4:$H$63,MATCH($E233,SUPPLIERS!$A$4:$A$63,0)),INDEX(SUPPLIERS!$I$4:$I$63,MATCH($E233,SUPPLIERS!$A$4:$A$63,0)),INDEX(SUPPLIERS!$J$4:$J$63,MATCH($E233,SUPPLIERS!$A$4:$A$63,0))),""))</f>
        <v/>
      </c>
      <c r="O233" s="26" t="str">
        <f aca="false">IF(COUNT($H233:$L233)&lt;5,"",ROUND($H233*W_SRC+$I233*W_QC+$J233*W_CAP+$K233*W_SUP+$L233*W_EXT,1))</f>
        <v/>
      </c>
      <c r="P233" s="27" t="str">
        <f aca="false">IF(OR($O233="",$M233=""),"",ROUND($O233*$M233,1))</f>
        <v/>
      </c>
      <c r="Q233" s="28" t="str">
        <f aca="false">IF($E233="","",IF($U233&gt;0,"CRITICAL (FLAG)",IF(OR($O233="",$M233=""),"NOT SCORED",IF($P233&gt;=T_CRIT,"CRITICAL",IF($P233&gt;=T_MON,"MONITOR","LOW")))))</f>
        <v/>
      </c>
      <c r="R233" s="12" t="str">
        <f aca="false">IF($O233="","",INDEX(DriverNames,MATCH(MAX($H233:$L233),$H233:$L233,0)))</f>
        <v/>
      </c>
      <c r="S233" s="22"/>
      <c r="T233" s="29"/>
      <c r="U233" s="2" t="str">
        <f aca="false">IF($E233="","",IFERROR(INDEX(SUPPLIERS!$Q$4:$Q$63,MATCH($E233,SUPPLIERS!$A$4:$A$63,0)),0))</f>
        <v/>
      </c>
      <c r="V233" s="2" t="str">
        <f aca="false">IF($Q233="","",IF($U233&gt;0,100,0)+IF($P233="",0,$P233)+ROW()/100000)</f>
        <v/>
      </c>
      <c r="W233" s="2" t="str">
        <f aca="false">IF($V233="","",IF($A233=SEL_MODEL,$V233,""))</f>
        <v/>
      </c>
    </row>
    <row r="234" customFormat="false" ht="15" hidden="false" customHeight="false" outlineLevel="0" collapsed="false">
      <c r="A234" s="20"/>
      <c r="B234" s="21"/>
      <c r="C234" s="22"/>
      <c r="D234" s="21"/>
      <c r="E234" s="20"/>
      <c r="F234" s="23"/>
      <c r="G234" s="24" t="str">
        <f aca="false">IF(OR($A234="",$F234=""),"",IFERROR(IF(INDEX(MODELS!$K$4:$K$28,MATCH($A234,MODELS!$A$4:$A$28,0))="","",$F234*INDEX(MODELS!$K$4:$K$28,MATCH($A234,MODELS!$A$4:$A$28,0))),""))</f>
        <v/>
      </c>
      <c r="H234" s="21"/>
      <c r="I234" s="21"/>
      <c r="J234" s="21"/>
      <c r="K234" s="25" t="str">
        <f aca="false">IF($E234="","",IFERROR(IF(INDEX(SUPPLIERS!$K$4:$K$63,MATCH($E234,SUPPLIERS!$A$4:$A$63,0))="","",INDEX(SUPPLIERS!$K$4:$K$63,MATCH($E234,SUPPLIERS!$A$4:$A$63,0))),""))</f>
        <v/>
      </c>
      <c r="L234" s="25" t="str">
        <f aca="false">IF($E234="","",IFERROR(IF(INDEX(SUPPLIERS!$L$4:$L$63,MATCH($E234,SUPPLIERS!$A$4:$A$63,0))="","",INDEX(SUPPLIERS!$L$4:$L$63,MATCH($E234,SUPPLIERS!$A$4:$A$63,0))),""))</f>
        <v/>
      </c>
      <c r="M234" s="21"/>
      <c r="N234" s="11" t="str">
        <f aca="false">IF($E234="","",IFERROR(_xlfn.TEXTJOIN("; ",TRUE(),INDEX(SUPPLIERS!$F$4:$F$63,MATCH($E234,SUPPLIERS!$A$4:$A$63,0)),INDEX(SUPPLIERS!$G$4:$G$63,MATCH($E234,SUPPLIERS!$A$4:$A$63,0)),INDEX(SUPPLIERS!$H$4:$H$63,MATCH($E234,SUPPLIERS!$A$4:$A$63,0)),INDEX(SUPPLIERS!$I$4:$I$63,MATCH($E234,SUPPLIERS!$A$4:$A$63,0)),INDEX(SUPPLIERS!$J$4:$J$63,MATCH($E234,SUPPLIERS!$A$4:$A$63,0))),""))</f>
        <v/>
      </c>
      <c r="O234" s="26" t="str">
        <f aca="false">IF(COUNT($H234:$L234)&lt;5,"",ROUND($H234*W_SRC+$I234*W_QC+$J234*W_CAP+$K234*W_SUP+$L234*W_EXT,1))</f>
        <v/>
      </c>
      <c r="P234" s="27" t="str">
        <f aca="false">IF(OR($O234="",$M234=""),"",ROUND($O234*$M234,1))</f>
        <v/>
      </c>
      <c r="Q234" s="28" t="str">
        <f aca="false">IF($E234="","",IF($U234&gt;0,"CRITICAL (FLAG)",IF(OR($O234="",$M234=""),"NOT SCORED",IF($P234&gt;=T_CRIT,"CRITICAL",IF($P234&gt;=T_MON,"MONITOR","LOW")))))</f>
        <v/>
      </c>
      <c r="R234" s="12" t="str">
        <f aca="false">IF($O234="","",INDEX(DriverNames,MATCH(MAX($H234:$L234),$H234:$L234,0)))</f>
        <v/>
      </c>
      <c r="S234" s="22"/>
      <c r="T234" s="29"/>
      <c r="U234" s="2" t="str">
        <f aca="false">IF($E234="","",IFERROR(INDEX(SUPPLIERS!$Q$4:$Q$63,MATCH($E234,SUPPLIERS!$A$4:$A$63,0)),0))</f>
        <v/>
      </c>
      <c r="V234" s="2" t="str">
        <f aca="false">IF($Q234="","",IF($U234&gt;0,100,0)+IF($P234="",0,$P234)+ROW()/100000)</f>
        <v/>
      </c>
      <c r="W234" s="2" t="str">
        <f aca="false">IF($V234="","",IF($A234=SEL_MODEL,$V234,""))</f>
        <v/>
      </c>
    </row>
    <row r="235" customFormat="false" ht="15" hidden="false" customHeight="false" outlineLevel="0" collapsed="false">
      <c r="A235" s="20"/>
      <c r="B235" s="21"/>
      <c r="C235" s="22"/>
      <c r="D235" s="21"/>
      <c r="E235" s="20"/>
      <c r="F235" s="23"/>
      <c r="G235" s="24" t="str">
        <f aca="false">IF(OR($A235="",$F235=""),"",IFERROR(IF(INDEX(MODELS!$K$4:$K$28,MATCH($A235,MODELS!$A$4:$A$28,0))="","",$F235*INDEX(MODELS!$K$4:$K$28,MATCH($A235,MODELS!$A$4:$A$28,0))),""))</f>
        <v/>
      </c>
      <c r="H235" s="21"/>
      <c r="I235" s="21"/>
      <c r="J235" s="21"/>
      <c r="K235" s="25" t="str">
        <f aca="false">IF($E235="","",IFERROR(IF(INDEX(SUPPLIERS!$K$4:$K$63,MATCH($E235,SUPPLIERS!$A$4:$A$63,0))="","",INDEX(SUPPLIERS!$K$4:$K$63,MATCH($E235,SUPPLIERS!$A$4:$A$63,0))),""))</f>
        <v/>
      </c>
      <c r="L235" s="25" t="str">
        <f aca="false">IF($E235="","",IFERROR(IF(INDEX(SUPPLIERS!$L$4:$L$63,MATCH($E235,SUPPLIERS!$A$4:$A$63,0))="","",INDEX(SUPPLIERS!$L$4:$L$63,MATCH($E235,SUPPLIERS!$A$4:$A$63,0))),""))</f>
        <v/>
      </c>
      <c r="M235" s="21"/>
      <c r="N235" s="11" t="str">
        <f aca="false">IF($E235="","",IFERROR(_xlfn.TEXTJOIN("; ",TRUE(),INDEX(SUPPLIERS!$F$4:$F$63,MATCH($E235,SUPPLIERS!$A$4:$A$63,0)),INDEX(SUPPLIERS!$G$4:$G$63,MATCH($E235,SUPPLIERS!$A$4:$A$63,0)),INDEX(SUPPLIERS!$H$4:$H$63,MATCH($E235,SUPPLIERS!$A$4:$A$63,0)),INDEX(SUPPLIERS!$I$4:$I$63,MATCH($E235,SUPPLIERS!$A$4:$A$63,0)),INDEX(SUPPLIERS!$J$4:$J$63,MATCH($E235,SUPPLIERS!$A$4:$A$63,0))),""))</f>
        <v/>
      </c>
      <c r="O235" s="26" t="str">
        <f aca="false">IF(COUNT($H235:$L235)&lt;5,"",ROUND($H235*W_SRC+$I235*W_QC+$J235*W_CAP+$K235*W_SUP+$L235*W_EXT,1))</f>
        <v/>
      </c>
      <c r="P235" s="27" t="str">
        <f aca="false">IF(OR($O235="",$M235=""),"",ROUND($O235*$M235,1))</f>
        <v/>
      </c>
      <c r="Q235" s="28" t="str">
        <f aca="false">IF($E235="","",IF($U235&gt;0,"CRITICAL (FLAG)",IF(OR($O235="",$M235=""),"NOT SCORED",IF($P235&gt;=T_CRIT,"CRITICAL",IF($P235&gt;=T_MON,"MONITOR","LOW")))))</f>
        <v/>
      </c>
      <c r="R235" s="12" t="str">
        <f aca="false">IF($O235="","",INDEX(DriverNames,MATCH(MAX($H235:$L235),$H235:$L235,0)))</f>
        <v/>
      </c>
      <c r="S235" s="22"/>
      <c r="T235" s="29"/>
      <c r="U235" s="2" t="str">
        <f aca="false">IF($E235="","",IFERROR(INDEX(SUPPLIERS!$Q$4:$Q$63,MATCH($E235,SUPPLIERS!$A$4:$A$63,0)),0))</f>
        <v/>
      </c>
      <c r="V235" s="2" t="str">
        <f aca="false">IF($Q235="","",IF($U235&gt;0,100,0)+IF($P235="",0,$P235)+ROW()/100000)</f>
        <v/>
      </c>
      <c r="W235" s="2" t="str">
        <f aca="false">IF($V235="","",IF($A235=SEL_MODEL,$V235,""))</f>
        <v/>
      </c>
    </row>
    <row r="236" customFormat="false" ht="15" hidden="false" customHeight="false" outlineLevel="0" collapsed="false">
      <c r="A236" s="20"/>
      <c r="B236" s="21"/>
      <c r="C236" s="22"/>
      <c r="D236" s="21"/>
      <c r="E236" s="20"/>
      <c r="F236" s="23"/>
      <c r="G236" s="24" t="str">
        <f aca="false">IF(OR($A236="",$F236=""),"",IFERROR(IF(INDEX(MODELS!$K$4:$K$28,MATCH($A236,MODELS!$A$4:$A$28,0))="","",$F236*INDEX(MODELS!$K$4:$K$28,MATCH($A236,MODELS!$A$4:$A$28,0))),""))</f>
        <v/>
      </c>
      <c r="H236" s="21"/>
      <c r="I236" s="21"/>
      <c r="J236" s="21"/>
      <c r="K236" s="25" t="str">
        <f aca="false">IF($E236="","",IFERROR(IF(INDEX(SUPPLIERS!$K$4:$K$63,MATCH($E236,SUPPLIERS!$A$4:$A$63,0))="","",INDEX(SUPPLIERS!$K$4:$K$63,MATCH($E236,SUPPLIERS!$A$4:$A$63,0))),""))</f>
        <v/>
      </c>
      <c r="L236" s="25" t="str">
        <f aca="false">IF($E236="","",IFERROR(IF(INDEX(SUPPLIERS!$L$4:$L$63,MATCH($E236,SUPPLIERS!$A$4:$A$63,0))="","",INDEX(SUPPLIERS!$L$4:$L$63,MATCH($E236,SUPPLIERS!$A$4:$A$63,0))),""))</f>
        <v/>
      </c>
      <c r="M236" s="21"/>
      <c r="N236" s="11" t="str">
        <f aca="false">IF($E236="","",IFERROR(_xlfn.TEXTJOIN("; ",TRUE(),INDEX(SUPPLIERS!$F$4:$F$63,MATCH($E236,SUPPLIERS!$A$4:$A$63,0)),INDEX(SUPPLIERS!$G$4:$G$63,MATCH($E236,SUPPLIERS!$A$4:$A$63,0)),INDEX(SUPPLIERS!$H$4:$H$63,MATCH($E236,SUPPLIERS!$A$4:$A$63,0)),INDEX(SUPPLIERS!$I$4:$I$63,MATCH($E236,SUPPLIERS!$A$4:$A$63,0)),INDEX(SUPPLIERS!$J$4:$J$63,MATCH($E236,SUPPLIERS!$A$4:$A$63,0))),""))</f>
        <v/>
      </c>
      <c r="O236" s="26" t="str">
        <f aca="false">IF(COUNT($H236:$L236)&lt;5,"",ROUND($H236*W_SRC+$I236*W_QC+$J236*W_CAP+$K236*W_SUP+$L236*W_EXT,1))</f>
        <v/>
      </c>
      <c r="P236" s="27" t="str">
        <f aca="false">IF(OR($O236="",$M236=""),"",ROUND($O236*$M236,1))</f>
        <v/>
      </c>
      <c r="Q236" s="28" t="str">
        <f aca="false">IF($E236="","",IF($U236&gt;0,"CRITICAL (FLAG)",IF(OR($O236="",$M236=""),"NOT SCORED",IF($P236&gt;=T_CRIT,"CRITICAL",IF($P236&gt;=T_MON,"MONITOR","LOW")))))</f>
        <v/>
      </c>
      <c r="R236" s="12" t="str">
        <f aca="false">IF($O236="","",INDEX(DriverNames,MATCH(MAX($H236:$L236),$H236:$L236,0)))</f>
        <v/>
      </c>
      <c r="S236" s="22"/>
      <c r="T236" s="29"/>
      <c r="U236" s="2" t="str">
        <f aca="false">IF($E236="","",IFERROR(INDEX(SUPPLIERS!$Q$4:$Q$63,MATCH($E236,SUPPLIERS!$A$4:$A$63,0)),0))</f>
        <v/>
      </c>
      <c r="V236" s="2" t="str">
        <f aca="false">IF($Q236="","",IF($U236&gt;0,100,0)+IF($P236="",0,$P236)+ROW()/100000)</f>
        <v/>
      </c>
      <c r="W236" s="2" t="str">
        <f aca="false">IF($V236="","",IF($A236=SEL_MODEL,$V236,""))</f>
        <v/>
      </c>
    </row>
    <row r="237" customFormat="false" ht="15" hidden="false" customHeight="false" outlineLevel="0" collapsed="false">
      <c r="A237" s="20"/>
      <c r="B237" s="21"/>
      <c r="C237" s="22"/>
      <c r="D237" s="21"/>
      <c r="E237" s="20"/>
      <c r="F237" s="23"/>
      <c r="G237" s="24" t="str">
        <f aca="false">IF(OR($A237="",$F237=""),"",IFERROR(IF(INDEX(MODELS!$K$4:$K$28,MATCH($A237,MODELS!$A$4:$A$28,0))="","",$F237*INDEX(MODELS!$K$4:$K$28,MATCH($A237,MODELS!$A$4:$A$28,0))),""))</f>
        <v/>
      </c>
      <c r="H237" s="21"/>
      <c r="I237" s="21"/>
      <c r="J237" s="21"/>
      <c r="K237" s="25" t="str">
        <f aca="false">IF($E237="","",IFERROR(IF(INDEX(SUPPLIERS!$K$4:$K$63,MATCH($E237,SUPPLIERS!$A$4:$A$63,0))="","",INDEX(SUPPLIERS!$K$4:$K$63,MATCH($E237,SUPPLIERS!$A$4:$A$63,0))),""))</f>
        <v/>
      </c>
      <c r="L237" s="25" t="str">
        <f aca="false">IF($E237="","",IFERROR(IF(INDEX(SUPPLIERS!$L$4:$L$63,MATCH($E237,SUPPLIERS!$A$4:$A$63,0))="","",INDEX(SUPPLIERS!$L$4:$L$63,MATCH($E237,SUPPLIERS!$A$4:$A$63,0))),""))</f>
        <v/>
      </c>
      <c r="M237" s="21"/>
      <c r="N237" s="11" t="str">
        <f aca="false">IF($E237="","",IFERROR(_xlfn.TEXTJOIN("; ",TRUE(),INDEX(SUPPLIERS!$F$4:$F$63,MATCH($E237,SUPPLIERS!$A$4:$A$63,0)),INDEX(SUPPLIERS!$G$4:$G$63,MATCH($E237,SUPPLIERS!$A$4:$A$63,0)),INDEX(SUPPLIERS!$H$4:$H$63,MATCH($E237,SUPPLIERS!$A$4:$A$63,0)),INDEX(SUPPLIERS!$I$4:$I$63,MATCH($E237,SUPPLIERS!$A$4:$A$63,0)),INDEX(SUPPLIERS!$J$4:$J$63,MATCH($E237,SUPPLIERS!$A$4:$A$63,0))),""))</f>
        <v/>
      </c>
      <c r="O237" s="26" t="str">
        <f aca="false">IF(COUNT($H237:$L237)&lt;5,"",ROUND($H237*W_SRC+$I237*W_QC+$J237*W_CAP+$K237*W_SUP+$L237*W_EXT,1))</f>
        <v/>
      </c>
      <c r="P237" s="27" t="str">
        <f aca="false">IF(OR($O237="",$M237=""),"",ROUND($O237*$M237,1))</f>
        <v/>
      </c>
      <c r="Q237" s="28" t="str">
        <f aca="false">IF($E237="","",IF($U237&gt;0,"CRITICAL (FLAG)",IF(OR($O237="",$M237=""),"NOT SCORED",IF($P237&gt;=T_CRIT,"CRITICAL",IF($P237&gt;=T_MON,"MONITOR","LOW")))))</f>
        <v/>
      </c>
      <c r="R237" s="12" t="str">
        <f aca="false">IF($O237="","",INDEX(DriverNames,MATCH(MAX($H237:$L237),$H237:$L237,0)))</f>
        <v/>
      </c>
      <c r="S237" s="22"/>
      <c r="T237" s="29"/>
      <c r="U237" s="2" t="str">
        <f aca="false">IF($E237="","",IFERROR(INDEX(SUPPLIERS!$Q$4:$Q$63,MATCH($E237,SUPPLIERS!$A$4:$A$63,0)),0))</f>
        <v/>
      </c>
      <c r="V237" s="2" t="str">
        <f aca="false">IF($Q237="","",IF($U237&gt;0,100,0)+IF($P237="",0,$P237)+ROW()/100000)</f>
        <v/>
      </c>
      <c r="W237" s="2" t="str">
        <f aca="false">IF($V237="","",IF($A237=SEL_MODEL,$V237,""))</f>
        <v/>
      </c>
    </row>
    <row r="238" customFormat="false" ht="15" hidden="false" customHeight="false" outlineLevel="0" collapsed="false">
      <c r="A238" s="20"/>
      <c r="B238" s="21"/>
      <c r="C238" s="22"/>
      <c r="D238" s="21"/>
      <c r="E238" s="20"/>
      <c r="F238" s="23"/>
      <c r="G238" s="24" t="str">
        <f aca="false">IF(OR($A238="",$F238=""),"",IFERROR(IF(INDEX(MODELS!$K$4:$K$28,MATCH($A238,MODELS!$A$4:$A$28,0))="","",$F238*INDEX(MODELS!$K$4:$K$28,MATCH($A238,MODELS!$A$4:$A$28,0))),""))</f>
        <v/>
      </c>
      <c r="H238" s="21"/>
      <c r="I238" s="21"/>
      <c r="J238" s="21"/>
      <c r="K238" s="25" t="str">
        <f aca="false">IF($E238="","",IFERROR(IF(INDEX(SUPPLIERS!$K$4:$K$63,MATCH($E238,SUPPLIERS!$A$4:$A$63,0))="","",INDEX(SUPPLIERS!$K$4:$K$63,MATCH($E238,SUPPLIERS!$A$4:$A$63,0))),""))</f>
        <v/>
      </c>
      <c r="L238" s="25" t="str">
        <f aca="false">IF($E238="","",IFERROR(IF(INDEX(SUPPLIERS!$L$4:$L$63,MATCH($E238,SUPPLIERS!$A$4:$A$63,0))="","",INDEX(SUPPLIERS!$L$4:$L$63,MATCH($E238,SUPPLIERS!$A$4:$A$63,0))),""))</f>
        <v/>
      </c>
      <c r="M238" s="21"/>
      <c r="N238" s="11" t="str">
        <f aca="false">IF($E238="","",IFERROR(_xlfn.TEXTJOIN("; ",TRUE(),INDEX(SUPPLIERS!$F$4:$F$63,MATCH($E238,SUPPLIERS!$A$4:$A$63,0)),INDEX(SUPPLIERS!$G$4:$G$63,MATCH($E238,SUPPLIERS!$A$4:$A$63,0)),INDEX(SUPPLIERS!$H$4:$H$63,MATCH($E238,SUPPLIERS!$A$4:$A$63,0)),INDEX(SUPPLIERS!$I$4:$I$63,MATCH($E238,SUPPLIERS!$A$4:$A$63,0)),INDEX(SUPPLIERS!$J$4:$J$63,MATCH($E238,SUPPLIERS!$A$4:$A$63,0))),""))</f>
        <v/>
      </c>
      <c r="O238" s="26" t="str">
        <f aca="false">IF(COUNT($H238:$L238)&lt;5,"",ROUND($H238*W_SRC+$I238*W_QC+$J238*W_CAP+$K238*W_SUP+$L238*W_EXT,1))</f>
        <v/>
      </c>
      <c r="P238" s="27" t="str">
        <f aca="false">IF(OR($O238="",$M238=""),"",ROUND($O238*$M238,1))</f>
        <v/>
      </c>
      <c r="Q238" s="28" t="str">
        <f aca="false">IF($E238="","",IF($U238&gt;0,"CRITICAL (FLAG)",IF(OR($O238="",$M238=""),"NOT SCORED",IF($P238&gt;=T_CRIT,"CRITICAL",IF($P238&gt;=T_MON,"MONITOR","LOW")))))</f>
        <v/>
      </c>
      <c r="R238" s="12" t="str">
        <f aca="false">IF($O238="","",INDEX(DriverNames,MATCH(MAX($H238:$L238),$H238:$L238,0)))</f>
        <v/>
      </c>
      <c r="S238" s="22"/>
      <c r="T238" s="29"/>
      <c r="U238" s="2" t="str">
        <f aca="false">IF($E238="","",IFERROR(INDEX(SUPPLIERS!$Q$4:$Q$63,MATCH($E238,SUPPLIERS!$A$4:$A$63,0)),0))</f>
        <v/>
      </c>
      <c r="V238" s="2" t="str">
        <f aca="false">IF($Q238="","",IF($U238&gt;0,100,0)+IF($P238="",0,$P238)+ROW()/100000)</f>
        <v/>
      </c>
      <c r="W238" s="2" t="str">
        <f aca="false">IF($V238="","",IF($A238=SEL_MODEL,$V238,""))</f>
        <v/>
      </c>
    </row>
    <row r="239" customFormat="false" ht="15" hidden="false" customHeight="false" outlineLevel="0" collapsed="false">
      <c r="A239" s="20"/>
      <c r="B239" s="21"/>
      <c r="C239" s="22"/>
      <c r="D239" s="21"/>
      <c r="E239" s="20"/>
      <c r="F239" s="23"/>
      <c r="G239" s="24" t="str">
        <f aca="false">IF(OR($A239="",$F239=""),"",IFERROR(IF(INDEX(MODELS!$K$4:$K$28,MATCH($A239,MODELS!$A$4:$A$28,0))="","",$F239*INDEX(MODELS!$K$4:$K$28,MATCH($A239,MODELS!$A$4:$A$28,0))),""))</f>
        <v/>
      </c>
      <c r="H239" s="21"/>
      <c r="I239" s="21"/>
      <c r="J239" s="21"/>
      <c r="K239" s="25" t="str">
        <f aca="false">IF($E239="","",IFERROR(IF(INDEX(SUPPLIERS!$K$4:$K$63,MATCH($E239,SUPPLIERS!$A$4:$A$63,0))="","",INDEX(SUPPLIERS!$K$4:$K$63,MATCH($E239,SUPPLIERS!$A$4:$A$63,0))),""))</f>
        <v/>
      </c>
      <c r="L239" s="25" t="str">
        <f aca="false">IF($E239="","",IFERROR(IF(INDEX(SUPPLIERS!$L$4:$L$63,MATCH($E239,SUPPLIERS!$A$4:$A$63,0))="","",INDEX(SUPPLIERS!$L$4:$L$63,MATCH($E239,SUPPLIERS!$A$4:$A$63,0))),""))</f>
        <v/>
      </c>
      <c r="M239" s="21"/>
      <c r="N239" s="11" t="str">
        <f aca="false">IF($E239="","",IFERROR(_xlfn.TEXTJOIN("; ",TRUE(),INDEX(SUPPLIERS!$F$4:$F$63,MATCH($E239,SUPPLIERS!$A$4:$A$63,0)),INDEX(SUPPLIERS!$G$4:$G$63,MATCH($E239,SUPPLIERS!$A$4:$A$63,0)),INDEX(SUPPLIERS!$H$4:$H$63,MATCH($E239,SUPPLIERS!$A$4:$A$63,0)),INDEX(SUPPLIERS!$I$4:$I$63,MATCH($E239,SUPPLIERS!$A$4:$A$63,0)),INDEX(SUPPLIERS!$J$4:$J$63,MATCH($E239,SUPPLIERS!$A$4:$A$63,0))),""))</f>
        <v/>
      </c>
      <c r="O239" s="26" t="str">
        <f aca="false">IF(COUNT($H239:$L239)&lt;5,"",ROUND($H239*W_SRC+$I239*W_QC+$J239*W_CAP+$K239*W_SUP+$L239*W_EXT,1))</f>
        <v/>
      </c>
      <c r="P239" s="27" t="str">
        <f aca="false">IF(OR($O239="",$M239=""),"",ROUND($O239*$M239,1))</f>
        <v/>
      </c>
      <c r="Q239" s="28" t="str">
        <f aca="false">IF($E239="","",IF($U239&gt;0,"CRITICAL (FLAG)",IF(OR($O239="",$M239=""),"NOT SCORED",IF($P239&gt;=T_CRIT,"CRITICAL",IF($P239&gt;=T_MON,"MONITOR","LOW")))))</f>
        <v/>
      </c>
      <c r="R239" s="12" t="str">
        <f aca="false">IF($O239="","",INDEX(DriverNames,MATCH(MAX($H239:$L239),$H239:$L239,0)))</f>
        <v/>
      </c>
      <c r="S239" s="22"/>
      <c r="T239" s="29"/>
      <c r="U239" s="2" t="str">
        <f aca="false">IF($E239="","",IFERROR(INDEX(SUPPLIERS!$Q$4:$Q$63,MATCH($E239,SUPPLIERS!$A$4:$A$63,0)),0))</f>
        <v/>
      </c>
      <c r="V239" s="2" t="str">
        <f aca="false">IF($Q239="","",IF($U239&gt;0,100,0)+IF($P239="",0,$P239)+ROW()/100000)</f>
        <v/>
      </c>
      <c r="W239" s="2" t="str">
        <f aca="false">IF($V239="","",IF($A239=SEL_MODEL,$V239,""))</f>
        <v/>
      </c>
    </row>
    <row r="240" customFormat="false" ht="15" hidden="false" customHeight="false" outlineLevel="0" collapsed="false">
      <c r="A240" s="20"/>
      <c r="B240" s="21"/>
      <c r="C240" s="22"/>
      <c r="D240" s="21"/>
      <c r="E240" s="20"/>
      <c r="F240" s="23"/>
      <c r="G240" s="24" t="str">
        <f aca="false">IF(OR($A240="",$F240=""),"",IFERROR(IF(INDEX(MODELS!$K$4:$K$28,MATCH($A240,MODELS!$A$4:$A$28,0))="","",$F240*INDEX(MODELS!$K$4:$K$28,MATCH($A240,MODELS!$A$4:$A$28,0))),""))</f>
        <v/>
      </c>
      <c r="H240" s="21"/>
      <c r="I240" s="21"/>
      <c r="J240" s="21"/>
      <c r="K240" s="25" t="str">
        <f aca="false">IF($E240="","",IFERROR(IF(INDEX(SUPPLIERS!$K$4:$K$63,MATCH($E240,SUPPLIERS!$A$4:$A$63,0))="","",INDEX(SUPPLIERS!$K$4:$K$63,MATCH($E240,SUPPLIERS!$A$4:$A$63,0))),""))</f>
        <v/>
      </c>
      <c r="L240" s="25" t="str">
        <f aca="false">IF($E240="","",IFERROR(IF(INDEX(SUPPLIERS!$L$4:$L$63,MATCH($E240,SUPPLIERS!$A$4:$A$63,0))="","",INDEX(SUPPLIERS!$L$4:$L$63,MATCH($E240,SUPPLIERS!$A$4:$A$63,0))),""))</f>
        <v/>
      </c>
      <c r="M240" s="21"/>
      <c r="N240" s="11" t="str">
        <f aca="false">IF($E240="","",IFERROR(_xlfn.TEXTJOIN("; ",TRUE(),INDEX(SUPPLIERS!$F$4:$F$63,MATCH($E240,SUPPLIERS!$A$4:$A$63,0)),INDEX(SUPPLIERS!$G$4:$G$63,MATCH($E240,SUPPLIERS!$A$4:$A$63,0)),INDEX(SUPPLIERS!$H$4:$H$63,MATCH($E240,SUPPLIERS!$A$4:$A$63,0)),INDEX(SUPPLIERS!$I$4:$I$63,MATCH($E240,SUPPLIERS!$A$4:$A$63,0)),INDEX(SUPPLIERS!$J$4:$J$63,MATCH($E240,SUPPLIERS!$A$4:$A$63,0))),""))</f>
        <v/>
      </c>
      <c r="O240" s="26" t="str">
        <f aca="false">IF(COUNT($H240:$L240)&lt;5,"",ROUND($H240*W_SRC+$I240*W_QC+$J240*W_CAP+$K240*W_SUP+$L240*W_EXT,1))</f>
        <v/>
      </c>
      <c r="P240" s="27" t="str">
        <f aca="false">IF(OR($O240="",$M240=""),"",ROUND($O240*$M240,1))</f>
        <v/>
      </c>
      <c r="Q240" s="28" t="str">
        <f aca="false">IF($E240="","",IF($U240&gt;0,"CRITICAL (FLAG)",IF(OR($O240="",$M240=""),"NOT SCORED",IF($P240&gt;=T_CRIT,"CRITICAL",IF($P240&gt;=T_MON,"MONITOR","LOW")))))</f>
        <v/>
      </c>
      <c r="R240" s="12" t="str">
        <f aca="false">IF($O240="","",INDEX(DriverNames,MATCH(MAX($H240:$L240),$H240:$L240,0)))</f>
        <v/>
      </c>
      <c r="S240" s="22"/>
      <c r="T240" s="29"/>
      <c r="U240" s="2" t="str">
        <f aca="false">IF($E240="","",IFERROR(INDEX(SUPPLIERS!$Q$4:$Q$63,MATCH($E240,SUPPLIERS!$A$4:$A$63,0)),0))</f>
        <v/>
      </c>
      <c r="V240" s="2" t="str">
        <f aca="false">IF($Q240="","",IF($U240&gt;0,100,0)+IF($P240="",0,$P240)+ROW()/100000)</f>
        <v/>
      </c>
      <c r="W240" s="2" t="str">
        <f aca="false">IF($V240="","",IF($A240=SEL_MODEL,$V240,""))</f>
        <v/>
      </c>
    </row>
    <row r="241" customFormat="false" ht="15" hidden="false" customHeight="false" outlineLevel="0" collapsed="false">
      <c r="A241" s="20"/>
      <c r="B241" s="21"/>
      <c r="C241" s="22"/>
      <c r="D241" s="21"/>
      <c r="E241" s="20"/>
      <c r="F241" s="23"/>
      <c r="G241" s="24" t="str">
        <f aca="false">IF(OR($A241="",$F241=""),"",IFERROR(IF(INDEX(MODELS!$K$4:$K$28,MATCH($A241,MODELS!$A$4:$A$28,0))="","",$F241*INDEX(MODELS!$K$4:$K$28,MATCH($A241,MODELS!$A$4:$A$28,0))),""))</f>
        <v/>
      </c>
      <c r="H241" s="21"/>
      <c r="I241" s="21"/>
      <c r="J241" s="21"/>
      <c r="K241" s="25" t="str">
        <f aca="false">IF($E241="","",IFERROR(IF(INDEX(SUPPLIERS!$K$4:$K$63,MATCH($E241,SUPPLIERS!$A$4:$A$63,0))="","",INDEX(SUPPLIERS!$K$4:$K$63,MATCH($E241,SUPPLIERS!$A$4:$A$63,0))),""))</f>
        <v/>
      </c>
      <c r="L241" s="25" t="str">
        <f aca="false">IF($E241="","",IFERROR(IF(INDEX(SUPPLIERS!$L$4:$L$63,MATCH($E241,SUPPLIERS!$A$4:$A$63,0))="","",INDEX(SUPPLIERS!$L$4:$L$63,MATCH($E241,SUPPLIERS!$A$4:$A$63,0))),""))</f>
        <v/>
      </c>
      <c r="M241" s="21"/>
      <c r="N241" s="11" t="str">
        <f aca="false">IF($E241="","",IFERROR(_xlfn.TEXTJOIN("; ",TRUE(),INDEX(SUPPLIERS!$F$4:$F$63,MATCH($E241,SUPPLIERS!$A$4:$A$63,0)),INDEX(SUPPLIERS!$G$4:$G$63,MATCH($E241,SUPPLIERS!$A$4:$A$63,0)),INDEX(SUPPLIERS!$H$4:$H$63,MATCH($E241,SUPPLIERS!$A$4:$A$63,0)),INDEX(SUPPLIERS!$I$4:$I$63,MATCH($E241,SUPPLIERS!$A$4:$A$63,0)),INDEX(SUPPLIERS!$J$4:$J$63,MATCH($E241,SUPPLIERS!$A$4:$A$63,0))),""))</f>
        <v/>
      </c>
      <c r="O241" s="26" t="str">
        <f aca="false">IF(COUNT($H241:$L241)&lt;5,"",ROUND($H241*W_SRC+$I241*W_QC+$J241*W_CAP+$K241*W_SUP+$L241*W_EXT,1))</f>
        <v/>
      </c>
      <c r="P241" s="27" t="str">
        <f aca="false">IF(OR($O241="",$M241=""),"",ROUND($O241*$M241,1))</f>
        <v/>
      </c>
      <c r="Q241" s="28" t="str">
        <f aca="false">IF($E241="","",IF($U241&gt;0,"CRITICAL (FLAG)",IF(OR($O241="",$M241=""),"NOT SCORED",IF($P241&gt;=T_CRIT,"CRITICAL",IF($P241&gt;=T_MON,"MONITOR","LOW")))))</f>
        <v/>
      </c>
      <c r="R241" s="12" t="str">
        <f aca="false">IF($O241="","",INDEX(DriverNames,MATCH(MAX($H241:$L241),$H241:$L241,0)))</f>
        <v/>
      </c>
      <c r="S241" s="22"/>
      <c r="T241" s="29"/>
      <c r="U241" s="2" t="str">
        <f aca="false">IF($E241="","",IFERROR(INDEX(SUPPLIERS!$Q$4:$Q$63,MATCH($E241,SUPPLIERS!$A$4:$A$63,0)),0))</f>
        <v/>
      </c>
      <c r="V241" s="2" t="str">
        <f aca="false">IF($Q241="","",IF($U241&gt;0,100,0)+IF($P241="",0,$P241)+ROW()/100000)</f>
        <v/>
      </c>
      <c r="W241" s="2" t="str">
        <f aca="false">IF($V241="","",IF($A241=SEL_MODEL,$V241,""))</f>
        <v/>
      </c>
    </row>
    <row r="242" customFormat="false" ht="15" hidden="false" customHeight="false" outlineLevel="0" collapsed="false">
      <c r="A242" s="20"/>
      <c r="B242" s="21"/>
      <c r="C242" s="22"/>
      <c r="D242" s="21"/>
      <c r="E242" s="20"/>
      <c r="F242" s="23"/>
      <c r="G242" s="24" t="str">
        <f aca="false">IF(OR($A242="",$F242=""),"",IFERROR(IF(INDEX(MODELS!$K$4:$K$28,MATCH($A242,MODELS!$A$4:$A$28,0))="","",$F242*INDEX(MODELS!$K$4:$K$28,MATCH($A242,MODELS!$A$4:$A$28,0))),""))</f>
        <v/>
      </c>
      <c r="H242" s="21"/>
      <c r="I242" s="21"/>
      <c r="J242" s="21"/>
      <c r="K242" s="25" t="str">
        <f aca="false">IF($E242="","",IFERROR(IF(INDEX(SUPPLIERS!$K$4:$K$63,MATCH($E242,SUPPLIERS!$A$4:$A$63,0))="","",INDEX(SUPPLIERS!$K$4:$K$63,MATCH($E242,SUPPLIERS!$A$4:$A$63,0))),""))</f>
        <v/>
      </c>
      <c r="L242" s="25" t="str">
        <f aca="false">IF($E242="","",IFERROR(IF(INDEX(SUPPLIERS!$L$4:$L$63,MATCH($E242,SUPPLIERS!$A$4:$A$63,0))="","",INDEX(SUPPLIERS!$L$4:$L$63,MATCH($E242,SUPPLIERS!$A$4:$A$63,0))),""))</f>
        <v/>
      </c>
      <c r="M242" s="21"/>
      <c r="N242" s="11" t="str">
        <f aca="false">IF($E242="","",IFERROR(_xlfn.TEXTJOIN("; ",TRUE(),INDEX(SUPPLIERS!$F$4:$F$63,MATCH($E242,SUPPLIERS!$A$4:$A$63,0)),INDEX(SUPPLIERS!$G$4:$G$63,MATCH($E242,SUPPLIERS!$A$4:$A$63,0)),INDEX(SUPPLIERS!$H$4:$H$63,MATCH($E242,SUPPLIERS!$A$4:$A$63,0)),INDEX(SUPPLIERS!$I$4:$I$63,MATCH($E242,SUPPLIERS!$A$4:$A$63,0)),INDEX(SUPPLIERS!$J$4:$J$63,MATCH($E242,SUPPLIERS!$A$4:$A$63,0))),""))</f>
        <v/>
      </c>
      <c r="O242" s="26" t="str">
        <f aca="false">IF(COUNT($H242:$L242)&lt;5,"",ROUND($H242*W_SRC+$I242*W_QC+$J242*W_CAP+$K242*W_SUP+$L242*W_EXT,1))</f>
        <v/>
      </c>
      <c r="P242" s="27" t="str">
        <f aca="false">IF(OR($O242="",$M242=""),"",ROUND($O242*$M242,1))</f>
        <v/>
      </c>
      <c r="Q242" s="28" t="str">
        <f aca="false">IF($E242="","",IF($U242&gt;0,"CRITICAL (FLAG)",IF(OR($O242="",$M242=""),"NOT SCORED",IF($P242&gt;=T_CRIT,"CRITICAL",IF($P242&gt;=T_MON,"MONITOR","LOW")))))</f>
        <v/>
      </c>
      <c r="R242" s="12" t="str">
        <f aca="false">IF($O242="","",INDEX(DriverNames,MATCH(MAX($H242:$L242),$H242:$L242,0)))</f>
        <v/>
      </c>
      <c r="S242" s="22"/>
      <c r="T242" s="29"/>
      <c r="U242" s="2" t="str">
        <f aca="false">IF($E242="","",IFERROR(INDEX(SUPPLIERS!$Q$4:$Q$63,MATCH($E242,SUPPLIERS!$A$4:$A$63,0)),0))</f>
        <v/>
      </c>
      <c r="V242" s="2" t="str">
        <f aca="false">IF($Q242="","",IF($U242&gt;0,100,0)+IF($P242="",0,$P242)+ROW()/100000)</f>
        <v/>
      </c>
      <c r="W242" s="2" t="str">
        <f aca="false">IF($V242="","",IF($A242=SEL_MODEL,$V242,""))</f>
        <v/>
      </c>
    </row>
    <row r="243" customFormat="false" ht="15" hidden="false" customHeight="false" outlineLevel="0" collapsed="false">
      <c r="A243" s="20"/>
      <c r="B243" s="21"/>
      <c r="C243" s="22"/>
      <c r="D243" s="21"/>
      <c r="E243" s="20"/>
      <c r="F243" s="23"/>
      <c r="G243" s="24" t="str">
        <f aca="false">IF(OR($A243="",$F243=""),"",IFERROR(IF(INDEX(MODELS!$K$4:$K$28,MATCH($A243,MODELS!$A$4:$A$28,0))="","",$F243*INDEX(MODELS!$K$4:$K$28,MATCH($A243,MODELS!$A$4:$A$28,0))),""))</f>
        <v/>
      </c>
      <c r="H243" s="21"/>
      <c r="I243" s="21"/>
      <c r="J243" s="21"/>
      <c r="K243" s="25" t="str">
        <f aca="false">IF($E243="","",IFERROR(IF(INDEX(SUPPLIERS!$K$4:$K$63,MATCH($E243,SUPPLIERS!$A$4:$A$63,0))="","",INDEX(SUPPLIERS!$K$4:$K$63,MATCH($E243,SUPPLIERS!$A$4:$A$63,0))),""))</f>
        <v/>
      </c>
      <c r="L243" s="25" t="str">
        <f aca="false">IF($E243="","",IFERROR(IF(INDEX(SUPPLIERS!$L$4:$L$63,MATCH($E243,SUPPLIERS!$A$4:$A$63,0))="","",INDEX(SUPPLIERS!$L$4:$L$63,MATCH($E243,SUPPLIERS!$A$4:$A$63,0))),""))</f>
        <v/>
      </c>
      <c r="M243" s="21"/>
      <c r="N243" s="11" t="str">
        <f aca="false">IF($E243="","",IFERROR(_xlfn.TEXTJOIN("; ",TRUE(),INDEX(SUPPLIERS!$F$4:$F$63,MATCH($E243,SUPPLIERS!$A$4:$A$63,0)),INDEX(SUPPLIERS!$G$4:$G$63,MATCH($E243,SUPPLIERS!$A$4:$A$63,0)),INDEX(SUPPLIERS!$H$4:$H$63,MATCH($E243,SUPPLIERS!$A$4:$A$63,0)),INDEX(SUPPLIERS!$I$4:$I$63,MATCH($E243,SUPPLIERS!$A$4:$A$63,0)),INDEX(SUPPLIERS!$J$4:$J$63,MATCH($E243,SUPPLIERS!$A$4:$A$63,0))),""))</f>
        <v/>
      </c>
      <c r="O243" s="26" t="str">
        <f aca="false">IF(COUNT($H243:$L243)&lt;5,"",ROUND($H243*W_SRC+$I243*W_QC+$J243*W_CAP+$K243*W_SUP+$L243*W_EXT,1))</f>
        <v/>
      </c>
      <c r="P243" s="27" t="str">
        <f aca="false">IF(OR($O243="",$M243=""),"",ROUND($O243*$M243,1))</f>
        <v/>
      </c>
      <c r="Q243" s="28" t="str">
        <f aca="false">IF($E243="","",IF($U243&gt;0,"CRITICAL (FLAG)",IF(OR($O243="",$M243=""),"NOT SCORED",IF($P243&gt;=T_CRIT,"CRITICAL",IF($P243&gt;=T_MON,"MONITOR","LOW")))))</f>
        <v/>
      </c>
      <c r="R243" s="12" t="str">
        <f aca="false">IF($O243="","",INDEX(DriverNames,MATCH(MAX($H243:$L243),$H243:$L243,0)))</f>
        <v/>
      </c>
      <c r="S243" s="22"/>
      <c r="T243" s="29"/>
      <c r="U243" s="2" t="str">
        <f aca="false">IF($E243="","",IFERROR(INDEX(SUPPLIERS!$Q$4:$Q$63,MATCH($E243,SUPPLIERS!$A$4:$A$63,0)),0))</f>
        <v/>
      </c>
      <c r="V243" s="2" t="str">
        <f aca="false">IF($Q243="","",IF($U243&gt;0,100,0)+IF($P243="",0,$P243)+ROW()/100000)</f>
        <v/>
      </c>
      <c r="W243" s="2" t="str">
        <f aca="false">IF($V243="","",IF($A243=SEL_MODEL,$V243,""))</f>
        <v/>
      </c>
    </row>
    <row r="244" customFormat="false" ht="15" hidden="false" customHeight="false" outlineLevel="0" collapsed="false">
      <c r="A244" s="20"/>
      <c r="B244" s="21"/>
      <c r="C244" s="22"/>
      <c r="D244" s="21"/>
      <c r="E244" s="20"/>
      <c r="F244" s="23"/>
      <c r="G244" s="24" t="str">
        <f aca="false">IF(OR($A244="",$F244=""),"",IFERROR(IF(INDEX(MODELS!$K$4:$K$28,MATCH($A244,MODELS!$A$4:$A$28,0))="","",$F244*INDEX(MODELS!$K$4:$K$28,MATCH($A244,MODELS!$A$4:$A$28,0))),""))</f>
        <v/>
      </c>
      <c r="H244" s="21"/>
      <c r="I244" s="21"/>
      <c r="J244" s="21"/>
      <c r="K244" s="25" t="str">
        <f aca="false">IF($E244="","",IFERROR(IF(INDEX(SUPPLIERS!$K$4:$K$63,MATCH($E244,SUPPLIERS!$A$4:$A$63,0))="","",INDEX(SUPPLIERS!$K$4:$K$63,MATCH($E244,SUPPLIERS!$A$4:$A$63,0))),""))</f>
        <v/>
      </c>
      <c r="L244" s="25" t="str">
        <f aca="false">IF($E244="","",IFERROR(IF(INDEX(SUPPLIERS!$L$4:$L$63,MATCH($E244,SUPPLIERS!$A$4:$A$63,0))="","",INDEX(SUPPLIERS!$L$4:$L$63,MATCH($E244,SUPPLIERS!$A$4:$A$63,0))),""))</f>
        <v/>
      </c>
      <c r="M244" s="21"/>
      <c r="N244" s="11" t="str">
        <f aca="false">IF($E244="","",IFERROR(_xlfn.TEXTJOIN("; ",TRUE(),INDEX(SUPPLIERS!$F$4:$F$63,MATCH($E244,SUPPLIERS!$A$4:$A$63,0)),INDEX(SUPPLIERS!$G$4:$G$63,MATCH($E244,SUPPLIERS!$A$4:$A$63,0)),INDEX(SUPPLIERS!$H$4:$H$63,MATCH($E244,SUPPLIERS!$A$4:$A$63,0)),INDEX(SUPPLIERS!$I$4:$I$63,MATCH($E244,SUPPLIERS!$A$4:$A$63,0)),INDEX(SUPPLIERS!$J$4:$J$63,MATCH($E244,SUPPLIERS!$A$4:$A$63,0))),""))</f>
        <v/>
      </c>
      <c r="O244" s="26" t="str">
        <f aca="false">IF(COUNT($H244:$L244)&lt;5,"",ROUND($H244*W_SRC+$I244*W_QC+$J244*W_CAP+$K244*W_SUP+$L244*W_EXT,1))</f>
        <v/>
      </c>
      <c r="P244" s="27" t="str">
        <f aca="false">IF(OR($O244="",$M244=""),"",ROUND($O244*$M244,1))</f>
        <v/>
      </c>
      <c r="Q244" s="28" t="str">
        <f aca="false">IF($E244="","",IF($U244&gt;0,"CRITICAL (FLAG)",IF(OR($O244="",$M244=""),"NOT SCORED",IF($P244&gt;=T_CRIT,"CRITICAL",IF($P244&gt;=T_MON,"MONITOR","LOW")))))</f>
        <v/>
      </c>
      <c r="R244" s="12" t="str">
        <f aca="false">IF($O244="","",INDEX(DriverNames,MATCH(MAX($H244:$L244),$H244:$L244,0)))</f>
        <v/>
      </c>
      <c r="S244" s="22"/>
      <c r="T244" s="29"/>
      <c r="U244" s="2" t="str">
        <f aca="false">IF($E244="","",IFERROR(INDEX(SUPPLIERS!$Q$4:$Q$63,MATCH($E244,SUPPLIERS!$A$4:$A$63,0)),0))</f>
        <v/>
      </c>
      <c r="V244" s="2" t="str">
        <f aca="false">IF($Q244="","",IF($U244&gt;0,100,0)+IF($P244="",0,$P244)+ROW()/100000)</f>
        <v/>
      </c>
      <c r="W244" s="2" t="str">
        <f aca="false">IF($V244="","",IF($A244=SEL_MODEL,$V244,""))</f>
        <v/>
      </c>
    </row>
    <row r="245" customFormat="false" ht="15" hidden="false" customHeight="false" outlineLevel="0" collapsed="false">
      <c r="A245" s="20"/>
      <c r="B245" s="21"/>
      <c r="C245" s="22"/>
      <c r="D245" s="21"/>
      <c r="E245" s="20"/>
      <c r="F245" s="23"/>
      <c r="G245" s="24" t="str">
        <f aca="false">IF(OR($A245="",$F245=""),"",IFERROR(IF(INDEX(MODELS!$K$4:$K$28,MATCH($A245,MODELS!$A$4:$A$28,0))="","",$F245*INDEX(MODELS!$K$4:$K$28,MATCH($A245,MODELS!$A$4:$A$28,0))),""))</f>
        <v/>
      </c>
      <c r="H245" s="21"/>
      <c r="I245" s="21"/>
      <c r="J245" s="21"/>
      <c r="K245" s="25" t="str">
        <f aca="false">IF($E245="","",IFERROR(IF(INDEX(SUPPLIERS!$K$4:$K$63,MATCH($E245,SUPPLIERS!$A$4:$A$63,0))="","",INDEX(SUPPLIERS!$K$4:$K$63,MATCH($E245,SUPPLIERS!$A$4:$A$63,0))),""))</f>
        <v/>
      </c>
      <c r="L245" s="25" t="str">
        <f aca="false">IF($E245="","",IFERROR(IF(INDEX(SUPPLIERS!$L$4:$L$63,MATCH($E245,SUPPLIERS!$A$4:$A$63,0))="","",INDEX(SUPPLIERS!$L$4:$L$63,MATCH($E245,SUPPLIERS!$A$4:$A$63,0))),""))</f>
        <v/>
      </c>
      <c r="M245" s="21"/>
      <c r="N245" s="11" t="str">
        <f aca="false">IF($E245="","",IFERROR(_xlfn.TEXTJOIN("; ",TRUE(),INDEX(SUPPLIERS!$F$4:$F$63,MATCH($E245,SUPPLIERS!$A$4:$A$63,0)),INDEX(SUPPLIERS!$G$4:$G$63,MATCH($E245,SUPPLIERS!$A$4:$A$63,0)),INDEX(SUPPLIERS!$H$4:$H$63,MATCH($E245,SUPPLIERS!$A$4:$A$63,0)),INDEX(SUPPLIERS!$I$4:$I$63,MATCH($E245,SUPPLIERS!$A$4:$A$63,0)),INDEX(SUPPLIERS!$J$4:$J$63,MATCH($E245,SUPPLIERS!$A$4:$A$63,0))),""))</f>
        <v/>
      </c>
      <c r="O245" s="26" t="str">
        <f aca="false">IF(COUNT($H245:$L245)&lt;5,"",ROUND($H245*W_SRC+$I245*W_QC+$J245*W_CAP+$K245*W_SUP+$L245*W_EXT,1))</f>
        <v/>
      </c>
      <c r="P245" s="27" t="str">
        <f aca="false">IF(OR($O245="",$M245=""),"",ROUND($O245*$M245,1))</f>
        <v/>
      </c>
      <c r="Q245" s="28" t="str">
        <f aca="false">IF($E245="","",IF($U245&gt;0,"CRITICAL (FLAG)",IF(OR($O245="",$M245=""),"NOT SCORED",IF($P245&gt;=T_CRIT,"CRITICAL",IF($P245&gt;=T_MON,"MONITOR","LOW")))))</f>
        <v/>
      </c>
      <c r="R245" s="12" t="str">
        <f aca="false">IF($O245="","",INDEX(DriverNames,MATCH(MAX($H245:$L245),$H245:$L245,0)))</f>
        <v/>
      </c>
      <c r="S245" s="22"/>
      <c r="T245" s="29"/>
      <c r="U245" s="2" t="str">
        <f aca="false">IF($E245="","",IFERROR(INDEX(SUPPLIERS!$Q$4:$Q$63,MATCH($E245,SUPPLIERS!$A$4:$A$63,0)),0))</f>
        <v/>
      </c>
      <c r="V245" s="2" t="str">
        <f aca="false">IF($Q245="","",IF($U245&gt;0,100,0)+IF($P245="",0,$P245)+ROW()/100000)</f>
        <v/>
      </c>
      <c r="W245" s="2" t="str">
        <f aca="false">IF($V245="","",IF($A245=SEL_MODEL,$V245,""))</f>
        <v/>
      </c>
    </row>
    <row r="246" customFormat="false" ht="15" hidden="false" customHeight="false" outlineLevel="0" collapsed="false">
      <c r="A246" s="20"/>
      <c r="B246" s="21"/>
      <c r="C246" s="22"/>
      <c r="D246" s="21"/>
      <c r="E246" s="20"/>
      <c r="F246" s="23"/>
      <c r="G246" s="24" t="str">
        <f aca="false">IF(OR($A246="",$F246=""),"",IFERROR(IF(INDEX(MODELS!$K$4:$K$28,MATCH($A246,MODELS!$A$4:$A$28,0))="","",$F246*INDEX(MODELS!$K$4:$K$28,MATCH($A246,MODELS!$A$4:$A$28,0))),""))</f>
        <v/>
      </c>
      <c r="H246" s="21"/>
      <c r="I246" s="21"/>
      <c r="J246" s="21"/>
      <c r="K246" s="25" t="str">
        <f aca="false">IF($E246="","",IFERROR(IF(INDEX(SUPPLIERS!$K$4:$K$63,MATCH($E246,SUPPLIERS!$A$4:$A$63,0))="","",INDEX(SUPPLIERS!$K$4:$K$63,MATCH($E246,SUPPLIERS!$A$4:$A$63,0))),""))</f>
        <v/>
      </c>
      <c r="L246" s="25" t="str">
        <f aca="false">IF($E246="","",IFERROR(IF(INDEX(SUPPLIERS!$L$4:$L$63,MATCH($E246,SUPPLIERS!$A$4:$A$63,0))="","",INDEX(SUPPLIERS!$L$4:$L$63,MATCH($E246,SUPPLIERS!$A$4:$A$63,0))),""))</f>
        <v/>
      </c>
      <c r="M246" s="21"/>
      <c r="N246" s="11" t="str">
        <f aca="false">IF($E246="","",IFERROR(_xlfn.TEXTJOIN("; ",TRUE(),INDEX(SUPPLIERS!$F$4:$F$63,MATCH($E246,SUPPLIERS!$A$4:$A$63,0)),INDEX(SUPPLIERS!$G$4:$G$63,MATCH($E246,SUPPLIERS!$A$4:$A$63,0)),INDEX(SUPPLIERS!$H$4:$H$63,MATCH($E246,SUPPLIERS!$A$4:$A$63,0)),INDEX(SUPPLIERS!$I$4:$I$63,MATCH($E246,SUPPLIERS!$A$4:$A$63,0)),INDEX(SUPPLIERS!$J$4:$J$63,MATCH($E246,SUPPLIERS!$A$4:$A$63,0))),""))</f>
        <v/>
      </c>
      <c r="O246" s="26" t="str">
        <f aca="false">IF(COUNT($H246:$L246)&lt;5,"",ROUND($H246*W_SRC+$I246*W_QC+$J246*W_CAP+$K246*W_SUP+$L246*W_EXT,1))</f>
        <v/>
      </c>
      <c r="P246" s="27" t="str">
        <f aca="false">IF(OR($O246="",$M246=""),"",ROUND($O246*$M246,1))</f>
        <v/>
      </c>
      <c r="Q246" s="28" t="str">
        <f aca="false">IF($E246="","",IF($U246&gt;0,"CRITICAL (FLAG)",IF(OR($O246="",$M246=""),"NOT SCORED",IF($P246&gt;=T_CRIT,"CRITICAL",IF($P246&gt;=T_MON,"MONITOR","LOW")))))</f>
        <v/>
      </c>
      <c r="R246" s="12" t="str">
        <f aca="false">IF($O246="","",INDEX(DriverNames,MATCH(MAX($H246:$L246),$H246:$L246,0)))</f>
        <v/>
      </c>
      <c r="S246" s="22"/>
      <c r="T246" s="29"/>
      <c r="U246" s="2" t="str">
        <f aca="false">IF($E246="","",IFERROR(INDEX(SUPPLIERS!$Q$4:$Q$63,MATCH($E246,SUPPLIERS!$A$4:$A$63,0)),0))</f>
        <v/>
      </c>
      <c r="V246" s="2" t="str">
        <f aca="false">IF($Q246="","",IF($U246&gt;0,100,0)+IF($P246="",0,$P246)+ROW()/100000)</f>
        <v/>
      </c>
      <c r="W246" s="2" t="str">
        <f aca="false">IF($V246="","",IF($A246=SEL_MODEL,$V246,""))</f>
        <v/>
      </c>
    </row>
    <row r="247" customFormat="false" ht="15" hidden="false" customHeight="false" outlineLevel="0" collapsed="false">
      <c r="A247" s="20"/>
      <c r="B247" s="21"/>
      <c r="C247" s="22"/>
      <c r="D247" s="21"/>
      <c r="E247" s="20"/>
      <c r="F247" s="23"/>
      <c r="G247" s="24" t="str">
        <f aca="false">IF(OR($A247="",$F247=""),"",IFERROR(IF(INDEX(MODELS!$K$4:$K$28,MATCH($A247,MODELS!$A$4:$A$28,0))="","",$F247*INDEX(MODELS!$K$4:$K$28,MATCH($A247,MODELS!$A$4:$A$28,0))),""))</f>
        <v/>
      </c>
      <c r="H247" s="21"/>
      <c r="I247" s="21"/>
      <c r="J247" s="21"/>
      <c r="K247" s="25" t="str">
        <f aca="false">IF($E247="","",IFERROR(IF(INDEX(SUPPLIERS!$K$4:$K$63,MATCH($E247,SUPPLIERS!$A$4:$A$63,0))="","",INDEX(SUPPLIERS!$K$4:$K$63,MATCH($E247,SUPPLIERS!$A$4:$A$63,0))),""))</f>
        <v/>
      </c>
      <c r="L247" s="25" t="str">
        <f aca="false">IF($E247="","",IFERROR(IF(INDEX(SUPPLIERS!$L$4:$L$63,MATCH($E247,SUPPLIERS!$A$4:$A$63,0))="","",INDEX(SUPPLIERS!$L$4:$L$63,MATCH($E247,SUPPLIERS!$A$4:$A$63,0))),""))</f>
        <v/>
      </c>
      <c r="M247" s="21"/>
      <c r="N247" s="11" t="str">
        <f aca="false">IF($E247="","",IFERROR(_xlfn.TEXTJOIN("; ",TRUE(),INDEX(SUPPLIERS!$F$4:$F$63,MATCH($E247,SUPPLIERS!$A$4:$A$63,0)),INDEX(SUPPLIERS!$G$4:$G$63,MATCH($E247,SUPPLIERS!$A$4:$A$63,0)),INDEX(SUPPLIERS!$H$4:$H$63,MATCH($E247,SUPPLIERS!$A$4:$A$63,0)),INDEX(SUPPLIERS!$I$4:$I$63,MATCH($E247,SUPPLIERS!$A$4:$A$63,0)),INDEX(SUPPLIERS!$J$4:$J$63,MATCH($E247,SUPPLIERS!$A$4:$A$63,0))),""))</f>
        <v/>
      </c>
      <c r="O247" s="26" t="str">
        <f aca="false">IF(COUNT($H247:$L247)&lt;5,"",ROUND($H247*W_SRC+$I247*W_QC+$J247*W_CAP+$K247*W_SUP+$L247*W_EXT,1))</f>
        <v/>
      </c>
      <c r="P247" s="27" t="str">
        <f aca="false">IF(OR($O247="",$M247=""),"",ROUND($O247*$M247,1))</f>
        <v/>
      </c>
      <c r="Q247" s="28" t="str">
        <f aca="false">IF($E247="","",IF($U247&gt;0,"CRITICAL (FLAG)",IF(OR($O247="",$M247=""),"NOT SCORED",IF($P247&gt;=T_CRIT,"CRITICAL",IF($P247&gt;=T_MON,"MONITOR","LOW")))))</f>
        <v/>
      </c>
      <c r="R247" s="12" t="str">
        <f aca="false">IF($O247="","",INDEX(DriverNames,MATCH(MAX($H247:$L247),$H247:$L247,0)))</f>
        <v/>
      </c>
      <c r="S247" s="22"/>
      <c r="T247" s="29"/>
      <c r="U247" s="2" t="str">
        <f aca="false">IF($E247="","",IFERROR(INDEX(SUPPLIERS!$Q$4:$Q$63,MATCH($E247,SUPPLIERS!$A$4:$A$63,0)),0))</f>
        <v/>
      </c>
      <c r="V247" s="2" t="str">
        <f aca="false">IF($Q247="","",IF($U247&gt;0,100,0)+IF($P247="",0,$P247)+ROW()/100000)</f>
        <v/>
      </c>
      <c r="W247" s="2" t="str">
        <f aca="false">IF($V247="","",IF($A247=SEL_MODEL,$V247,""))</f>
        <v/>
      </c>
    </row>
    <row r="248" customFormat="false" ht="15" hidden="false" customHeight="false" outlineLevel="0" collapsed="false">
      <c r="A248" s="20"/>
      <c r="B248" s="21"/>
      <c r="C248" s="22"/>
      <c r="D248" s="21"/>
      <c r="E248" s="20"/>
      <c r="F248" s="23"/>
      <c r="G248" s="24" t="str">
        <f aca="false">IF(OR($A248="",$F248=""),"",IFERROR(IF(INDEX(MODELS!$K$4:$K$28,MATCH($A248,MODELS!$A$4:$A$28,0))="","",$F248*INDEX(MODELS!$K$4:$K$28,MATCH($A248,MODELS!$A$4:$A$28,0))),""))</f>
        <v/>
      </c>
      <c r="H248" s="21"/>
      <c r="I248" s="21"/>
      <c r="J248" s="21"/>
      <c r="K248" s="25" t="str">
        <f aca="false">IF($E248="","",IFERROR(IF(INDEX(SUPPLIERS!$K$4:$K$63,MATCH($E248,SUPPLIERS!$A$4:$A$63,0))="","",INDEX(SUPPLIERS!$K$4:$K$63,MATCH($E248,SUPPLIERS!$A$4:$A$63,0))),""))</f>
        <v/>
      </c>
      <c r="L248" s="25" t="str">
        <f aca="false">IF($E248="","",IFERROR(IF(INDEX(SUPPLIERS!$L$4:$L$63,MATCH($E248,SUPPLIERS!$A$4:$A$63,0))="","",INDEX(SUPPLIERS!$L$4:$L$63,MATCH($E248,SUPPLIERS!$A$4:$A$63,0))),""))</f>
        <v/>
      </c>
      <c r="M248" s="21"/>
      <c r="N248" s="11" t="str">
        <f aca="false">IF($E248="","",IFERROR(_xlfn.TEXTJOIN("; ",TRUE(),INDEX(SUPPLIERS!$F$4:$F$63,MATCH($E248,SUPPLIERS!$A$4:$A$63,0)),INDEX(SUPPLIERS!$G$4:$G$63,MATCH($E248,SUPPLIERS!$A$4:$A$63,0)),INDEX(SUPPLIERS!$H$4:$H$63,MATCH($E248,SUPPLIERS!$A$4:$A$63,0)),INDEX(SUPPLIERS!$I$4:$I$63,MATCH($E248,SUPPLIERS!$A$4:$A$63,0)),INDEX(SUPPLIERS!$J$4:$J$63,MATCH($E248,SUPPLIERS!$A$4:$A$63,0))),""))</f>
        <v/>
      </c>
      <c r="O248" s="26" t="str">
        <f aca="false">IF(COUNT($H248:$L248)&lt;5,"",ROUND($H248*W_SRC+$I248*W_QC+$J248*W_CAP+$K248*W_SUP+$L248*W_EXT,1))</f>
        <v/>
      </c>
      <c r="P248" s="27" t="str">
        <f aca="false">IF(OR($O248="",$M248=""),"",ROUND($O248*$M248,1))</f>
        <v/>
      </c>
      <c r="Q248" s="28" t="str">
        <f aca="false">IF($E248="","",IF($U248&gt;0,"CRITICAL (FLAG)",IF(OR($O248="",$M248=""),"NOT SCORED",IF($P248&gt;=T_CRIT,"CRITICAL",IF($P248&gt;=T_MON,"MONITOR","LOW")))))</f>
        <v/>
      </c>
      <c r="R248" s="12" t="str">
        <f aca="false">IF($O248="","",INDEX(DriverNames,MATCH(MAX($H248:$L248),$H248:$L248,0)))</f>
        <v/>
      </c>
      <c r="S248" s="22"/>
      <c r="T248" s="29"/>
      <c r="U248" s="2" t="str">
        <f aca="false">IF($E248="","",IFERROR(INDEX(SUPPLIERS!$Q$4:$Q$63,MATCH($E248,SUPPLIERS!$A$4:$A$63,0)),0))</f>
        <v/>
      </c>
      <c r="V248" s="2" t="str">
        <f aca="false">IF($Q248="","",IF($U248&gt;0,100,0)+IF($P248="",0,$P248)+ROW()/100000)</f>
        <v/>
      </c>
      <c r="W248" s="2" t="str">
        <f aca="false">IF($V248="","",IF($A248=SEL_MODEL,$V248,""))</f>
        <v/>
      </c>
    </row>
    <row r="249" customFormat="false" ht="15" hidden="false" customHeight="false" outlineLevel="0" collapsed="false">
      <c r="A249" s="20"/>
      <c r="B249" s="21"/>
      <c r="C249" s="22"/>
      <c r="D249" s="21"/>
      <c r="E249" s="20"/>
      <c r="F249" s="23"/>
      <c r="G249" s="24" t="str">
        <f aca="false">IF(OR($A249="",$F249=""),"",IFERROR(IF(INDEX(MODELS!$K$4:$K$28,MATCH($A249,MODELS!$A$4:$A$28,0))="","",$F249*INDEX(MODELS!$K$4:$K$28,MATCH($A249,MODELS!$A$4:$A$28,0))),""))</f>
        <v/>
      </c>
      <c r="H249" s="21"/>
      <c r="I249" s="21"/>
      <c r="J249" s="21"/>
      <c r="K249" s="25" t="str">
        <f aca="false">IF($E249="","",IFERROR(IF(INDEX(SUPPLIERS!$K$4:$K$63,MATCH($E249,SUPPLIERS!$A$4:$A$63,0))="","",INDEX(SUPPLIERS!$K$4:$K$63,MATCH($E249,SUPPLIERS!$A$4:$A$63,0))),""))</f>
        <v/>
      </c>
      <c r="L249" s="25" t="str">
        <f aca="false">IF($E249="","",IFERROR(IF(INDEX(SUPPLIERS!$L$4:$L$63,MATCH($E249,SUPPLIERS!$A$4:$A$63,0))="","",INDEX(SUPPLIERS!$L$4:$L$63,MATCH($E249,SUPPLIERS!$A$4:$A$63,0))),""))</f>
        <v/>
      </c>
      <c r="M249" s="21"/>
      <c r="N249" s="11" t="str">
        <f aca="false">IF($E249="","",IFERROR(_xlfn.TEXTJOIN("; ",TRUE(),INDEX(SUPPLIERS!$F$4:$F$63,MATCH($E249,SUPPLIERS!$A$4:$A$63,0)),INDEX(SUPPLIERS!$G$4:$G$63,MATCH($E249,SUPPLIERS!$A$4:$A$63,0)),INDEX(SUPPLIERS!$H$4:$H$63,MATCH($E249,SUPPLIERS!$A$4:$A$63,0)),INDEX(SUPPLIERS!$I$4:$I$63,MATCH($E249,SUPPLIERS!$A$4:$A$63,0)),INDEX(SUPPLIERS!$J$4:$J$63,MATCH($E249,SUPPLIERS!$A$4:$A$63,0))),""))</f>
        <v/>
      </c>
      <c r="O249" s="26" t="str">
        <f aca="false">IF(COUNT($H249:$L249)&lt;5,"",ROUND($H249*W_SRC+$I249*W_QC+$J249*W_CAP+$K249*W_SUP+$L249*W_EXT,1))</f>
        <v/>
      </c>
      <c r="P249" s="27" t="str">
        <f aca="false">IF(OR($O249="",$M249=""),"",ROUND($O249*$M249,1))</f>
        <v/>
      </c>
      <c r="Q249" s="28" t="str">
        <f aca="false">IF($E249="","",IF($U249&gt;0,"CRITICAL (FLAG)",IF(OR($O249="",$M249=""),"NOT SCORED",IF($P249&gt;=T_CRIT,"CRITICAL",IF($P249&gt;=T_MON,"MONITOR","LOW")))))</f>
        <v/>
      </c>
      <c r="R249" s="12" t="str">
        <f aca="false">IF($O249="","",INDEX(DriverNames,MATCH(MAX($H249:$L249),$H249:$L249,0)))</f>
        <v/>
      </c>
      <c r="S249" s="22"/>
      <c r="T249" s="29"/>
      <c r="U249" s="2" t="str">
        <f aca="false">IF($E249="","",IFERROR(INDEX(SUPPLIERS!$Q$4:$Q$63,MATCH($E249,SUPPLIERS!$A$4:$A$63,0)),0))</f>
        <v/>
      </c>
      <c r="V249" s="2" t="str">
        <f aca="false">IF($Q249="","",IF($U249&gt;0,100,0)+IF($P249="",0,$P249)+ROW()/100000)</f>
        <v/>
      </c>
      <c r="W249" s="2" t="str">
        <f aca="false">IF($V249="","",IF($A249=SEL_MODEL,$V249,""))</f>
        <v/>
      </c>
    </row>
    <row r="250" customFormat="false" ht="15" hidden="false" customHeight="false" outlineLevel="0" collapsed="false">
      <c r="A250" s="20"/>
      <c r="B250" s="21"/>
      <c r="C250" s="22"/>
      <c r="D250" s="21"/>
      <c r="E250" s="20"/>
      <c r="F250" s="23"/>
      <c r="G250" s="24" t="str">
        <f aca="false">IF(OR($A250="",$F250=""),"",IFERROR(IF(INDEX(MODELS!$K$4:$K$28,MATCH($A250,MODELS!$A$4:$A$28,0))="","",$F250*INDEX(MODELS!$K$4:$K$28,MATCH($A250,MODELS!$A$4:$A$28,0))),""))</f>
        <v/>
      </c>
      <c r="H250" s="21"/>
      <c r="I250" s="21"/>
      <c r="J250" s="21"/>
      <c r="K250" s="25" t="str">
        <f aca="false">IF($E250="","",IFERROR(IF(INDEX(SUPPLIERS!$K$4:$K$63,MATCH($E250,SUPPLIERS!$A$4:$A$63,0))="","",INDEX(SUPPLIERS!$K$4:$K$63,MATCH($E250,SUPPLIERS!$A$4:$A$63,0))),""))</f>
        <v/>
      </c>
      <c r="L250" s="25" t="str">
        <f aca="false">IF($E250="","",IFERROR(IF(INDEX(SUPPLIERS!$L$4:$L$63,MATCH($E250,SUPPLIERS!$A$4:$A$63,0))="","",INDEX(SUPPLIERS!$L$4:$L$63,MATCH($E250,SUPPLIERS!$A$4:$A$63,0))),""))</f>
        <v/>
      </c>
      <c r="M250" s="21"/>
      <c r="N250" s="11" t="str">
        <f aca="false">IF($E250="","",IFERROR(_xlfn.TEXTJOIN("; ",TRUE(),INDEX(SUPPLIERS!$F$4:$F$63,MATCH($E250,SUPPLIERS!$A$4:$A$63,0)),INDEX(SUPPLIERS!$G$4:$G$63,MATCH($E250,SUPPLIERS!$A$4:$A$63,0)),INDEX(SUPPLIERS!$H$4:$H$63,MATCH($E250,SUPPLIERS!$A$4:$A$63,0)),INDEX(SUPPLIERS!$I$4:$I$63,MATCH($E250,SUPPLIERS!$A$4:$A$63,0)),INDEX(SUPPLIERS!$J$4:$J$63,MATCH($E250,SUPPLIERS!$A$4:$A$63,0))),""))</f>
        <v/>
      </c>
      <c r="O250" s="26" t="str">
        <f aca="false">IF(COUNT($H250:$L250)&lt;5,"",ROUND($H250*W_SRC+$I250*W_QC+$J250*W_CAP+$K250*W_SUP+$L250*W_EXT,1))</f>
        <v/>
      </c>
      <c r="P250" s="27" t="str">
        <f aca="false">IF(OR($O250="",$M250=""),"",ROUND($O250*$M250,1))</f>
        <v/>
      </c>
      <c r="Q250" s="28" t="str">
        <f aca="false">IF($E250="","",IF($U250&gt;0,"CRITICAL (FLAG)",IF(OR($O250="",$M250=""),"NOT SCORED",IF($P250&gt;=T_CRIT,"CRITICAL",IF($P250&gt;=T_MON,"MONITOR","LOW")))))</f>
        <v/>
      </c>
      <c r="R250" s="12" t="str">
        <f aca="false">IF($O250="","",INDEX(DriverNames,MATCH(MAX($H250:$L250),$H250:$L250,0)))</f>
        <v/>
      </c>
      <c r="S250" s="22"/>
      <c r="T250" s="29"/>
      <c r="U250" s="2" t="str">
        <f aca="false">IF($E250="","",IFERROR(INDEX(SUPPLIERS!$Q$4:$Q$63,MATCH($E250,SUPPLIERS!$A$4:$A$63,0)),0))</f>
        <v/>
      </c>
      <c r="V250" s="2" t="str">
        <f aca="false">IF($Q250="","",IF($U250&gt;0,100,0)+IF($P250="",0,$P250)+ROW()/100000)</f>
        <v/>
      </c>
      <c r="W250" s="2" t="str">
        <f aca="false">IF($V250="","",IF($A250=SEL_MODEL,$V250,""))</f>
        <v/>
      </c>
    </row>
    <row r="251" customFormat="false" ht="15" hidden="false" customHeight="false" outlineLevel="0" collapsed="false">
      <c r="A251" s="20"/>
      <c r="B251" s="21"/>
      <c r="C251" s="22"/>
      <c r="D251" s="21"/>
      <c r="E251" s="20"/>
      <c r="F251" s="23"/>
      <c r="G251" s="24" t="str">
        <f aca="false">IF(OR($A251="",$F251=""),"",IFERROR(IF(INDEX(MODELS!$K$4:$K$28,MATCH($A251,MODELS!$A$4:$A$28,0))="","",$F251*INDEX(MODELS!$K$4:$K$28,MATCH($A251,MODELS!$A$4:$A$28,0))),""))</f>
        <v/>
      </c>
      <c r="H251" s="21"/>
      <c r="I251" s="21"/>
      <c r="J251" s="21"/>
      <c r="K251" s="25" t="str">
        <f aca="false">IF($E251="","",IFERROR(IF(INDEX(SUPPLIERS!$K$4:$K$63,MATCH($E251,SUPPLIERS!$A$4:$A$63,0))="","",INDEX(SUPPLIERS!$K$4:$K$63,MATCH($E251,SUPPLIERS!$A$4:$A$63,0))),""))</f>
        <v/>
      </c>
      <c r="L251" s="25" t="str">
        <f aca="false">IF($E251="","",IFERROR(IF(INDEX(SUPPLIERS!$L$4:$L$63,MATCH($E251,SUPPLIERS!$A$4:$A$63,0))="","",INDEX(SUPPLIERS!$L$4:$L$63,MATCH($E251,SUPPLIERS!$A$4:$A$63,0))),""))</f>
        <v/>
      </c>
      <c r="M251" s="21"/>
      <c r="N251" s="11" t="str">
        <f aca="false">IF($E251="","",IFERROR(_xlfn.TEXTJOIN("; ",TRUE(),INDEX(SUPPLIERS!$F$4:$F$63,MATCH($E251,SUPPLIERS!$A$4:$A$63,0)),INDEX(SUPPLIERS!$G$4:$G$63,MATCH($E251,SUPPLIERS!$A$4:$A$63,0)),INDEX(SUPPLIERS!$H$4:$H$63,MATCH($E251,SUPPLIERS!$A$4:$A$63,0)),INDEX(SUPPLIERS!$I$4:$I$63,MATCH($E251,SUPPLIERS!$A$4:$A$63,0)),INDEX(SUPPLIERS!$J$4:$J$63,MATCH($E251,SUPPLIERS!$A$4:$A$63,0))),""))</f>
        <v/>
      </c>
      <c r="O251" s="26" t="str">
        <f aca="false">IF(COUNT($H251:$L251)&lt;5,"",ROUND($H251*W_SRC+$I251*W_QC+$J251*W_CAP+$K251*W_SUP+$L251*W_EXT,1))</f>
        <v/>
      </c>
      <c r="P251" s="27" t="str">
        <f aca="false">IF(OR($O251="",$M251=""),"",ROUND($O251*$M251,1))</f>
        <v/>
      </c>
      <c r="Q251" s="28" t="str">
        <f aca="false">IF($E251="","",IF($U251&gt;0,"CRITICAL (FLAG)",IF(OR($O251="",$M251=""),"NOT SCORED",IF($P251&gt;=T_CRIT,"CRITICAL",IF($P251&gt;=T_MON,"MONITOR","LOW")))))</f>
        <v/>
      </c>
      <c r="R251" s="12" t="str">
        <f aca="false">IF($O251="","",INDEX(DriverNames,MATCH(MAX($H251:$L251),$H251:$L251,0)))</f>
        <v/>
      </c>
      <c r="S251" s="22"/>
      <c r="T251" s="29"/>
      <c r="U251" s="2" t="str">
        <f aca="false">IF($E251="","",IFERROR(INDEX(SUPPLIERS!$Q$4:$Q$63,MATCH($E251,SUPPLIERS!$A$4:$A$63,0)),0))</f>
        <v/>
      </c>
      <c r="V251" s="2" t="str">
        <f aca="false">IF($Q251="","",IF($U251&gt;0,100,0)+IF($P251="",0,$P251)+ROW()/100000)</f>
        <v/>
      </c>
      <c r="W251" s="2" t="str">
        <f aca="false">IF($V251="","",IF($A251=SEL_MODEL,$V251,""))</f>
        <v/>
      </c>
    </row>
    <row r="252" customFormat="false" ht="15" hidden="false" customHeight="false" outlineLevel="0" collapsed="false">
      <c r="A252" s="20"/>
      <c r="B252" s="21"/>
      <c r="C252" s="22"/>
      <c r="D252" s="21"/>
      <c r="E252" s="20"/>
      <c r="F252" s="23"/>
      <c r="G252" s="24" t="str">
        <f aca="false">IF(OR($A252="",$F252=""),"",IFERROR(IF(INDEX(MODELS!$K$4:$K$28,MATCH($A252,MODELS!$A$4:$A$28,0))="","",$F252*INDEX(MODELS!$K$4:$K$28,MATCH($A252,MODELS!$A$4:$A$28,0))),""))</f>
        <v/>
      </c>
      <c r="H252" s="21"/>
      <c r="I252" s="21"/>
      <c r="J252" s="21"/>
      <c r="K252" s="25" t="str">
        <f aca="false">IF($E252="","",IFERROR(IF(INDEX(SUPPLIERS!$K$4:$K$63,MATCH($E252,SUPPLIERS!$A$4:$A$63,0))="","",INDEX(SUPPLIERS!$K$4:$K$63,MATCH($E252,SUPPLIERS!$A$4:$A$63,0))),""))</f>
        <v/>
      </c>
      <c r="L252" s="25" t="str">
        <f aca="false">IF($E252="","",IFERROR(IF(INDEX(SUPPLIERS!$L$4:$L$63,MATCH($E252,SUPPLIERS!$A$4:$A$63,0))="","",INDEX(SUPPLIERS!$L$4:$L$63,MATCH($E252,SUPPLIERS!$A$4:$A$63,0))),""))</f>
        <v/>
      </c>
      <c r="M252" s="21"/>
      <c r="N252" s="11" t="str">
        <f aca="false">IF($E252="","",IFERROR(_xlfn.TEXTJOIN("; ",TRUE(),INDEX(SUPPLIERS!$F$4:$F$63,MATCH($E252,SUPPLIERS!$A$4:$A$63,0)),INDEX(SUPPLIERS!$G$4:$G$63,MATCH($E252,SUPPLIERS!$A$4:$A$63,0)),INDEX(SUPPLIERS!$H$4:$H$63,MATCH($E252,SUPPLIERS!$A$4:$A$63,0)),INDEX(SUPPLIERS!$I$4:$I$63,MATCH($E252,SUPPLIERS!$A$4:$A$63,0)),INDEX(SUPPLIERS!$J$4:$J$63,MATCH($E252,SUPPLIERS!$A$4:$A$63,0))),""))</f>
        <v/>
      </c>
      <c r="O252" s="26" t="str">
        <f aca="false">IF(COUNT($H252:$L252)&lt;5,"",ROUND($H252*W_SRC+$I252*W_QC+$J252*W_CAP+$K252*W_SUP+$L252*W_EXT,1))</f>
        <v/>
      </c>
      <c r="P252" s="27" t="str">
        <f aca="false">IF(OR($O252="",$M252=""),"",ROUND($O252*$M252,1))</f>
        <v/>
      </c>
      <c r="Q252" s="28" t="str">
        <f aca="false">IF($E252="","",IF($U252&gt;0,"CRITICAL (FLAG)",IF(OR($O252="",$M252=""),"NOT SCORED",IF($P252&gt;=T_CRIT,"CRITICAL",IF($P252&gt;=T_MON,"MONITOR","LOW")))))</f>
        <v/>
      </c>
      <c r="R252" s="12" t="str">
        <f aca="false">IF($O252="","",INDEX(DriverNames,MATCH(MAX($H252:$L252),$H252:$L252,0)))</f>
        <v/>
      </c>
      <c r="S252" s="22"/>
      <c r="T252" s="29"/>
      <c r="U252" s="2" t="str">
        <f aca="false">IF($E252="","",IFERROR(INDEX(SUPPLIERS!$Q$4:$Q$63,MATCH($E252,SUPPLIERS!$A$4:$A$63,0)),0))</f>
        <v/>
      </c>
      <c r="V252" s="2" t="str">
        <f aca="false">IF($Q252="","",IF($U252&gt;0,100,0)+IF($P252="",0,$P252)+ROW()/100000)</f>
        <v/>
      </c>
      <c r="W252" s="2" t="str">
        <f aca="false">IF($V252="","",IF($A252=SEL_MODEL,$V252,""))</f>
        <v/>
      </c>
    </row>
    <row r="253" customFormat="false" ht="15" hidden="false" customHeight="false" outlineLevel="0" collapsed="false">
      <c r="A253" s="20"/>
      <c r="B253" s="21"/>
      <c r="C253" s="22"/>
      <c r="D253" s="21"/>
      <c r="E253" s="20"/>
      <c r="F253" s="23"/>
      <c r="G253" s="24" t="str">
        <f aca="false">IF(OR($A253="",$F253=""),"",IFERROR(IF(INDEX(MODELS!$K$4:$K$28,MATCH($A253,MODELS!$A$4:$A$28,0))="","",$F253*INDEX(MODELS!$K$4:$K$28,MATCH($A253,MODELS!$A$4:$A$28,0))),""))</f>
        <v/>
      </c>
      <c r="H253" s="21"/>
      <c r="I253" s="21"/>
      <c r="J253" s="21"/>
      <c r="K253" s="25" t="str">
        <f aca="false">IF($E253="","",IFERROR(IF(INDEX(SUPPLIERS!$K$4:$K$63,MATCH($E253,SUPPLIERS!$A$4:$A$63,0))="","",INDEX(SUPPLIERS!$K$4:$K$63,MATCH($E253,SUPPLIERS!$A$4:$A$63,0))),""))</f>
        <v/>
      </c>
      <c r="L253" s="25" t="str">
        <f aca="false">IF($E253="","",IFERROR(IF(INDEX(SUPPLIERS!$L$4:$L$63,MATCH($E253,SUPPLIERS!$A$4:$A$63,0))="","",INDEX(SUPPLIERS!$L$4:$L$63,MATCH($E253,SUPPLIERS!$A$4:$A$63,0))),""))</f>
        <v/>
      </c>
      <c r="M253" s="21"/>
      <c r="N253" s="11" t="str">
        <f aca="false">IF($E253="","",IFERROR(_xlfn.TEXTJOIN("; ",TRUE(),INDEX(SUPPLIERS!$F$4:$F$63,MATCH($E253,SUPPLIERS!$A$4:$A$63,0)),INDEX(SUPPLIERS!$G$4:$G$63,MATCH($E253,SUPPLIERS!$A$4:$A$63,0)),INDEX(SUPPLIERS!$H$4:$H$63,MATCH($E253,SUPPLIERS!$A$4:$A$63,0)),INDEX(SUPPLIERS!$I$4:$I$63,MATCH($E253,SUPPLIERS!$A$4:$A$63,0)),INDEX(SUPPLIERS!$J$4:$J$63,MATCH($E253,SUPPLIERS!$A$4:$A$63,0))),""))</f>
        <v/>
      </c>
      <c r="O253" s="26" t="str">
        <f aca="false">IF(COUNT($H253:$L253)&lt;5,"",ROUND($H253*W_SRC+$I253*W_QC+$J253*W_CAP+$K253*W_SUP+$L253*W_EXT,1))</f>
        <v/>
      </c>
      <c r="P253" s="27" t="str">
        <f aca="false">IF(OR($O253="",$M253=""),"",ROUND($O253*$M253,1))</f>
        <v/>
      </c>
      <c r="Q253" s="28" t="str">
        <f aca="false">IF($E253="","",IF($U253&gt;0,"CRITICAL (FLAG)",IF(OR($O253="",$M253=""),"NOT SCORED",IF($P253&gt;=T_CRIT,"CRITICAL",IF($P253&gt;=T_MON,"MONITOR","LOW")))))</f>
        <v/>
      </c>
      <c r="R253" s="12" t="str">
        <f aca="false">IF($O253="","",INDEX(DriverNames,MATCH(MAX($H253:$L253),$H253:$L253,0)))</f>
        <v/>
      </c>
      <c r="S253" s="22"/>
      <c r="T253" s="29"/>
      <c r="U253" s="2" t="str">
        <f aca="false">IF($E253="","",IFERROR(INDEX(SUPPLIERS!$Q$4:$Q$63,MATCH($E253,SUPPLIERS!$A$4:$A$63,0)),0))</f>
        <v/>
      </c>
      <c r="V253" s="2" t="str">
        <f aca="false">IF($Q253="","",IF($U253&gt;0,100,0)+IF($P253="",0,$P253)+ROW()/100000)</f>
        <v/>
      </c>
      <c r="W253" s="2" t="str">
        <f aca="false">IF($V253="","",IF($A253=SEL_MODEL,$V253,""))</f>
        <v/>
      </c>
    </row>
    <row r="254" customFormat="false" ht="15" hidden="false" customHeight="false" outlineLevel="0" collapsed="false">
      <c r="A254" s="20"/>
      <c r="B254" s="21"/>
      <c r="C254" s="22"/>
      <c r="D254" s="21"/>
      <c r="E254" s="20"/>
      <c r="F254" s="23"/>
      <c r="G254" s="24" t="str">
        <f aca="false">IF(OR($A254="",$F254=""),"",IFERROR(IF(INDEX(MODELS!$K$4:$K$28,MATCH($A254,MODELS!$A$4:$A$28,0))="","",$F254*INDEX(MODELS!$K$4:$K$28,MATCH($A254,MODELS!$A$4:$A$28,0))),""))</f>
        <v/>
      </c>
      <c r="H254" s="21"/>
      <c r="I254" s="21"/>
      <c r="J254" s="21"/>
      <c r="K254" s="25" t="str">
        <f aca="false">IF($E254="","",IFERROR(IF(INDEX(SUPPLIERS!$K$4:$K$63,MATCH($E254,SUPPLIERS!$A$4:$A$63,0))="","",INDEX(SUPPLIERS!$K$4:$K$63,MATCH($E254,SUPPLIERS!$A$4:$A$63,0))),""))</f>
        <v/>
      </c>
      <c r="L254" s="25" t="str">
        <f aca="false">IF($E254="","",IFERROR(IF(INDEX(SUPPLIERS!$L$4:$L$63,MATCH($E254,SUPPLIERS!$A$4:$A$63,0))="","",INDEX(SUPPLIERS!$L$4:$L$63,MATCH($E254,SUPPLIERS!$A$4:$A$63,0))),""))</f>
        <v/>
      </c>
      <c r="M254" s="21"/>
      <c r="N254" s="11" t="str">
        <f aca="false">IF($E254="","",IFERROR(_xlfn.TEXTJOIN("; ",TRUE(),INDEX(SUPPLIERS!$F$4:$F$63,MATCH($E254,SUPPLIERS!$A$4:$A$63,0)),INDEX(SUPPLIERS!$G$4:$G$63,MATCH($E254,SUPPLIERS!$A$4:$A$63,0)),INDEX(SUPPLIERS!$H$4:$H$63,MATCH($E254,SUPPLIERS!$A$4:$A$63,0)),INDEX(SUPPLIERS!$I$4:$I$63,MATCH($E254,SUPPLIERS!$A$4:$A$63,0)),INDEX(SUPPLIERS!$J$4:$J$63,MATCH($E254,SUPPLIERS!$A$4:$A$63,0))),""))</f>
        <v/>
      </c>
      <c r="O254" s="26" t="str">
        <f aca="false">IF(COUNT($H254:$L254)&lt;5,"",ROUND($H254*W_SRC+$I254*W_QC+$J254*W_CAP+$K254*W_SUP+$L254*W_EXT,1))</f>
        <v/>
      </c>
      <c r="P254" s="27" t="str">
        <f aca="false">IF(OR($O254="",$M254=""),"",ROUND($O254*$M254,1))</f>
        <v/>
      </c>
      <c r="Q254" s="28" t="str">
        <f aca="false">IF($E254="","",IF($U254&gt;0,"CRITICAL (FLAG)",IF(OR($O254="",$M254=""),"NOT SCORED",IF($P254&gt;=T_CRIT,"CRITICAL",IF($P254&gt;=T_MON,"MONITOR","LOW")))))</f>
        <v/>
      </c>
      <c r="R254" s="12" t="str">
        <f aca="false">IF($O254="","",INDEX(DriverNames,MATCH(MAX($H254:$L254),$H254:$L254,0)))</f>
        <v/>
      </c>
      <c r="S254" s="22"/>
      <c r="T254" s="29"/>
      <c r="U254" s="2" t="str">
        <f aca="false">IF($E254="","",IFERROR(INDEX(SUPPLIERS!$Q$4:$Q$63,MATCH($E254,SUPPLIERS!$A$4:$A$63,0)),0))</f>
        <v/>
      </c>
      <c r="V254" s="2" t="str">
        <f aca="false">IF($Q254="","",IF($U254&gt;0,100,0)+IF($P254="",0,$P254)+ROW()/100000)</f>
        <v/>
      </c>
      <c r="W254" s="2" t="str">
        <f aca="false">IF($V254="","",IF($A254=SEL_MODEL,$V254,""))</f>
        <v/>
      </c>
    </row>
    <row r="255" customFormat="false" ht="15" hidden="false" customHeight="false" outlineLevel="0" collapsed="false">
      <c r="A255" s="20"/>
      <c r="B255" s="21"/>
      <c r="C255" s="22"/>
      <c r="D255" s="21"/>
      <c r="E255" s="20"/>
      <c r="F255" s="23"/>
      <c r="G255" s="24" t="str">
        <f aca="false">IF(OR($A255="",$F255=""),"",IFERROR(IF(INDEX(MODELS!$K$4:$K$28,MATCH($A255,MODELS!$A$4:$A$28,0))="","",$F255*INDEX(MODELS!$K$4:$K$28,MATCH($A255,MODELS!$A$4:$A$28,0))),""))</f>
        <v/>
      </c>
      <c r="H255" s="21"/>
      <c r="I255" s="21"/>
      <c r="J255" s="21"/>
      <c r="K255" s="25" t="str">
        <f aca="false">IF($E255="","",IFERROR(IF(INDEX(SUPPLIERS!$K$4:$K$63,MATCH($E255,SUPPLIERS!$A$4:$A$63,0))="","",INDEX(SUPPLIERS!$K$4:$K$63,MATCH($E255,SUPPLIERS!$A$4:$A$63,0))),""))</f>
        <v/>
      </c>
      <c r="L255" s="25" t="str">
        <f aca="false">IF($E255="","",IFERROR(IF(INDEX(SUPPLIERS!$L$4:$L$63,MATCH($E255,SUPPLIERS!$A$4:$A$63,0))="","",INDEX(SUPPLIERS!$L$4:$L$63,MATCH($E255,SUPPLIERS!$A$4:$A$63,0))),""))</f>
        <v/>
      </c>
      <c r="M255" s="21"/>
      <c r="N255" s="11" t="str">
        <f aca="false">IF($E255="","",IFERROR(_xlfn.TEXTJOIN("; ",TRUE(),INDEX(SUPPLIERS!$F$4:$F$63,MATCH($E255,SUPPLIERS!$A$4:$A$63,0)),INDEX(SUPPLIERS!$G$4:$G$63,MATCH($E255,SUPPLIERS!$A$4:$A$63,0)),INDEX(SUPPLIERS!$H$4:$H$63,MATCH($E255,SUPPLIERS!$A$4:$A$63,0)),INDEX(SUPPLIERS!$I$4:$I$63,MATCH($E255,SUPPLIERS!$A$4:$A$63,0)),INDEX(SUPPLIERS!$J$4:$J$63,MATCH($E255,SUPPLIERS!$A$4:$A$63,0))),""))</f>
        <v/>
      </c>
      <c r="O255" s="26" t="str">
        <f aca="false">IF(COUNT($H255:$L255)&lt;5,"",ROUND($H255*W_SRC+$I255*W_QC+$J255*W_CAP+$K255*W_SUP+$L255*W_EXT,1))</f>
        <v/>
      </c>
      <c r="P255" s="27" t="str">
        <f aca="false">IF(OR($O255="",$M255=""),"",ROUND($O255*$M255,1))</f>
        <v/>
      </c>
      <c r="Q255" s="28" t="str">
        <f aca="false">IF($E255="","",IF($U255&gt;0,"CRITICAL (FLAG)",IF(OR($O255="",$M255=""),"NOT SCORED",IF($P255&gt;=T_CRIT,"CRITICAL",IF($P255&gt;=T_MON,"MONITOR","LOW")))))</f>
        <v/>
      </c>
      <c r="R255" s="12" t="str">
        <f aca="false">IF($O255="","",INDEX(DriverNames,MATCH(MAX($H255:$L255),$H255:$L255,0)))</f>
        <v/>
      </c>
      <c r="S255" s="22"/>
      <c r="T255" s="29"/>
      <c r="U255" s="2" t="str">
        <f aca="false">IF($E255="","",IFERROR(INDEX(SUPPLIERS!$Q$4:$Q$63,MATCH($E255,SUPPLIERS!$A$4:$A$63,0)),0))</f>
        <v/>
      </c>
      <c r="V255" s="2" t="str">
        <f aca="false">IF($Q255="","",IF($U255&gt;0,100,0)+IF($P255="",0,$P255)+ROW()/100000)</f>
        <v/>
      </c>
      <c r="W255" s="2" t="str">
        <f aca="false">IF($V255="","",IF($A255=SEL_MODEL,$V255,""))</f>
        <v/>
      </c>
    </row>
    <row r="256" customFormat="false" ht="15" hidden="false" customHeight="false" outlineLevel="0" collapsed="false">
      <c r="A256" s="20"/>
      <c r="B256" s="21"/>
      <c r="C256" s="22"/>
      <c r="D256" s="21"/>
      <c r="E256" s="20"/>
      <c r="F256" s="23"/>
      <c r="G256" s="24" t="str">
        <f aca="false">IF(OR($A256="",$F256=""),"",IFERROR(IF(INDEX(MODELS!$K$4:$K$28,MATCH($A256,MODELS!$A$4:$A$28,0))="","",$F256*INDEX(MODELS!$K$4:$K$28,MATCH($A256,MODELS!$A$4:$A$28,0))),""))</f>
        <v/>
      </c>
      <c r="H256" s="21"/>
      <c r="I256" s="21"/>
      <c r="J256" s="21"/>
      <c r="K256" s="25" t="str">
        <f aca="false">IF($E256="","",IFERROR(IF(INDEX(SUPPLIERS!$K$4:$K$63,MATCH($E256,SUPPLIERS!$A$4:$A$63,0))="","",INDEX(SUPPLIERS!$K$4:$K$63,MATCH($E256,SUPPLIERS!$A$4:$A$63,0))),""))</f>
        <v/>
      </c>
      <c r="L256" s="25" t="str">
        <f aca="false">IF($E256="","",IFERROR(IF(INDEX(SUPPLIERS!$L$4:$L$63,MATCH($E256,SUPPLIERS!$A$4:$A$63,0))="","",INDEX(SUPPLIERS!$L$4:$L$63,MATCH($E256,SUPPLIERS!$A$4:$A$63,0))),""))</f>
        <v/>
      </c>
      <c r="M256" s="21"/>
      <c r="N256" s="11" t="str">
        <f aca="false">IF($E256="","",IFERROR(_xlfn.TEXTJOIN("; ",TRUE(),INDEX(SUPPLIERS!$F$4:$F$63,MATCH($E256,SUPPLIERS!$A$4:$A$63,0)),INDEX(SUPPLIERS!$G$4:$G$63,MATCH($E256,SUPPLIERS!$A$4:$A$63,0)),INDEX(SUPPLIERS!$H$4:$H$63,MATCH($E256,SUPPLIERS!$A$4:$A$63,0)),INDEX(SUPPLIERS!$I$4:$I$63,MATCH($E256,SUPPLIERS!$A$4:$A$63,0)),INDEX(SUPPLIERS!$J$4:$J$63,MATCH($E256,SUPPLIERS!$A$4:$A$63,0))),""))</f>
        <v/>
      </c>
      <c r="O256" s="26" t="str">
        <f aca="false">IF(COUNT($H256:$L256)&lt;5,"",ROUND($H256*W_SRC+$I256*W_QC+$J256*W_CAP+$K256*W_SUP+$L256*W_EXT,1))</f>
        <v/>
      </c>
      <c r="P256" s="27" t="str">
        <f aca="false">IF(OR($O256="",$M256=""),"",ROUND($O256*$M256,1))</f>
        <v/>
      </c>
      <c r="Q256" s="28" t="str">
        <f aca="false">IF($E256="","",IF($U256&gt;0,"CRITICAL (FLAG)",IF(OR($O256="",$M256=""),"NOT SCORED",IF($P256&gt;=T_CRIT,"CRITICAL",IF($P256&gt;=T_MON,"MONITOR","LOW")))))</f>
        <v/>
      </c>
      <c r="R256" s="12" t="str">
        <f aca="false">IF($O256="","",INDEX(DriverNames,MATCH(MAX($H256:$L256),$H256:$L256,0)))</f>
        <v/>
      </c>
      <c r="S256" s="22"/>
      <c r="T256" s="29"/>
      <c r="U256" s="2" t="str">
        <f aca="false">IF($E256="","",IFERROR(INDEX(SUPPLIERS!$Q$4:$Q$63,MATCH($E256,SUPPLIERS!$A$4:$A$63,0)),0))</f>
        <v/>
      </c>
      <c r="V256" s="2" t="str">
        <f aca="false">IF($Q256="","",IF($U256&gt;0,100,0)+IF($P256="",0,$P256)+ROW()/100000)</f>
        <v/>
      </c>
      <c r="W256" s="2" t="str">
        <f aca="false">IF($V256="","",IF($A256=SEL_MODEL,$V256,""))</f>
        <v/>
      </c>
    </row>
    <row r="257" customFormat="false" ht="15" hidden="false" customHeight="false" outlineLevel="0" collapsed="false">
      <c r="A257" s="20"/>
      <c r="B257" s="21"/>
      <c r="C257" s="22"/>
      <c r="D257" s="21"/>
      <c r="E257" s="20"/>
      <c r="F257" s="23"/>
      <c r="G257" s="24" t="str">
        <f aca="false">IF(OR($A257="",$F257=""),"",IFERROR(IF(INDEX(MODELS!$K$4:$K$28,MATCH($A257,MODELS!$A$4:$A$28,0))="","",$F257*INDEX(MODELS!$K$4:$K$28,MATCH($A257,MODELS!$A$4:$A$28,0))),""))</f>
        <v/>
      </c>
      <c r="H257" s="21"/>
      <c r="I257" s="21"/>
      <c r="J257" s="21"/>
      <c r="K257" s="25" t="str">
        <f aca="false">IF($E257="","",IFERROR(IF(INDEX(SUPPLIERS!$K$4:$K$63,MATCH($E257,SUPPLIERS!$A$4:$A$63,0))="","",INDEX(SUPPLIERS!$K$4:$K$63,MATCH($E257,SUPPLIERS!$A$4:$A$63,0))),""))</f>
        <v/>
      </c>
      <c r="L257" s="25" t="str">
        <f aca="false">IF($E257="","",IFERROR(IF(INDEX(SUPPLIERS!$L$4:$L$63,MATCH($E257,SUPPLIERS!$A$4:$A$63,0))="","",INDEX(SUPPLIERS!$L$4:$L$63,MATCH($E257,SUPPLIERS!$A$4:$A$63,0))),""))</f>
        <v/>
      </c>
      <c r="M257" s="21"/>
      <c r="N257" s="11" t="str">
        <f aca="false">IF($E257="","",IFERROR(_xlfn.TEXTJOIN("; ",TRUE(),INDEX(SUPPLIERS!$F$4:$F$63,MATCH($E257,SUPPLIERS!$A$4:$A$63,0)),INDEX(SUPPLIERS!$G$4:$G$63,MATCH($E257,SUPPLIERS!$A$4:$A$63,0)),INDEX(SUPPLIERS!$H$4:$H$63,MATCH($E257,SUPPLIERS!$A$4:$A$63,0)),INDEX(SUPPLIERS!$I$4:$I$63,MATCH($E257,SUPPLIERS!$A$4:$A$63,0)),INDEX(SUPPLIERS!$J$4:$J$63,MATCH($E257,SUPPLIERS!$A$4:$A$63,0))),""))</f>
        <v/>
      </c>
      <c r="O257" s="26" t="str">
        <f aca="false">IF(COUNT($H257:$L257)&lt;5,"",ROUND($H257*W_SRC+$I257*W_QC+$J257*W_CAP+$K257*W_SUP+$L257*W_EXT,1))</f>
        <v/>
      </c>
      <c r="P257" s="27" t="str">
        <f aca="false">IF(OR($O257="",$M257=""),"",ROUND($O257*$M257,1))</f>
        <v/>
      </c>
      <c r="Q257" s="28" t="str">
        <f aca="false">IF($E257="","",IF($U257&gt;0,"CRITICAL (FLAG)",IF(OR($O257="",$M257=""),"NOT SCORED",IF($P257&gt;=T_CRIT,"CRITICAL",IF($P257&gt;=T_MON,"MONITOR","LOW")))))</f>
        <v/>
      </c>
      <c r="R257" s="12" t="str">
        <f aca="false">IF($O257="","",INDEX(DriverNames,MATCH(MAX($H257:$L257),$H257:$L257,0)))</f>
        <v/>
      </c>
      <c r="S257" s="22"/>
      <c r="T257" s="29"/>
      <c r="U257" s="2" t="str">
        <f aca="false">IF($E257="","",IFERROR(INDEX(SUPPLIERS!$Q$4:$Q$63,MATCH($E257,SUPPLIERS!$A$4:$A$63,0)),0))</f>
        <v/>
      </c>
      <c r="V257" s="2" t="str">
        <f aca="false">IF($Q257="","",IF($U257&gt;0,100,0)+IF($P257="",0,$P257)+ROW()/100000)</f>
        <v/>
      </c>
      <c r="W257" s="2" t="str">
        <f aca="false">IF($V257="","",IF($A257=SEL_MODEL,$V257,""))</f>
        <v/>
      </c>
    </row>
    <row r="258" customFormat="false" ht="15" hidden="false" customHeight="false" outlineLevel="0" collapsed="false">
      <c r="A258" s="20"/>
      <c r="B258" s="21"/>
      <c r="C258" s="22"/>
      <c r="D258" s="21"/>
      <c r="E258" s="20"/>
      <c r="F258" s="23"/>
      <c r="G258" s="24" t="str">
        <f aca="false">IF(OR($A258="",$F258=""),"",IFERROR(IF(INDEX(MODELS!$K$4:$K$28,MATCH($A258,MODELS!$A$4:$A$28,0))="","",$F258*INDEX(MODELS!$K$4:$K$28,MATCH($A258,MODELS!$A$4:$A$28,0))),""))</f>
        <v/>
      </c>
      <c r="H258" s="21"/>
      <c r="I258" s="21"/>
      <c r="J258" s="21"/>
      <c r="K258" s="25" t="str">
        <f aca="false">IF($E258="","",IFERROR(IF(INDEX(SUPPLIERS!$K$4:$K$63,MATCH($E258,SUPPLIERS!$A$4:$A$63,0))="","",INDEX(SUPPLIERS!$K$4:$K$63,MATCH($E258,SUPPLIERS!$A$4:$A$63,0))),""))</f>
        <v/>
      </c>
      <c r="L258" s="25" t="str">
        <f aca="false">IF($E258="","",IFERROR(IF(INDEX(SUPPLIERS!$L$4:$L$63,MATCH($E258,SUPPLIERS!$A$4:$A$63,0))="","",INDEX(SUPPLIERS!$L$4:$L$63,MATCH($E258,SUPPLIERS!$A$4:$A$63,0))),""))</f>
        <v/>
      </c>
      <c r="M258" s="21"/>
      <c r="N258" s="11" t="str">
        <f aca="false">IF($E258="","",IFERROR(_xlfn.TEXTJOIN("; ",TRUE(),INDEX(SUPPLIERS!$F$4:$F$63,MATCH($E258,SUPPLIERS!$A$4:$A$63,0)),INDEX(SUPPLIERS!$G$4:$G$63,MATCH($E258,SUPPLIERS!$A$4:$A$63,0)),INDEX(SUPPLIERS!$H$4:$H$63,MATCH($E258,SUPPLIERS!$A$4:$A$63,0)),INDEX(SUPPLIERS!$I$4:$I$63,MATCH($E258,SUPPLIERS!$A$4:$A$63,0)),INDEX(SUPPLIERS!$J$4:$J$63,MATCH($E258,SUPPLIERS!$A$4:$A$63,0))),""))</f>
        <v/>
      </c>
      <c r="O258" s="26" t="str">
        <f aca="false">IF(COUNT($H258:$L258)&lt;5,"",ROUND($H258*W_SRC+$I258*W_QC+$J258*W_CAP+$K258*W_SUP+$L258*W_EXT,1))</f>
        <v/>
      </c>
      <c r="P258" s="27" t="str">
        <f aca="false">IF(OR($O258="",$M258=""),"",ROUND($O258*$M258,1))</f>
        <v/>
      </c>
      <c r="Q258" s="28" t="str">
        <f aca="false">IF($E258="","",IF($U258&gt;0,"CRITICAL (FLAG)",IF(OR($O258="",$M258=""),"NOT SCORED",IF($P258&gt;=T_CRIT,"CRITICAL",IF($P258&gt;=T_MON,"MONITOR","LOW")))))</f>
        <v/>
      </c>
      <c r="R258" s="12" t="str">
        <f aca="false">IF($O258="","",INDEX(DriverNames,MATCH(MAX($H258:$L258),$H258:$L258,0)))</f>
        <v/>
      </c>
      <c r="S258" s="22"/>
      <c r="T258" s="29"/>
      <c r="U258" s="2" t="str">
        <f aca="false">IF($E258="","",IFERROR(INDEX(SUPPLIERS!$Q$4:$Q$63,MATCH($E258,SUPPLIERS!$A$4:$A$63,0)),0))</f>
        <v/>
      </c>
      <c r="V258" s="2" t="str">
        <f aca="false">IF($Q258="","",IF($U258&gt;0,100,0)+IF($P258="",0,$P258)+ROW()/100000)</f>
        <v/>
      </c>
      <c r="W258" s="2" t="str">
        <f aca="false">IF($V258="","",IF($A258=SEL_MODEL,$V258,""))</f>
        <v/>
      </c>
    </row>
    <row r="259" customFormat="false" ht="15" hidden="false" customHeight="false" outlineLevel="0" collapsed="false">
      <c r="A259" s="20"/>
      <c r="B259" s="21"/>
      <c r="C259" s="22"/>
      <c r="D259" s="21"/>
      <c r="E259" s="20"/>
      <c r="F259" s="23"/>
      <c r="G259" s="24" t="str">
        <f aca="false">IF(OR($A259="",$F259=""),"",IFERROR(IF(INDEX(MODELS!$K$4:$K$28,MATCH($A259,MODELS!$A$4:$A$28,0))="","",$F259*INDEX(MODELS!$K$4:$K$28,MATCH($A259,MODELS!$A$4:$A$28,0))),""))</f>
        <v/>
      </c>
      <c r="H259" s="21"/>
      <c r="I259" s="21"/>
      <c r="J259" s="21"/>
      <c r="K259" s="25" t="str">
        <f aca="false">IF($E259="","",IFERROR(IF(INDEX(SUPPLIERS!$K$4:$K$63,MATCH($E259,SUPPLIERS!$A$4:$A$63,0))="","",INDEX(SUPPLIERS!$K$4:$K$63,MATCH($E259,SUPPLIERS!$A$4:$A$63,0))),""))</f>
        <v/>
      </c>
      <c r="L259" s="25" t="str">
        <f aca="false">IF($E259="","",IFERROR(IF(INDEX(SUPPLIERS!$L$4:$L$63,MATCH($E259,SUPPLIERS!$A$4:$A$63,0))="","",INDEX(SUPPLIERS!$L$4:$L$63,MATCH($E259,SUPPLIERS!$A$4:$A$63,0))),""))</f>
        <v/>
      </c>
      <c r="M259" s="21"/>
      <c r="N259" s="11" t="str">
        <f aca="false">IF($E259="","",IFERROR(_xlfn.TEXTJOIN("; ",TRUE(),INDEX(SUPPLIERS!$F$4:$F$63,MATCH($E259,SUPPLIERS!$A$4:$A$63,0)),INDEX(SUPPLIERS!$G$4:$G$63,MATCH($E259,SUPPLIERS!$A$4:$A$63,0)),INDEX(SUPPLIERS!$H$4:$H$63,MATCH($E259,SUPPLIERS!$A$4:$A$63,0)),INDEX(SUPPLIERS!$I$4:$I$63,MATCH($E259,SUPPLIERS!$A$4:$A$63,0)),INDEX(SUPPLIERS!$J$4:$J$63,MATCH($E259,SUPPLIERS!$A$4:$A$63,0))),""))</f>
        <v/>
      </c>
      <c r="O259" s="26" t="str">
        <f aca="false">IF(COUNT($H259:$L259)&lt;5,"",ROUND($H259*W_SRC+$I259*W_QC+$J259*W_CAP+$K259*W_SUP+$L259*W_EXT,1))</f>
        <v/>
      </c>
      <c r="P259" s="27" t="str">
        <f aca="false">IF(OR($O259="",$M259=""),"",ROUND($O259*$M259,1))</f>
        <v/>
      </c>
      <c r="Q259" s="28" t="str">
        <f aca="false">IF($E259="","",IF($U259&gt;0,"CRITICAL (FLAG)",IF(OR($O259="",$M259=""),"NOT SCORED",IF($P259&gt;=T_CRIT,"CRITICAL",IF($P259&gt;=T_MON,"MONITOR","LOW")))))</f>
        <v/>
      </c>
      <c r="R259" s="12" t="str">
        <f aca="false">IF($O259="","",INDEX(DriverNames,MATCH(MAX($H259:$L259),$H259:$L259,0)))</f>
        <v/>
      </c>
      <c r="S259" s="22"/>
      <c r="T259" s="29"/>
      <c r="U259" s="2" t="str">
        <f aca="false">IF($E259="","",IFERROR(INDEX(SUPPLIERS!$Q$4:$Q$63,MATCH($E259,SUPPLIERS!$A$4:$A$63,0)),0))</f>
        <v/>
      </c>
      <c r="V259" s="2" t="str">
        <f aca="false">IF($Q259="","",IF($U259&gt;0,100,0)+IF($P259="",0,$P259)+ROW()/100000)</f>
        <v/>
      </c>
      <c r="W259" s="2" t="str">
        <f aca="false">IF($V259="","",IF($A259=SEL_MODEL,$V259,""))</f>
        <v/>
      </c>
    </row>
    <row r="260" customFormat="false" ht="15" hidden="false" customHeight="false" outlineLevel="0" collapsed="false">
      <c r="A260" s="20"/>
      <c r="B260" s="21"/>
      <c r="C260" s="22"/>
      <c r="D260" s="21"/>
      <c r="E260" s="20"/>
      <c r="F260" s="23"/>
      <c r="G260" s="24" t="str">
        <f aca="false">IF(OR($A260="",$F260=""),"",IFERROR(IF(INDEX(MODELS!$K$4:$K$28,MATCH($A260,MODELS!$A$4:$A$28,0))="","",$F260*INDEX(MODELS!$K$4:$K$28,MATCH($A260,MODELS!$A$4:$A$28,0))),""))</f>
        <v/>
      </c>
      <c r="H260" s="21"/>
      <c r="I260" s="21"/>
      <c r="J260" s="21"/>
      <c r="K260" s="25" t="str">
        <f aca="false">IF($E260="","",IFERROR(IF(INDEX(SUPPLIERS!$K$4:$K$63,MATCH($E260,SUPPLIERS!$A$4:$A$63,0))="","",INDEX(SUPPLIERS!$K$4:$K$63,MATCH($E260,SUPPLIERS!$A$4:$A$63,0))),""))</f>
        <v/>
      </c>
      <c r="L260" s="25" t="str">
        <f aca="false">IF($E260="","",IFERROR(IF(INDEX(SUPPLIERS!$L$4:$L$63,MATCH($E260,SUPPLIERS!$A$4:$A$63,0))="","",INDEX(SUPPLIERS!$L$4:$L$63,MATCH($E260,SUPPLIERS!$A$4:$A$63,0))),""))</f>
        <v/>
      </c>
      <c r="M260" s="21"/>
      <c r="N260" s="11" t="str">
        <f aca="false">IF($E260="","",IFERROR(_xlfn.TEXTJOIN("; ",TRUE(),INDEX(SUPPLIERS!$F$4:$F$63,MATCH($E260,SUPPLIERS!$A$4:$A$63,0)),INDEX(SUPPLIERS!$G$4:$G$63,MATCH($E260,SUPPLIERS!$A$4:$A$63,0)),INDEX(SUPPLIERS!$H$4:$H$63,MATCH($E260,SUPPLIERS!$A$4:$A$63,0)),INDEX(SUPPLIERS!$I$4:$I$63,MATCH($E260,SUPPLIERS!$A$4:$A$63,0)),INDEX(SUPPLIERS!$J$4:$J$63,MATCH($E260,SUPPLIERS!$A$4:$A$63,0))),""))</f>
        <v/>
      </c>
      <c r="O260" s="26" t="str">
        <f aca="false">IF(COUNT($H260:$L260)&lt;5,"",ROUND($H260*W_SRC+$I260*W_QC+$J260*W_CAP+$K260*W_SUP+$L260*W_EXT,1))</f>
        <v/>
      </c>
      <c r="P260" s="27" t="str">
        <f aca="false">IF(OR($O260="",$M260=""),"",ROUND($O260*$M260,1))</f>
        <v/>
      </c>
      <c r="Q260" s="28" t="str">
        <f aca="false">IF($E260="","",IF($U260&gt;0,"CRITICAL (FLAG)",IF(OR($O260="",$M260=""),"NOT SCORED",IF($P260&gt;=T_CRIT,"CRITICAL",IF($P260&gt;=T_MON,"MONITOR","LOW")))))</f>
        <v/>
      </c>
      <c r="R260" s="12" t="str">
        <f aca="false">IF($O260="","",INDEX(DriverNames,MATCH(MAX($H260:$L260),$H260:$L260,0)))</f>
        <v/>
      </c>
      <c r="S260" s="22"/>
      <c r="T260" s="29"/>
      <c r="U260" s="2" t="str">
        <f aca="false">IF($E260="","",IFERROR(INDEX(SUPPLIERS!$Q$4:$Q$63,MATCH($E260,SUPPLIERS!$A$4:$A$63,0)),0))</f>
        <v/>
      </c>
      <c r="V260" s="2" t="str">
        <f aca="false">IF($Q260="","",IF($U260&gt;0,100,0)+IF($P260="",0,$P260)+ROW()/100000)</f>
        <v/>
      </c>
      <c r="W260" s="2" t="str">
        <f aca="false">IF($V260="","",IF($A260=SEL_MODEL,$V260,""))</f>
        <v/>
      </c>
    </row>
    <row r="261" customFormat="false" ht="15" hidden="false" customHeight="false" outlineLevel="0" collapsed="false">
      <c r="A261" s="20"/>
      <c r="B261" s="21"/>
      <c r="C261" s="22"/>
      <c r="D261" s="21"/>
      <c r="E261" s="20"/>
      <c r="F261" s="23"/>
      <c r="G261" s="24" t="str">
        <f aca="false">IF(OR($A261="",$F261=""),"",IFERROR(IF(INDEX(MODELS!$K$4:$K$28,MATCH($A261,MODELS!$A$4:$A$28,0))="","",$F261*INDEX(MODELS!$K$4:$K$28,MATCH($A261,MODELS!$A$4:$A$28,0))),""))</f>
        <v/>
      </c>
      <c r="H261" s="21"/>
      <c r="I261" s="21"/>
      <c r="J261" s="21"/>
      <c r="K261" s="25" t="str">
        <f aca="false">IF($E261="","",IFERROR(IF(INDEX(SUPPLIERS!$K$4:$K$63,MATCH($E261,SUPPLIERS!$A$4:$A$63,0))="","",INDEX(SUPPLIERS!$K$4:$K$63,MATCH($E261,SUPPLIERS!$A$4:$A$63,0))),""))</f>
        <v/>
      </c>
      <c r="L261" s="25" t="str">
        <f aca="false">IF($E261="","",IFERROR(IF(INDEX(SUPPLIERS!$L$4:$L$63,MATCH($E261,SUPPLIERS!$A$4:$A$63,0))="","",INDEX(SUPPLIERS!$L$4:$L$63,MATCH($E261,SUPPLIERS!$A$4:$A$63,0))),""))</f>
        <v/>
      </c>
      <c r="M261" s="21"/>
      <c r="N261" s="11" t="str">
        <f aca="false">IF($E261="","",IFERROR(_xlfn.TEXTJOIN("; ",TRUE(),INDEX(SUPPLIERS!$F$4:$F$63,MATCH($E261,SUPPLIERS!$A$4:$A$63,0)),INDEX(SUPPLIERS!$G$4:$G$63,MATCH($E261,SUPPLIERS!$A$4:$A$63,0)),INDEX(SUPPLIERS!$H$4:$H$63,MATCH($E261,SUPPLIERS!$A$4:$A$63,0)),INDEX(SUPPLIERS!$I$4:$I$63,MATCH($E261,SUPPLIERS!$A$4:$A$63,0)),INDEX(SUPPLIERS!$J$4:$J$63,MATCH($E261,SUPPLIERS!$A$4:$A$63,0))),""))</f>
        <v/>
      </c>
      <c r="O261" s="26" t="str">
        <f aca="false">IF(COUNT($H261:$L261)&lt;5,"",ROUND($H261*W_SRC+$I261*W_QC+$J261*W_CAP+$K261*W_SUP+$L261*W_EXT,1))</f>
        <v/>
      </c>
      <c r="P261" s="27" t="str">
        <f aca="false">IF(OR($O261="",$M261=""),"",ROUND($O261*$M261,1))</f>
        <v/>
      </c>
      <c r="Q261" s="28" t="str">
        <f aca="false">IF($E261="","",IF($U261&gt;0,"CRITICAL (FLAG)",IF(OR($O261="",$M261=""),"NOT SCORED",IF($P261&gt;=T_CRIT,"CRITICAL",IF($P261&gt;=T_MON,"MONITOR","LOW")))))</f>
        <v/>
      </c>
      <c r="R261" s="12" t="str">
        <f aca="false">IF($O261="","",INDEX(DriverNames,MATCH(MAX($H261:$L261),$H261:$L261,0)))</f>
        <v/>
      </c>
      <c r="S261" s="22"/>
      <c r="T261" s="29"/>
      <c r="U261" s="2" t="str">
        <f aca="false">IF($E261="","",IFERROR(INDEX(SUPPLIERS!$Q$4:$Q$63,MATCH($E261,SUPPLIERS!$A$4:$A$63,0)),0))</f>
        <v/>
      </c>
      <c r="V261" s="2" t="str">
        <f aca="false">IF($Q261="","",IF($U261&gt;0,100,0)+IF($P261="",0,$P261)+ROW()/100000)</f>
        <v/>
      </c>
      <c r="W261" s="2" t="str">
        <f aca="false">IF($V261="","",IF($A261=SEL_MODEL,$V261,""))</f>
        <v/>
      </c>
    </row>
    <row r="262" customFormat="false" ht="15" hidden="false" customHeight="false" outlineLevel="0" collapsed="false">
      <c r="A262" s="20"/>
      <c r="B262" s="21"/>
      <c r="C262" s="22"/>
      <c r="D262" s="21"/>
      <c r="E262" s="20"/>
      <c r="F262" s="23"/>
      <c r="G262" s="24" t="str">
        <f aca="false">IF(OR($A262="",$F262=""),"",IFERROR(IF(INDEX(MODELS!$K$4:$K$28,MATCH($A262,MODELS!$A$4:$A$28,0))="","",$F262*INDEX(MODELS!$K$4:$K$28,MATCH($A262,MODELS!$A$4:$A$28,0))),""))</f>
        <v/>
      </c>
      <c r="H262" s="21"/>
      <c r="I262" s="21"/>
      <c r="J262" s="21"/>
      <c r="K262" s="25" t="str">
        <f aca="false">IF($E262="","",IFERROR(IF(INDEX(SUPPLIERS!$K$4:$K$63,MATCH($E262,SUPPLIERS!$A$4:$A$63,0))="","",INDEX(SUPPLIERS!$K$4:$K$63,MATCH($E262,SUPPLIERS!$A$4:$A$63,0))),""))</f>
        <v/>
      </c>
      <c r="L262" s="25" t="str">
        <f aca="false">IF($E262="","",IFERROR(IF(INDEX(SUPPLIERS!$L$4:$L$63,MATCH($E262,SUPPLIERS!$A$4:$A$63,0))="","",INDEX(SUPPLIERS!$L$4:$L$63,MATCH($E262,SUPPLIERS!$A$4:$A$63,0))),""))</f>
        <v/>
      </c>
      <c r="M262" s="21"/>
      <c r="N262" s="11" t="str">
        <f aca="false">IF($E262="","",IFERROR(_xlfn.TEXTJOIN("; ",TRUE(),INDEX(SUPPLIERS!$F$4:$F$63,MATCH($E262,SUPPLIERS!$A$4:$A$63,0)),INDEX(SUPPLIERS!$G$4:$G$63,MATCH($E262,SUPPLIERS!$A$4:$A$63,0)),INDEX(SUPPLIERS!$H$4:$H$63,MATCH($E262,SUPPLIERS!$A$4:$A$63,0)),INDEX(SUPPLIERS!$I$4:$I$63,MATCH($E262,SUPPLIERS!$A$4:$A$63,0)),INDEX(SUPPLIERS!$J$4:$J$63,MATCH($E262,SUPPLIERS!$A$4:$A$63,0))),""))</f>
        <v/>
      </c>
      <c r="O262" s="26" t="str">
        <f aca="false">IF(COUNT($H262:$L262)&lt;5,"",ROUND($H262*W_SRC+$I262*W_QC+$J262*W_CAP+$K262*W_SUP+$L262*W_EXT,1))</f>
        <v/>
      </c>
      <c r="P262" s="27" t="str">
        <f aca="false">IF(OR($O262="",$M262=""),"",ROUND($O262*$M262,1))</f>
        <v/>
      </c>
      <c r="Q262" s="28" t="str">
        <f aca="false">IF($E262="","",IF($U262&gt;0,"CRITICAL (FLAG)",IF(OR($O262="",$M262=""),"NOT SCORED",IF($P262&gt;=T_CRIT,"CRITICAL",IF($P262&gt;=T_MON,"MONITOR","LOW")))))</f>
        <v/>
      </c>
      <c r="R262" s="12" t="str">
        <f aca="false">IF($O262="","",INDEX(DriverNames,MATCH(MAX($H262:$L262),$H262:$L262,0)))</f>
        <v/>
      </c>
      <c r="S262" s="22"/>
      <c r="T262" s="29"/>
      <c r="U262" s="2" t="str">
        <f aca="false">IF($E262="","",IFERROR(INDEX(SUPPLIERS!$Q$4:$Q$63,MATCH($E262,SUPPLIERS!$A$4:$A$63,0)),0))</f>
        <v/>
      </c>
      <c r="V262" s="2" t="str">
        <f aca="false">IF($Q262="","",IF($U262&gt;0,100,0)+IF($P262="",0,$P262)+ROW()/100000)</f>
        <v/>
      </c>
      <c r="W262" s="2" t="str">
        <f aca="false">IF($V262="","",IF($A262=SEL_MODEL,$V262,""))</f>
        <v/>
      </c>
    </row>
    <row r="263" customFormat="false" ht="15" hidden="false" customHeight="false" outlineLevel="0" collapsed="false">
      <c r="A263" s="20"/>
      <c r="B263" s="21"/>
      <c r="C263" s="22"/>
      <c r="D263" s="21"/>
      <c r="E263" s="20"/>
      <c r="F263" s="23"/>
      <c r="G263" s="24" t="str">
        <f aca="false">IF(OR($A263="",$F263=""),"",IFERROR(IF(INDEX(MODELS!$K$4:$K$28,MATCH($A263,MODELS!$A$4:$A$28,0))="","",$F263*INDEX(MODELS!$K$4:$K$28,MATCH($A263,MODELS!$A$4:$A$28,0))),""))</f>
        <v/>
      </c>
      <c r="H263" s="21"/>
      <c r="I263" s="21"/>
      <c r="J263" s="21"/>
      <c r="K263" s="25" t="str">
        <f aca="false">IF($E263="","",IFERROR(IF(INDEX(SUPPLIERS!$K$4:$K$63,MATCH($E263,SUPPLIERS!$A$4:$A$63,0))="","",INDEX(SUPPLIERS!$K$4:$K$63,MATCH($E263,SUPPLIERS!$A$4:$A$63,0))),""))</f>
        <v/>
      </c>
      <c r="L263" s="25" t="str">
        <f aca="false">IF($E263="","",IFERROR(IF(INDEX(SUPPLIERS!$L$4:$L$63,MATCH($E263,SUPPLIERS!$A$4:$A$63,0))="","",INDEX(SUPPLIERS!$L$4:$L$63,MATCH($E263,SUPPLIERS!$A$4:$A$63,0))),""))</f>
        <v/>
      </c>
      <c r="M263" s="21"/>
      <c r="N263" s="11" t="str">
        <f aca="false">IF($E263="","",IFERROR(_xlfn.TEXTJOIN("; ",TRUE(),INDEX(SUPPLIERS!$F$4:$F$63,MATCH($E263,SUPPLIERS!$A$4:$A$63,0)),INDEX(SUPPLIERS!$G$4:$G$63,MATCH($E263,SUPPLIERS!$A$4:$A$63,0)),INDEX(SUPPLIERS!$H$4:$H$63,MATCH($E263,SUPPLIERS!$A$4:$A$63,0)),INDEX(SUPPLIERS!$I$4:$I$63,MATCH($E263,SUPPLIERS!$A$4:$A$63,0)),INDEX(SUPPLIERS!$J$4:$J$63,MATCH($E263,SUPPLIERS!$A$4:$A$63,0))),""))</f>
        <v/>
      </c>
      <c r="O263" s="26" t="str">
        <f aca="false">IF(COUNT($H263:$L263)&lt;5,"",ROUND($H263*W_SRC+$I263*W_QC+$J263*W_CAP+$K263*W_SUP+$L263*W_EXT,1))</f>
        <v/>
      </c>
      <c r="P263" s="27" t="str">
        <f aca="false">IF(OR($O263="",$M263=""),"",ROUND($O263*$M263,1))</f>
        <v/>
      </c>
      <c r="Q263" s="28" t="str">
        <f aca="false">IF($E263="","",IF($U263&gt;0,"CRITICAL (FLAG)",IF(OR($O263="",$M263=""),"NOT SCORED",IF($P263&gt;=T_CRIT,"CRITICAL",IF($P263&gt;=T_MON,"MONITOR","LOW")))))</f>
        <v/>
      </c>
      <c r="R263" s="12" t="str">
        <f aca="false">IF($O263="","",INDEX(DriverNames,MATCH(MAX($H263:$L263),$H263:$L263,0)))</f>
        <v/>
      </c>
      <c r="S263" s="22"/>
      <c r="T263" s="29"/>
      <c r="U263" s="2" t="str">
        <f aca="false">IF($E263="","",IFERROR(INDEX(SUPPLIERS!$Q$4:$Q$63,MATCH($E263,SUPPLIERS!$A$4:$A$63,0)),0))</f>
        <v/>
      </c>
      <c r="V263" s="2" t="str">
        <f aca="false">IF($Q263="","",IF($U263&gt;0,100,0)+IF($P263="",0,$P263)+ROW()/100000)</f>
        <v/>
      </c>
      <c r="W263" s="2" t="str">
        <f aca="false">IF($V263="","",IF($A263=SEL_MODEL,$V263,""))</f>
        <v/>
      </c>
    </row>
    <row r="264" customFormat="false" ht="15" hidden="false" customHeight="false" outlineLevel="0" collapsed="false">
      <c r="A264" s="20"/>
      <c r="B264" s="21"/>
      <c r="C264" s="22"/>
      <c r="D264" s="21"/>
      <c r="E264" s="20"/>
      <c r="F264" s="23"/>
      <c r="G264" s="24" t="str">
        <f aca="false">IF(OR($A264="",$F264=""),"",IFERROR(IF(INDEX(MODELS!$K$4:$K$28,MATCH($A264,MODELS!$A$4:$A$28,0))="","",$F264*INDEX(MODELS!$K$4:$K$28,MATCH($A264,MODELS!$A$4:$A$28,0))),""))</f>
        <v/>
      </c>
      <c r="H264" s="21"/>
      <c r="I264" s="21"/>
      <c r="J264" s="21"/>
      <c r="K264" s="25" t="str">
        <f aca="false">IF($E264="","",IFERROR(IF(INDEX(SUPPLIERS!$K$4:$K$63,MATCH($E264,SUPPLIERS!$A$4:$A$63,0))="","",INDEX(SUPPLIERS!$K$4:$K$63,MATCH($E264,SUPPLIERS!$A$4:$A$63,0))),""))</f>
        <v/>
      </c>
      <c r="L264" s="25" t="str">
        <f aca="false">IF($E264="","",IFERROR(IF(INDEX(SUPPLIERS!$L$4:$L$63,MATCH($E264,SUPPLIERS!$A$4:$A$63,0))="","",INDEX(SUPPLIERS!$L$4:$L$63,MATCH($E264,SUPPLIERS!$A$4:$A$63,0))),""))</f>
        <v/>
      </c>
      <c r="M264" s="21"/>
      <c r="N264" s="11" t="str">
        <f aca="false">IF($E264="","",IFERROR(_xlfn.TEXTJOIN("; ",TRUE(),INDEX(SUPPLIERS!$F$4:$F$63,MATCH($E264,SUPPLIERS!$A$4:$A$63,0)),INDEX(SUPPLIERS!$G$4:$G$63,MATCH($E264,SUPPLIERS!$A$4:$A$63,0)),INDEX(SUPPLIERS!$H$4:$H$63,MATCH($E264,SUPPLIERS!$A$4:$A$63,0)),INDEX(SUPPLIERS!$I$4:$I$63,MATCH($E264,SUPPLIERS!$A$4:$A$63,0)),INDEX(SUPPLIERS!$J$4:$J$63,MATCH($E264,SUPPLIERS!$A$4:$A$63,0))),""))</f>
        <v/>
      </c>
      <c r="O264" s="26" t="str">
        <f aca="false">IF(COUNT($H264:$L264)&lt;5,"",ROUND($H264*W_SRC+$I264*W_QC+$J264*W_CAP+$K264*W_SUP+$L264*W_EXT,1))</f>
        <v/>
      </c>
      <c r="P264" s="27" t="str">
        <f aca="false">IF(OR($O264="",$M264=""),"",ROUND($O264*$M264,1))</f>
        <v/>
      </c>
      <c r="Q264" s="28" t="str">
        <f aca="false">IF($E264="","",IF($U264&gt;0,"CRITICAL (FLAG)",IF(OR($O264="",$M264=""),"NOT SCORED",IF($P264&gt;=T_CRIT,"CRITICAL",IF($P264&gt;=T_MON,"MONITOR","LOW")))))</f>
        <v/>
      </c>
      <c r="R264" s="12" t="str">
        <f aca="false">IF($O264="","",INDEX(DriverNames,MATCH(MAX($H264:$L264),$H264:$L264,0)))</f>
        <v/>
      </c>
      <c r="S264" s="22"/>
      <c r="T264" s="29"/>
      <c r="U264" s="2" t="str">
        <f aca="false">IF($E264="","",IFERROR(INDEX(SUPPLIERS!$Q$4:$Q$63,MATCH($E264,SUPPLIERS!$A$4:$A$63,0)),0))</f>
        <v/>
      </c>
      <c r="V264" s="2" t="str">
        <f aca="false">IF($Q264="","",IF($U264&gt;0,100,0)+IF($P264="",0,$P264)+ROW()/100000)</f>
        <v/>
      </c>
      <c r="W264" s="2" t="str">
        <f aca="false">IF($V264="","",IF($A264=SEL_MODEL,$V264,""))</f>
        <v/>
      </c>
    </row>
    <row r="265" customFormat="false" ht="15" hidden="false" customHeight="false" outlineLevel="0" collapsed="false">
      <c r="A265" s="20"/>
      <c r="B265" s="21"/>
      <c r="C265" s="22"/>
      <c r="D265" s="21"/>
      <c r="E265" s="20"/>
      <c r="F265" s="23"/>
      <c r="G265" s="24" t="str">
        <f aca="false">IF(OR($A265="",$F265=""),"",IFERROR(IF(INDEX(MODELS!$K$4:$K$28,MATCH($A265,MODELS!$A$4:$A$28,0))="","",$F265*INDEX(MODELS!$K$4:$K$28,MATCH($A265,MODELS!$A$4:$A$28,0))),""))</f>
        <v/>
      </c>
      <c r="H265" s="21"/>
      <c r="I265" s="21"/>
      <c r="J265" s="21"/>
      <c r="K265" s="25" t="str">
        <f aca="false">IF($E265="","",IFERROR(IF(INDEX(SUPPLIERS!$K$4:$K$63,MATCH($E265,SUPPLIERS!$A$4:$A$63,0))="","",INDEX(SUPPLIERS!$K$4:$K$63,MATCH($E265,SUPPLIERS!$A$4:$A$63,0))),""))</f>
        <v/>
      </c>
      <c r="L265" s="25" t="str">
        <f aca="false">IF($E265="","",IFERROR(IF(INDEX(SUPPLIERS!$L$4:$L$63,MATCH($E265,SUPPLIERS!$A$4:$A$63,0))="","",INDEX(SUPPLIERS!$L$4:$L$63,MATCH($E265,SUPPLIERS!$A$4:$A$63,0))),""))</f>
        <v/>
      </c>
      <c r="M265" s="21"/>
      <c r="N265" s="11" t="str">
        <f aca="false">IF($E265="","",IFERROR(_xlfn.TEXTJOIN("; ",TRUE(),INDEX(SUPPLIERS!$F$4:$F$63,MATCH($E265,SUPPLIERS!$A$4:$A$63,0)),INDEX(SUPPLIERS!$G$4:$G$63,MATCH($E265,SUPPLIERS!$A$4:$A$63,0)),INDEX(SUPPLIERS!$H$4:$H$63,MATCH($E265,SUPPLIERS!$A$4:$A$63,0)),INDEX(SUPPLIERS!$I$4:$I$63,MATCH($E265,SUPPLIERS!$A$4:$A$63,0)),INDEX(SUPPLIERS!$J$4:$J$63,MATCH($E265,SUPPLIERS!$A$4:$A$63,0))),""))</f>
        <v/>
      </c>
      <c r="O265" s="26" t="str">
        <f aca="false">IF(COUNT($H265:$L265)&lt;5,"",ROUND($H265*W_SRC+$I265*W_QC+$J265*W_CAP+$K265*W_SUP+$L265*W_EXT,1))</f>
        <v/>
      </c>
      <c r="P265" s="27" t="str">
        <f aca="false">IF(OR($O265="",$M265=""),"",ROUND($O265*$M265,1))</f>
        <v/>
      </c>
      <c r="Q265" s="28" t="str">
        <f aca="false">IF($E265="","",IF($U265&gt;0,"CRITICAL (FLAG)",IF(OR($O265="",$M265=""),"NOT SCORED",IF($P265&gt;=T_CRIT,"CRITICAL",IF($P265&gt;=T_MON,"MONITOR","LOW")))))</f>
        <v/>
      </c>
      <c r="R265" s="12" t="str">
        <f aca="false">IF($O265="","",INDEX(DriverNames,MATCH(MAX($H265:$L265),$H265:$L265,0)))</f>
        <v/>
      </c>
      <c r="S265" s="22"/>
      <c r="T265" s="29"/>
      <c r="U265" s="2" t="str">
        <f aca="false">IF($E265="","",IFERROR(INDEX(SUPPLIERS!$Q$4:$Q$63,MATCH($E265,SUPPLIERS!$A$4:$A$63,0)),0))</f>
        <v/>
      </c>
      <c r="V265" s="2" t="str">
        <f aca="false">IF($Q265="","",IF($U265&gt;0,100,0)+IF($P265="",0,$P265)+ROW()/100000)</f>
        <v/>
      </c>
      <c r="W265" s="2" t="str">
        <f aca="false">IF($V265="","",IF($A265=SEL_MODEL,$V265,""))</f>
        <v/>
      </c>
    </row>
    <row r="266" customFormat="false" ht="15" hidden="false" customHeight="false" outlineLevel="0" collapsed="false">
      <c r="A266" s="20"/>
      <c r="B266" s="21"/>
      <c r="C266" s="22"/>
      <c r="D266" s="21"/>
      <c r="E266" s="20"/>
      <c r="F266" s="23"/>
      <c r="G266" s="24" t="str">
        <f aca="false">IF(OR($A266="",$F266=""),"",IFERROR(IF(INDEX(MODELS!$K$4:$K$28,MATCH($A266,MODELS!$A$4:$A$28,0))="","",$F266*INDEX(MODELS!$K$4:$K$28,MATCH($A266,MODELS!$A$4:$A$28,0))),""))</f>
        <v/>
      </c>
      <c r="H266" s="21"/>
      <c r="I266" s="21"/>
      <c r="J266" s="21"/>
      <c r="K266" s="25" t="str">
        <f aca="false">IF($E266="","",IFERROR(IF(INDEX(SUPPLIERS!$K$4:$K$63,MATCH($E266,SUPPLIERS!$A$4:$A$63,0))="","",INDEX(SUPPLIERS!$K$4:$K$63,MATCH($E266,SUPPLIERS!$A$4:$A$63,0))),""))</f>
        <v/>
      </c>
      <c r="L266" s="25" t="str">
        <f aca="false">IF($E266="","",IFERROR(IF(INDEX(SUPPLIERS!$L$4:$L$63,MATCH($E266,SUPPLIERS!$A$4:$A$63,0))="","",INDEX(SUPPLIERS!$L$4:$L$63,MATCH($E266,SUPPLIERS!$A$4:$A$63,0))),""))</f>
        <v/>
      </c>
      <c r="M266" s="21"/>
      <c r="N266" s="11" t="str">
        <f aca="false">IF($E266="","",IFERROR(_xlfn.TEXTJOIN("; ",TRUE(),INDEX(SUPPLIERS!$F$4:$F$63,MATCH($E266,SUPPLIERS!$A$4:$A$63,0)),INDEX(SUPPLIERS!$G$4:$G$63,MATCH($E266,SUPPLIERS!$A$4:$A$63,0)),INDEX(SUPPLIERS!$H$4:$H$63,MATCH($E266,SUPPLIERS!$A$4:$A$63,0)),INDEX(SUPPLIERS!$I$4:$I$63,MATCH($E266,SUPPLIERS!$A$4:$A$63,0)),INDEX(SUPPLIERS!$J$4:$J$63,MATCH($E266,SUPPLIERS!$A$4:$A$63,0))),""))</f>
        <v/>
      </c>
      <c r="O266" s="26" t="str">
        <f aca="false">IF(COUNT($H266:$L266)&lt;5,"",ROUND($H266*W_SRC+$I266*W_QC+$J266*W_CAP+$K266*W_SUP+$L266*W_EXT,1))</f>
        <v/>
      </c>
      <c r="P266" s="27" t="str">
        <f aca="false">IF(OR($O266="",$M266=""),"",ROUND($O266*$M266,1))</f>
        <v/>
      </c>
      <c r="Q266" s="28" t="str">
        <f aca="false">IF($E266="","",IF($U266&gt;0,"CRITICAL (FLAG)",IF(OR($O266="",$M266=""),"NOT SCORED",IF($P266&gt;=T_CRIT,"CRITICAL",IF($P266&gt;=T_MON,"MONITOR","LOW")))))</f>
        <v/>
      </c>
      <c r="R266" s="12" t="str">
        <f aca="false">IF($O266="","",INDEX(DriverNames,MATCH(MAX($H266:$L266),$H266:$L266,0)))</f>
        <v/>
      </c>
      <c r="S266" s="22"/>
      <c r="T266" s="29"/>
      <c r="U266" s="2" t="str">
        <f aca="false">IF($E266="","",IFERROR(INDEX(SUPPLIERS!$Q$4:$Q$63,MATCH($E266,SUPPLIERS!$A$4:$A$63,0)),0))</f>
        <v/>
      </c>
      <c r="V266" s="2" t="str">
        <f aca="false">IF($Q266="","",IF($U266&gt;0,100,0)+IF($P266="",0,$P266)+ROW()/100000)</f>
        <v/>
      </c>
      <c r="W266" s="2" t="str">
        <f aca="false">IF($V266="","",IF($A266=SEL_MODEL,$V266,""))</f>
        <v/>
      </c>
    </row>
    <row r="267" customFormat="false" ht="15" hidden="false" customHeight="false" outlineLevel="0" collapsed="false">
      <c r="A267" s="20"/>
      <c r="B267" s="21"/>
      <c r="C267" s="22"/>
      <c r="D267" s="21"/>
      <c r="E267" s="20"/>
      <c r="F267" s="23"/>
      <c r="G267" s="24" t="str">
        <f aca="false">IF(OR($A267="",$F267=""),"",IFERROR(IF(INDEX(MODELS!$K$4:$K$28,MATCH($A267,MODELS!$A$4:$A$28,0))="","",$F267*INDEX(MODELS!$K$4:$K$28,MATCH($A267,MODELS!$A$4:$A$28,0))),""))</f>
        <v/>
      </c>
      <c r="H267" s="21"/>
      <c r="I267" s="21"/>
      <c r="J267" s="21"/>
      <c r="K267" s="25" t="str">
        <f aca="false">IF($E267="","",IFERROR(IF(INDEX(SUPPLIERS!$K$4:$K$63,MATCH($E267,SUPPLIERS!$A$4:$A$63,0))="","",INDEX(SUPPLIERS!$K$4:$K$63,MATCH($E267,SUPPLIERS!$A$4:$A$63,0))),""))</f>
        <v/>
      </c>
      <c r="L267" s="25" t="str">
        <f aca="false">IF($E267="","",IFERROR(IF(INDEX(SUPPLIERS!$L$4:$L$63,MATCH($E267,SUPPLIERS!$A$4:$A$63,0))="","",INDEX(SUPPLIERS!$L$4:$L$63,MATCH($E267,SUPPLIERS!$A$4:$A$63,0))),""))</f>
        <v/>
      </c>
      <c r="M267" s="21"/>
      <c r="N267" s="11" t="str">
        <f aca="false">IF($E267="","",IFERROR(_xlfn.TEXTJOIN("; ",TRUE(),INDEX(SUPPLIERS!$F$4:$F$63,MATCH($E267,SUPPLIERS!$A$4:$A$63,0)),INDEX(SUPPLIERS!$G$4:$G$63,MATCH($E267,SUPPLIERS!$A$4:$A$63,0)),INDEX(SUPPLIERS!$H$4:$H$63,MATCH($E267,SUPPLIERS!$A$4:$A$63,0)),INDEX(SUPPLIERS!$I$4:$I$63,MATCH($E267,SUPPLIERS!$A$4:$A$63,0)),INDEX(SUPPLIERS!$J$4:$J$63,MATCH($E267,SUPPLIERS!$A$4:$A$63,0))),""))</f>
        <v/>
      </c>
      <c r="O267" s="26" t="str">
        <f aca="false">IF(COUNT($H267:$L267)&lt;5,"",ROUND($H267*W_SRC+$I267*W_QC+$J267*W_CAP+$K267*W_SUP+$L267*W_EXT,1))</f>
        <v/>
      </c>
      <c r="P267" s="27" t="str">
        <f aca="false">IF(OR($O267="",$M267=""),"",ROUND($O267*$M267,1))</f>
        <v/>
      </c>
      <c r="Q267" s="28" t="str">
        <f aca="false">IF($E267="","",IF($U267&gt;0,"CRITICAL (FLAG)",IF(OR($O267="",$M267=""),"NOT SCORED",IF($P267&gt;=T_CRIT,"CRITICAL",IF($P267&gt;=T_MON,"MONITOR","LOW")))))</f>
        <v/>
      </c>
      <c r="R267" s="12" t="str">
        <f aca="false">IF($O267="","",INDEX(DriverNames,MATCH(MAX($H267:$L267),$H267:$L267,0)))</f>
        <v/>
      </c>
      <c r="S267" s="22"/>
      <c r="T267" s="29"/>
      <c r="U267" s="2" t="str">
        <f aca="false">IF($E267="","",IFERROR(INDEX(SUPPLIERS!$Q$4:$Q$63,MATCH($E267,SUPPLIERS!$A$4:$A$63,0)),0))</f>
        <v/>
      </c>
      <c r="V267" s="2" t="str">
        <f aca="false">IF($Q267="","",IF($U267&gt;0,100,0)+IF($P267="",0,$P267)+ROW()/100000)</f>
        <v/>
      </c>
      <c r="W267" s="2" t="str">
        <f aca="false">IF($V267="","",IF($A267=SEL_MODEL,$V267,""))</f>
        <v/>
      </c>
    </row>
    <row r="268" customFormat="false" ht="15" hidden="false" customHeight="false" outlineLevel="0" collapsed="false">
      <c r="A268" s="20"/>
      <c r="B268" s="21"/>
      <c r="C268" s="22"/>
      <c r="D268" s="21"/>
      <c r="E268" s="20"/>
      <c r="F268" s="23"/>
      <c r="G268" s="24" t="str">
        <f aca="false">IF(OR($A268="",$F268=""),"",IFERROR(IF(INDEX(MODELS!$K$4:$K$28,MATCH($A268,MODELS!$A$4:$A$28,0))="","",$F268*INDEX(MODELS!$K$4:$K$28,MATCH($A268,MODELS!$A$4:$A$28,0))),""))</f>
        <v/>
      </c>
      <c r="H268" s="21"/>
      <c r="I268" s="21"/>
      <c r="J268" s="21"/>
      <c r="K268" s="25" t="str">
        <f aca="false">IF($E268="","",IFERROR(IF(INDEX(SUPPLIERS!$K$4:$K$63,MATCH($E268,SUPPLIERS!$A$4:$A$63,0))="","",INDEX(SUPPLIERS!$K$4:$K$63,MATCH($E268,SUPPLIERS!$A$4:$A$63,0))),""))</f>
        <v/>
      </c>
      <c r="L268" s="25" t="str">
        <f aca="false">IF($E268="","",IFERROR(IF(INDEX(SUPPLIERS!$L$4:$L$63,MATCH($E268,SUPPLIERS!$A$4:$A$63,0))="","",INDEX(SUPPLIERS!$L$4:$L$63,MATCH($E268,SUPPLIERS!$A$4:$A$63,0))),""))</f>
        <v/>
      </c>
      <c r="M268" s="21"/>
      <c r="N268" s="11" t="str">
        <f aca="false">IF($E268="","",IFERROR(_xlfn.TEXTJOIN("; ",TRUE(),INDEX(SUPPLIERS!$F$4:$F$63,MATCH($E268,SUPPLIERS!$A$4:$A$63,0)),INDEX(SUPPLIERS!$G$4:$G$63,MATCH($E268,SUPPLIERS!$A$4:$A$63,0)),INDEX(SUPPLIERS!$H$4:$H$63,MATCH($E268,SUPPLIERS!$A$4:$A$63,0)),INDEX(SUPPLIERS!$I$4:$I$63,MATCH($E268,SUPPLIERS!$A$4:$A$63,0)),INDEX(SUPPLIERS!$J$4:$J$63,MATCH($E268,SUPPLIERS!$A$4:$A$63,0))),""))</f>
        <v/>
      </c>
      <c r="O268" s="26" t="str">
        <f aca="false">IF(COUNT($H268:$L268)&lt;5,"",ROUND($H268*W_SRC+$I268*W_QC+$J268*W_CAP+$K268*W_SUP+$L268*W_EXT,1))</f>
        <v/>
      </c>
      <c r="P268" s="27" t="str">
        <f aca="false">IF(OR($O268="",$M268=""),"",ROUND($O268*$M268,1))</f>
        <v/>
      </c>
      <c r="Q268" s="28" t="str">
        <f aca="false">IF($E268="","",IF($U268&gt;0,"CRITICAL (FLAG)",IF(OR($O268="",$M268=""),"NOT SCORED",IF($P268&gt;=T_CRIT,"CRITICAL",IF($P268&gt;=T_MON,"MONITOR","LOW")))))</f>
        <v/>
      </c>
      <c r="R268" s="12" t="str">
        <f aca="false">IF($O268="","",INDEX(DriverNames,MATCH(MAX($H268:$L268),$H268:$L268,0)))</f>
        <v/>
      </c>
      <c r="S268" s="22"/>
      <c r="T268" s="29"/>
      <c r="U268" s="2" t="str">
        <f aca="false">IF($E268="","",IFERROR(INDEX(SUPPLIERS!$Q$4:$Q$63,MATCH($E268,SUPPLIERS!$A$4:$A$63,0)),0))</f>
        <v/>
      </c>
      <c r="V268" s="2" t="str">
        <f aca="false">IF($Q268="","",IF($U268&gt;0,100,0)+IF($P268="",0,$P268)+ROW()/100000)</f>
        <v/>
      </c>
      <c r="W268" s="2" t="str">
        <f aca="false">IF($V268="","",IF($A268=SEL_MODEL,$V268,""))</f>
        <v/>
      </c>
    </row>
    <row r="269" customFormat="false" ht="15" hidden="false" customHeight="false" outlineLevel="0" collapsed="false">
      <c r="A269" s="20"/>
      <c r="B269" s="21"/>
      <c r="C269" s="22"/>
      <c r="D269" s="21"/>
      <c r="E269" s="20"/>
      <c r="F269" s="23"/>
      <c r="G269" s="24" t="str">
        <f aca="false">IF(OR($A269="",$F269=""),"",IFERROR(IF(INDEX(MODELS!$K$4:$K$28,MATCH($A269,MODELS!$A$4:$A$28,0))="","",$F269*INDEX(MODELS!$K$4:$K$28,MATCH($A269,MODELS!$A$4:$A$28,0))),""))</f>
        <v/>
      </c>
      <c r="H269" s="21"/>
      <c r="I269" s="21"/>
      <c r="J269" s="21"/>
      <c r="K269" s="25" t="str">
        <f aca="false">IF($E269="","",IFERROR(IF(INDEX(SUPPLIERS!$K$4:$K$63,MATCH($E269,SUPPLIERS!$A$4:$A$63,0))="","",INDEX(SUPPLIERS!$K$4:$K$63,MATCH($E269,SUPPLIERS!$A$4:$A$63,0))),""))</f>
        <v/>
      </c>
      <c r="L269" s="25" t="str">
        <f aca="false">IF($E269="","",IFERROR(IF(INDEX(SUPPLIERS!$L$4:$L$63,MATCH($E269,SUPPLIERS!$A$4:$A$63,0))="","",INDEX(SUPPLIERS!$L$4:$L$63,MATCH($E269,SUPPLIERS!$A$4:$A$63,0))),""))</f>
        <v/>
      </c>
      <c r="M269" s="21"/>
      <c r="N269" s="11" t="str">
        <f aca="false">IF($E269="","",IFERROR(_xlfn.TEXTJOIN("; ",TRUE(),INDEX(SUPPLIERS!$F$4:$F$63,MATCH($E269,SUPPLIERS!$A$4:$A$63,0)),INDEX(SUPPLIERS!$G$4:$G$63,MATCH($E269,SUPPLIERS!$A$4:$A$63,0)),INDEX(SUPPLIERS!$H$4:$H$63,MATCH($E269,SUPPLIERS!$A$4:$A$63,0)),INDEX(SUPPLIERS!$I$4:$I$63,MATCH($E269,SUPPLIERS!$A$4:$A$63,0)),INDEX(SUPPLIERS!$J$4:$J$63,MATCH($E269,SUPPLIERS!$A$4:$A$63,0))),""))</f>
        <v/>
      </c>
      <c r="O269" s="26" t="str">
        <f aca="false">IF(COUNT($H269:$L269)&lt;5,"",ROUND($H269*W_SRC+$I269*W_QC+$J269*W_CAP+$K269*W_SUP+$L269*W_EXT,1))</f>
        <v/>
      </c>
      <c r="P269" s="27" t="str">
        <f aca="false">IF(OR($O269="",$M269=""),"",ROUND($O269*$M269,1))</f>
        <v/>
      </c>
      <c r="Q269" s="28" t="str">
        <f aca="false">IF($E269="","",IF($U269&gt;0,"CRITICAL (FLAG)",IF(OR($O269="",$M269=""),"NOT SCORED",IF($P269&gt;=T_CRIT,"CRITICAL",IF($P269&gt;=T_MON,"MONITOR","LOW")))))</f>
        <v/>
      </c>
      <c r="R269" s="12" t="str">
        <f aca="false">IF($O269="","",INDEX(DriverNames,MATCH(MAX($H269:$L269),$H269:$L269,0)))</f>
        <v/>
      </c>
      <c r="S269" s="22"/>
      <c r="T269" s="29"/>
      <c r="U269" s="2" t="str">
        <f aca="false">IF($E269="","",IFERROR(INDEX(SUPPLIERS!$Q$4:$Q$63,MATCH($E269,SUPPLIERS!$A$4:$A$63,0)),0))</f>
        <v/>
      </c>
      <c r="V269" s="2" t="str">
        <f aca="false">IF($Q269="","",IF($U269&gt;0,100,0)+IF($P269="",0,$P269)+ROW()/100000)</f>
        <v/>
      </c>
      <c r="W269" s="2" t="str">
        <f aca="false">IF($V269="","",IF($A269=SEL_MODEL,$V269,""))</f>
        <v/>
      </c>
    </row>
    <row r="270" customFormat="false" ht="15" hidden="false" customHeight="false" outlineLevel="0" collapsed="false">
      <c r="A270" s="20"/>
      <c r="B270" s="21"/>
      <c r="C270" s="22"/>
      <c r="D270" s="21"/>
      <c r="E270" s="20"/>
      <c r="F270" s="23"/>
      <c r="G270" s="24" t="str">
        <f aca="false">IF(OR($A270="",$F270=""),"",IFERROR(IF(INDEX(MODELS!$K$4:$K$28,MATCH($A270,MODELS!$A$4:$A$28,0))="","",$F270*INDEX(MODELS!$K$4:$K$28,MATCH($A270,MODELS!$A$4:$A$28,0))),""))</f>
        <v/>
      </c>
      <c r="H270" s="21"/>
      <c r="I270" s="21"/>
      <c r="J270" s="21"/>
      <c r="K270" s="25" t="str">
        <f aca="false">IF($E270="","",IFERROR(IF(INDEX(SUPPLIERS!$K$4:$K$63,MATCH($E270,SUPPLIERS!$A$4:$A$63,0))="","",INDEX(SUPPLIERS!$K$4:$K$63,MATCH($E270,SUPPLIERS!$A$4:$A$63,0))),""))</f>
        <v/>
      </c>
      <c r="L270" s="25" t="str">
        <f aca="false">IF($E270="","",IFERROR(IF(INDEX(SUPPLIERS!$L$4:$L$63,MATCH($E270,SUPPLIERS!$A$4:$A$63,0))="","",INDEX(SUPPLIERS!$L$4:$L$63,MATCH($E270,SUPPLIERS!$A$4:$A$63,0))),""))</f>
        <v/>
      </c>
      <c r="M270" s="21"/>
      <c r="N270" s="11" t="str">
        <f aca="false">IF($E270="","",IFERROR(_xlfn.TEXTJOIN("; ",TRUE(),INDEX(SUPPLIERS!$F$4:$F$63,MATCH($E270,SUPPLIERS!$A$4:$A$63,0)),INDEX(SUPPLIERS!$G$4:$G$63,MATCH($E270,SUPPLIERS!$A$4:$A$63,0)),INDEX(SUPPLIERS!$H$4:$H$63,MATCH($E270,SUPPLIERS!$A$4:$A$63,0)),INDEX(SUPPLIERS!$I$4:$I$63,MATCH($E270,SUPPLIERS!$A$4:$A$63,0)),INDEX(SUPPLIERS!$J$4:$J$63,MATCH($E270,SUPPLIERS!$A$4:$A$63,0))),""))</f>
        <v/>
      </c>
      <c r="O270" s="26" t="str">
        <f aca="false">IF(COUNT($H270:$L270)&lt;5,"",ROUND($H270*W_SRC+$I270*W_QC+$J270*W_CAP+$K270*W_SUP+$L270*W_EXT,1))</f>
        <v/>
      </c>
      <c r="P270" s="27" t="str">
        <f aca="false">IF(OR($O270="",$M270=""),"",ROUND($O270*$M270,1))</f>
        <v/>
      </c>
      <c r="Q270" s="28" t="str">
        <f aca="false">IF($E270="","",IF($U270&gt;0,"CRITICAL (FLAG)",IF(OR($O270="",$M270=""),"NOT SCORED",IF($P270&gt;=T_CRIT,"CRITICAL",IF($P270&gt;=T_MON,"MONITOR","LOW")))))</f>
        <v/>
      </c>
      <c r="R270" s="12" t="str">
        <f aca="false">IF($O270="","",INDEX(DriverNames,MATCH(MAX($H270:$L270),$H270:$L270,0)))</f>
        <v/>
      </c>
      <c r="S270" s="22"/>
      <c r="T270" s="29"/>
      <c r="U270" s="2" t="str">
        <f aca="false">IF($E270="","",IFERROR(INDEX(SUPPLIERS!$Q$4:$Q$63,MATCH($E270,SUPPLIERS!$A$4:$A$63,0)),0))</f>
        <v/>
      </c>
      <c r="V270" s="2" t="str">
        <f aca="false">IF($Q270="","",IF($U270&gt;0,100,0)+IF($P270="",0,$P270)+ROW()/100000)</f>
        <v/>
      </c>
      <c r="W270" s="2" t="str">
        <f aca="false">IF($V270="","",IF($A270=SEL_MODEL,$V270,""))</f>
        <v/>
      </c>
    </row>
    <row r="271" customFormat="false" ht="15" hidden="false" customHeight="false" outlineLevel="0" collapsed="false">
      <c r="A271" s="20"/>
      <c r="B271" s="21"/>
      <c r="C271" s="22"/>
      <c r="D271" s="21"/>
      <c r="E271" s="20"/>
      <c r="F271" s="23"/>
      <c r="G271" s="24" t="str">
        <f aca="false">IF(OR($A271="",$F271=""),"",IFERROR(IF(INDEX(MODELS!$K$4:$K$28,MATCH($A271,MODELS!$A$4:$A$28,0))="","",$F271*INDEX(MODELS!$K$4:$K$28,MATCH($A271,MODELS!$A$4:$A$28,0))),""))</f>
        <v/>
      </c>
      <c r="H271" s="21"/>
      <c r="I271" s="21"/>
      <c r="J271" s="21"/>
      <c r="K271" s="25" t="str">
        <f aca="false">IF($E271="","",IFERROR(IF(INDEX(SUPPLIERS!$K$4:$K$63,MATCH($E271,SUPPLIERS!$A$4:$A$63,0))="","",INDEX(SUPPLIERS!$K$4:$K$63,MATCH($E271,SUPPLIERS!$A$4:$A$63,0))),""))</f>
        <v/>
      </c>
      <c r="L271" s="25" t="str">
        <f aca="false">IF($E271="","",IFERROR(IF(INDEX(SUPPLIERS!$L$4:$L$63,MATCH($E271,SUPPLIERS!$A$4:$A$63,0))="","",INDEX(SUPPLIERS!$L$4:$L$63,MATCH($E271,SUPPLIERS!$A$4:$A$63,0))),""))</f>
        <v/>
      </c>
      <c r="M271" s="21"/>
      <c r="N271" s="11" t="str">
        <f aca="false">IF($E271="","",IFERROR(_xlfn.TEXTJOIN("; ",TRUE(),INDEX(SUPPLIERS!$F$4:$F$63,MATCH($E271,SUPPLIERS!$A$4:$A$63,0)),INDEX(SUPPLIERS!$G$4:$G$63,MATCH($E271,SUPPLIERS!$A$4:$A$63,0)),INDEX(SUPPLIERS!$H$4:$H$63,MATCH($E271,SUPPLIERS!$A$4:$A$63,0)),INDEX(SUPPLIERS!$I$4:$I$63,MATCH($E271,SUPPLIERS!$A$4:$A$63,0)),INDEX(SUPPLIERS!$J$4:$J$63,MATCH($E271,SUPPLIERS!$A$4:$A$63,0))),""))</f>
        <v/>
      </c>
      <c r="O271" s="26" t="str">
        <f aca="false">IF(COUNT($H271:$L271)&lt;5,"",ROUND($H271*W_SRC+$I271*W_QC+$J271*W_CAP+$K271*W_SUP+$L271*W_EXT,1))</f>
        <v/>
      </c>
      <c r="P271" s="27" t="str">
        <f aca="false">IF(OR($O271="",$M271=""),"",ROUND($O271*$M271,1))</f>
        <v/>
      </c>
      <c r="Q271" s="28" t="str">
        <f aca="false">IF($E271="","",IF($U271&gt;0,"CRITICAL (FLAG)",IF(OR($O271="",$M271=""),"NOT SCORED",IF($P271&gt;=T_CRIT,"CRITICAL",IF($P271&gt;=T_MON,"MONITOR","LOW")))))</f>
        <v/>
      </c>
      <c r="R271" s="12" t="str">
        <f aca="false">IF($O271="","",INDEX(DriverNames,MATCH(MAX($H271:$L271),$H271:$L271,0)))</f>
        <v/>
      </c>
      <c r="S271" s="22"/>
      <c r="T271" s="29"/>
      <c r="U271" s="2" t="str">
        <f aca="false">IF($E271="","",IFERROR(INDEX(SUPPLIERS!$Q$4:$Q$63,MATCH($E271,SUPPLIERS!$A$4:$A$63,0)),0))</f>
        <v/>
      </c>
      <c r="V271" s="2" t="str">
        <f aca="false">IF($Q271="","",IF($U271&gt;0,100,0)+IF($P271="",0,$P271)+ROW()/100000)</f>
        <v/>
      </c>
      <c r="W271" s="2" t="str">
        <f aca="false">IF($V271="","",IF($A271=SEL_MODEL,$V271,""))</f>
        <v/>
      </c>
    </row>
    <row r="272" customFormat="false" ht="15" hidden="false" customHeight="false" outlineLevel="0" collapsed="false">
      <c r="A272" s="20"/>
      <c r="B272" s="21"/>
      <c r="C272" s="22"/>
      <c r="D272" s="21"/>
      <c r="E272" s="20"/>
      <c r="F272" s="23"/>
      <c r="G272" s="24" t="str">
        <f aca="false">IF(OR($A272="",$F272=""),"",IFERROR(IF(INDEX(MODELS!$K$4:$K$28,MATCH($A272,MODELS!$A$4:$A$28,0))="","",$F272*INDEX(MODELS!$K$4:$K$28,MATCH($A272,MODELS!$A$4:$A$28,0))),""))</f>
        <v/>
      </c>
      <c r="H272" s="21"/>
      <c r="I272" s="21"/>
      <c r="J272" s="21"/>
      <c r="K272" s="25" t="str">
        <f aca="false">IF($E272="","",IFERROR(IF(INDEX(SUPPLIERS!$K$4:$K$63,MATCH($E272,SUPPLIERS!$A$4:$A$63,0))="","",INDEX(SUPPLIERS!$K$4:$K$63,MATCH($E272,SUPPLIERS!$A$4:$A$63,0))),""))</f>
        <v/>
      </c>
      <c r="L272" s="25" t="str">
        <f aca="false">IF($E272="","",IFERROR(IF(INDEX(SUPPLIERS!$L$4:$L$63,MATCH($E272,SUPPLIERS!$A$4:$A$63,0))="","",INDEX(SUPPLIERS!$L$4:$L$63,MATCH($E272,SUPPLIERS!$A$4:$A$63,0))),""))</f>
        <v/>
      </c>
      <c r="M272" s="21"/>
      <c r="N272" s="11" t="str">
        <f aca="false">IF($E272="","",IFERROR(_xlfn.TEXTJOIN("; ",TRUE(),INDEX(SUPPLIERS!$F$4:$F$63,MATCH($E272,SUPPLIERS!$A$4:$A$63,0)),INDEX(SUPPLIERS!$G$4:$G$63,MATCH($E272,SUPPLIERS!$A$4:$A$63,0)),INDEX(SUPPLIERS!$H$4:$H$63,MATCH($E272,SUPPLIERS!$A$4:$A$63,0)),INDEX(SUPPLIERS!$I$4:$I$63,MATCH($E272,SUPPLIERS!$A$4:$A$63,0)),INDEX(SUPPLIERS!$J$4:$J$63,MATCH($E272,SUPPLIERS!$A$4:$A$63,0))),""))</f>
        <v/>
      </c>
      <c r="O272" s="26" t="str">
        <f aca="false">IF(COUNT($H272:$L272)&lt;5,"",ROUND($H272*W_SRC+$I272*W_QC+$J272*W_CAP+$K272*W_SUP+$L272*W_EXT,1))</f>
        <v/>
      </c>
      <c r="P272" s="27" t="str">
        <f aca="false">IF(OR($O272="",$M272=""),"",ROUND($O272*$M272,1))</f>
        <v/>
      </c>
      <c r="Q272" s="28" t="str">
        <f aca="false">IF($E272="","",IF($U272&gt;0,"CRITICAL (FLAG)",IF(OR($O272="",$M272=""),"NOT SCORED",IF($P272&gt;=T_CRIT,"CRITICAL",IF($P272&gt;=T_MON,"MONITOR","LOW")))))</f>
        <v/>
      </c>
      <c r="R272" s="12" t="str">
        <f aca="false">IF($O272="","",INDEX(DriverNames,MATCH(MAX($H272:$L272),$H272:$L272,0)))</f>
        <v/>
      </c>
      <c r="S272" s="22"/>
      <c r="T272" s="29"/>
      <c r="U272" s="2" t="str">
        <f aca="false">IF($E272="","",IFERROR(INDEX(SUPPLIERS!$Q$4:$Q$63,MATCH($E272,SUPPLIERS!$A$4:$A$63,0)),0))</f>
        <v/>
      </c>
      <c r="V272" s="2" t="str">
        <f aca="false">IF($Q272="","",IF($U272&gt;0,100,0)+IF($P272="",0,$P272)+ROW()/100000)</f>
        <v/>
      </c>
      <c r="W272" s="2" t="str">
        <f aca="false">IF($V272="","",IF($A272=SEL_MODEL,$V272,""))</f>
        <v/>
      </c>
    </row>
    <row r="273" customFormat="false" ht="15" hidden="false" customHeight="false" outlineLevel="0" collapsed="false">
      <c r="A273" s="20"/>
      <c r="B273" s="21"/>
      <c r="C273" s="22"/>
      <c r="D273" s="21"/>
      <c r="E273" s="20"/>
      <c r="F273" s="23"/>
      <c r="G273" s="24" t="str">
        <f aca="false">IF(OR($A273="",$F273=""),"",IFERROR(IF(INDEX(MODELS!$K$4:$K$28,MATCH($A273,MODELS!$A$4:$A$28,0))="","",$F273*INDEX(MODELS!$K$4:$K$28,MATCH($A273,MODELS!$A$4:$A$28,0))),""))</f>
        <v/>
      </c>
      <c r="H273" s="21"/>
      <c r="I273" s="21"/>
      <c r="J273" s="21"/>
      <c r="K273" s="25" t="str">
        <f aca="false">IF($E273="","",IFERROR(IF(INDEX(SUPPLIERS!$K$4:$K$63,MATCH($E273,SUPPLIERS!$A$4:$A$63,0))="","",INDEX(SUPPLIERS!$K$4:$K$63,MATCH($E273,SUPPLIERS!$A$4:$A$63,0))),""))</f>
        <v/>
      </c>
      <c r="L273" s="25" t="str">
        <f aca="false">IF($E273="","",IFERROR(IF(INDEX(SUPPLIERS!$L$4:$L$63,MATCH($E273,SUPPLIERS!$A$4:$A$63,0))="","",INDEX(SUPPLIERS!$L$4:$L$63,MATCH($E273,SUPPLIERS!$A$4:$A$63,0))),""))</f>
        <v/>
      </c>
      <c r="M273" s="21"/>
      <c r="N273" s="11" t="str">
        <f aca="false">IF($E273="","",IFERROR(_xlfn.TEXTJOIN("; ",TRUE(),INDEX(SUPPLIERS!$F$4:$F$63,MATCH($E273,SUPPLIERS!$A$4:$A$63,0)),INDEX(SUPPLIERS!$G$4:$G$63,MATCH($E273,SUPPLIERS!$A$4:$A$63,0)),INDEX(SUPPLIERS!$H$4:$H$63,MATCH($E273,SUPPLIERS!$A$4:$A$63,0)),INDEX(SUPPLIERS!$I$4:$I$63,MATCH($E273,SUPPLIERS!$A$4:$A$63,0)),INDEX(SUPPLIERS!$J$4:$J$63,MATCH($E273,SUPPLIERS!$A$4:$A$63,0))),""))</f>
        <v/>
      </c>
      <c r="O273" s="26" t="str">
        <f aca="false">IF(COUNT($H273:$L273)&lt;5,"",ROUND($H273*W_SRC+$I273*W_QC+$J273*W_CAP+$K273*W_SUP+$L273*W_EXT,1))</f>
        <v/>
      </c>
      <c r="P273" s="27" t="str">
        <f aca="false">IF(OR($O273="",$M273=""),"",ROUND($O273*$M273,1))</f>
        <v/>
      </c>
      <c r="Q273" s="28" t="str">
        <f aca="false">IF($E273="","",IF($U273&gt;0,"CRITICAL (FLAG)",IF(OR($O273="",$M273=""),"NOT SCORED",IF($P273&gt;=T_CRIT,"CRITICAL",IF($P273&gt;=T_MON,"MONITOR","LOW")))))</f>
        <v/>
      </c>
      <c r="R273" s="12" t="str">
        <f aca="false">IF($O273="","",INDEX(DriverNames,MATCH(MAX($H273:$L273),$H273:$L273,0)))</f>
        <v/>
      </c>
      <c r="S273" s="22"/>
      <c r="T273" s="29"/>
      <c r="U273" s="2" t="str">
        <f aca="false">IF($E273="","",IFERROR(INDEX(SUPPLIERS!$Q$4:$Q$63,MATCH($E273,SUPPLIERS!$A$4:$A$63,0)),0))</f>
        <v/>
      </c>
      <c r="V273" s="2" t="str">
        <f aca="false">IF($Q273="","",IF($U273&gt;0,100,0)+IF($P273="",0,$P273)+ROW()/100000)</f>
        <v/>
      </c>
      <c r="W273" s="2" t="str">
        <f aca="false">IF($V273="","",IF($A273=SEL_MODEL,$V273,""))</f>
        <v/>
      </c>
    </row>
    <row r="274" customFormat="false" ht="15" hidden="false" customHeight="false" outlineLevel="0" collapsed="false">
      <c r="A274" s="20"/>
      <c r="B274" s="21"/>
      <c r="C274" s="22"/>
      <c r="D274" s="21"/>
      <c r="E274" s="20"/>
      <c r="F274" s="23"/>
      <c r="G274" s="24" t="str">
        <f aca="false">IF(OR($A274="",$F274=""),"",IFERROR(IF(INDEX(MODELS!$K$4:$K$28,MATCH($A274,MODELS!$A$4:$A$28,0))="","",$F274*INDEX(MODELS!$K$4:$K$28,MATCH($A274,MODELS!$A$4:$A$28,0))),""))</f>
        <v/>
      </c>
      <c r="H274" s="21"/>
      <c r="I274" s="21"/>
      <c r="J274" s="21"/>
      <c r="K274" s="25" t="str">
        <f aca="false">IF($E274="","",IFERROR(IF(INDEX(SUPPLIERS!$K$4:$K$63,MATCH($E274,SUPPLIERS!$A$4:$A$63,0))="","",INDEX(SUPPLIERS!$K$4:$K$63,MATCH($E274,SUPPLIERS!$A$4:$A$63,0))),""))</f>
        <v/>
      </c>
      <c r="L274" s="25" t="str">
        <f aca="false">IF($E274="","",IFERROR(IF(INDEX(SUPPLIERS!$L$4:$L$63,MATCH($E274,SUPPLIERS!$A$4:$A$63,0))="","",INDEX(SUPPLIERS!$L$4:$L$63,MATCH($E274,SUPPLIERS!$A$4:$A$63,0))),""))</f>
        <v/>
      </c>
      <c r="M274" s="21"/>
      <c r="N274" s="11" t="str">
        <f aca="false">IF($E274="","",IFERROR(_xlfn.TEXTJOIN("; ",TRUE(),INDEX(SUPPLIERS!$F$4:$F$63,MATCH($E274,SUPPLIERS!$A$4:$A$63,0)),INDEX(SUPPLIERS!$G$4:$G$63,MATCH($E274,SUPPLIERS!$A$4:$A$63,0)),INDEX(SUPPLIERS!$H$4:$H$63,MATCH($E274,SUPPLIERS!$A$4:$A$63,0)),INDEX(SUPPLIERS!$I$4:$I$63,MATCH($E274,SUPPLIERS!$A$4:$A$63,0)),INDEX(SUPPLIERS!$J$4:$J$63,MATCH($E274,SUPPLIERS!$A$4:$A$63,0))),""))</f>
        <v/>
      </c>
      <c r="O274" s="26" t="str">
        <f aca="false">IF(COUNT($H274:$L274)&lt;5,"",ROUND($H274*W_SRC+$I274*W_QC+$J274*W_CAP+$K274*W_SUP+$L274*W_EXT,1))</f>
        <v/>
      </c>
      <c r="P274" s="27" t="str">
        <f aca="false">IF(OR($O274="",$M274=""),"",ROUND($O274*$M274,1))</f>
        <v/>
      </c>
      <c r="Q274" s="28" t="str">
        <f aca="false">IF($E274="","",IF($U274&gt;0,"CRITICAL (FLAG)",IF(OR($O274="",$M274=""),"NOT SCORED",IF($P274&gt;=T_CRIT,"CRITICAL",IF($P274&gt;=T_MON,"MONITOR","LOW")))))</f>
        <v/>
      </c>
      <c r="R274" s="12" t="str">
        <f aca="false">IF($O274="","",INDEX(DriverNames,MATCH(MAX($H274:$L274),$H274:$L274,0)))</f>
        <v/>
      </c>
      <c r="S274" s="22"/>
      <c r="T274" s="29"/>
      <c r="U274" s="2" t="str">
        <f aca="false">IF($E274="","",IFERROR(INDEX(SUPPLIERS!$Q$4:$Q$63,MATCH($E274,SUPPLIERS!$A$4:$A$63,0)),0))</f>
        <v/>
      </c>
      <c r="V274" s="2" t="str">
        <f aca="false">IF($Q274="","",IF($U274&gt;0,100,0)+IF($P274="",0,$P274)+ROW()/100000)</f>
        <v/>
      </c>
      <c r="W274" s="2" t="str">
        <f aca="false">IF($V274="","",IF($A274=SEL_MODEL,$V274,""))</f>
        <v/>
      </c>
    </row>
    <row r="275" customFormat="false" ht="15" hidden="false" customHeight="false" outlineLevel="0" collapsed="false">
      <c r="A275" s="20"/>
      <c r="B275" s="21"/>
      <c r="C275" s="22"/>
      <c r="D275" s="21"/>
      <c r="E275" s="20"/>
      <c r="F275" s="23"/>
      <c r="G275" s="24" t="str">
        <f aca="false">IF(OR($A275="",$F275=""),"",IFERROR(IF(INDEX(MODELS!$K$4:$K$28,MATCH($A275,MODELS!$A$4:$A$28,0))="","",$F275*INDEX(MODELS!$K$4:$K$28,MATCH($A275,MODELS!$A$4:$A$28,0))),""))</f>
        <v/>
      </c>
      <c r="H275" s="21"/>
      <c r="I275" s="21"/>
      <c r="J275" s="21"/>
      <c r="K275" s="25" t="str">
        <f aca="false">IF($E275="","",IFERROR(IF(INDEX(SUPPLIERS!$K$4:$K$63,MATCH($E275,SUPPLIERS!$A$4:$A$63,0))="","",INDEX(SUPPLIERS!$K$4:$K$63,MATCH($E275,SUPPLIERS!$A$4:$A$63,0))),""))</f>
        <v/>
      </c>
      <c r="L275" s="25" t="str">
        <f aca="false">IF($E275="","",IFERROR(IF(INDEX(SUPPLIERS!$L$4:$L$63,MATCH($E275,SUPPLIERS!$A$4:$A$63,0))="","",INDEX(SUPPLIERS!$L$4:$L$63,MATCH($E275,SUPPLIERS!$A$4:$A$63,0))),""))</f>
        <v/>
      </c>
      <c r="M275" s="21"/>
      <c r="N275" s="11" t="str">
        <f aca="false">IF($E275="","",IFERROR(_xlfn.TEXTJOIN("; ",TRUE(),INDEX(SUPPLIERS!$F$4:$F$63,MATCH($E275,SUPPLIERS!$A$4:$A$63,0)),INDEX(SUPPLIERS!$G$4:$G$63,MATCH($E275,SUPPLIERS!$A$4:$A$63,0)),INDEX(SUPPLIERS!$H$4:$H$63,MATCH($E275,SUPPLIERS!$A$4:$A$63,0)),INDEX(SUPPLIERS!$I$4:$I$63,MATCH($E275,SUPPLIERS!$A$4:$A$63,0)),INDEX(SUPPLIERS!$J$4:$J$63,MATCH($E275,SUPPLIERS!$A$4:$A$63,0))),""))</f>
        <v/>
      </c>
      <c r="O275" s="26" t="str">
        <f aca="false">IF(COUNT($H275:$L275)&lt;5,"",ROUND($H275*W_SRC+$I275*W_QC+$J275*W_CAP+$K275*W_SUP+$L275*W_EXT,1))</f>
        <v/>
      </c>
      <c r="P275" s="27" t="str">
        <f aca="false">IF(OR($O275="",$M275=""),"",ROUND($O275*$M275,1))</f>
        <v/>
      </c>
      <c r="Q275" s="28" t="str">
        <f aca="false">IF($E275="","",IF($U275&gt;0,"CRITICAL (FLAG)",IF(OR($O275="",$M275=""),"NOT SCORED",IF($P275&gt;=T_CRIT,"CRITICAL",IF($P275&gt;=T_MON,"MONITOR","LOW")))))</f>
        <v/>
      </c>
      <c r="R275" s="12" t="str">
        <f aca="false">IF($O275="","",INDEX(DriverNames,MATCH(MAX($H275:$L275),$H275:$L275,0)))</f>
        <v/>
      </c>
      <c r="S275" s="22"/>
      <c r="T275" s="29"/>
      <c r="U275" s="2" t="str">
        <f aca="false">IF($E275="","",IFERROR(INDEX(SUPPLIERS!$Q$4:$Q$63,MATCH($E275,SUPPLIERS!$A$4:$A$63,0)),0))</f>
        <v/>
      </c>
      <c r="V275" s="2" t="str">
        <f aca="false">IF($Q275="","",IF($U275&gt;0,100,0)+IF($P275="",0,$P275)+ROW()/100000)</f>
        <v/>
      </c>
      <c r="W275" s="2" t="str">
        <f aca="false">IF($V275="","",IF($A275=SEL_MODEL,$V275,""))</f>
        <v/>
      </c>
    </row>
    <row r="276" customFormat="false" ht="15" hidden="false" customHeight="false" outlineLevel="0" collapsed="false">
      <c r="A276" s="20"/>
      <c r="B276" s="21"/>
      <c r="C276" s="22"/>
      <c r="D276" s="21"/>
      <c r="E276" s="20"/>
      <c r="F276" s="23"/>
      <c r="G276" s="24" t="str">
        <f aca="false">IF(OR($A276="",$F276=""),"",IFERROR(IF(INDEX(MODELS!$K$4:$K$28,MATCH($A276,MODELS!$A$4:$A$28,0))="","",$F276*INDEX(MODELS!$K$4:$K$28,MATCH($A276,MODELS!$A$4:$A$28,0))),""))</f>
        <v/>
      </c>
      <c r="H276" s="21"/>
      <c r="I276" s="21"/>
      <c r="J276" s="21"/>
      <c r="K276" s="25" t="str">
        <f aca="false">IF($E276="","",IFERROR(IF(INDEX(SUPPLIERS!$K$4:$K$63,MATCH($E276,SUPPLIERS!$A$4:$A$63,0))="","",INDEX(SUPPLIERS!$K$4:$K$63,MATCH($E276,SUPPLIERS!$A$4:$A$63,0))),""))</f>
        <v/>
      </c>
      <c r="L276" s="25" t="str">
        <f aca="false">IF($E276="","",IFERROR(IF(INDEX(SUPPLIERS!$L$4:$L$63,MATCH($E276,SUPPLIERS!$A$4:$A$63,0))="","",INDEX(SUPPLIERS!$L$4:$L$63,MATCH($E276,SUPPLIERS!$A$4:$A$63,0))),""))</f>
        <v/>
      </c>
      <c r="M276" s="21"/>
      <c r="N276" s="11" t="str">
        <f aca="false">IF($E276="","",IFERROR(_xlfn.TEXTJOIN("; ",TRUE(),INDEX(SUPPLIERS!$F$4:$F$63,MATCH($E276,SUPPLIERS!$A$4:$A$63,0)),INDEX(SUPPLIERS!$G$4:$G$63,MATCH($E276,SUPPLIERS!$A$4:$A$63,0)),INDEX(SUPPLIERS!$H$4:$H$63,MATCH($E276,SUPPLIERS!$A$4:$A$63,0)),INDEX(SUPPLIERS!$I$4:$I$63,MATCH($E276,SUPPLIERS!$A$4:$A$63,0)),INDEX(SUPPLIERS!$J$4:$J$63,MATCH($E276,SUPPLIERS!$A$4:$A$63,0))),""))</f>
        <v/>
      </c>
      <c r="O276" s="26" t="str">
        <f aca="false">IF(COUNT($H276:$L276)&lt;5,"",ROUND($H276*W_SRC+$I276*W_QC+$J276*W_CAP+$K276*W_SUP+$L276*W_EXT,1))</f>
        <v/>
      </c>
      <c r="P276" s="27" t="str">
        <f aca="false">IF(OR($O276="",$M276=""),"",ROUND($O276*$M276,1))</f>
        <v/>
      </c>
      <c r="Q276" s="28" t="str">
        <f aca="false">IF($E276="","",IF($U276&gt;0,"CRITICAL (FLAG)",IF(OR($O276="",$M276=""),"NOT SCORED",IF($P276&gt;=T_CRIT,"CRITICAL",IF($P276&gt;=T_MON,"MONITOR","LOW")))))</f>
        <v/>
      </c>
      <c r="R276" s="12" t="str">
        <f aca="false">IF($O276="","",INDEX(DriverNames,MATCH(MAX($H276:$L276),$H276:$L276,0)))</f>
        <v/>
      </c>
      <c r="S276" s="22"/>
      <c r="T276" s="29"/>
      <c r="U276" s="2" t="str">
        <f aca="false">IF($E276="","",IFERROR(INDEX(SUPPLIERS!$Q$4:$Q$63,MATCH($E276,SUPPLIERS!$A$4:$A$63,0)),0))</f>
        <v/>
      </c>
      <c r="V276" s="2" t="str">
        <f aca="false">IF($Q276="","",IF($U276&gt;0,100,0)+IF($P276="",0,$P276)+ROW()/100000)</f>
        <v/>
      </c>
      <c r="W276" s="2" t="str">
        <f aca="false">IF($V276="","",IF($A276=SEL_MODEL,$V276,""))</f>
        <v/>
      </c>
    </row>
    <row r="277" customFormat="false" ht="15" hidden="false" customHeight="false" outlineLevel="0" collapsed="false">
      <c r="A277" s="20"/>
      <c r="B277" s="21"/>
      <c r="C277" s="22"/>
      <c r="D277" s="21"/>
      <c r="E277" s="20"/>
      <c r="F277" s="23"/>
      <c r="G277" s="24" t="str">
        <f aca="false">IF(OR($A277="",$F277=""),"",IFERROR(IF(INDEX(MODELS!$K$4:$K$28,MATCH($A277,MODELS!$A$4:$A$28,0))="","",$F277*INDEX(MODELS!$K$4:$K$28,MATCH($A277,MODELS!$A$4:$A$28,0))),""))</f>
        <v/>
      </c>
      <c r="H277" s="21"/>
      <c r="I277" s="21"/>
      <c r="J277" s="21"/>
      <c r="K277" s="25" t="str">
        <f aca="false">IF($E277="","",IFERROR(IF(INDEX(SUPPLIERS!$K$4:$K$63,MATCH($E277,SUPPLIERS!$A$4:$A$63,0))="","",INDEX(SUPPLIERS!$K$4:$K$63,MATCH($E277,SUPPLIERS!$A$4:$A$63,0))),""))</f>
        <v/>
      </c>
      <c r="L277" s="25" t="str">
        <f aca="false">IF($E277="","",IFERROR(IF(INDEX(SUPPLIERS!$L$4:$L$63,MATCH($E277,SUPPLIERS!$A$4:$A$63,0))="","",INDEX(SUPPLIERS!$L$4:$L$63,MATCH($E277,SUPPLIERS!$A$4:$A$63,0))),""))</f>
        <v/>
      </c>
      <c r="M277" s="21"/>
      <c r="N277" s="11" t="str">
        <f aca="false">IF($E277="","",IFERROR(_xlfn.TEXTJOIN("; ",TRUE(),INDEX(SUPPLIERS!$F$4:$F$63,MATCH($E277,SUPPLIERS!$A$4:$A$63,0)),INDEX(SUPPLIERS!$G$4:$G$63,MATCH($E277,SUPPLIERS!$A$4:$A$63,0)),INDEX(SUPPLIERS!$H$4:$H$63,MATCH($E277,SUPPLIERS!$A$4:$A$63,0)),INDEX(SUPPLIERS!$I$4:$I$63,MATCH($E277,SUPPLIERS!$A$4:$A$63,0)),INDEX(SUPPLIERS!$J$4:$J$63,MATCH($E277,SUPPLIERS!$A$4:$A$63,0))),""))</f>
        <v/>
      </c>
      <c r="O277" s="26" t="str">
        <f aca="false">IF(COUNT($H277:$L277)&lt;5,"",ROUND($H277*W_SRC+$I277*W_QC+$J277*W_CAP+$K277*W_SUP+$L277*W_EXT,1))</f>
        <v/>
      </c>
      <c r="P277" s="27" t="str">
        <f aca="false">IF(OR($O277="",$M277=""),"",ROUND($O277*$M277,1))</f>
        <v/>
      </c>
      <c r="Q277" s="28" t="str">
        <f aca="false">IF($E277="","",IF($U277&gt;0,"CRITICAL (FLAG)",IF(OR($O277="",$M277=""),"NOT SCORED",IF($P277&gt;=T_CRIT,"CRITICAL",IF($P277&gt;=T_MON,"MONITOR","LOW")))))</f>
        <v/>
      </c>
      <c r="R277" s="12" t="str">
        <f aca="false">IF($O277="","",INDEX(DriverNames,MATCH(MAX($H277:$L277),$H277:$L277,0)))</f>
        <v/>
      </c>
      <c r="S277" s="22"/>
      <c r="T277" s="29"/>
      <c r="U277" s="2" t="str">
        <f aca="false">IF($E277="","",IFERROR(INDEX(SUPPLIERS!$Q$4:$Q$63,MATCH($E277,SUPPLIERS!$A$4:$A$63,0)),0))</f>
        <v/>
      </c>
      <c r="V277" s="2" t="str">
        <f aca="false">IF($Q277="","",IF($U277&gt;0,100,0)+IF($P277="",0,$P277)+ROW()/100000)</f>
        <v/>
      </c>
      <c r="W277" s="2" t="str">
        <f aca="false">IF($V277="","",IF($A277=SEL_MODEL,$V277,""))</f>
        <v/>
      </c>
    </row>
    <row r="278" customFormat="false" ht="15" hidden="false" customHeight="false" outlineLevel="0" collapsed="false">
      <c r="A278" s="20"/>
      <c r="B278" s="21"/>
      <c r="C278" s="22"/>
      <c r="D278" s="21"/>
      <c r="E278" s="20"/>
      <c r="F278" s="23"/>
      <c r="G278" s="24" t="str">
        <f aca="false">IF(OR($A278="",$F278=""),"",IFERROR(IF(INDEX(MODELS!$K$4:$K$28,MATCH($A278,MODELS!$A$4:$A$28,0))="","",$F278*INDEX(MODELS!$K$4:$K$28,MATCH($A278,MODELS!$A$4:$A$28,0))),""))</f>
        <v/>
      </c>
      <c r="H278" s="21"/>
      <c r="I278" s="21"/>
      <c r="J278" s="21"/>
      <c r="K278" s="25" t="str">
        <f aca="false">IF($E278="","",IFERROR(IF(INDEX(SUPPLIERS!$K$4:$K$63,MATCH($E278,SUPPLIERS!$A$4:$A$63,0))="","",INDEX(SUPPLIERS!$K$4:$K$63,MATCH($E278,SUPPLIERS!$A$4:$A$63,0))),""))</f>
        <v/>
      </c>
      <c r="L278" s="25" t="str">
        <f aca="false">IF($E278="","",IFERROR(IF(INDEX(SUPPLIERS!$L$4:$L$63,MATCH($E278,SUPPLIERS!$A$4:$A$63,0))="","",INDEX(SUPPLIERS!$L$4:$L$63,MATCH($E278,SUPPLIERS!$A$4:$A$63,0))),""))</f>
        <v/>
      </c>
      <c r="M278" s="21"/>
      <c r="N278" s="11" t="str">
        <f aca="false">IF($E278="","",IFERROR(_xlfn.TEXTJOIN("; ",TRUE(),INDEX(SUPPLIERS!$F$4:$F$63,MATCH($E278,SUPPLIERS!$A$4:$A$63,0)),INDEX(SUPPLIERS!$G$4:$G$63,MATCH($E278,SUPPLIERS!$A$4:$A$63,0)),INDEX(SUPPLIERS!$H$4:$H$63,MATCH($E278,SUPPLIERS!$A$4:$A$63,0)),INDEX(SUPPLIERS!$I$4:$I$63,MATCH($E278,SUPPLIERS!$A$4:$A$63,0)),INDEX(SUPPLIERS!$J$4:$J$63,MATCH($E278,SUPPLIERS!$A$4:$A$63,0))),""))</f>
        <v/>
      </c>
      <c r="O278" s="26" t="str">
        <f aca="false">IF(COUNT($H278:$L278)&lt;5,"",ROUND($H278*W_SRC+$I278*W_QC+$J278*W_CAP+$K278*W_SUP+$L278*W_EXT,1))</f>
        <v/>
      </c>
      <c r="P278" s="27" t="str">
        <f aca="false">IF(OR($O278="",$M278=""),"",ROUND($O278*$M278,1))</f>
        <v/>
      </c>
      <c r="Q278" s="28" t="str">
        <f aca="false">IF($E278="","",IF($U278&gt;0,"CRITICAL (FLAG)",IF(OR($O278="",$M278=""),"NOT SCORED",IF($P278&gt;=T_CRIT,"CRITICAL",IF($P278&gt;=T_MON,"MONITOR","LOW")))))</f>
        <v/>
      </c>
      <c r="R278" s="12" t="str">
        <f aca="false">IF($O278="","",INDEX(DriverNames,MATCH(MAX($H278:$L278),$H278:$L278,0)))</f>
        <v/>
      </c>
      <c r="S278" s="22"/>
      <c r="T278" s="29"/>
      <c r="U278" s="2" t="str">
        <f aca="false">IF($E278="","",IFERROR(INDEX(SUPPLIERS!$Q$4:$Q$63,MATCH($E278,SUPPLIERS!$A$4:$A$63,0)),0))</f>
        <v/>
      </c>
      <c r="V278" s="2" t="str">
        <f aca="false">IF($Q278="","",IF($U278&gt;0,100,0)+IF($P278="",0,$P278)+ROW()/100000)</f>
        <v/>
      </c>
      <c r="W278" s="2" t="str">
        <f aca="false">IF($V278="","",IF($A278=SEL_MODEL,$V278,""))</f>
        <v/>
      </c>
    </row>
    <row r="279" customFormat="false" ht="15" hidden="false" customHeight="false" outlineLevel="0" collapsed="false">
      <c r="A279" s="20"/>
      <c r="B279" s="21"/>
      <c r="C279" s="22"/>
      <c r="D279" s="21"/>
      <c r="E279" s="20"/>
      <c r="F279" s="23"/>
      <c r="G279" s="24" t="str">
        <f aca="false">IF(OR($A279="",$F279=""),"",IFERROR(IF(INDEX(MODELS!$K$4:$K$28,MATCH($A279,MODELS!$A$4:$A$28,0))="","",$F279*INDEX(MODELS!$K$4:$K$28,MATCH($A279,MODELS!$A$4:$A$28,0))),""))</f>
        <v/>
      </c>
      <c r="H279" s="21"/>
      <c r="I279" s="21"/>
      <c r="J279" s="21"/>
      <c r="K279" s="25" t="str">
        <f aca="false">IF($E279="","",IFERROR(IF(INDEX(SUPPLIERS!$K$4:$K$63,MATCH($E279,SUPPLIERS!$A$4:$A$63,0))="","",INDEX(SUPPLIERS!$K$4:$K$63,MATCH($E279,SUPPLIERS!$A$4:$A$63,0))),""))</f>
        <v/>
      </c>
      <c r="L279" s="25" t="str">
        <f aca="false">IF($E279="","",IFERROR(IF(INDEX(SUPPLIERS!$L$4:$L$63,MATCH($E279,SUPPLIERS!$A$4:$A$63,0))="","",INDEX(SUPPLIERS!$L$4:$L$63,MATCH($E279,SUPPLIERS!$A$4:$A$63,0))),""))</f>
        <v/>
      </c>
      <c r="M279" s="21"/>
      <c r="N279" s="11" t="str">
        <f aca="false">IF($E279="","",IFERROR(_xlfn.TEXTJOIN("; ",TRUE(),INDEX(SUPPLIERS!$F$4:$F$63,MATCH($E279,SUPPLIERS!$A$4:$A$63,0)),INDEX(SUPPLIERS!$G$4:$G$63,MATCH($E279,SUPPLIERS!$A$4:$A$63,0)),INDEX(SUPPLIERS!$H$4:$H$63,MATCH($E279,SUPPLIERS!$A$4:$A$63,0)),INDEX(SUPPLIERS!$I$4:$I$63,MATCH($E279,SUPPLIERS!$A$4:$A$63,0)),INDEX(SUPPLIERS!$J$4:$J$63,MATCH($E279,SUPPLIERS!$A$4:$A$63,0))),""))</f>
        <v/>
      </c>
      <c r="O279" s="26" t="str">
        <f aca="false">IF(COUNT($H279:$L279)&lt;5,"",ROUND($H279*W_SRC+$I279*W_QC+$J279*W_CAP+$K279*W_SUP+$L279*W_EXT,1))</f>
        <v/>
      </c>
      <c r="P279" s="27" t="str">
        <f aca="false">IF(OR($O279="",$M279=""),"",ROUND($O279*$M279,1))</f>
        <v/>
      </c>
      <c r="Q279" s="28" t="str">
        <f aca="false">IF($E279="","",IF($U279&gt;0,"CRITICAL (FLAG)",IF(OR($O279="",$M279=""),"NOT SCORED",IF($P279&gt;=T_CRIT,"CRITICAL",IF($P279&gt;=T_MON,"MONITOR","LOW")))))</f>
        <v/>
      </c>
      <c r="R279" s="12" t="str">
        <f aca="false">IF($O279="","",INDEX(DriverNames,MATCH(MAX($H279:$L279),$H279:$L279,0)))</f>
        <v/>
      </c>
      <c r="S279" s="22"/>
      <c r="T279" s="29"/>
      <c r="U279" s="2" t="str">
        <f aca="false">IF($E279="","",IFERROR(INDEX(SUPPLIERS!$Q$4:$Q$63,MATCH($E279,SUPPLIERS!$A$4:$A$63,0)),0))</f>
        <v/>
      </c>
      <c r="V279" s="2" t="str">
        <f aca="false">IF($Q279="","",IF($U279&gt;0,100,0)+IF($P279="",0,$P279)+ROW()/100000)</f>
        <v/>
      </c>
      <c r="W279" s="2" t="str">
        <f aca="false">IF($V279="","",IF($A279=SEL_MODEL,$V279,""))</f>
        <v/>
      </c>
    </row>
    <row r="280" customFormat="false" ht="15" hidden="false" customHeight="false" outlineLevel="0" collapsed="false">
      <c r="A280" s="20"/>
      <c r="B280" s="21"/>
      <c r="C280" s="22"/>
      <c r="D280" s="21"/>
      <c r="E280" s="20"/>
      <c r="F280" s="23"/>
      <c r="G280" s="24" t="str">
        <f aca="false">IF(OR($A280="",$F280=""),"",IFERROR(IF(INDEX(MODELS!$K$4:$K$28,MATCH($A280,MODELS!$A$4:$A$28,0))="","",$F280*INDEX(MODELS!$K$4:$K$28,MATCH($A280,MODELS!$A$4:$A$28,0))),""))</f>
        <v/>
      </c>
      <c r="H280" s="21"/>
      <c r="I280" s="21"/>
      <c r="J280" s="21"/>
      <c r="K280" s="25" t="str">
        <f aca="false">IF($E280="","",IFERROR(IF(INDEX(SUPPLIERS!$K$4:$K$63,MATCH($E280,SUPPLIERS!$A$4:$A$63,0))="","",INDEX(SUPPLIERS!$K$4:$K$63,MATCH($E280,SUPPLIERS!$A$4:$A$63,0))),""))</f>
        <v/>
      </c>
      <c r="L280" s="25" t="str">
        <f aca="false">IF($E280="","",IFERROR(IF(INDEX(SUPPLIERS!$L$4:$L$63,MATCH($E280,SUPPLIERS!$A$4:$A$63,0))="","",INDEX(SUPPLIERS!$L$4:$L$63,MATCH($E280,SUPPLIERS!$A$4:$A$63,0))),""))</f>
        <v/>
      </c>
      <c r="M280" s="21"/>
      <c r="N280" s="11" t="str">
        <f aca="false">IF($E280="","",IFERROR(_xlfn.TEXTJOIN("; ",TRUE(),INDEX(SUPPLIERS!$F$4:$F$63,MATCH($E280,SUPPLIERS!$A$4:$A$63,0)),INDEX(SUPPLIERS!$G$4:$G$63,MATCH($E280,SUPPLIERS!$A$4:$A$63,0)),INDEX(SUPPLIERS!$H$4:$H$63,MATCH($E280,SUPPLIERS!$A$4:$A$63,0)),INDEX(SUPPLIERS!$I$4:$I$63,MATCH($E280,SUPPLIERS!$A$4:$A$63,0)),INDEX(SUPPLIERS!$J$4:$J$63,MATCH($E280,SUPPLIERS!$A$4:$A$63,0))),""))</f>
        <v/>
      </c>
      <c r="O280" s="26" t="str">
        <f aca="false">IF(COUNT($H280:$L280)&lt;5,"",ROUND($H280*W_SRC+$I280*W_QC+$J280*W_CAP+$K280*W_SUP+$L280*W_EXT,1))</f>
        <v/>
      </c>
      <c r="P280" s="27" t="str">
        <f aca="false">IF(OR($O280="",$M280=""),"",ROUND($O280*$M280,1))</f>
        <v/>
      </c>
      <c r="Q280" s="28" t="str">
        <f aca="false">IF($E280="","",IF($U280&gt;0,"CRITICAL (FLAG)",IF(OR($O280="",$M280=""),"NOT SCORED",IF($P280&gt;=T_CRIT,"CRITICAL",IF($P280&gt;=T_MON,"MONITOR","LOW")))))</f>
        <v/>
      </c>
      <c r="R280" s="12" t="str">
        <f aca="false">IF($O280="","",INDEX(DriverNames,MATCH(MAX($H280:$L280),$H280:$L280,0)))</f>
        <v/>
      </c>
      <c r="S280" s="22"/>
      <c r="T280" s="29"/>
      <c r="U280" s="2" t="str">
        <f aca="false">IF($E280="","",IFERROR(INDEX(SUPPLIERS!$Q$4:$Q$63,MATCH($E280,SUPPLIERS!$A$4:$A$63,0)),0))</f>
        <v/>
      </c>
      <c r="V280" s="2" t="str">
        <f aca="false">IF($Q280="","",IF($U280&gt;0,100,0)+IF($P280="",0,$P280)+ROW()/100000)</f>
        <v/>
      </c>
      <c r="W280" s="2" t="str">
        <f aca="false">IF($V280="","",IF($A280=SEL_MODEL,$V280,""))</f>
        <v/>
      </c>
    </row>
    <row r="281" customFormat="false" ht="15" hidden="false" customHeight="false" outlineLevel="0" collapsed="false">
      <c r="A281" s="20"/>
      <c r="B281" s="21"/>
      <c r="C281" s="22"/>
      <c r="D281" s="21"/>
      <c r="E281" s="20"/>
      <c r="F281" s="23"/>
      <c r="G281" s="24" t="str">
        <f aca="false">IF(OR($A281="",$F281=""),"",IFERROR(IF(INDEX(MODELS!$K$4:$K$28,MATCH($A281,MODELS!$A$4:$A$28,0))="","",$F281*INDEX(MODELS!$K$4:$K$28,MATCH($A281,MODELS!$A$4:$A$28,0))),""))</f>
        <v/>
      </c>
      <c r="H281" s="21"/>
      <c r="I281" s="21"/>
      <c r="J281" s="21"/>
      <c r="K281" s="25" t="str">
        <f aca="false">IF($E281="","",IFERROR(IF(INDEX(SUPPLIERS!$K$4:$K$63,MATCH($E281,SUPPLIERS!$A$4:$A$63,0))="","",INDEX(SUPPLIERS!$K$4:$K$63,MATCH($E281,SUPPLIERS!$A$4:$A$63,0))),""))</f>
        <v/>
      </c>
      <c r="L281" s="25" t="str">
        <f aca="false">IF($E281="","",IFERROR(IF(INDEX(SUPPLIERS!$L$4:$L$63,MATCH($E281,SUPPLIERS!$A$4:$A$63,0))="","",INDEX(SUPPLIERS!$L$4:$L$63,MATCH($E281,SUPPLIERS!$A$4:$A$63,0))),""))</f>
        <v/>
      </c>
      <c r="M281" s="21"/>
      <c r="N281" s="11" t="str">
        <f aca="false">IF($E281="","",IFERROR(_xlfn.TEXTJOIN("; ",TRUE(),INDEX(SUPPLIERS!$F$4:$F$63,MATCH($E281,SUPPLIERS!$A$4:$A$63,0)),INDEX(SUPPLIERS!$G$4:$G$63,MATCH($E281,SUPPLIERS!$A$4:$A$63,0)),INDEX(SUPPLIERS!$H$4:$H$63,MATCH($E281,SUPPLIERS!$A$4:$A$63,0)),INDEX(SUPPLIERS!$I$4:$I$63,MATCH($E281,SUPPLIERS!$A$4:$A$63,0)),INDEX(SUPPLIERS!$J$4:$J$63,MATCH($E281,SUPPLIERS!$A$4:$A$63,0))),""))</f>
        <v/>
      </c>
      <c r="O281" s="26" t="str">
        <f aca="false">IF(COUNT($H281:$L281)&lt;5,"",ROUND($H281*W_SRC+$I281*W_QC+$J281*W_CAP+$K281*W_SUP+$L281*W_EXT,1))</f>
        <v/>
      </c>
      <c r="P281" s="27" t="str">
        <f aca="false">IF(OR($O281="",$M281=""),"",ROUND($O281*$M281,1))</f>
        <v/>
      </c>
      <c r="Q281" s="28" t="str">
        <f aca="false">IF($E281="","",IF($U281&gt;0,"CRITICAL (FLAG)",IF(OR($O281="",$M281=""),"NOT SCORED",IF($P281&gt;=T_CRIT,"CRITICAL",IF($P281&gt;=T_MON,"MONITOR","LOW")))))</f>
        <v/>
      </c>
      <c r="R281" s="12" t="str">
        <f aca="false">IF($O281="","",INDEX(DriverNames,MATCH(MAX($H281:$L281),$H281:$L281,0)))</f>
        <v/>
      </c>
      <c r="S281" s="22"/>
      <c r="T281" s="29"/>
      <c r="U281" s="2" t="str">
        <f aca="false">IF($E281="","",IFERROR(INDEX(SUPPLIERS!$Q$4:$Q$63,MATCH($E281,SUPPLIERS!$A$4:$A$63,0)),0))</f>
        <v/>
      </c>
      <c r="V281" s="2" t="str">
        <f aca="false">IF($Q281="","",IF($U281&gt;0,100,0)+IF($P281="",0,$P281)+ROW()/100000)</f>
        <v/>
      </c>
      <c r="W281" s="2" t="str">
        <f aca="false">IF($V281="","",IF($A281=SEL_MODEL,$V281,""))</f>
        <v/>
      </c>
    </row>
    <row r="282" customFormat="false" ht="15" hidden="false" customHeight="false" outlineLevel="0" collapsed="false">
      <c r="A282" s="20"/>
      <c r="B282" s="21"/>
      <c r="C282" s="22"/>
      <c r="D282" s="21"/>
      <c r="E282" s="20"/>
      <c r="F282" s="23"/>
      <c r="G282" s="24" t="str">
        <f aca="false">IF(OR($A282="",$F282=""),"",IFERROR(IF(INDEX(MODELS!$K$4:$K$28,MATCH($A282,MODELS!$A$4:$A$28,0))="","",$F282*INDEX(MODELS!$K$4:$K$28,MATCH($A282,MODELS!$A$4:$A$28,0))),""))</f>
        <v/>
      </c>
      <c r="H282" s="21"/>
      <c r="I282" s="21"/>
      <c r="J282" s="21"/>
      <c r="K282" s="25" t="str">
        <f aca="false">IF($E282="","",IFERROR(IF(INDEX(SUPPLIERS!$K$4:$K$63,MATCH($E282,SUPPLIERS!$A$4:$A$63,0))="","",INDEX(SUPPLIERS!$K$4:$K$63,MATCH($E282,SUPPLIERS!$A$4:$A$63,0))),""))</f>
        <v/>
      </c>
      <c r="L282" s="25" t="str">
        <f aca="false">IF($E282="","",IFERROR(IF(INDEX(SUPPLIERS!$L$4:$L$63,MATCH($E282,SUPPLIERS!$A$4:$A$63,0))="","",INDEX(SUPPLIERS!$L$4:$L$63,MATCH($E282,SUPPLIERS!$A$4:$A$63,0))),""))</f>
        <v/>
      </c>
      <c r="M282" s="21"/>
      <c r="N282" s="11" t="str">
        <f aca="false">IF($E282="","",IFERROR(_xlfn.TEXTJOIN("; ",TRUE(),INDEX(SUPPLIERS!$F$4:$F$63,MATCH($E282,SUPPLIERS!$A$4:$A$63,0)),INDEX(SUPPLIERS!$G$4:$G$63,MATCH($E282,SUPPLIERS!$A$4:$A$63,0)),INDEX(SUPPLIERS!$H$4:$H$63,MATCH($E282,SUPPLIERS!$A$4:$A$63,0)),INDEX(SUPPLIERS!$I$4:$I$63,MATCH($E282,SUPPLIERS!$A$4:$A$63,0)),INDEX(SUPPLIERS!$J$4:$J$63,MATCH($E282,SUPPLIERS!$A$4:$A$63,0))),""))</f>
        <v/>
      </c>
      <c r="O282" s="26" t="str">
        <f aca="false">IF(COUNT($H282:$L282)&lt;5,"",ROUND($H282*W_SRC+$I282*W_QC+$J282*W_CAP+$K282*W_SUP+$L282*W_EXT,1))</f>
        <v/>
      </c>
      <c r="P282" s="27" t="str">
        <f aca="false">IF(OR($O282="",$M282=""),"",ROUND($O282*$M282,1))</f>
        <v/>
      </c>
      <c r="Q282" s="28" t="str">
        <f aca="false">IF($E282="","",IF($U282&gt;0,"CRITICAL (FLAG)",IF(OR($O282="",$M282=""),"NOT SCORED",IF($P282&gt;=T_CRIT,"CRITICAL",IF($P282&gt;=T_MON,"MONITOR","LOW")))))</f>
        <v/>
      </c>
      <c r="R282" s="12" t="str">
        <f aca="false">IF($O282="","",INDEX(DriverNames,MATCH(MAX($H282:$L282),$H282:$L282,0)))</f>
        <v/>
      </c>
      <c r="S282" s="22"/>
      <c r="T282" s="29"/>
      <c r="U282" s="2" t="str">
        <f aca="false">IF($E282="","",IFERROR(INDEX(SUPPLIERS!$Q$4:$Q$63,MATCH($E282,SUPPLIERS!$A$4:$A$63,0)),0))</f>
        <v/>
      </c>
      <c r="V282" s="2" t="str">
        <f aca="false">IF($Q282="","",IF($U282&gt;0,100,0)+IF($P282="",0,$P282)+ROW()/100000)</f>
        <v/>
      </c>
      <c r="W282" s="2" t="str">
        <f aca="false">IF($V282="","",IF($A282=SEL_MODEL,$V282,""))</f>
        <v/>
      </c>
    </row>
    <row r="283" customFormat="false" ht="15" hidden="false" customHeight="false" outlineLevel="0" collapsed="false">
      <c r="A283" s="20"/>
      <c r="B283" s="21"/>
      <c r="C283" s="22"/>
      <c r="D283" s="21"/>
      <c r="E283" s="20"/>
      <c r="F283" s="23"/>
      <c r="G283" s="24" t="str">
        <f aca="false">IF(OR($A283="",$F283=""),"",IFERROR(IF(INDEX(MODELS!$K$4:$K$28,MATCH($A283,MODELS!$A$4:$A$28,0))="","",$F283*INDEX(MODELS!$K$4:$K$28,MATCH($A283,MODELS!$A$4:$A$28,0))),""))</f>
        <v/>
      </c>
      <c r="H283" s="21"/>
      <c r="I283" s="21"/>
      <c r="J283" s="21"/>
      <c r="K283" s="25" t="str">
        <f aca="false">IF($E283="","",IFERROR(IF(INDEX(SUPPLIERS!$K$4:$K$63,MATCH($E283,SUPPLIERS!$A$4:$A$63,0))="","",INDEX(SUPPLIERS!$K$4:$K$63,MATCH($E283,SUPPLIERS!$A$4:$A$63,0))),""))</f>
        <v/>
      </c>
      <c r="L283" s="25" t="str">
        <f aca="false">IF($E283="","",IFERROR(IF(INDEX(SUPPLIERS!$L$4:$L$63,MATCH($E283,SUPPLIERS!$A$4:$A$63,0))="","",INDEX(SUPPLIERS!$L$4:$L$63,MATCH($E283,SUPPLIERS!$A$4:$A$63,0))),""))</f>
        <v/>
      </c>
      <c r="M283" s="21"/>
      <c r="N283" s="11" t="str">
        <f aca="false">IF($E283="","",IFERROR(_xlfn.TEXTJOIN("; ",TRUE(),INDEX(SUPPLIERS!$F$4:$F$63,MATCH($E283,SUPPLIERS!$A$4:$A$63,0)),INDEX(SUPPLIERS!$G$4:$G$63,MATCH($E283,SUPPLIERS!$A$4:$A$63,0)),INDEX(SUPPLIERS!$H$4:$H$63,MATCH($E283,SUPPLIERS!$A$4:$A$63,0)),INDEX(SUPPLIERS!$I$4:$I$63,MATCH($E283,SUPPLIERS!$A$4:$A$63,0)),INDEX(SUPPLIERS!$J$4:$J$63,MATCH($E283,SUPPLIERS!$A$4:$A$63,0))),""))</f>
        <v/>
      </c>
      <c r="O283" s="26" t="str">
        <f aca="false">IF(COUNT($H283:$L283)&lt;5,"",ROUND($H283*W_SRC+$I283*W_QC+$J283*W_CAP+$K283*W_SUP+$L283*W_EXT,1))</f>
        <v/>
      </c>
      <c r="P283" s="27" t="str">
        <f aca="false">IF(OR($O283="",$M283=""),"",ROUND($O283*$M283,1))</f>
        <v/>
      </c>
      <c r="Q283" s="28" t="str">
        <f aca="false">IF($E283="","",IF($U283&gt;0,"CRITICAL (FLAG)",IF(OR($O283="",$M283=""),"NOT SCORED",IF($P283&gt;=T_CRIT,"CRITICAL",IF($P283&gt;=T_MON,"MONITOR","LOW")))))</f>
        <v/>
      </c>
      <c r="R283" s="12" t="str">
        <f aca="false">IF($O283="","",INDEX(DriverNames,MATCH(MAX($H283:$L283),$H283:$L283,0)))</f>
        <v/>
      </c>
      <c r="S283" s="22"/>
      <c r="T283" s="29"/>
      <c r="U283" s="2" t="str">
        <f aca="false">IF($E283="","",IFERROR(INDEX(SUPPLIERS!$Q$4:$Q$63,MATCH($E283,SUPPLIERS!$A$4:$A$63,0)),0))</f>
        <v/>
      </c>
      <c r="V283" s="2" t="str">
        <f aca="false">IF($Q283="","",IF($U283&gt;0,100,0)+IF($P283="",0,$P283)+ROW()/100000)</f>
        <v/>
      </c>
      <c r="W283" s="2" t="str">
        <f aca="false">IF($V283="","",IF($A283=SEL_MODEL,$V283,""))</f>
        <v/>
      </c>
    </row>
    <row r="284" customFormat="false" ht="15" hidden="false" customHeight="false" outlineLevel="0" collapsed="false">
      <c r="A284" s="20"/>
      <c r="B284" s="21"/>
      <c r="C284" s="22"/>
      <c r="D284" s="21"/>
      <c r="E284" s="20"/>
      <c r="F284" s="23"/>
      <c r="G284" s="24" t="str">
        <f aca="false">IF(OR($A284="",$F284=""),"",IFERROR(IF(INDEX(MODELS!$K$4:$K$28,MATCH($A284,MODELS!$A$4:$A$28,0))="","",$F284*INDEX(MODELS!$K$4:$K$28,MATCH($A284,MODELS!$A$4:$A$28,0))),""))</f>
        <v/>
      </c>
      <c r="H284" s="21"/>
      <c r="I284" s="21"/>
      <c r="J284" s="21"/>
      <c r="K284" s="25" t="str">
        <f aca="false">IF($E284="","",IFERROR(IF(INDEX(SUPPLIERS!$K$4:$K$63,MATCH($E284,SUPPLIERS!$A$4:$A$63,0))="","",INDEX(SUPPLIERS!$K$4:$K$63,MATCH($E284,SUPPLIERS!$A$4:$A$63,0))),""))</f>
        <v/>
      </c>
      <c r="L284" s="25" t="str">
        <f aca="false">IF($E284="","",IFERROR(IF(INDEX(SUPPLIERS!$L$4:$L$63,MATCH($E284,SUPPLIERS!$A$4:$A$63,0))="","",INDEX(SUPPLIERS!$L$4:$L$63,MATCH($E284,SUPPLIERS!$A$4:$A$63,0))),""))</f>
        <v/>
      </c>
      <c r="M284" s="21"/>
      <c r="N284" s="11" t="str">
        <f aca="false">IF($E284="","",IFERROR(_xlfn.TEXTJOIN("; ",TRUE(),INDEX(SUPPLIERS!$F$4:$F$63,MATCH($E284,SUPPLIERS!$A$4:$A$63,0)),INDEX(SUPPLIERS!$G$4:$G$63,MATCH($E284,SUPPLIERS!$A$4:$A$63,0)),INDEX(SUPPLIERS!$H$4:$H$63,MATCH($E284,SUPPLIERS!$A$4:$A$63,0)),INDEX(SUPPLIERS!$I$4:$I$63,MATCH($E284,SUPPLIERS!$A$4:$A$63,0)),INDEX(SUPPLIERS!$J$4:$J$63,MATCH($E284,SUPPLIERS!$A$4:$A$63,0))),""))</f>
        <v/>
      </c>
      <c r="O284" s="26" t="str">
        <f aca="false">IF(COUNT($H284:$L284)&lt;5,"",ROUND($H284*W_SRC+$I284*W_QC+$J284*W_CAP+$K284*W_SUP+$L284*W_EXT,1))</f>
        <v/>
      </c>
      <c r="P284" s="27" t="str">
        <f aca="false">IF(OR($O284="",$M284=""),"",ROUND($O284*$M284,1))</f>
        <v/>
      </c>
      <c r="Q284" s="28" t="str">
        <f aca="false">IF($E284="","",IF($U284&gt;0,"CRITICAL (FLAG)",IF(OR($O284="",$M284=""),"NOT SCORED",IF($P284&gt;=T_CRIT,"CRITICAL",IF($P284&gt;=T_MON,"MONITOR","LOW")))))</f>
        <v/>
      </c>
      <c r="R284" s="12" t="str">
        <f aca="false">IF($O284="","",INDEX(DriverNames,MATCH(MAX($H284:$L284),$H284:$L284,0)))</f>
        <v/>
      </c>
      <c r="S284" s="22"/>
      <c r="T284" s="29"/>
      <c r="U284" s="2" t="str">
        <f aca="false">IF($E284="","",IFERROR(INDEX(SUPPLIERS!$Q$4:$Q$63,MATCH($E284,SUPPLIERS!$A$4:$A$63,0)),0))</f>
        <v/>
      </c>
      <c r="V284" s="2" t="str">
        <f aca="false">IF($Q284="","",IF($U284&gt;0,100,0)+IF($P284="",0,$P284)+ROW()/100000)</f>
        <v/>
      </c>
      <c r="W284" s="2" t="str">
        <f aca="false">IF($V284="","",IF($A284=SEL_MODEL,$V284,""))</f>
        <v/>
      </c>
    </row>
    <row r="285" customFormat="false" ht="15" hidden="false" customHeight="false" outlineLevel="0" collapsed="false">
      <c r="A285" s="20"/>
      <c r="B285" s="21"/>
      <c r="C285" s="22"/>
      <c r="D285" s="21"/>
      <c r="E285" s="20"/>
      <c r="F285" s="23"/>
      <c r="G285" s="24" t="str">
        <f aca="false">IF(OR($A285="",$F285=""),"",IFERROR(IF(INDEX(MODELS!$K$4:$K$28,MATCH($A285,MODELS!$A$4:$A$28,0))="","",$F285*INDEX(MODELS!$K$4:$K$28,MATCH($A285,MODELS!$A$4:$A$28,0))),""))</f>
        <v/>
      </c>
      <c r="H285" s="21"/>
      <c r="I285" s="21"/>
      <c r="J285" s="21"/>
      <c r="K285" s="25" t="str">
        <f aca="false">IF($E285="","",IFERROR(IF(INDEX(SUPPLIERS!$K$4:$K$63,MATCH($E285,SUPPLIERS!$A$4:$A$63,0))="","",INDEX(SUPPLIERS!$K$4:$K$63,MATCH($E285,SUPPLIERS!$A$4:$A$63,0))),""))</f>
        <v/>
      </c>
      <c r="L285" s="25" t="str">
        <f aca="false">IF($E285="","",IFERROR(IF(INDEX(SUPPLIERS!$L$4:$L$63,MATCH($E285,SUPPLIERS!$A$4:$A$63,0))="","",INDEX(SUPPLIERS!$L$4:$L$63,MATCH($E285,SUPPLIERS!$A$4:$A$63,0))),""))</f>
        <v/>
      </c>
      <c r="M285" s="21"/>
      <c r="N285" s="11" t="str">
        <f aca="false">IF($E285="","",IFERROR(_xlfn.TEXTJOIN("; ",TRUE(),INDEX(SUPPLIERS!$F$4:$F$63,MATCH($E285,SUPPLIERS!$A$4:$A$63,0)),INDEX(SUPPLIERS!$G$4:$G$63,MATCH($E285,SUPPLIERS!$A$4:$A$63,0)),INDEX(SUPPLIERS!$H$4:$H$63,MATCH($E285,SUPPLIERS!$A$4:$A$63,0)),INDEX(SUPPLIERS!$I$4:$I$63,MATCH($E285,SUPPLIERS!$A$4:$A$63,0)),INDEX(SUPPLIERS!$J$4:$J$63,MATCH($E285,SUPPLIERS!$A$4:$A$63,0))),""))</f>
        <v/>
      </c>
      <c r="O285" s="26" t="str">
        <f aca="false">IF(COUNT($H285:$L285)&lt;5,"",ROUND($H285*W_SRC+$I285*W_QC+$J285*W_CAP+$K285*W_SUP+$L285*W_EXT,1))</f>
        <v/>
      </c>
      <c r="P285" s="27" t="str">
        <f aca="false">IF(OR($O285="",$M285=""),"",ROUND($O285*$M285,1))</f>
        <v/>
      </c>
      <c r="Q285" s="28" t="str">
        <f aca="false">IF($E285="","",IF($U285&gt;0,"CRITICAL (FLAG)",IF(OR($O285="",$M285=""),"NOT SCORED",IF($P285&gt;=T_CRIT,"CRITICAL",IF($P285&gt;=T_MON,"MONITOR","LOW")))))</f>
        <v/>
      </c>
      <c r="R285" s="12" t="str">
        <f aca="false">IF($O285="","",INDEX(DriverNames,MATCH(MAX($H285:$L285),$H285:$L285,0)))</f>
        <v/>
      </c>
      <c r="S285" s="22"/>
      <c r="T285" s="29"/>
      <c r="U285" s="2" t="str">
        <f aca="false">IF($E285="","",IFERROR(INDEX(SUPPLIERS!$Q$4:$Q$63,MATCH($E285,SUPPLIERS!$A$4:$A$63,0)),0))</f>
        <v/>
      </c>
      <c r="V285" s="2" t="str">
        <f aca="false">IF($Q285="","",IF($U285&gt;0,100,0)+IF($P285="",0,$P285)+ROW()/100000)</f>
        <v/>
      </c>
      <c r="W285" s="2" t="str">
        <f aca="false">IF($V285="","",IF($A285=SEL_MODEL,$V285,""))</f>
        <v/>
      </c>
    </row>
    <row r="286" customFormat="false" ht="15" hidden="false" customHeight="false" outlineLevel="0" collapsed="false">
      <c r="A286" s="20"/>
      <c r="B286" s="21"/>
      <c r="C286" s="22"/>
      <c r="D286" s="21"/>
      <c r="E286" s="20"/>
      <c r="F286" s="23"/>
      <c r="G286" s="24" t="str">
        <f aca="false">IF(OR($A286="",$F286=""),"",IFERROR(IF(INDEX(MODELS!$K$4:$K$28,MATCH($A286,MODELS!$A$4:$A$28,0))="","",$F286*INDEX(MODELS!$K$4:$K$28,MATCH($A286,MODELS!$A$4:$A$28,0))),""))</f>
        <v/>
      </c>
      <c r="H286" s="21"/>
      <c r="I286" s="21"/>
      <c r="J286" s="21"/>
      <c r="K286" s="25" t="str">
        <f aca="false">IF($E286="","",IFERROR(IF(INDEX(SUPPLIERS!$K$4:$K$63,MATCH($E286,SUPPLIERS!$A$4:$A$63,0))="","",INDEX(SUPPLIERS!$K$4:$K$63,MATCH($E286,SUPPLIERS!$A$4:$A$63,0))),""))</f>
        <v/>
      </c>
      <c r="L286" s="25" t="str">
        <f aca="false">IF($E286="","",IFERROR(IF(INDEX(SUPPLIERS!$L$4:$L$63,MATCH($E286,SUPPLIERS!$A$4:$A$63,0))="","",INDEX(SUPPLIERS!$L$4:$L$63,MATCH($E286,SUPPLIERS!$A$4:$A$63,0))),""))</f>
        <v/>
      </c>
      <c r="M286" s="21"/>
      <c r="N286" s="11" t="str">
        <f aca="false">IF($E286="","",IFERROR(_xlfn.TEXTJOIN("; ",TRUE(),INDEX(SUPPLIERS!$F$4:$F$63,MATCH($E286,SUPPLIERS!$A$4:$A$63,0)),INDEX(SUPPLIERS!$G$4:$G$63,MATCH($E286,SUPPLIERS!$A$4:$A$63,0)),INDEX(SUPPLIERS!$H$4:$H$63,MATCH($E286,SUPPLIERS!$A$4:$A$63,0)),INDEX(SUPPLIERS!$I$4:$I$63,MATCH($E286,SUPPLIERS!$A$4:$A$63,0)),INDEX(SUPPLIERS!$J$4:$J$63,MATCH($E286,SUPPLIERS!$A$4:$A$63,0))),""))</f>
        <v/>
      </c>
      <c r="O286" s="26" t="str">
        <f aca="false">IF(COUNT($H286:$L286)&lt;5,"",ROUND($H286*W_SRC+$I286*W_QC+$J286*W_CAP+$K286*W_SUP+$L286*W_EXT,1))</f>
        <v/>
      </c>
      <c r="P286" s="27" t="str">
        <f aca="false">IF(OR($O286="",$M286=""),"",ROUND($O286*$M286,1))</f>
        <v/>
      </c>
      <c r="Q286" s="28" t="str">
        <f aca="false">IF($E286="","",IF($U286&gt;0,"CRITICAL (FLAG)",IF(OR($O286="",$M286=""),"NOT SCORED",IF($P286&gt;=T_CRIT,"CRITICAL",IF($P286&gt;=T_MON,"MONITOR","LOW")))))</f>
        <v/>
      </c>
      <c r="R286" s="12" t="str">
        <f aca="false">IF($O286="","",INDEX(DriverNames,MATCH(MAX($H286:$L286),$H286:$L286,0)))</f>
        <v/>
      </c>
      <c r="S286" s="22"/>
      <c r="T286" s="29"/>
      <c r="U286" s="2" t="str">
        <f aca="false">IF($E286="","",IFERROR(INDEX(SUPPLIERS!$Q$4:$Q$63,MATCH($E286,SUPPLIERS!$A$4:$A$63,0)),0))</f>
        <v/>
      </c>
      <c r="V286" s="2" t="str">
        <f aca="false">IF($Q286="","",IF($U286&gt;0,100,0)+IF($P286="",0,$P286)+ROW()/100000)</f>
        <v/>
      </c>
      <c r="W286" s="2" t="str">
        <f aca="false">IF($V286="","",IF($A286=SEL_MODEL,$V286,""))</f>
        <v/>
      </c>
    </row>
    <row r="287" customFormat="false" ht="15" hidden="false" customHeight="false" outlineLevel="0" collapsed="false">
      <c r="A287" s="20"/>
      <c r="B287" s="21"/>
      <c r="C287" s="22"/>
      <c r="D287" s="21"/>
      <c r="E287" s="20"/>
      <c r="F287" s="23"/>
      <c r="G287" s="24" t="str">
        <f aca="false">IF(OR($A287="",$F287=""),"",IFERROR(IF(INDEX(MODELS!$K$4:$K$28,MATCH($A287,MODELS!$A$4:$A$28,0))="","",$F287*INDEX(MODELS!$K$4:$K$28,MATCH($A287,MODELS!$A$4:$A$28,0))),""))</f>
        <v/>
      </c>
      <c r="H287" s="21"/>
      <c r="I287" s="21"/>
      <c r="J287" s="21"/>
      <c r="K287" s="25" t="str">
        <f aca="false">IF($E287="","",IFERROR(IF(INDEX(SUPPLIERS!$K$4:$K$63,MATCH($E287,SUPPLIERS!$A$4:$A$63,0))="","",INDEX(SUPPLIERS!$K$4:$K$63,MATCH($E287,SUPPLIERS!$A$4:$A$63,0))),""))</f>
        <v/>
      </c>
      <c r="L287" s="25" t="str">
        <f aca="false">IF($E287="","",IFERROR(IF(INDEX(SUPPLIERS!$L$4:$L$63,MATCH($E287,SUPPLIERS!$A$4:$A$63,0))="","",INDEX(SUPPLIERS!$L$4:$L$63,MATCH($E287,SUPPLIERS!$A$4:$A$63,0))),""))</f>
        <v/>
      </c>
      <c r="M287" s="21"/>
      <c r="N287" s="11" t="str">
        <f aca="false">IF($E287="","",IFERROR(_xlfn.TEXTJOIN("; ",TRUE(),INDEX(SUPPLIERS!$F$4:$F$63,MATCH($E287,SUPPLIERS!$A$4:$A$63,0)),INDEX(SUPPLIERS!$G$4:$G$63,MATCH($E287,SUPPLIERS!$A$4:$A$63,0)),INDEX(SUPPLIERS!$H$4:$H$63,MATCH($E287,SUPPLIERS!$A$4:$A$63,0)),INDEX(SUPPLIERS!$I$4:$I$63,MATCH($E287,SUPPLIERS!$A$4:$A$63,0)),INDEX(SUPPLIERS!$J$4:$J$63,MATCH($E287,SUPPLIERS!$A$4:$A$63,0))),""))</f>
        <v/>
      </c>
      <c r="O287" s="26" t="str">
        <f aca="false">IF(COUNT($H287:$L287)&lt;5,"",ROUND($H287*W_SRC+$I287*W_QC+$J287*W_CAP+$K287*W_SUP+$L287*W_EXT,1))</f>
        <v/>
      </c>
      <c r="P287" s="27" t="str">
        <f aca="false">IF(OR($O287="",$M287=""),"",ROUND($O287*$M287,1))</f>
        <v/>
      </c>
      <c r="Q287" s="28" t="str">
        <f aca="false">IF($E287="","",IF($U287&gt;0,"CRITICAL (FLAG)",IF(OR($O287="",$M287=""),"NOT SCORED",IF($P287&gt;=T_CRIT,"CRITICAL",IF($P287&gt;=T_MON,"MONITOR","LOW")))))</f>
        <v/>
      </c>
      <c r="R287" s="12" t="str">
        <f aca="false">IF($O287="","",INDEX(DriverNames,MATCH(MAX($H287:$L287),$H287:$L287,0)))</f>
        <v/>
      </c>
      <c r="S287" s="22"/>
      <c r="T287" s="29"/>
      <c r="U287" s="2" t="str">
        <f aca="false">IF($E287="","",IFERROR(INDEX(SUPPLIERS!$Q$4:$Q$63,MATCH($E287,SUPPLIERS!$A$4:$A$63,0)),0))</f>
        <v/>
      </c>
      <c r="V287" s="2" t="str">
        <f aca="false">IF($Q287="","",IF($U287&gt;0,100,0)+IF($P287="",0,$P287)+ROW()/100000)</f>
        <v/>
      </c>
      <c r="W287" s="2" t="str">
        <f aca="false">IF($V287="","",IF($A287=SEL_MODEL,$V287,""))</f>
        <v/>
      </c>
    </row>
    <row r="288" customFormat="false" ht="15" hidden="false" customHeight="false" outlineLevel="0" collapsed="false">
      <c r="A288" s="20"/>
      <c r="B288" s="21"/>
      <c r="C288" s="22"/>
      <c r="D288" s="21"/>
      <c r="E288" s="20"/>
      <c r="F288" s="23"/>
      <c r="G288" s="24" t="str">
        <f aca="false">IF(OR($A288="",$F288=""),"",IFERROR(IF(INDEX(MODELS!$K$4:$K$28,MATCH($A288,MODELS!$A$4:$A$28,0))="","",$F288*INDEX(MODELS!$K$4:$K$28,MATCH($A288,MODELS!$A$4:$A$28,0))),""))</f>
        <v/>
      </c>
      <c r="H288" s="21"/>
      <c r="I288" s="21"/>
      <c r="J288" s="21"/>
      <c r="K288" s="25" t="str">
        <f aca="false">IF($E288="","",IFERROR(IF(INDEX(SUPPLIERS!$K$4:$K$63,MATCH($E288,SUPPLIERS!$A$4:$A$63,0))="","",INDEX(SUPPLIERS!$K$4:$K$63,MATCH($E288,SUPPLIERS!$A$4:$A$63,0))),""))</f>
        <v/>
      </c>
      <c r="L288" s="25" t="str">
        <f aca="false">IF($E288="","",IFERROR(IF(INDEX(SUPPLIERS!$L$4:$L$63,MATCH($E288,SUPPLIERS!$A$4:$A$63,0))="","",INDEX(SUPPLIERS!$L$4:$L$63,MATCH($E288,SUPPLIERS!$A$4:$A$63,0))),""))</f>
        <v/>
      </c>
      <c r="M288" s="21"/>
      <c r="N288" s="11" t="str">
        <f aca="false">IF($E288="","",IFERROR(_xlfn.TEXTJOIN("; ",TRUE(),INDEX(SUPPLIERS!$F$4:$F$63,MATCH($E288,SUPPLIERS!$A$4:$A$63,0)),INDEX(SUPPLIERS!$G$4:$G$63,MATCH($E288,SUPPLIERS!$A$4:$A$63,0)),INDEX(SUPPLIERS!$H$4:$H$63,MATCH($E288,SUPPLIERS!$A$4:$A$63,0)),INDEX(SUPPLIERS!$I$4:$I$63,MATCH($E288,SUPPLIERS!$A$4:$A$63,0)),INDEX(SUPPLIERS!$J$4:$J$63,MATCH($E288,SUPPLIERS!$A$4:$A$63,0))),""))</f>
        <v/>
      </c>
      <c r="O288" s="26" t="str">
        <f aca="false">IF(COUNT($H288:$L288)&lt;5,"",ROUND($H288*W_SRC+$I288*W_QC+$J288*W_CAP+$K288*W_SUP+$L288*W_EXT,1))</f>
        <v/>
      </c>
      <c r="P288" s="27" t="str">
        <f aca="false">IF(OR($O288="",$M288=""),"",ROUND($O288*$M288,1))</f>
        <v/>
      </c>
      <c r="Q288" s="28" t="str">
        <f aca="false">IF($E288="","",IF($U288&gt;0,"CRITICAL (FLAG)",IF(OR($O288="",$M288=""),"NOT SCORED",IF($P288&gt;=T_CRIT,"CRITICAL",IF($P288&gt;=T_MON,"MONITOR","LOW")))))</f>
        <v/>
      </c>
      <c r="R288" s="12" t="str">
        <f aca="false">IF($O288="","",INDEX(DriverNames,MATCH(MAX($H288:$L288),$H288:$L288,0)))</f>
        <v/>
      </c>
      <c r="S288" s="22"/>
      <c r="T288" s="29"/>
      <c r="U288" s="2" t="str">
        <f aca="false">IF($E288="","",IFERROR(INDEX(SUPPLIERS!$Q$4:$Q$63,MATCH($E288,SUPPLIERS!$A$4:$A$63,0)),0))</f>
        <v/>
      </c>
      <c r="V288" s="2" t="str">
        <f aca="false">IF($Q288="","",IF($U288&gt;0,100,0)+IF($P288="",0,$P288)+ROW()/100000)</f>
        <v/>
      </c>
      <c r="W288" s="2" t="str">
        <f aca="false">IF($V288="","",IF($A288=SEL_MODEL,$V288,""))</f>
        <v/>
      </c>
    </row>
    <row r="289" customFormat="false" ht="15" hidden="false" customHeight="false" outlineLevel="0" collapsed="false">
      <c r="A289" s="20"/>
      <c r="B289" s="21"/>
      <c r="C289" s="22"/>
      <c r="D289" s="21"/>
      <c r="E289" s="20"/>
      <c r="F289" s="23"/>
      <c r="G289" s="24" t="str">
        <f aca="false">IF(OR($A289="",$F289=""),"",IFERROR(IF(INDEX(MODELS!$K$4:$K$28,MATCH($A289,MODELS!$A$4:$A$28,0))="","",$F289*INDEX(MODELS!$K$4:$K$28,MATCH($A289,MODELS!$A$4:$A$28,0))),""))</f>
        <v/>
      </c>
      <c r="H289" s="21"/>
      <c r="I289" s="21"/>
      <c r="J289" s="21"/>
      <c r="K289" s="25" t="str">
        <f aca="false">IF($E289="","",IFERROR(IF(INDEX(SUPPLIERS!$K$4:$K$63,MATCH($E289,SUPPLIERS!$A$4:$A$63,0))="","",INDEX(SUPPLIERS!$K$4:$K$63,MATCH($E289,SUPPLIERS!$A$4:$A$63,0))),""))</f>
        <v/>
      </c>
      <c r="L289" s="25" t="str">
        <f aca="false">IF($E289="","",IFERROR(IF(INDEX(SUPPLIERS!$L$4:$L$63,MATCH($E289,SUPPLIERS!$A$4:$A$63,0))="","",INDEX(SUPPLIERS!$L$4:$L$63,MATCH($E289,SUPPLIERS!$A$4:$A$63,0))),""))</f>
        <v/>
      </c>
      <c r="M289" s="21"/>
      <c r="N289" s="11" t="str">
        <f aca="false">IF($E289="","",IFERROR(_xlfn.TEXTJOIN("; ",TRUE(),INDEX(SUPPLIERS!$F$4:$F$63,MATCH($E289,SUPPLIERS!$A$4:$A$63,0)),INDEX(SUPPLIERS!$G$4:$G$63,MATCH($E289,SUPPLIERS!$A$4:$A$63,0)),INDEX(SUPPLIERS!$H$4:$H$63,MATCH($E289,SUPPLIERS!$A$4:$A$63,0)),INDEX(SUPPLIERS!$I$4:$I$63,MATCH($E289,SUPPLIERS!$A$4:$A$63,0)),INDEX(SUPPLIERS!$J$4:$J$63,MATCH($E289,SUPPLIERS!$A$4:$A$63,0))),""))</f>
        <v/>
      </c>
      <c r="O289" s="26" t="str">
        <f aca="false">IF(COUNT($H289:$L289)&lt;5,"",ROUND($H289*W_SRC+$I289*W_QC+$J289*W_CAP+$K289*W_SUP+$L289*W_EXT,1))</f>
        <v/>
      </c>
      <c r="P289" s="27" t="str">
        <f aca="false">IF(OR($O289="",$M289=""),"",ROUND($O289*$M289,1))</f>
        <v/>
      </c>
      <c r="Q289" s="28" t="str">
        <f aca="false">IF($E289="","",IF($U289&gt;0,"CRITICAL (FLAG)",IF(OR($O289="",$M289=""),"NOT SCORED",IF($P289&gt;=T_CRIT,"CRITICAL",IF($P289&gt;=T_MON,"MONITOR","LOW")))))</f>
        <v/>
      </c>
      <c r="R289" s="12" t="str">
        <f aca="false">IF($O289="","",INDEX(DriverNames,MATCH(MAX($H289:$L289),$H289:$L289,0)))</f>
        <v/>
      </c>
      <c r="S289" s="22"/>
      <c r="T289" s="29"/>
      <c r="U289" s="2" t="str">
        <f aca="false">IF($E289="","",IFERROR(INDEX(SUPPLIERS!$Q$4:$Q$63,MATCH($E289,SUPPLIERS!$A$4:$A$63,0)),0))</f>
        <v/>
      </c>
      <c r="V289" s="2" t="str">
        <f aca="false">IF($Q289="","",IF($U289&gt;0,100,0)+IF($P289="",0,$P289)+ROW()/100000)</f>
        <v/>
      </c>
      <c r="W289" s="2" t="str">
        <f aca="false">IF($V289="","",IF($A289=SEL_MODEL,$V289,""))</f>
        <v/>
      </c>
    </row>
    <row r="290" customFormat="false" ht="15" hidden="false" customHeight="false" outlineLevel="0" collapsed="false">
      <c r="A290" s="20"/>
      <c r="B290" s="21"/>
      <c r="C290" s="22"/>
      <c r="D290" s="21"/>
      <c r="E290" s="20"/>
      <c r="F290" s="23"/>
      <c r="G290" s="24" t="str">
        <f aca="false">IF(OR($A290="",$F290=""),"",IFERROR(IF(INDEX(MODELS!$K$4:$K$28,MATCH($A290,MODELS!$A$4:$A$28,0))="","",$F290*INDEX(MODELS!$K$4:$K$28,MATCH($A290,MODELS!$A$4:$A$28,0))),""))</f>
        <v/>
      </c>
      <c r="H290" s="21"/>
      <c r="I290" s="21"/>
      <c r="J290" s="21"/>
      <c r="K290" s="25" t="str">
        <f aca="false">IF($E290="","",IFERROR(IF(INDEX(SUPPLIERS!$K$4:$K$63,MATCH($E290,SUPPLIERS!$A$4:$A$63,0))="","",INDEX(SUPPLIERS!$K$4:$K$63,MATCH($E290,SUPPLIERS!$A$4:$A$63,0))),""))</f>
        <v/>
      </c>
      <c r="L290" s="25" t="str">
        <f aca="false">IF($E290="","",IFERROR(IF(INDEX(SUPPLIERS!$L$4:$L$63,MATCH($E290,SUPPLIERS!$A$4:$A$63,0))="","",INDEX(SUPPLIERS!$L$4:$L$63,MATCH($E290,SUPPLIERS!$A$4:$A$63,0))),""))</f>
        <v/>
      </c>
      <c r="M290" s="21"/>
      <c r="N290" s="11" t="str">
        <f aca="false">IF($E290="","",IFERROR(_xlfn.TEXTJOIN("; ",TRUE(),INDEX(SUPPLIERS!$F$4:$F$63,MATCH($E290,SUPPLIERS!$A$4:$A$63,0)),INDEX(SUPPLIERS!$G$4:$G$63,MATCH($E290,SUPPLIERS!$A$4:$A$63,0)),INDEX(SUPPLIERS!$H$4:$H$63,MATCH($E290,SUPPLIERS!$A$4:$A$63,0)),INDEX(SUPPLIERS!$I$4:$I$63,MATCH($E290,SUPPLIERS!$A$4:$A$63,0)),INDEX(SUPPLIERS!$J$4:$J$63,MATCH($E290,SUPPLIERS!$A$4:$A$63,0))),""))</f>
        <v/>
      </c>
      <c r="O290" s="26" t="str">
        <f aca="false">IF(COUNT($H290:$L290)&lt;5,"",ROUND($H290*W_SRC+$I290*W_QC+$J290*W_CAP+$K290*W_SUP+$L290*W_EXT,1))</f>
        <v/>
      </c>
      <c r="P290" s="27" t="str">
        <f aca="false">IF(OR($O290="",$M290=""),"",ROUND($O290*$M290,1))</f>
        <v/>
      </c>
      <c r="Q290" s="28" t="str">
        <f aca="false">IF($E290="","",IF($U290&gt;0,"CRITICAL (FLAG)",IF(OR($O290="",$M290=""),"NOT SCORED",IF($P290&gt;=T_CRIT,"CRITICAL",IF($P290&gt;=T_MON,"MONITOR","LOW")))))</f>
        <v/>
      </c>
      <c r="R290" s="12" t="str">
        <f aca="false">IF($O290="","",INDEX(DriverNames,MATCH(MAX($H290:$L290),$H290:$L290,0)))</f>
        <v/>
      </c>
      <c r="S290" s="22"/>
      <c r="T290" s="29"/>
      <c r="U290" s="2" t="str">
        <f aca="false">IF($E290="","",IFERROR(INDEX(SUPPLIERS!$Q$4:$Q$63,MATCH($E290,SUPPLIERS!$A$4:$A$63,0)),0))</f>
        <v/>
      </c>
      <c r="V290" s="2" t="str">
        <f aca="false">IF($Q290="","",IF($U290&gt;0,100,0)+IF($P290="",0,$P290)+ROW()/100000)</f>
        <v/>
      </c>
      <c r="W290" s="2" t="str">
        <f aca="false">IF($V290="","",IF($A290=SEL_MODEL,$V290,""))</f>
        <v/>
      </c>
    </row>
    <row r="291" customFormat="false" ht="15" hidden="false" customHeight="false" outlineLevel="0" collapsed="false">
      <c r="A291" s="20"/>
      <c r="B291" s="21"/>
      <c r="C291" s="22"/>
      <c r="D291" s="21"/>
      <c r="E291" s="20"/>
      <c r="F291" s="23"/>
      <c r="G291" s="24" t="str">
        <f aca="false">IF(OR($A291="",$F291=""),"",IFERROR(IF(INDEX(MODELS!$K$4:$K$28,MATCH($A291,MODELS!$A$4:$A$28,0))="","",$F291*INDEX(MODELS!$K$4:$K$28,MATCH($A291,MODELS!$A$4:$A$28,0))),""))</f>
        <v/>
      </c>
      <c r="H291" s="21"/>
      <c r="I291" s="21"/>
      <c r="J291" s="21"/>
      <c r="K291" s="25" t="str">
        <f aca="false">IF($E291="","",IFERROR(IF(INDEX(SUPPLIERS!$K$4:$K$63,MATCH($E291,SUPPLIERS!$A$4:$A$63,0))="","",INDEX(SUPPLIERS!$K$4:$K$63,MATCH($E291,SUPPLIERS!$A$4:$A$63,0))),""))</f>
        <v/>
      </c>
      <c r="L291" s="25" t="str">
        <f aca="false">IF($E291="","",IFERROR(IF(INDEX(SUPPLIERS!$L$4:$L$63,MATCH($E291,SUPPLIERS!$A$4:$A$63,0))="","",INDEX(SUPPLIERS!$L$4:$L$63,MATCH($E291,SUPPLIERS!$A$4:$A$63,0))),""))</f>
        <v/>
      </c>
      <c r="M291" s="21"/>
      <c r="N291" s="11" t="str">
        <f aca="false">IF($E291="","",IFERROR(_xlfn.TEXTJOIN("; ",TRUE(),INDEX(SUPPLIERS!$F$4:$F$63,MATCH($E291,SUPPLIERS!$A$4:$A$63,0)),INDEX(SUPPLIERS!$G$4:$G$63,MATCH($E291,SUPPLIERS!$A$4:$A$63,0)),INDEX(SUPPLIERS!$H$4:$H$63,MATCH($E291,SUPPLIERS!$A$4:$A$63,0)),INDEX(SUPPLIERS!$I$4:$I$63,MATCH($E291,SUPPLIERS!$A$4:$A$63,0)),INDEX(SUPPLIERS!$J$4:$J$63,MATCH($E291,SUPPLIERS!$A$4:$A$63,0))),""))</f>
        <v/>
      </c>
      <c r="O291" s="26" t="str">
        <f aca="false">IF(COUNT($H291:$L291)&lt;5,"",ROUND($H291*W_SRC+$I291*W_QC+$J291*W_CAP+$K291*W_SUP+$L291*W_EXT,1))</f>
        <v/>
      </c>
      <c r="P291" s="27" t="str">
        <f aca="false">IF(OR($O291="",$M291=""),"",ROUND($O291*$M291,1))</f>
        <v/>
      </c>
      <c r="Q291" s="28" t="str">
        <f aca="false">IF($E291="","",IF($U291&gt;0,"CRITICAL (FLAG)",IF(OR($O291="",$M291=""),"NOT SCORED",IF($P291&gt;=T_CRIT,"CRITICAL",IF($P291&gt;=T_MON,"MONITOR","LOW")))))</f>
        <v/>
      </c>
      <c r="R291" s="12" t="str">
        <f aca="false">IF($O291="","",INDEX(DriverNames,MATCH(MAX($H291:$L291),$H291:$L291,0)))</f>
        <v/>
      </c>
      <c r="S291" s="22"/>
      <c r="T291" s="29"/>
      <c r="U291" s="2" t="str">
        <f aca="false">IF($E291="","",IFERROR(INDEX(SUPPLIERS!$Q$4:$Q$63,MATCH($E291,SUPPLIERS!$A$4:$A$63,0)),0))</f>
        <v/>
      </c>
      <c r="V291" s="2" t="str">
        <f aca="false">IF($Q291="","",IF($U291&gt;0,100,0)+IF($P291="",0,$P291)+ROW()/100000)</f>
        <v/>
      </c>
      <c r="W291" s="2" t="str">
        <f aca="false">IF($V291="","",IF($A291=SEL_MODEL,$V291,""))</f>
        <v/>
      </c>
    </row>
    <row r="292" customFormat="false" ht="15" hidden="false" customHeight="false" outlineLevel="0" collapsed="false">
      <c r="A292" s="20"/>
      <c r="B292" s="21"/>
      <c r="C292" s="22"/>
      <c r="D292" s="21"/>
      <c r="E292" s="20"/>
      <c r="F292" s="23"/>
      <c r="G292" s="24" t="str">
        <f aca="false">IF(OR($A292="",$F292=""),"",IFERROR(IF(INDEX(MODELS!$K$4:$K$28,MATCH($A292,MODELS!$A$4:$A$28,0))="","",$F292*INDEX(MODELS!$K$4:$K$28,MATCH($A292,MODELS!$A$4:$A$28,0))),""))</f>
        <v/>
      </c>
      <c r="H292" s="21"/>
      <c r="I292" s="21"/>
      <c r="J292" s="21"/>
      <c r="K292" s="25" t="str">
        <f aca="false">IF($E292="","",IFERROR(IF(INDEX(SUPPLIERS!$K$4:$K$63,MATCH($E292,SUPPLIERS!$A$4:$A$63,0))="","",INDEX(SUPPLIERS!$K$4:$K$63,MATCH($E292,SUPPLIERS!$A$4:$A$63,0))),""))</f>
        <v/>
      </c>
      <c r="L292" s="25" t="str">
        <f aca="false">IF($E292="","",IFERROR(IF(INDEX(SUPPLIERS!$L$4:$L$63,MATCH($E292,SUPPLIERS!$A$4:$A$63,0))="","",INDEX(SUPPLIERS!$L$4:$L$63,MATCH($E292,SUPPLIERS!$A$4:$A$63,0))),""))</f>
        <v/>
      </c>
      <c r="M292" s="21"/>
      <c r="N292" s="11" t="str">
        <f aca="false">IF($E292="","",IFERROR(_xlfn.TEXTJOIN("; ",TRUE(),INDEX(SUPPLIERS!$F$4:$F$63,MATCH($E292,SUPPLIERS!$A$4:$A$63,0)),INDEX(SUPPLIERS!$G$4:$G$63,MATCH($E292,SUPPLIERS!$A$4:$A$63,0)),INDEX(SUPPLIERS!$H$4:$H$63,MATCH($E292,SUPPLIERS!$A$4:$A$63,0)),INDEX(SUPPLIERS!$I$4:$I$63,MATCH($E292,SUPPLIERS!$A$4:$A$63,0)),INDEX(SUPPLIERS!$J$4:$J$63,MATCH($E292,SUPPLIERS!$A$4:$A$63,0))),""))</f>
        <v/>
      </c>
      <c r="O292" s="26" t="str">
        <f aca="false">IF(COUNT($H292:$L292)&lt;5,"",ROUND($H292*W_SRC+$I292*W_QC+$J292*W_CAP+$K292*W_SUP+$L292*W_EXT,1))</f>
        <v/>
      </c>
      <c r="P292" s="27" t="str">
        <f aca="false">IF(OR($O292="",$M292=""),"",ROUND($O292*$M292,1))</f>
        <v/>
      </c>
      <c r="Q292" s="28" t="str">
        <f aca="false">IF($E292="","",IF($U292&gt;0,"CRITICAL (FLAG)",IF(OR($O292="",$M292=""),"NOT SCORED",IF($P292&gt;=T_CRIT,"CRITICAL",IF($P292&gt;=T_MON,"MONITOR","LOW")))))</f>
        <v/>
      </c>
      <c r="R292" s="12" t="str">
        <f aca="false">IF($O292="","",INDEX(DriverNames,MATCH(MAX($H292:$L292),$H292:$L292,0)))</f>
        <v/>
      </c>
      <c r="S292" s="22"/>
      <c r="T292" s="29"/>
      <c r="U292" s="2" t="str">
        <f aca="false">IF($E292="","",IFERROR(INDEX(SUPPLIERS!$Q$4:$Q$63,MATCH($E292,SUPPLIERS!$A$4:$A$63,0)),0))</f>
        <v/>
      </c>
      <c r="V292" s="2" t="str">
        <f aca="false">IF($Q292="","",IF($U292&gt;0,100,0)+IF($P292="",0,$P292)+ROW()/100000)</f>
        <v/>
      </c>
      <c r="W292" s="2" t="str">
        <f aca="false">IF($V292="","",IF($A292=SEL_MODEL,$V292,""))</f>
        <v/>
      </c>
    </row>
    <row r="293" customFormat="false" ht="15" hidden="false" customHeight="false" outlineLevel="0" collapsed="false">
      <c r="A293" s="20"/>
      <c r="B293" s="21"/>
      <c r="C293" s="22"/>
      <c r="D293" s="21"/>
      <c r="E293" s="20"/>
      <c r="F293" s="23"/>
      <c r="G293" s="24" t="str">
        <f aca="false">IF(OR($A293="",$F293=""),"",IFERROR(IF(INDEX(MODELS!$K$4:$K$28,MATCH($A293,MODELS!$A$4:$A$28,0))="","",$F293*INDEX(MODELS!$K$4:$K$28,MATCH($A293,MODELS!$A$4:$A$28,0))),""))</f>
        <v/>
      </c>
      <c r="H293" s="21"/>
      <c r="I293" s="21"/>
      <c r="J293" s="21"/>
      <c r="K293" s="25" t="str">
        <f aca="false">IF($E293="","",IFERROR(IF(INDEX(SUPPLIERS!$K$4:$K$63,MATCH($E293,SUPPLIERS!$A$4:$A$63,0))="","",INDEX(SUPPLIERS!$K$4:$K$63,MATCH($E293,SUPPLIERS!$A$4:$A$63,0))),""))</f>
        <v/>
      </c>
      <c r="L293" s="25" t="str">
        <f aca="false">IF($E293="","",IFERROR(IF(INDEX(SUPPLIERS!$L$4:$L$63,MATCH($E293,SUPPLIERS!$A$4:$A$63,0))="","",INDEX(SUPPLIERS!$L$4:$L$63,MATCH($E293,SUPPLIERS!$A$4:$A$63,0))),""))</f>
        <v/>
      </c>
      <c r="M293" s="21"/>
      <c r="N293" s="11" t="str">
        <f aca="false">IF($E293="","",IFERROR(_xlfn.TEXTJOIN("; ",TRUE(),INDEX(SUPPLIERS!$F$4:$F$63,MATCH($E293,SUPPLIERS!$A$4:$A$63,0)),INDEX(SUPPLIERS!$G$4:$G$63,MATCH($E293,SUPPLIERS!$A$4:$A$63,0)),INDEX(SUPPLIERS!$H$4:$H$63,MATCH($E293,SUPPLIERS!$A$4:$A$63,0)),INDEX(SUPPLIERS!$I$4:$I$63,MATCH($E293,SUPPLIERS!$A$4:$A$63,0)),INDEX(SUPPLIERS!$J$4:$J$63,MATCH($E293,SUPPLIERS!$A$4:$A$63,0))),""))</f>
        <v/>
      </c>
      <c r="O293" s="26" t="str">
        <f aca="false">IF(COUNT($H293:$L293)&lt;5,"",ROUND($H293*W_SRC+$I293*W_QC+$J293*W_CAP+$K293*W_SUP+$L293*W_EXT,1))</f>
        <v/>
      </c>
      <c r="P293" s="27" t="str">
        <f aca="false">IF(OR($O293="",$M293=""),"",ROUND($O293*$M293,1))</f>
        <v/>
      </c>
      <c r="Q293" s="28" t="str">
        <f aca="false">IF($E293="","",IF($U293&gt;0,"CRITICAL (FLAG)",IF(OR($O293="",$M293=""),"NOT SCORED",IF($P293&gt;=T_CRIT,"CRITICAL",IF($P293&gt;=T_MON,"MONITOR","LOW")))))</f>
        <v/>
      </c>
      <c r="R293" s="12" t="str">
        <f aca="false">IF($O293="","",INDEX(DriverNames,MATCH(MAX($H293:$L293),$H293:$L293,0)))</f>
        <v/>
      </c>
      <c r="S293" s="22"/>
      <c r="T293" s="29"/>
      <c r="U293" s="2" t="str">
        <f aca="false">IF($E293="","",IFERROR(INDEX(SUPPLIERS!$Q$4:$Q$63,MATCH($E293,SUPPLIERS!$A$4:$A$63,0)),0))</f>
        <v/>
      </c>
      <c r="V293" s="2" t="str">
        <f aca="false">IF($Q293="","",IF($U293&gt;0,100,0)+IF($P293="",0,$P293)+ROW()/100000)</f>
        <v/>
      </c>
      <c r="W293" s="2" t="str">
        <f aca="false">IF($V293="","",IF($A293=SEL_MODEL,$V293,""))</f>
        <v/>
      </c>
    </row>
    <row r="294" customFormat="false" ht="15" hidden="false" customHeight="false" outlineLevel="0" collapsed="false">
      <c r="A294" s="20"/>
      <c r="B294" s="21"/>
      <c r="C294" s="22"/>
      <c r="D294" s="21"/>
      <c r="E294" s="20"/>
      <c r="F294" s="23"/>
      <c r="G294" s="24" t="str">
        <f aca="false">IF(OR($A294="",$F294=""),"",IFERROR(IF(INDEX(MODELS!$K$4:$K$28,MATCH($A294,MODELS!$A$4:$A$28,0))="","",$F294*INDEX(MODELS!$K$4:$K$28,MATCH($A294,MODELS!$A$4:$A$28,0))),""))</f>
        <v/>
      </c>
      <c r="H294" s="21"/>
      <c r="I294" s="21"/>
      <c r="J294" s="21"/>
      <c r="K294" s="25" t="str">
        <f aca="false">IF($E294="","",IFERROR(IF(INDEX(SUPPLIERS!$K$4:$K$63,MATCH($E294,SUPPLIERS!$A$4:$A$63,0))="","",INDEX(SUPPLIERS!$K$4:$K$63,MATCH($E294,SUPPLIERS!$A$4:$A$63,0))),""))</f>
        <v/>
      </c>
      <c r="L294" s="25" t="str">
        <f aca="false">IF($E294="","",IFERROR(IF(INDEX(SUPPLIERS!$L$4:$L$63,MATCH($E294,SUPPLIERS!$A$4:$A$63,0))="","",INDEX(SUPPLIERS!$L$4:$L$63,MATCH($E294,SUPPLIERS!$A$4:$A$63,0))),""))</f>
        <v/>
      </c>
      <c r="M294" s="21"/>
      <c r="N294" s="11" t="str">
        <f aca="false">IF($E294="","",IFERROR(_xlfn.TEXTJOIN("; ",TRUE(),INDEX(SUPPLIERS!$F$4:$F$63,MATCH($E294,SUPPLIERS!$A$4:$A$63,0)),INDEX(SUPPLIERS!$G$4:$G$63,MATCH($E294,SUPPLIERS!$A$4:$A$63,0)),INDEX(SUPPLIERS!$H$4:$H$63,MATCH($E294,SUPPLIERS!$A$4:$A$63,0)),INDEX(SUPPLIERS!$I$4:$I$63,MATCH($E294,SUPPLIERS!$A$4:$A$63,0)),INDEX(SUPPLIERS!$J$4:$J$63,MATCH($E294,SUPPLIERS!$A$4:$A$63,0))),""))</f>
        <v/>
      </c>
      <c r="O294" s="26" t="str">
        <f aca="false">IF(COUNT($H294:$L294)&lt;5,"",ROUND($H294*W_SRC+$I294*W_QC+$J294*W_CAP+$K294*W_SUP+$L294*W_EXT,1))</f>
        <v/>
      </c>
      <c r="P294" s="27" t="str">
        <f aca="false">IF(OR($O294="",$M294=""),"",ROUND($O294*$M294,1))</f>
        <v/>
      </c>
      <c r="Q294" s="28" t="str">
        <f aca="false">IF($E294="","",IF($U294&gt;0,"CRITICAL (FLAG)",IF(OR($O294="",$M294=""),"NOT SCORED",IF($P294&gt;=T_CRIT,"CRITICAL",IF($P294&gt;=T_MON,"MONITOR","LOW")))))</f>
        <v/>
      </c>
      <c r="R294" s="12" t="str">
        <f aca="false">IF($O294="","",INDEX(DriverNames,MATCH(MAX($H294:$L294),$H294:$L294,0)))</f>
        <v/>
      </c>
      <c r="S294" s="22"/>
      <c r="T294" s="29"/>
      <c r="U294" s="2" t="str">
        <f aca="false">IF($E294="","",IFERROR(INDEX(SUPPLIERS!$Q$4:$Q$63,MATCH($E294,SUPPLIERS!$A$4:$A$63,0)),0))</f>
        <v/>
      </c>
      <c r="V294" s="2" t="str">
        <f aca="false">IF($Q294="","",IF($U294&gt;0,100,0)+IF($P294="",0,$P294)+ROW()/100000)</f>
        <v/>
      </c>
      <c r="W294" s="2" t="str">
        <f aca="false">IF($V294="","",IF($A294=SEL_MODEL,$V294,""))</f>
        <v/>
      </c>
    </row>
    <row r="295" customFormat="false" ht="15" hidden="false" customHeight="false" outlineLevel="0" collapsed="false">
      <c r="A295" s="20"/>
      <c r="B295" s="21"/>
      <c r="C295" s="22"/>
      <c r="D295" s="21"/>
      <c r="E295" s="20"/>
      <c r="F295" s="23"/>
      <c r="G295" s="24" t="str">
        <f aca="false">IF(OR($A295="",$F295=""),"",IFERROR(IF(INDEX(MODELS!$K$4:$K$28,MATCH($A295,MODELS!$A$4:$A$28,0))="","",$F295*INDEX(MODELS!$K$4:$K$28,MATCH($A295,MODELS!$A$4:$A$28,0))),""))</f>
        <v/>
      </c>
      <c r="H295" s="21"/>
      <c r="I295" s="21"/>
      <c r="J295" s="21"/>
      <c r="K295" s="25" t="str">
        <f aca="false">IF($E295="","",IFERROR(IF(INDEX(SUPPLIERS!$K$4:$K$63,MATCH($E295,SUPPLIERS!$A$4:$A$63,0))="","",INDEX(SUPPLIERS!$K$4:$K$63,MATCH($E295,SUPPLIERS!$A$4:$A$63,0))),""))</f>
        <v/>
      </c>
      <c r="L295" s="25" t="str">
        <f aca="false">IF($E295="","",IFERROR(IF(INDEX(SUPPLIERS!$L$4:$L$63,MATCH($E295,SUPPLIERS!$A$4:$A$63,0))="","",INDEX(SUPPLIERS!$L$4:$L$63,MATCH($E295,SUPPLIERS!$A$4:$A$63,0))),""))</f>
        <v/>
      </c>
      <c r="M295" s="21"/>
      <c r="N295" s="11" t="str">
        <f aca="false">IF($E295="","",IFERROR(_xlfn.TEXTJOIN("; ",TRUE(),INDEX(SUPPLIERS!$F$4:$F$63,MATCH($E295,SUPPLIERS!$A$4:$A$63,0)),INDEX(SUPPLIERS!$G$4:$G$63,MATCH($E295,SUPPLIERS!$A$4:$A$63,0)),INDEX(SUPPLIERS!$H$4:$H$63,MATCH($E295,SUPPLIERS!$A$4:$A$63,0)),INDEX(SUPPLIERS!$I$4:$I$63,MATCH($E295,SUPPLIERS!$A$4:$A$63,0)),INDEX(SUPPLIERS!$J$4:$J$63,MATCH($E295,SUPPLIERS!$A$4:$A$63,0))),""))</f>
        <v/>
      </c>
      <c r="O295" s="26" t="str">
        <f aca="false">IF(COUNT($H295:$L295)&lt;5,"",ROUND($H295*W_SRC+$I295*W_QC+$J295*W_CAP+$K295*W_SUP+$L295*W_EXT,1))</f>
        <v/>
      </c>
      <c r="P295" s="27" t="str">
        <f aca="false">IF(OR($O295="",$M295=""),"",ROUND($O295*$M295,1))</f>
        <v/>
      </c>
      <c r="Q295" s="28" t="str">
        <f aca="false">IF($E295="","",IF($U295&gt;0,"CRITICAL (FLAG)",IF(OR($O295="",$M295=""),"NOT SCORED",IF($P295&gt;=T_CRIT,"CRITICAL",IF($P295&gt;=T_MON,"MONITOR","LOW")))))</f>
        <v/>
      </c>
      <c r="R295" s="12" t="str">
        <f aca="false">IF($O295="","",INDEX(DriverNames,MATCH(MAX($H295:$L295),$H295:$L295,0)))</f>
        <v/>
      </c>
      <c r="S295" s="22"/>
      <c r="T295" s="29"/>
      <c r="U295" s="2" t="str">
        <f aca="false">IF($E295="","",IFERROR(INDEX(SUPPLIERS!$Q$4:$Q$63,MATCH($E295,SUPPLIERS!$A$4:$A$63,0)),0))</f>
        <v/>
      </c>
      <c r="V295" s="2" t="str">
        <f aca="false">IF($Q295="","",IF($U295&gt;0,100,0)+IF($P295="",0,$P295)+ROW()/100000)</f>
        <v/>
      </c>
      <c r="W295" s="2" t="str">
        <f aca="false">IF($V295="","",IF($A295=SEL_MODEL,$V295,""))</f>
        <v/>
      </c>
    </row>
    <row r="296" customFormat="false" ht="15" hidden="false" customHeight="false" outlineLevel="0" collapsed="false">
      <c r="A296" s="20"/>
      <c r="B296" s="21"/>
      <c r="C296" s="22"/>
      <c r="D296" s="21"/>
      <c r="E296" s="20"/>
      <c r="F296" s="23"/>
      <c r="G296" s="24" t="str">
        <f aca="false">IF(OR($A296="",$F296=""),"",IFERROR(IF(INDEX(MODELS!$K$4:$K$28,MATCH($A296,MODELS!$A$4:$A$28,0))="","",$F296*INDEX(MODELS!$K$4:$K$28,MATCH($A296,MODELS!$A$4:$A$28,0))),""))</f>
        <v/>
      </c>
      <c r="H296" s="21"/>
      <c r="I296" s="21"/>
      <c r="J296" s="21"/>
      <c r="K296" s="25" t="str">
        <f aca="false">IF($E296="","",IFERROR(IF(INDEX(SUPPLIERS!$K$4:$K$63,MATCH($E296,SUPPLIERS!$A$4:$A$63,0))="","",INDEX(SUPPLIERS!$K$4:$K$63,MATCH($E296,SUPPLIERS!$A$4:$A$63,0))),""))</f>
        <v/>
      </c>
      <c r="L296" s="25" t="str">
        <f aca="false">IF($E296="","",IFERROR(IF(INDEX(SUPPLIERS!$L$4:$L$63,MATCH($E296,SUPPLIERS!$A$4:$A$63,0))="","",INDEX(SUPPLIERS!$L$4:$L$63,MATCH($E296,SUPPLIERS!$A$4:$A$63,0))),""))</f>
        <v/>
      </c>
      <c r="M296" s="21"/>
      <c r="N296" s="11" t="str">
        <f aca="false">IF($E296="","",IFERROR(_xlfn.TEXTJOIN("; ",TRUE(),INDEX(SUPPLIERS!$F$4:$F$63,MATCH($E296,SUPPLIERS!$A$4:$A$63,0)),INDEX(SUPPLIERS!$G$4:$G$63,MATCH($E296,SUPPLIERS!$A$4:$A$63,0)),INDEX(SUPPLIERS!$H$4:$H$63,MATCH($E296,SUPPLIERS!$A$4:$A$63,0)),INDEX(SUPPLIERS!$I$4:$I$63,MATCH($E296,SUPPLIERS!$A$4:$A$63,0)),INDEX(SUPPLIERS!$J$4:$J$63,MATCH($E296,SUPPLIERS!$A$4:$A$63,0))),""))</f>
        <v/>
      </c>
      <c r="O296" s="26" t="str">
        <f aca="false">IF(COUNT($H296:$L296)&lt;5,"",ROUND($H296*W_SRC+$I296*W_QC+$J296*W_CAP+$K296*W_SUP+$L296*W_EXT,1))</f>
        <v/>
      </c>
      <c r="P296" s="27" t="str">
        <f aca="false">IF(OR($O296="",$M296=""),"",ROUND($O296*$M296,1))</f>
        <v/>
      </c>
      <c r="Q296" s="28" t="str">
        <f aca="false">IF($E296="","",IF($U296&gt;0,"CRITICAL (FLAG)",IF(OR($O296="",$M296=""),"NOT SCORED",IF($P296&gt;=T_CRIT,"CRITICAL",IF($P296&gt;=T_MON,"MONITOR","LOW")))))</f>
        <v/>
      </c>
      <c r="R296" s="12" t="str">
        <f aca="false">IF($O296="","",INDEX(DriverNames,MATCH(MAX($H296:$L296),$H296:$L296,0)))</f>
        <v/>
      </c>
      <c r="S296" s="22"/>
      <c r="T296" s="29"/>
      <c r="U296" s="2" t="str">
        <f aca="false">IF($E296="","",IFERROR(INDEX(SUPPLIERS!$Q$4:$Q$63,MATCH($E296,SUPPLIERS!$A$4:$A$63,0)),0))</f>
        <v/>
      </c>
      <c r="V296" s="2" t="str">
        <f aca="false">IF($Q296="","",IF($U296&gt;0,100,0)+IF($P296="",0,$P296)+ROW()/100000)</f>
        <v/>
      </c>
      <c r="W296" s="2" t="str">
        <f aca="false">IF($V296="","",IF($A296=SEL_MODEL,$V296,""))</f>
        <v/>
      </c>
    </row>
    <row r="297" customFormat="false" ht="15" hidden="false" customHeight="false" outlineLevel="0" collapsed="false">
      <c r="A297" s="20"/>
      <c r="B297" s="21"/>
      <c r="C297" s="22"/>
      <c r="D297" s="21"/>
      <c r="E297" s="20"/>
      <c r="F297" s="23"/>
      <c r="G297" s="24" t="str">
        <f aca="false">IF(OR($A297="",$F297=""),"",IFERROR(IF(INDEX(MODELS!$K$4:$K$28,MATCH($A297,MODELS!$A$4:$A$28,0))="","",$F297*INDEX(MODELS!$K$4:$K$28,MATCH($A297,MODELS!$A$4:$A$28,0))),""))</f>
        <v/>
      </c>
      <c r="H297" s="21"/>
      <c r="I297" s="21"/>
      <c r="J297" s="21"/>
      <c r="K297" s="25" t="str">
        <f aca="false">IF($E297="","",IFERROR(IF(INDEX(SUPPLIERS!$K$4:$K$63,MATCH($E297,SUPPLIERS!$A$4:$A$63,0))="","",INDEX(SUPPLIERS!$K$4:$K$63,MATCH($E297,SUPPLIERS!$A$4:$A$63,0))),""))</f>
        <v/>
      </c>
      <c r="L297" s="25" t="str">
        <f aca="false">IF($E297="","",IFERROR(IF(INDEX(SUPPLIERS!$L$4:$L$63,MATCH($E297,SUPPLIERS!$A$4:$A$63,0))="","",INDEX(SUPPLIERS!$L$4:$L$63,MATCH($E297,SUPPLIERS!$A$4:$A$63,0))),""))</f>
        <v/>
      </c>
      <c r="M297" s="21"/>
      <c r="N297" s="11" t="str">
        <f aca="false">IF($E297="","",IFERROR(_xlfn.TEXTJOIN("; ",TRUE(),INDEX(SUPPLIERS!$F$4:$F$63,MATCH($E297,SUPPLIERS!$A$4:$A$63,0)),INDEX(SUPPLIERS!$G$4:$G$63,MATCH($E297,SUPPLIERS!$A$4:$A$63,0)),INDEX(SUPPLIERS!$H$4:$H$63,MATCH($E297,SUPPLIERS!$A$4:$A$63,0)),INDEX(SUPPLIERS!$I$4:$I$63,MATCH($E297,SUPPLIERS!$A$4:$A$63,0)),INDEX(SUPPLIERS!$J$4:$J$63,MATCH($E297,SUPPLIERS!$A$4:$A$63,0))),""))</f>
        <v/>
      </c>
      <c r="O297" s="26" t="str">
        <f aca="false">IF(COUNT($H297:$L297)&lt;5,"",ROUND($H297*W_SRC+$I297*W_QC+$J297*W_CAP+$K297*W_SUP+$L297*W_EXT,1))</f>
        <v/>
      </c>
      <c r="P297" s="27" t="str">
        <f aca="false">IF(OR($O297="",$M297=""),"",ROUND($O297*$M297,1))</f>
        <v/>
      </c>
      <c r="Q297" s="28" t="str">
        <f aca="false">IF($E297="","",IF($U297&gt;0,"CRITICAL (FLAG)",IF(OR($O297="",$M297=""),"NOT SCORED",IF($P297&gt;=T_CRIT,"CRITICAL",IF($P297&gt;=T_MON,"MONITOR","LOW")))))</f>
        <v/>
      </c>
      <c r="R297" s="12" t="str">
        <f aca="false">IF($O297="","",INDEX(DriverNames,MATCH(MAX($H297:$L297),$H297:$L297,0)))</f>
        <v/>
      </c>
      <c r="S297" s="22"/>
      <c r="T297" s="29"/>
      <c r="U297" s="2" t="str">
        <f aca="false">IF($E297="","",IFERROR(INDEX(SUPPLIERS!$Q$4:$Q$63,MATCH($E297,SUPPLIERS!$A$4:$A$63,0)),0))</f>
        <v/>
      </c>
      <c r="V297" s="2" t="str">
        <f aca="false">IF($Q297="","",IF($U297&gt;0,100,0)+IF($P297="",0,$P297)+ROW()/100000)</f>
        <v/>
      </c>
      <c r="W297" s="2" t="str">
        <f aca="false">IF($V297="","",IF($A297=SEL_MODEL,$V297,""))</f>
        <v/>
      </c>
    </row>
    <row r="298" customFormat="false" ht="15" hidden="false" customHeight="false" outlineLevel="0" collapsed="false">
      <c r="A298" s="20"/>
      <c r="B298" s="21"/>
      <c r="C298" s="22"/>
      <c r="D298" s="21"/>
      <c r="E298" s="20"/>
      <c r="F298" s="23"/>
      <c r="G298" s="24" t="str">
        <f aca="false">IF(OR($A298="",$F298=""),"",IFERROR(IF(INDEX(MODELS!$K$4:$K$28,MATCH($A298,MODELS!$A$4:$A$28,0))="","",$F298*INDEX(MODELS!$K$4:$K$28,MATCH($A298,MODELS!$A$4:$A$28,0))),""))</f>
        <v/>
      </c>
      <c r="H298" s="21"/>
      <c r="I298" s="21"/>
      <c r="J298" s="21"/>
      <c r="K298" s="25" t="str">
        <f aca="false">IF($E298="","",IFERROR(IF(INDEX(SUPPLIERS!$K$4:$K$63,MATCH($E298,SUPPLIERS!$A$4:$A$63,0))="","",INDEX(SUPPLIERS!$K$4:$K$63,MATCH($E298,SUPPLIERS!$A$4:$A$63,0))),""))</f>
        <v/>
      </c>
      <c r="L298" s="25" t="str">
        <f aca="false">IF($E298="","",IFERROR(IF(INDEX(SUPPLIERS!$L$4:$L$63,MATCH($E298,SUPPLIERS!$A$4:$A$63,0))="","",INDEX(SUPPLIERS!$L$4:$L$63,MATCH($E298,SUPPLIERS!$A$4:$A$63,0))),""))</f>
        <v/>
      </c>
      <c r="M298" s="21"/>
      <c r="N298" s="11" t="str">
        <f aca="false">IF($E298="","",IFERROR(_xlfn.TEXTJOIN("; ",TRUE(),INDEX(SUPPLIERS!$F$4:$F$63,MATCH($E298,SUPPLIERS!$A$4:$A$63,0)),INDEX(SUPPLIERS!$G$4:$G$63,MATCH($E298,SUPPLIERS!$A$4:$A$63,0)),INDEX(SUPPLIERS!$H$4:$H$63,MATCH($E298,SUPPLIERS!$A$4:$A$63,0)),INDEX(SUPPLIERS!$I$4:$I$63,MATCH($E298,SUPPLIERS!$A$4:$A$63,0)),INDEX(SUPPLIERS!$J$4:$J$63,MATCH($E298,SUPPLIERS!$A$4:$A$63,0))),""))</f>
        <v/>
      </c>
      <c r="O298" s="26" t="str">
        <f aca="false">IF(COUNT($H298:$L298)&lt;5,"",ROUND($H298*W_SRC+$I298*W_QC+$J298*W_CAP+$K298*W_SUP+$L298*W_EXT,1))</f>
        <v/>
      </c>
      <c r="P298" s="27" t="str">
        <f aca="false">IF(OR($O298="",$M298=""),"",ROUND($O298*$M298,1))</f>
        <v/>
      </c>
      <c r="Q298" s="28" t="str">
        <f aca="false">IF($E298="","",IF($U298&gt;0,"CRITICAL (FLAG)",IF(OR($O298="",$M298=""),"NOT SCORED",IF($P298&gt;=T_CRIT,"CRITICAL",IF($P298&gt;=T_MON,"MONITOR","LOW")))))</f>
        <v/>
      </c>
      <c r="R298" s="12" t="str">
        <f aca="false">IF($O298="","",INDEX(DriverNames,MATCH(MAX($H298:$L298),$H298:$L298,0)))</f>
        <v/>
      </c>
      <c r="S298" s="22"/>
      <c r="T298" s="29"/>
      <c r="U298" s="2" t="str">
        <f aca="false">IF($E298="","",IFERROR(INDEX(SUPPLIERS!$Q$4:$Q$63,MATCH($E298,SUPPLIERS!$A$4:$A$63,0)),0))</f>
        <v/>
      </c>
      <c r="V298" s="2" t="str">
        <f aca="false">IF($Q298="","",IF($U298&gt;0,100,0)+IF($P298="",0,$P298)+ROW()/100000)</f>
        <v/>
      </c>
      <c r="W298" s="2" t="str">
        <f aca="false">IF($V298="","",IF($A298=SEL_MODEL,$V298,""))</f>
        <v/>
      </c>
    </row>
    <row r="299" customFormat="false" ht="15" hidden="false" customHeight="false" outlineLevel="0" collapsed="false">
      <c r="A299" s="20"/>
      <c r="B299" s="21"/>
      <c r="C299" s="22"/>
      <c r="D299" s="21"/>
      <c r="E299" s="20"/>
      <c r="F299" s="23"/>
      <c r="G299" s="24" t="str">
        <f aca="false">IF(OR($A299="",$F299=""),"",IFERROR(IF(INDEX(MODELS!$K$4:$K$28,MATCH($A299,MODELS!$A$4:$A$28,0))="","",$F299*INDEX(MODELS!$K$4:$K$28,MATCH($A299,MODELS!$A$4:$A$28,0))),""))</f>
        <v/>
      </c>
      <c r="H299" s="21"/>
      <c r="I299" s="21"/>
      <c r="J299" s="21"/>
      <c r="K299" s="25" t="str">
        <f aca="false">IF($E299="","",IFERROR(IF(INDEX(SUPPLIERS!$K$4:$K$63,MATCH($E299,SUPPLIERS!$A$4:$A$63,0))="","",INDEX(SUPPLIERS!$K$4:$K$63,MATCH($E299,SUPPLIERS!$A$4:$A$63,0))),""))</f>
        <v/>
      </c>
      <c r="L299" s="25" t="str">
        <f aca="false">IF($E299="","",IFERROR(IF(INDEX(SUPPLIERS!$L$4:$L$63,MATCH($E299,SUPPLIERS!$A$4:$A$63,0))="","",INDEX(SUPPLIERS!$L$4:$L$63,MATCH($E299,SUPPLIERS!$A$4:$A$63,0))),""))</f>
        <v/>
      </c>
      <c r="M299" s="21"/>
      <c r="N299" s="11" t="str">
        <f aca="false">IF($E299="","",IFERROR(_xlfn.TEXTJOIN("; ",TRUE(),INDEX(SUPPLIERS!$F$4:$F$63,MATCH($E299,SUPPLIERS!$A$4:$A$63,0)),INDEX(SUPPLIERS!$G$4:$G$63,MATCH($E299,SUPPLIERS!$A$4:$A$63,0)),INDEX(SUPPLIERS!$H$4:$H$63,MATCH($E299,SUPPLIERS!$A$4:$A$63,0)),INDEX(SUPPLIERS!$I$4:$I$63,MATCH($E299,SUPPLIERS!$A$4:$A$63,0)),INDEX(SUPPLIERS!$J$4:$J$63,MATCH($E299,SUPPLIERS!$A$4:$A$63,0))),""))</f>
        <v/>
      </c>
      <c r="O299" s="26" t="str">
        <f aca="false">IF(COUNT($H299:$L299)&lt;5,"",ROUND($H299*W_SRC+$I299*W_QC+$J299*W_CAP+$K299*W_SUP+$L299*W_EXT,1))</f>
        <v/>
      </c>
      <c r="P299" s="27" t="str">
        <f aca="false">IF(OR($O299="",$M299=""),"",ROUND($O299*$M299,1))</f>
        <v/>
      </c>
      <c r="Q299" s="28" t="str">
        <f aca="false">IF($E299="","",IF($U299&gt;0,"CRITICAL (FLAG)",IF(OR($O299="",$M299=""),"NOT SCORED",IF($P299&gt;=T_CRIT,"CRITICAL",IF($P299&gt;=T_MON,"MONITOR","LOW")))))</f>
        <v/>
      </c>
      <c r="R299" s="12" t="str">
        <f aca="false">IF($O299="","",INDEX(DriverNames,MATCH(MAX($H299:$L299),$H299:$L299,0)))</f>
        <v/>
      </c>
      <c r="S299" s="22"/>
      <c r="T299" s="29"/>
      <c r="U299" s="2" t="str">
        <f aca="false">IF($E299="","",IFERROR(INDEX(SUPPLIERS!$Q$4:$Q$63,MATCH($E299,SUPPLIERS!$A$4:$A$63,0)),0))</f>
        <v/>
      </c>
      <c r="V299" s="2" t="str">
        <f aca="false">IF($Q299="","",IF($U299&gt;0,100,0)+IF($P299="",0,$P299)+ROW()/100000)</f>
        <v/>
      </c>
      <c r="W299" s="2" t="str">
        <f aca="false">IF($V299="","",IF($A299=SEL_MODEL,$V299,""))</f>
        <v/>
      </c>
    </row>
    <row r="300" customFormat="false" ht="15" hidden="false" customHeight="false" outlineLevel="0" collapsed="false">
      <c r="A300" s="20"/>
      <c r="B300" s="21"/>
      <c r="C300" s="22"/>
      <c r="D300" s="21"/>
      <c r="E300" s="20"/>
      <c r="F300" s="23"/>
      <c r="G300" s="24" t="str">
        <f aca="false">IF(OR($A300="",$F300=""),"",IFERROR(IF(INDEX(MODELS!$K$4:$K$28,MATCH($A300,MODELS!$A$4:$A$28,0))="","",$F300*INDEX(MODELS!$K$4:$K$28,MATCH($A300,MODELS!$A$4:$A$28,0))),""))</f>
        <v/>
      </c>
      <c r="H300" s="21"/>
      <c r="I300" s="21"/>
      <c r="J300" s="21"/>
      <c r="K300" s="25" t="str">
        <f aca="false">IF($E300="","",IFERROR(IF(INDEX(SUPPLIERS!$K$4:$K$63,MATCH($E300,SUPPLIERS!$A$4:$A$63,0))="","",INDEX(SUPPLIERS!$K$4:$K$63,MATCH($E300,SUPPLIERS!$A$4:$A$63,0))),""))</f>
        <v/>
      </c>
      <c r="L300" s="25" t="str">
        <f aca="false">IF($E300="","",IFERROR(IF(INDEX(SUPPLIERS!$L$4:$L$63,MATCH($E300,SUPPLIERS!$A$4:$A$63,0))="","",INDEX(SUPPLIERS!$L$4:$L$63,MATCH($E300,SUPPLIERS!$A$4:$A$63,0))),""))</f>
        <v/>
      </c>
      <c r="M300" s="21"/>
      <c r="N300" s="11" t="str">
        <f aca="false">IF($E300="","",IFERROR(_xlfn.TEXTJOIN("; ",TRUE(),INDEX(SUPPLIERS!$F$4:$F$63,MATCH($E300,SUPPLIERS!$A$4:$A$63,0)),INDEX(SUPPLIERS!$G$4:$G$63,MATCH($E300,SUPPLIERS!$A$4:$A$63,0)),INDEX(SUPPLIERS!$H$4:$H$63,MATCH($E300,SUPPLIERS!$A$4:$A$63,0)),INDEX(SUPPLIERS!$I$4:$I$63,MATCH($E300,SUPPLIERS!$A$4:$A$63,0)),INDEX(SUPPLIERS!$J$4:$J$63,MATCH($E300,SUPPLIERS!$A$4:$A$63,0))),""))</f>
        <v/>
      </c>
      <c r="O300" s="26" t="str">
        <f aca="false">IF(COUNT($H300:$L300)&lt;5,"",ROUND($H300*W_SRC+$I300*W_QC+$J300*W_CAP+$K300*W_SUP+$L300*W_EXT,1))</f>
        <v/>
      </c>
      <c r="P300" s="27" t="str">
        <f aca="false">IF(OR($O300="",$M300=""),"",ROUND($O300*$M300,1))</f>
        <v/>
      </c>
      <c r="Q300" s="28" t="str">
        <f aca="false">IF($E300="","",IF($U300&gt;0,"CRITICAL (FLAG)",IF(OR($O300="",$M300=""),"NOT SCORED",IF($P300&gt;=T_CRIT,"CRITICAL",IF($P300&gt;=T_MON,"MONITOR","LOW")))))</f>
        <v/>
      </c>
      <c r="R300" s="12" t="str">
        <f aca="false">IF($O300="","",INDEX(DriverNames,MATCH(MAX($H300:$L300),$H300:$L300,0)))</f>
        <v/>
      </c>
      <c r="S300" s="22"/>
      <c r="T300" s="29"/>
      <c r="U300" s="2" t="str">
        <f aca="false">IF($E300="","",IFERROR(INDEX(SUPPLIERS!$Q$4:$Q$63,MATCH($E300,SUPPLIERS!$A$4:$A$63,0)),0))</f>
        <v/>
      </c>
      <c r="V300" s="2" t="str">
        <f aca="false">IF($Q300="","",IF($U300&gt;0,100,0)+IF($P300="",0,$P300)+ROW()/100000)</f>
        <v/>
      </c>
      <c r="W300" s="2" t="str">
        <f aca="false">IF($V300="","",IF($A300=SEL_MODEL,$V300,""))</f>
        <v/>
      </c>
    </row>
    <row r="301" customFormat="false" ht="15" hidden="false" customHeight="false" outlineLevel="0" collapsed="false">
      <c r="A301" s="20"/>
      <c r="B301" s="21"/>
      <c r="C301" s="22"/>
      <c r="D301" s="21"/>
      <c r="E301" s="20"/>
      <c r="F301" s="23"/>
      <c r="G301" s="24" t="str">
        <f aca="false">IF(OR($A301="",$F301=""),"",IFERROR(IF(INDEX(MODELS!$K$4:$K$28,MATCH($A301,MODELS!$A$4:$A$28,0))="","",$F301*INDEX(MODELS!$K$4:$K$28,MATCH($A301,MODELS!$A$4:$A$28,0))),""))</f>
        <v/>
      </c>
      <c r="H301" s="21"/>
      <c r="I301" s="21"/>
      <c r="J301" s="21"/>
      <c r="K301" s="25" t="str">
        <f aca="false">IF($E301="","",IFERROR(IF(INDEX(SUPPLIERS!$K$4:$K$63,MATCH($E301,SUPPLIERS!$A$4:$A$63,0))="","",INDEX(SUPPLIERS!$K$4:$K$63,MATCH($E301,SUPPLIERS!$A$4:$A$63,0))),""))</f>
        <v/>
      </c>
      <c r="L301" s="25" t="str">
        <f aca="false">IF($E301="","",IFERROR(IF(INDEX(SUPPLIERS!$L$4:$L$63,MATCH($E301,SUPPLIERS!$A$4:$A$63,0))="","",INDEX(SUPPLIERS!$L$4:$L$63,MATCH($E301,SUPPLIERS!$A$4:$A$63,0))),""))</f>
        <v/>
      </c>
      <c r="M301" s="21"/>
      <c r="N301" s="11" t="str">
        <f aca="false">IF($E301="","",IFERROR(_xlfn.TEXTJOIN("; ",TRUE(),INDEX(SUPPLIERS!$F$4:$F$63,MATCH($E301,SUPPLIERS!$A$4:$A$63,0)),INDEX(SUPPLIERS!$G$4:$G$63,MATCH($E301,SUPPLIERS!$A$4:$A$63,0)),INDEX(SUPPLIERS!$H$4:$H$63,MATCH($E301,SUPPLIERS!$A$4:$A$63,0)),INDEX(SUPPLIERS!$I$4:$I$63,MATCH($E301,SUPPLIERS!$A$4:$A$63,0)),INDEX(SUPPLIERS!$J$4:$J$63,MATCH($E301,SUPPLIERS!$A$4:$A$63,0))),""))</f>
        <v/>
      </c>
      <c r="O301" s="26" t="str">
        <f aca="false">IF(COUNT($H301:$L301)&lt;5,"",ROUND($H301*W_SRC+$I301*W_QC+$J301*W_CAP+$K301*W_SUP+$L301*W_EXT,1))</f>
        <v/>
      </c>
      <c r="P301" s="27" t="str">
        <f aca="false">IF(OR($O301="",$M301=""),"",ROUND($O301*$M301,1))</f>
        <v/>
      </c>
      <c r="Q301" s="28" t="str">
        <f aca="false">IF($E301="","",IF($U301&gt;0,"CRITICAL (FLAG)",IF(OR($O301="",$M301=""),"NOT SCORED",IF($P301&gt;=T_CRIT,"CRITICAL",IF($P301&gt;=T_MON,"MONITOR","LOW")))))</f>
        <v/>
      </c>
      <c r="R301" s="12" t="str">
        <f aca="false">IF($O301="","",INDEX(DriverNames,MATCH(MAX($H301:$L301),$H301:$L301,0)))</f>
        <v/>
      </c>
      <c r="S301" s="22"/>
      <c r="T301" s="29"/>
      <c r="U301" s="2" t="str">
        <f aca="false">IF($E301="","",IFERROR(INDEX(SUPPLIERS!$Q$4:$Q$63,MATCH($E301,SUPPLIERS!$A$4:$A$63,0)),0))</f>
        <v/>
      </c>
      <c r="V301" s="2" t="str">
        <f aca="false">IF($Q301="","",IF($U301&gt;0,100,0)+IF($P301="",0,$P301)+ROW()/100000)</f>
        <v/>
      </c>
      <c r="W301" s="2" t="str">
        <f aca="false">IF($V301="","",IF($A301=SEL_MODEL,$V301,""))</f>
        <v/>
      </c>
    </row>
    <row r="302" customFormat="false" ht="15" hidden="false" customHeight="false" outlineLevel="0" collapsed="false">
      <c r="A302" s="20"/>
      <c r="B302" s="21"/>
      <c r="C302" s="22"/>
      <c r="D302" s="21"/>
      <c r="E302" s="20"/>
      <c r="F302" s="23"/>
      <c r="G302" s="24" t="str">
        <f aca="false">IF(OR($A302="",$F302=""),"",IFERROR(IF(INDEX(MODELS!$K$4:$K$28,MATCH($A302,MODELS!$A$4:$A$28,0))="","",$F302*INDEX(MODELS!$K$4:$K$28,MATCH($A302,MODELS!$A$4:$A$28,0))),""))</f>
        <v/>
      </c>
      <c r="H302" s="21"/>
      <c r="I302" s="21"/>
      <c r="J302" s="21"/>
      <c r="K302" s="25" t="str">
        <f aca="false">IF($E302="","",IFERROR(IF(INDEX(SUPPLIERS!$K$4:$K$63,MATCH($E302,SUPPLIERS!$A$4:$A$63,0))="","",INDEX(SUPPLIERS!$K$4:$K$63,MATCH($E302,SUPPLIERS!$A$4:$A$63,0))),""))</f>
        <v/>
      </c>
      <c r="L302" s="25" t="str">
        <f aca="false">IF($E302="","",IFERROR(IF(INDEX(SUPPLIERS!$L$4:$L$63,MATCH($E302,SUPPLIERS!$A$4:$A$63,0))="","",INDEX(SUPPLIERS!$L$4:$L$63,MATCH($E302,SUPPLIERS!$A$4:$A$63,0))),""))</f>
        <v/>
      </c>
      <c r="M302" s="21"/>
      <c r="N302" s="11" t="str">
        <f aca="false">IF($E302="","",IFERROR(_xlfn.TEXTJOIN("; ",TRUE(),INDEX(SUPPLIERS!$F$4:$F$63,MATCH($E302,SUPPLIERS!$A$4:$A$63,0)),INDEX(SUPPLIERS!$G$4:$G$63,MATCH($E302,SUPPLIERS!$A$4:$A$63,0)),INDEX(SUPPLIERS!$H$4:$H$63,MATCH($E302,SUPPLIERS!$A$4:$A$63,0)),INDEX(SUPPLIERS!$I$4:$I$63,MATCH($E302,SUPPLIERS!$A$4:$A$63,0)),INDEX(SUPPLIERS!$J$4:$J$63,MATCH($E302,SUPPLIERS!$A$4:$A$63,0))),""))</f>
        <v/>
      </c>
      <c r="O302" s="26" t="str">
        <f aca="false">IF(COUNT($H302:$L302)&lt;5,"",ROUND($H302*W_SRC+$I302*W_QC+$J302*W_CAP+$K302*W_SUP+$L302*W_EXT,1))</f>
        <v/>
      </c>
      <c r="P302" s="27" t="str">
        <f aca="false">IF(OR($O302="",$M302=""),"",ROUND($O302*$M302,1))</f>
        <v/>
      </c>
      <c r="Q302" s="28" t="str">
        <f aca="false">IF($E302="","",IF($U302&gt;0,"CRITICAL (FLAG)",IF(OR($O302="",$M302=""),"NOT SCORED",IF($P302&gt;=T_CRIT,"CRITICAL",IF($P302&gt;=T_MON,"MONITOR","LOW")))))</f>
        <v/>
      </c>
      <c r="R302" s="12" t="str">
        <f aca="false">IF($O302="","",INDEX(DriverNames,MATCH(MAX($H302:$L302),$H302:$L302,0)))</f>
        <v/>
      </c>
      <c r="S302" s="22"/>
      <c r="T302" s="29"/>
      <c r="U302" s="2" t="str">
        <f aca="false">IF($E302="","",IFERROR(INDEX(SUPPLIERS!$Q$4:$Q$63,MATCH($E302,SUPPLIERS!$A$4:$A$63,0)),0))</f>
        <v/>
      </c>
      <c r="V302" s="2" t="str">
        <f aca="false">IF($Q302="","",IF($U302&gt;0,100,0)+IF($P302="",0,$P302)+ROW()/100000)</f>
        <v/>
      </c>
      <c r="W302" s="2" t="str">
        <f aca="false">IF($V302="","",IF($A302=SEL_MODEL,$V302,""))</f>
        <v/>
      </c>
    </row>
    <row r="303" customFormat="false" ht="15" hidden="false" customHeight="false" outlineLevel="0" collapsed="false">
      <c r="A303" s="20"/>
      <c r="B303" s="21"/>
      <c r="C303" s="22"/>
      <c r="D303" s="21"/>
      <c r="E303" s="20"/>
      <c r="F303" s="23"/>
      <c r="G303" s="24" t="str">
        <f aca="false">IF(OR($A303="",$F303=""),"",IFERROR(IF(INDEX(MODELS!$K$4:$K$28,MATCH($A303,MODELS!$A$4:$A$28,0))="","",$F303*INDEX(MODELS!$K$4:$K$28,MATCH($A303,MODELS!$A$4:$A$28,0))),""))</f>
        <v/>
      </c>
      <c r="H303" s="21"/>
      <c r="I303" s="21"/>
      <c r="J303" s="21"/>
      <c r="K303" s="25" t="str">
        <f aca="false">IF($E303="","",IFERROR(IF(INDEX(SUPPLIERS!$K$4:$K$63,MATCH($E303,SUPPLIERS!$A$4:$A$63,0))="","",INDEX(SUPPLIERS!$K$4:$K$63,MATCH($E303,SUPPLIERS!$A$4:$A$63,0))),""))</f>
        <v/>
      </c>
      <c r="L303" s="25" t="str">
        <f aca="false">IF($E303="","",IFERROR(IF(INDEX(SUPPLIERS!$L$4:$L$63,MATCH($E303,SUPPLIERS!$A$4:$A$63,0))="","",INDEX(SUPPLIERS!$L$4:$L$63,MATCH($E303,SUPPLIERS!$A$4:$A$63,0))),""))</f>
        <v/>
      </c>
      <c r="M303" s="21"/>
      <c r="N303" s="11" t="str">
        <f aca="false">IF($E303="","",IFERROR(_xlfn.TEXTJOIN("; ",TRUE(),INDEX(SUPPLIERS!$F$4:$F$63,MATCH($E303,SUPPLIERS!$A$4:$A$63,0)),INDEX(SUPPLIERS!$G$4:$G$63,MATCH($E303,SUPPLIERS!$A$4:$A$63,0)),INDEX(SUPPLIERS!$H$4:$H$63,MATCH($E303,SUPPLIERS!$A$4:$A$63,0)),INDEX(SUPPLIERS!$I$4:$I$63,MATCH($E303,SUPPLIERS!$A$4:$A$63,0)),INDEX(SUPPLIERS!$J$4:$J$63,MATCH($E303,SUPPLIERS!$A$4:$A$63,0))),""))</f>
        <v/>
      </c>
      <c r="O303" s="26" t="str">
        <f aca="false">IF(COUNT($H303:$L303)&lt;5,"",ROUND($H303*W_SRC+$I303*W_QC+$J303*W_CAP+$K303*W_SUP+$L303*W_EXT,1))</f>
        <v/>
      </c>
      <c r="P303" s="27" t="str">
        <f aca="false">IF(OR($O303="",$M303=""),"",ROUND($O303*$M303,1))</f>
        <v/>
      </c>
      <c r="Q303" s="28" t="str">
        <f aca="false">IF($E303="","",IF($U303&gt;0,"CRITICAL (FLAG)",IF(OR($O303="",$M303=""),"NOT SCORED",IF($P303&gt;=T_CRIT,"CRITICAL",IF($P303&gt;=T_MON,"MONITOR","LOW")))))</f>
        <v/>
      </c>
      <c r="R303" s="12" t="str">
        <f aca="false">IF($O303="","",INDEX(DriverNames,MATCH(MAX($H303:$L303),$H303:$L303,0)))</f>
        <v/>
      </c>
      <c r="S303" s="22"/>
      <c r="T303" s="29"/>
      <c r="U303" s="2" t="str">
        <f aca="false">IF($E303="","",IFERROR(INDEX(SUPPLIERS!$Q$4:$Q$63,MATCH($E303,SUPPLIERS!$A$4:$A$63,0)),0))</f>
        <v/>
      </c>
      <c r="V303" s="2" t="str">
        <f aca="false">IF($Q303="","",IF($U303&gt;0,100,0)+IF($P303="",0,$P303)+ROW()/100000)</f>
        <v/>
      </c>
      <c r="W303" s="2" t="str">
        <f aca="false">IF($V303="","",IF($A303=SEL_MODEL,$V303,""))</f>
        <v/>
      </c>
    </row>
    <row r="304" customFormat="false" ht="15" hidden="false" customHeight="false" outlineLevel="0" collapsed="false">
      <c r="A304" s="20"/>
      <c r="B304" s="21"/>
      <c r="C304" s="22"/>
      <c r="D304" s="21"/>
      <c r="E304" s="20"/>
      <c r="F304" s="23"/>
      <c r="G304" s="24" t="str">
        <f aca="false">IF(OR($A304="",$F304=""),"",IFERROR(IF(INDEX(MODELS!$K$4:$K$28,MATCH($A304,MODELS!$A$4:$A$28,0))="","",$F304*INDEX(MODELS!$K$4:$K$28,MATCH($A304,MODELS!$A$4:$A$28,0))),""))</f>
        <v/>
      </c>
      <c r="H304" s="21"/>
      <c r="I304" s="21"/>
      <c r="J304" s="21"/>
      <c r="K304" s="25" t="str">
        <f aca="false">IF($E304="","",IFERROR(IF(INDEX(SUPPLIERS!$K$4:$K$63,MATCH($E304,SUPPLIERS!$A$4:$A$63,0))="","",INDEX(SUPPLIERS!$K$4:$K$63,MATCH($E304,SUPPLIERS!$A$4:$A$63,0))),""))</f>
        <v/>
      </c>
      <c r="L304" s="25" t="str">
        <f aca="false">IF($E304="","",IFERROR(IF(INDEX(SUPPLIERS!$L$4:$L$63,MATCH($E304,SUPPLIERS!$A$4:$A$63,0))="","",INDEX(SUPPLIERS!$L$4:$L$63,MATCH($E304,SUPPLIERS!$A$4:$A$63,0))),""))</f>
        <v/>
      </c>
      <c r="M304" s="21"/>
      <c r="N304" s="11" t="str">
        <f aca="false">IF($E304="","",IFERROR(_xlfn.TEXTJOIN("; ",TRUE(),INDEX(SUPPLIERS!$F$4:$F$63,MATCH($E304,SUPPLIERS!$A$4:$A$63,0)),INDEX(SUPPLIERS!$G$4:$G$63,MATCH($E304,SUPPLIERS!$A$4:$A$63,0)),INDEX(SUPPLIERS!$H$4:$H$63,MATCH($E304,SUPPLIERS!$A$4:$A$63,0)),INDEX(SUPPLIERS!$I$4:$I$63,MATCH($E304,SUPPLIERS!$A$4:$A$63,0)),INDEX(SUPPLIERS!$J$4:$J$63,MATCH($E304,SUPPLIERS!$A$4:$A$63,0))),""))</f>
        <v/>
      </c>
      <c r="O304" s="26" t="str">
        <f aca="false">IF(COUNT($H304:$L304)&lt;5,"",ROUND($H304*W_SRC+$I304*W_QC+$J304*W_CAP+$K304*W_SUP+$L304*W_EXT,1))</f>
        <v/>
      </c>
      <c r="P304" s="27" t="str">
        <f aca="false">IF(OR($O304="",$M304=""),"",ROUND($O304*$M304,1))</f>
        <v/>
      </c>
      <c r="Q304" s="28" t="str">
        <f aca="false">IF($E304="","",IF($U304&gt;0,"CRITICAL (FLAG)",IF(OR($O304="",$M304=""),"NOT SCORED",IF($P304&gt;=T_CRIT,"CRITICAL",IF($P304&gt;=T_MON,"MONITOR","LOW")))))</f>
        <v/>
      </c>
      <c r="R304" s="12" t="str">
        <f aca="false">IF($O304="","",INDEX(DriverNames,MATCH(MAX($H304:$L304),$H304:$L304,0)))</f>
        <v/>
      </c>
      <c r="S304" s="22"/>
      <c r="T304" s="29"/>
      <c r="U304" s="2" t="str">
        <f aca="false">IF($E304="","",IFERROR(INDEX(SUPPLIERS!$Q$4:$Q$63,MATCH($E304,SUPPLIERS!$A$4:$A$63,0)),0))</f>
        <v/>
      </c>
      <c r="V304" s="2" t="str">
        <f aca="false">IF($Q304="","",IF($U304&gt;0,100,0)+IF($P304="",0,$P304)+ROW()/100000)</f>
        <v/>
      </c>
      <c r="W304" s="2" t="str">
        <f aca="false">IF($V304="","",IF($A304=SEL_MODEL,$V304,""))</f>
        <v/>
      </c>
    </row>
  </sheetData>
  <mergeCells count="6">
    <mergeCell ref="A3:E3"/>
    <mergeCell ref="F3:G3"/>
    <mergeCell ref="H3:J3"/>
    <mergeCell ref="K3:L3"/>
    <mergeCell ref="O3:R3"/>
    <mergeCell ref="S3:T3"/>
  </mergeCells>
  <conditionalFormatting sqref="Q5:Q304">
    <cfRule type="containsText" priority="2" operator="containsText" aboveAverage="0" equalAverage="0" bottom="0" percent="0" rank="0" text="CRITICAL" dxfId="0">
      <formula>NOT(ISERROR(SEARCH("CRITICAL",Q5)))</formula>
    </cfRule>
    <cfRule type="containsText" priority="3" operator="containsText" aboveAverage="0" equalAverage="0" bottom="0" percent="0" rank="0" text="MONITOR" dxfId="1">
      <formula>NOT(ISERROR(SEARCH("MONITOR",Q5)))</formula>
    </cfRule>
    <cfRule type="containsText" priority="4" operator="containsText" aboveAverage="0" equalAverage="0" bottom="0" percent="0" rank="0" text="LOW" dxfId="2">
      <formula>NOT(ISERROR(SEARCH("LOW",Q5)))</formula>
    </cfRule>
  </conditionalFormatting>
  <conditionalFormatting sqref="P5:P304">
    <cfRule type="colorScale" priority="5">
      <colorScale>
        <cfvo type="num" val="1"/>
        <cfvo type="num" val="13"/>
        <cfvo type="num" val="25"/>
        <color rgb="FF63BE7B"/>
        <color rgb="FFFFEB84"/>
        <color rgb="FFF8696B"/>
      </colorScale>
    </cfRule>
  </conditionalFormatting>
  <dataValidations count="5">
    <dataValidation allowBlank="true" errorStyle="stop" operator="between" showDropDown="false" showErrorMessage="false" showInputMessage="false" sqref="A5:A304" type="list">
      <formula1>ModelList</formula1>
      <formula2>0</formula2>
    </dataValidation>
    <dataValidation allowBlank="true" errorStyle="stop" operator="between" showDropDown="false" showErrorMessage="false" showInputMessage="false" sqref="D5:D304" type="list">
      <formula1>PartTypes</formula1>
      <formula2>0</formula2>
    </dataValidation>
    <dataValidation allowBlank="true" errorStyle="stop" operator="between" showDropDown="false" showErrorMessage="false" showInputMessage="false" sqref="E5:E304" type="list">
      <formula1>SupplierList</formula1>
      <formula2>0</formula2>
    </dataValidation>
    <dataValidation allowBlank="true" errorStyle="stop" operator="between" showDropDown="false" showErrorMessage="false" showInputMessage="false" sqref="H5:J304" type="list">
      <formula1>Score15</formula1>
      <formula2>0</formula2>
    </dataValidation>
    <dataValidation allowBlank="true" errorStyle="stop" operator="between" showDropDown="false" showErrorMessage="false" showInputMessage="false" sqref="M5:M304" type="list">
      <formula1>Score15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6"/>
    <col collapsed="false" customWidth="true" hidden="false" outlineLevel="0" max="5" min="4" style="0" width="13"/>
    <col collapsed="false" customWidth="true" hidden="false" outlineLevel="0" max="10" min="6" style="0" width="24"/>
    <col collapsed="false" customWidth="true" hidden="false" outlineLevel="0" max="12" min="11" style="0" width="11"/>
    <col collapsed="false" customWidth="true" hidden="false" outlineLevel="0" max="13" min="13" style="0" width="32"/>
    <col collapsed="false" customWidth="true" hidden="false" outlineLevel="0" max="14" min="14" style="0" width="40"/>
    <col collapsed="false" customWidth="true" hidden="false" outlineLevel="0" max="15" min="15" style="0" width="11"/>
    <col collapsed="false" customWidth="true" hidden="false" outlineLevel="0" max="16" min="16" style="0" width="13"/>
    <col collapsed="false" customWidth="true" hidden="true" outlineLevel="0" max="19" min="17" style="0" width="4"/>
  </cols>
  <sheetData>
    <row r="1" customFormat="false" ht="17.35" hidden="false" customHeight="false" outlineLevel="0" collapsed="false">
      <c r="A1" s="1" t="s">
        <v>101</v>
      </c>
    </row>
    <row r="2" customFormat="false" ht="15" hidden="false" customHeight="false" outlineLevel="0" collapsed="false">
      <c r="A2" s="2" t="s">
        <v>102</v>
      </c>
    </row>
    <row r="3" customFormat="false" ht="15" hidden="false" customHeight="false" outlineLevel="0" collapsed="false">
      <c r="A3" s="5" t="s">
        <v>103</v>
      </c>
      <c r="B3" s="5" t="s">
        <v>104</v>
      </c>
      <c r="C3" s="5" t="s">
        <v>105</v>
      </c>
      <c r="D3" s="5" t="s">
        <v>106</v>
      </c>
      <c r="E3" s="5" t="s">
        <v>107</v>
      </c>
      <c r="F3" s="5" t="s">
        <v>108</v>
      </c>
      <c r="G3" s="5" t="s">
        <v>109</v>
      </c>
      <c r="H3" s="5" t="s">
        <v>110</v>
      </c>
      <c r="I3" s="5" t="s">
        <v>111</v>
      </c>
      <c r="J3" s="5" t="s">
        <v>112</v>
      </c>
      <c r="K3" s="5" t="s">
        <v>113</v>
      </c>
      <c r="L3" s="5" t="s">
        <v>114</v>
      </c>
      <c r="M3" s="5" t="s">
        <v>115</v>
      </c>
      <c r="N3" s="5" t="s">
        <v>116</v>
      </c>
      <c r="O3" s="5" t="s">
        <v>117</v>
      </c>
      <c r="P3" s="5" t="s">
        <v>118</v>
      </c>
      <c r="Q3" s="2" t="s">
        <v>119</v>
      </c>
      <c r="R3" s="2" t="s">
        <v>120</v>
      </c>
      <c r="S3" s="2" t="s">
        <v>121</v>
      </c>
    </row>
    <row r="4" customFormat="false" ht="15" hidden="false" customHeight="false" outlineLevel="0" collapsed="false">
      <c r="A4" s="20" t="s">
        <v>122</v>
      </c>
      <c r="B4" s="20" t="s">
        <v>123</v>
      </c>
      <c r="C4" s="20" t="s">
        <v>124</v>
      </c>
      <c r="D4" s="30" t="n">
        <v>3</v>
      </c>
      <c r="E4" s="30" t="n">
        <v>3</v>
      </c>
      <c r="F4" s="22"/>
      <c r="G4" s="22"/>
      <c r="H4" s="22"/>
      <c r="I4" s="22"/>
      <c r="J4" s="22"/>
      <c r="K4" s="31" t="n">
        <f aca="false">IF(OR($A4="",$D4=""),"",MIN(5,$D4+$R4))</f>
        <v>3</v>
      </c>
      <c r="L4" s="31" t="n">
        <f aca="false">IF(OR($A4="",$E4=""),"",MIN(5,$E4+$S4))</f>
        <v>3</v>
      </c>
      <c r="M4" s="22" t="s">
        <v>125</v>
      </c>
      <c r="N4" s="22" t="s">
        <v>126</v>
      </c>
      <c r="O4" s="25" t="n">
        <f aca="false">IF($A4="","",COUNTIF(PART_RISK!$E$5:$E$304,$A4))</f>
        <v>0</v>
      </c>
      <c r="P4" s="28" t="str">
        <f aca="false">IF($A4="","",IF(COUNTIFS(PART_RISK!$E$5:$E$304,$A4,PART_RISK!$Q$5:$Q$304,"CRITICAL*")&gt;0,"CRITICAL",IF(COUNTIFS(PART_RISK!$E$5:$E$304,$A4,PART_RISK!$Q$5:$Q$304,"MONITOR")&gt;0,"MONITOR",IF(COUNTIFS(PART_RISK!$E$5:$E$304,$A4,PART_RISK!$Q$5:$Q$304,"LOW")&gt;0,"LOW","NOT SCORED"))))</f>
        <v>NOT SCORED</v>
      </c>
      <c r="Q4" s="2" t="n">
        <f aca="false">IF($A4="","",COUNTIF($F4:$G4,"?*"))</f>
        <v>0</v>
      </c>
      <c r="R4" s="2" t="n">
        <f aca="false">IF($A4="","",IF($H4="",0,IF(IFERROR(INDEX(LISTS!$E$2:$E$50,MATCH($H4,LISTS!$D$2:$D$50,0)),"")="External",0,1))+IF($I4="",0,IF(IFERROR(INDEX(LISTS!$E$2:$E$50,MATCH($I4,LISTS!$D$2:$D$50,0)),"")="External",0,1))+IF($J4="",0,IF(IFERROR(INDEX(LISTS!$E$2:$E$50,MATCH($J4,LISTS!$D$2:$D$50,0)),"")="External",0,1)))</f>
        <v>0</v>
      </c>
      <c r="S4" s="2" t="n">
        <f aca="false">IF($A4="","",IF($H4="",0,IF(IFERROR(INDEX(LISTS!$E$2:$E$50,MATCH($H4,LISTS!$D$2:$D$50,0)),"")="External",1,0))+IF($I4="",0,IF(IFERROR(INDEX(LISTS!$E$2:$E$50,MATCH($I4,LISTS!$D$2:$D$50,0)),"")="External",1,0))+IF($J4="",0,IF(IFERROR(INDEX(LISTS!$E$2:$E$50,MATCH($J4,LISTS!$D$2:$D$50,0)),"")="External",1,0)))</f>
        <v>0</v>
      </c>
    </row>
    <row r="5" customFormat="false" ht="22.35" hidden="false" customHeight="false" outlineLevel="0" collapsed="false">
      <c r="A5" s="20" t="s">
        <v>82</v>
      </c>
      <c r="B5" s="20" t="s">
        <v>127</v>
      </c>
      <c r="C5" s="20" t="s">
        <v>124</v>
      </c>
      <c r="D5" s="30" t="n">
        <v>4</v>
      </c>
      <c r="E5" s="30" t="n">
        <v>4</v>
      </c>
      <c r="F5" s="22"/>
      <c r="G5" s="22"/>
      <c r="H5" s="22"/>
      <c r="I5" s="22"/>
      <c r="J5" s="22"/>
      <c r="K5" s="31" t="n">
        <f aca="false">IF(OR($A5="",$D5=""),"",MIN(5,$D5+$R5))</f>
        <v>4</v>
      </c>
      <c r="L5" s="31" t="n">
        <f aca="false">IF(OR($A5="",$E5=""),"",MIN(5,$E5+$S5))</f>
        <v>4</v>
      </c>
      <c r="M5" s="22" t="s">
        <v>128</v>
      </c>
      <c r="N5" s="22" t="s">
        <v>129</v>
      </c>
      <c r="O5" s="25" t="n">
        <f aca="false">IF($A5="","",COUNTIF(PART_RISK!$E$5:$E$304,$A5))</f>
        <v>3</v>
      </c>
      <c r="P5" s="28" t="str">
        <f aca="false">IF($A5="","",IF(COUNTIFS(PART_RISK!$E$5:$E$304,$A5,PART_RISK!$Q$5:$Q$304,"CRITICAL*")&gt;0,"CRITICAL",IF(COUNTIFS(PART_RISK!$E$5:$E$304,$A5,PART_RISK!$Q$5:$Q$304,"MONITOR")&gt;0,"MONITOR",IF(COUNTIFS(PART_RISK!$E$5:$E$304,$A5,PART_RISK!$Q$5:$Q$304,"LOW")&gt;0,"LOW","NOT SCORED"))))</f>
        <v>CRITICAL</v>
      </c>
      <c r="Q5" s="2" t="n">
        <f aca="false">IF($A5="","",COUNTIF($F5:$G5,"?*"))</f>
        <v>0</v>
      </c>
      <c r="R5" s="2" t="n">
        <f aca="false">IF($A5="","",IF($H5="",0,IF(IFERROR(INDEX(LISTS!$E$2:$E$50,MATCH($H5,LISTS!$D$2:$D$50,0)),"")="External",0,1))+IF($I5="",0,IF(IFERROR(INDEX(LISTS!$E$2:$E$50,MATCH($I5,LISTS!$D$2:$D$50,0)),"")="External",0,1))+IF($J5="",0,IF(IFERROR(INDEX(LISTS!$E$2:$E$50,MATCH($J5,LISTS!$D$2:$D$50,0)),"")="External",0,1)))</f>
        <v>0</v>
      </c>
      <c r="S5" s="2" t="n">
        <f aca="false">IF($A5="","",IF($H5="",0,IF(IFERROR(INDEX(LISTS!$E$2:$E$50,MATCH($H5,LISTS!$D$2:$D$50,0)),"")="External",1,0))+IF($I5="",0,IF(IFERROR(INDEX(LISTS!$E$2:$E$50,MATCH($I5,LISTS!$D$2:$D$50,0)),"")="External",1,0))+IF($J5="",0,IF(IFERROR(INDEX(LISTS!$E$2:$E$50,MATCH($J5,LISTS!$D$2:$D$50,0)),"")="External",1,0)))</f>
        <v>0</v>
      </c>
    </row>
    <row r="6" customFormat="false" ht="15" hidden="false" customHeight="false" outlineLevel="0" collapsed="false">
      <c r="A6" s="20" t="s">
        <v>130</v>
      </c>
      <c r="B6" s="20" t="s">
        <v>131</v>
      </c>
      <c r="C6" s="20" t="s">
        <v>124</v>
      </c>
      <c r="D6" s="30" t="n">
        <v>2</v>
      </c>
      <c r="E6" s="30" t="n">
        <v>2</v>
      </c>
      <c r="F6" s="22"/>
      <c r="G6" s="22"/>
      <c r="H6" s="22"/>
      <c r="I6" s="22"/>
      <c r="J6" s="22"/>
      <c r="K6" s="31" t="n">
        <f aca="false">IF(OR($A6="",$D6=""),"",MIN(5,$D6+$R6))</f>
        <v>2</v>
      </c>
      <c r="L6" s="31" t="n">
        <f aca="false">IF(OR($A6="",$E6=""),"",MIN(5,$E6+$S6))</f>
        <v>2</v>
      </c>
      <c r="M6" s="22" t="s">
        <v>132</v>
      </c>
      <c r="N6" s="22" t="s">
        <v>133</v>
      </c>
      <c r="O6" s="25" t="n">
        <f aca="false">IF($A6="","",COUNTIF(PART_RISK!$E$5:$E$304,$A6))</f>
        <v>0</v>
      </c>
      <c r="P6" s="28" t="str">
        <f aca="false">IF($A6="","",IF(COUNTIFS(PART_RISK!$E$5:$E$304,$A6,PART_RISK!$Q$5:$Q$304,"CRITICAL*")&gt;0,"CRITICAL",IF(COUNTIFS(PART_RISK!$E$5:$E$304,$A6,PART_RISK!$Q$5:$Q$304,"MONITOR")&gt;0,"MONITOR",IF(COUNTIFS(PART_RISK!$E$5:$E$304,$A6,PART_RISK!$Q$5:$Q$304,"LOW")&gt;0,"LOW","NOT SCORED"))))</f>
        <v>NOT SCORED</v>
      </c>
      <c r="Q6" s="2" t="n">
        <f aca="false">IF($A6="","",COUNTIF($F6:$G6,"?*"))</f>
        <v>0</v>
      </c>
      <c r="R6" s="2" t="n">
        <f aca="false">IF($A6="","",IF($H6="",0,IF(IFERROR(INDEX(LISTS!$E$2:$E$50,MATCH($H6,LISTS!$D$2:$D$50,0)),"")="External",0,1))+IF($I6="",0,IF(IFERROR(INDEX(LISTS!$E$2:$E$50,MATCH($I6,LISTS!$D$2:$D$50,0)),"")="External",0,1))+IF($J6="",0,IF(IFERROR(INDEX(LISTS!$E$2:$E$50,MATCH($J6,LISTS!$D$2:$D$50,0)),"")="External",0,1)))</f>
        <v>0</v>
      </c>
      <c r="S6" s="2" t="n">
        <f aca="false">IF($A6="","",IF($H6="",0,IF(IFERROR(INDEX(LISTS!$E$2:$E$50,MATCH($H6,LISTS!$D$2:$D$50,0)),"")="External",1,0))+IF($I6="",0,IF(IFERROR(INDEX(LISTS!$E$2:$E$50,MATCH($I6,LISTS!$D$2:$D$50,0)),"")="External",1,0))+IF($J6="",0,IF(IFERROR(INDEX(LISTS!$E$2:$E$50,MATCH($J6,LISTS!$D$2:$D$50,0)),"")="External",1,0)))</f>
        <v>0</v>
      </c>
    </row>
    <row r="7" customFormat="false" ht="15" hidden="false" customHeight="false" outlineLevel="0" collapsed="false">
      <c r="A7" s="20" t="s">
        <v>95</v>
      </c>
      <c r="B7" s="20" t="s">
        <v>134</v>
      </c>
      <c r="C7" s="20" t="s">
        <v>124</v>
      </c>
      <c r="D7" s="30" t="n">
        <v>3</v>
      </c>
      <c r="E7" s="30" t="n">
        <v>2</v>
      </c>
      <c r="F7" s="22"/>
      <c r="G7" s="22"/>
      <c r="H7" s="22"/>
      <c r="I7" s="22"/>
      <c r="J7" s="22"/>
      <c r="K7" s="31" t="n">
        <f aca="false">IF(OR($A7="",$D7=""),"",MIN(5,$D7+$R7))</f>
        <v>3</v>
      </c>
      <c r="L7" s="31" t="n">
        <f aca="false">IF(OR($A7="",$E7=""),"",MIN(5,$E7+$S7))</f>
        <v>2</v>
      </c>
      <c r="M7" s="22" t="s">
        <v>132</v>
      </c>
      <c r="N7" s="22" t="s">
        <v>135</v>
      </c>
      <c r="O7" s="25" t="n">
        <f aca="false">IF($A7="","",COUNTIF(PART_RISK!$E$5:$E$304,$A7))</f>
        <v>1</v>
      </c>
      <c r="P7" s="28" t="str">
        <f aca="false">IF($A7="","",IF(COUNTIFS(PART_RISK!$E$5:$E$304,$A7,PART_RISK!$Q$5:$Q$304,"CRITICAL*")&gt;0,"CRITICAL",IF(COUNTIFS(PART_RISK!$E$5:$E$304,$A7,PART_RISK!$Q$5:$Q$304,"MONITOR")&gt;0,"MONITOR",IF(COUNTIFS(PART_RISK!$E$5:$E$304,$A7,PART_RISK!$Q$5:$Q$304,"LOW")&gt;0,"LOW","NOT SCORED"))))</f>
        <v>MONITOR</v>
      </c>
      <c r="Q7" s="2" t="n">
        <f aca="false">IF($A7="","",COUNTIF($F7:$G7,"?*"))</f>
        <v>0</v>
      </c>
      <c r="R7" s="2" t="n">
        <f aca="false">IF($A7="","",IF($H7="",0,IF(IFERROR(INDEX(LISTS!$E$2:$E$50,MATCH($H7,LISTS!$D$2:$D$50,0)),"")="External",0,1))+IF($I7="",0,IF(IFERROR(INDEX(LISTS!$E$2:$E$50,MATCH($I7,LISTS!$D$2:$D$50,0)),"")="External",0,1))+IF($J7="",0,IF(IFERROR(INDEX(LISTS!$E$2:$E$50,MATCH($J7,LISTS!$D$2:$D$50,0)),"")="External",0,1)))</f>
        <v>0</v>
      </c>
      <c r="S7" s="2" t="n">
        <f aca="false">IF($A7="","",IF($H7="",0,IF(IFERROR(INDEX(LISTS!$E$2:$E$50,MATCH($H7,LISTS!$D$2:$D$50,0)),"")="External",1,0))+IF($I7="",0,IF(IFERROR(INDEX(LISTS!$E$2:$E$50,MATCH($I7,LISTS!$D$2:$D$50,0)),"")="External",1,0))+IF($J7="",0,IF(IFERROR(INDEX(LISTS!$E$2:$E$50,MATCH($J7,LISTS!$D$2:$D$50,0)),"")="External",1,0)))</f>
        <v>0</v>
      </c>
    </row>
    <row r="8" customFormat="false" ht="15" hidden="false" customHeight="false" outlineLevel="0" collapsed="false">
      <c r="A8" s="20"/>
      <c r="B8" s="20"/>
      <c r="C8" s="20"/>
      <c r="D8" s="30"/>
      <c r="E8" s="30"/>
      <c r="F8" s="22"/>
      <c r="G8" s="22"/>
      <c r="H8" s="22"/>
      <c r="I8" s="22"/>
      <c r="J8" s="22"/>
      <c r="K8" s="31" t="str">
        <f aca="false">IF(OR($A8="",$D8=""),"",MIN(5,$D8+$R8))</f>
        <v/>
      </c>
      <c r="L8" s="31" t="str">
        <f aca="false">IF(OR($A8="",$E8=""),"",MIN(5,$E8+$S8))</f>
        <v/>
      </c>
      <c r="M8" s="22"/>
      <c r="N8" s="22"/>
      <c r="O8" s="25" t="str">
        <f aca="false">IF($A8="","",COUNTIF(PART_RISK!$E$5:$E$304,$A8))</f>
        <v/>
      </c>
      <c r="P8" s="28" t="str">
        <f aca="false">IF($A8="","",IF(COUNTIFS(PART_RISK!$E$5:$E$304,$A8,PART_RISK!$Q$5:$Q$304,"CRITICAL*")&gt;0,"CRITICAL",IF(COUNTIFS(PART_RISK!$E$5:$E$304,$A8,PART_RISK!$Q$5:$Q$304,"MONITOR")&gt;0,"MONITOR",IF(COUNTIFS(PART_RISK!$E$5:$E$304,$A8,PART_RISK!$Q$5:$Q$304,"LOW")&gt;0,"LOW","NOT SCORED"))))</f>
        <v/>
      </c>
      <c r="Q8" s="2" t="str">
        <f aca="false">IF($A8="","",COUNTIF($F8:$G8,"?*"))</f>
        <v/>
      </c>
      <c r="R8" s="2" t="str">
        <f aca="false">IF($A8="","",IF($H8="",0,IF(IFERROR(INDEX(LISTS!$E$2:$E$50,MATCH($H8,LISTS!$D$2:$D$50,0)),"")="External",0,1))+IF($I8="",0,IF(IFERROR(INDEX(LISTS!$E$2:$E$50,MATCH($I8,LISTS!$D$2:$D$50,0)),"")="External",0,1))+IF($J8="",0,IF(IFERROR(INDEX(LISTS!$E$2:$E$50,MATCH($J8,LISTS!$D$2:$D$50,0)),"")="External",0,1)))</f>
        <v/>
      </c>
      <c r="S8" s="2" t="str">
        <f aca="false">IF($A8="","",IF($H8="",0,IF(IFERROR(INDEX(LISTS!$E$2:$E$50,MATCH($H8,LISTS!$D$2:$D$50,0)),"")="External",1,0))+IF($I8="",0,IF(IFERROR(INDEX(LISTS!$E$2:$E$50,MATCH($I8,LISTS!$D$2:$D$50,0)),"")="External",1,0))+IF($J8="",0,IF(IFERROR(INDEX(LISTS!$E$2:$E$50,MATCH($J8,LISTS!$D$2:$D$50,0)),"")="External",1,0)))</f>
        <v/>
      </c>
    </row>
    <row r="9" customFormat="false" ht="15" hidden="false" customHeight="false" outlineLevel="0" collapsed="false">
      <c r="A9" s="20"/>
      <c r="B9" s="20"/>
      <c r="C9" s="20"/>
      <c r="D9" s="30"/>
      <c r="E9" s="30"/>
      <c r="F9" s="22"/>
      <c r="G9" s="22"/>
      <c r="H9" s="22"/>
      <c r="I9" s="22"/>
      <c r="J9" s="22"/>
      <c r="K9" s="31" t="str">
        <f aca="false">IF(OR($A9="",$D9=""),"",MIN(5,$D9+$R9))</f>
        <v/>
      </c>
      <c r="L9" s="31" t="str">
        <f aca="false">IF(OR($A9="",$E9=""),"",MIN(5,$E9+$S9))</f>
        <v/>
      </c>
      <c r="M9" s="22"/>
      <c r="N9" s="22"/>
      <c r="O9" s="25" t="str">
        <f aca="false">IF($A9="","",COUNTIF(PART_RISK!$E$5:$E$304,$A9))</f>
        <v/>
      </c>
      <c r="P9" s="28" t="str">
        <f aca="false">IF($A9="","",IF(COUNTIFS(PART_RISK!$E$5:$E$304,$A9,PART_RISK!$Q$5:$Q$304,"CRITICAL*")&gt;0,"CRITICAL",IF(COUNTIFS(PART_RISK!$E$5:$E$304,$A9,PART_RISK!$Q$5:$Q$304,"MONITOR")&gt;0,"MONITOR",IF(COUNTIFS(PART_RISK!$E$5:$E$304,$A9,PART_RISK!$Q$5:$Q$304,"LOW")&gt;0,"LOW","NOT SCORED"))))</f>
        <v/>
      </c>
      <c r="Q9" s="2" t="str">
        <f aca="false">IF($A9="","",COUNTIF($F9:$G9,"?*"))</f>
        <v/>
      </c>
      <c r="R9" s="2" t="str">
        <f aca="false">IF($A9="","",IF($H9="",0,IF(IFERROR(INDEX(LISTS!$E$2:$E$50,MATCH($H9,LISTS!$D$2:$D$50,0)),"")="External",0,1))+IF($I9="",0,IF(IFERROR(INDEX(LISTS!$E$2:$E$50,MATCH($I9,LISTS!$D$2:$D$50,0)),"")="External",0,1))+IF($J9="",0,IF(IFERROR(INDEX(LISTS!$E$2:$E$50,MATCH($J9,LISTS!$D$2:$D$50,0)),"")="External",0,1)))</f>
        <v/>
      </c>
      <c r="S9" s="2" t="str">
        <f aca="false">IF($A9="","",IF($H9="",0,IF(IFERROR(INDEX(LISTS!$E$2:$E$50,MATCH($H9,LISTS!$D$2:$D$50,0)),"")="External",1,0))+IF($I9="",0,IF(IFERROR(INDEX(LISTS!$E$2:$E$50,MATCH($I9,LISTS!$D$2:$D$50,0)),"")="External",1,0))+IF($J9="",0,IF(IFERROR(INDEX(LISTS!$E$2:$E$50,MATCH($J9,LISTS!$D$2:$D$50,0)),"")="External",1,0)))</f>
        <v/>
      </c>
    </row>
    <row r="10" customFormat="false" ht="15" hidden="false" customHeight="false" outlineLevel="0" collapsed="false">
      <c r="A10" s="20"/>
      <c r="B10" s="20"/>
      <c r="C10" s="20"/>
      <c r="D10" s="30"/>
      <c r="E10" s="30"/>
      <c r="F10" s="22"/>
      <c r="G10" s="22"/>
      <c r="H10" s="22"/>
      <c r="I10" s="22"/>
      <c r="J10" s="22"/>
      <c r="K10" s="31" t="str">
        <f aca="false">IF(OR($A10="",$D10=""),"",MIN(5,$D10+$R10))</f>
        <v/>
      </c>
      <c r="L10" s="31" t="str">
        <f aca="false">IF(OR($A10="",$E10=""),"",MIN(5,$E10+$S10))</f>
        <v/>
      </c>
      <c r="M10" s="22"/>
      <c r="N10" s="22"/>
      <c r="O10" s="25" t="str">
        <f aca="false">IF($A10="","",COUNTIF(PART_RISK!$E$5:$E$304,$A10))</f>
        <v/>
      </c>
      <c r="P10" s="28" t="str">
        <f aca="false">IF($A10="","",IF(COUNTIFS(PART_RISK!$E$5:$E$304,$A10,PART_RISK!$Q$5:$Q$304,"CRITICAL*")&gt;0,"CRITICAL",IF(COUNTIFS(PART_RISK!$E$5:$E$304,$A10,PART_RISK!$Q$5:$Q$304,"MONITOR")&gt;0,"MONITOR",IF(COUNTIFS(PART_RISK!$E$5:$E$304,$A10,PART_RISK!$Q$5:$Q$304,"LOW")&gt;0,"LOW","NOT SCORED"))))</f>
        <v/>
      </c>
      <c r="Q10" s="2" t="str">
        <f aca="false">IF($A10="","",COUNTIF($F10:$G10,"?*"))</f>
        <v/>
      </c>
      <c r="R10" s="2" t="str">
        <f aca="false">IF($A10="","",IF($H10="",0,IF(IFERROR(INDEX(LISTS!$E$2:$E$50,MATCH($H10,LISTS!$D$2:$D$50,0)),"")="External",0,1))+IF($I10="",0,IF(IFERROR(INDEX(LISTS!$E$2:$E$50,MATCH($I10,LISTS!$D$2:$D$50,0)),"")="External",0,1))+IF($J10="",0,IF(IFERROR(INDEX(LISTS!$E$2:$E$50,MATCH($J10,LISTS!$D$2:$D$50,0)),"")="External",0,1)))</f>
        <v/>
      </c>
      <c r="S10" s="2" t="str">
        <f aca="false">IF($A10="","",IF($H10="",0,IF(IFERROR(INDEX(LISTS!$E$2:$E$50,MATCH($H10,LISTS!$D$2:$D$50,0)),"")="External",1,0))+IF($I10="",0,IF(IFERROR(INDEX(LISTS!$E$2:$E$50,MATCH($I10,LISTS!$D$2:$D$50,0)),"")="External",1,0))+IF($J10="",0,IF(IFERROR(INDEX(LISTS!$E$2:$E$50,MATCH($J10,LISTS!$D$2:$D$50,0)),"")="External",1,0)))</f>
        <v/>
      </c>
    </row>
    <row r="11" customFormat="false" ht="15" hidden="false" customHeight="false" outlineLevel="0" collapsed="false">
      <c r="A11" s="20"/>
      <c r="B11" s="20"/>
      <c r="C11" s="20"/>
      <c r="D11" s="30"/>
      <c r="E11" s="30"/>
      <c r="F11" s="22"/>
      <c r="G11" s="22"/>
      <c r="H11" s="22"/>
      <c r="I11" s="22"/>
      <c r="J11" s="22"/>
      <c r="K11" s="31" t="str">
        <f aca="false">IF(OR($A11="",$D11=""),"",MIN(5,$D11+$R11))</f>
        <v/>
      </c>
      <c r="L11" s="31" t="str">
        <f aca="false">IF(OR($A11="",$E11=""),"",MIN(5,$E11+$S11))</f>
        <v/>
      </c>
      <c r="M11" s="22"/>
      <c r="N11" s="22"/>
      <c r="O11" s="25" t="str">
        <f aca="false">IF($A11="","",COUNTIF(PART_RISK!$E$5:$E$304,$A11))</f>
        <v/>
      </c>
      <c r="P11" s="28" t="str">
        <f aca="false">IF($A11="","",IF(COUNTIFS(PART_RISK!$E$5:$E$304,$A11,PART_RISK!$Q$5:$Q$304,"CRITICAL*")&gt;0,"CRITICAL",IF(COUNTIFS(PART_RISK!$E$5:$E$304,$A11,PART_RISK!$Q$5:$Q$304,"MONITOR")&gt;0,"MONITOR",IF(COUNTIFS(PART_RISK!$E$5:$E$304,$A11,PART_RISK!$Q$5:$Q$304,"LOW")&gt;0,"LOW","NOT SCORED"))))</f>
        <v/>
      </c>
      <c r="Q11" s="2" t="str">
        <f aca="false">IF($A11="","",COUNTIF($F11:$G11,"?*"))</f>
        <v/>
      </c>
      <c r="R11" s="2" t="str">
        <f aca="false">IF($A11="","",IF($H11="",0,IF(IFERROR(INDEX(LISTS!$E$2:$E$50,MATCH($H11,LISTS!$D$2:$D$50,0)),"")="External",0,1))+IF($I11="",0,IF(IFERROR(INDEX(LISTS!$E$2:$E$50,MATCH($I11,LISTS!$D$2:$D$50,0)),"")="External",0,1))+IF($J11="",0,IF(IFERROR(INDEX(LISTS!$E$2:$E$50,MATCH($J11,LISTS!$D$2:$D$50,0)),"")="External",0,1)))</f>
        <v/>
      </c>
      <c r="S11" s="2" t="str">
        <f aca="false">IF($A11="","",IF($H11="",0,IF(IFERROR(INDEX(LISTS!$E$2:$E$50,MATCH($H11,LISTS!$D$2:$D$50,0)),"")="External",1,0))+IF($I11="",0,IF(IFERROR(INDEX(LISTS!$E$2:$E$50,MATCH($I11,LISTS!$D$2:$D$50,0)),"")="External",1,0))+IF($J11="",0,IF(IFERROR(INDEX(LISTS!$E$2:$E$50,MATCH($J11,LISTS!$D$2:$D$50,0)),"")="External",1,0)))</f>
        <v/>
      </c>
    </row>
    <row r="12" customFormat="false" ht="15" hidden="false" customHeight="false" outlineLevel="0" collapsed="false">
      <c r="A12" s="20"/>
      <c r="B12" s="20"/>
      <c r="C12" s="20"/>
      <c r="D12" s="30"/>
      <c r="E12" s="30"/>
      <c r="F12" s="22"/>
      <c r="G12" s="22"/>
      <c r="H12" s="22"/>
      <c r="I12" s="22"/>
      <c r="J12" s="22"/>
      <c r="K12" s="31" t="str">
        <f aca="false">IF(OR($A12="",$D12=""),"",MIN(5,$D12+$R12))</f>
        <v/>
      </c>
      <c r="L12" s="31" t="str">
        <f aca="false">IF(OR($A12="",$E12=""),"",MIN(5,$E12+$S12))</f>
        <v/>
      </c>
      <c r="M12" s="22"/>
      <c r="N12" s="22"/>
      <c r="O12" s="25" t="str">
        <f aca="false">IF($A12="","",COUNTIF(PART_RISK!$E$5:$E$304,$A12))</f>
        <v/>
      </c>
      <c r="P12" s="28" t="str">
        <f aca="false">IF($A12="","",IF(COUNTIFS(PART_RISK!$E$5:$E$304,$A12,PART_RISK!$Q$5:$Q$304,"CRITICAL*")&gt;0,"CRITICAL",IF(COUNTIFS(PART_RISK!$E$5:$E$304,$A12,PART_RISK!$Q$5:$Q$304,"MONITOR")&gt;0,"MONITOR",IF(COUNTIFS(PART_RISK!$E$5:$E$304,$A12,PART_RISK!$Q$5:$Q$304,"LOW")&gt;0,"LOW","NOT SCORED"))))</f>
        <v/>
      </c>
      <c r="Q12" s="2" t="str">
        <f aca="false">IF($A12="","",COUNTIF($F12:$G12,"?*"))</f>
        <v/>
      </c>
      <c r="R12" s="2" t="str">
        <f aca="false">IF($A12="","",IF($H12="",0,IF(IFERROR(INDEX(LISTS!$E$2:$E$50,MATCH($H12,LISTS!$D$2:$D$50,0)),"")="External",0,1))+IF($I12="",0,IF(IFERROR(INDEX(LISTS!$E$2:$E$50,MATCH($I12,LISTS!$D$2:$D$50,0)),"")="External",0,1))+IF($J12="",0,IF(IFERROR(INDEX(LISTS!$E$2:$E$50,MATCH($J12,LISTS!$D$2:$D$50,0)),"")="External",0,1)))</f>
        <v/>
      </c>
      <c r="S12" s="2" t="str">
        <f aca="false">IF($A12="","",IF($H12="",0,IF(IFERROR(INDEX(LISTS!$E$2:$E$50,MATCH($H12,LISTS!$D$2:$D$50,0)),"")="External",1,0))+IF($I12="",0,IF(IFERROR(INDEX(LISTS!$E$2:$E$50,MATCH($I12,LISTS!$D$2:$D$50,0)),"")="External",1,0))+IF($J12="",0,IF(IFERROR(INDEX(LISTS!$E$2:$E$50,MATCH($J12,LISTS!$D$2:$D$50,0)),"")="External",1,0)))</f>
        <v/>
      </c>
    </row>
    <row r="13" customFormat="false" ht="15" hidden="false" customHeight="false" outlineLevel="0" collapsed="false">
      <c r="A13" s="20"/>
      <c r="B13" s="20"/>
      <c r="C13" s="20"/>
      <c r="D13" s="30"/>
      <c r="E13" s="30"/>
      <c r="F13" s="22"/>
      <c r="G13" s="22"/>
      <c r="H13" s="22"/>
      <c r="I13" s="22"/>
      <c r="J13" s="22"/>
      <c r="K13" s="31" t="str">
        <f aca="false">IF(OR($A13="",$D13=""),"",MIN(5,$D13+$R13))</f>
        <v/>
      </c>
      <c r="L13" s="31" t="str">
        <f aca="false">IF(OR($A13="",$E13=""),"",MIN(5,$E13+$S13))</f>
        <v/>
      </c>
      <c r="M13" s="22"/>
      <c r="N13" s="22"/>
      <c r="O13" s="25" t="str">
        <f aca="false">IF($A13="","",COUNTIF(PART_RISK!$E$5:$E$304,$A13))</f>
        <v/>
      </c>
      <c r="P13" s="28" t="str">
        <f aca="false">IF($A13="","",IF(COUNTIFS(PART_RISK!$E$5:$E$304,$A13,PART_RISK!$Q$5:$Q$304,"CRITICAL*")&gt;0,"CRITICAL",IF(COUNTIFS(PART_RISK!$E$5:$E$304,$A13,PART_RISK!$Q$5:$Q$304,"MONITOR")&gt;0,"MONITOR",IF(COUNTIFS(PART_RISK!$E$5:$E$304,$A13,PART_RISK!$Q$5:$Q$304,"LOW")&gt;0,"LOW","NOT SCORED"))))</f>
        <v/>
      </c>
      <c r="Q13" s="2" t="str">
        <f aca="false">IF($A13="","",COUNTIF($F13:$G13,"?*"))</f>
        <v/>
      </c>
      <c r="R13" s="2" t="str">
        <f aca="false">IF($A13="","",IF($H13="",0,IF(IFERROR(INDEX(LISTS!$E$2:$E$50,MATCH($H13,LISTS!$D$2:$D$50,0)),"")="External",0,1))+IF($I13="",0,IF(IFERROR(INDEX(LISTS!$E$2:$E$50,MATCH($I13,LISTS!$D$2:$D$50,0)),"")="External",0,1))+IF($J13="",0,IF(IFERROR(INDEX(LISTS!$E$2:$E$50,MATCH($J13,LISTS!$D$2:$D$50,0)),"")="External",0,1)))</f>
        <v/>
      </c>
      <c r="S13" s="2" t="str">
        <f aca="false">IF($A13="","",IF($H13="",0,IF(IFERROR(INDEX(LISTS!$E$2:$E$50,MATCH($H13,LISTS!$D$2:$D$50,0)),"")="External",1,0))+IF($I13="",0,IF(IFERROR(INDEX(LISTS!$E$2:$E$50,MATCH($I13,LISTS!$D$2:$D$50,0)),"")="External",1,0))+IF($J13="",0,IF(IFERROR(INDEX(LISTS!$E$2:$E$50,MATCH($J13,LISTS!$D$2:$D$50,0)),"")="External",1,0)))</f>
        <v/>
      </c>
    </row>
    <row r="14" customFormat="false" ht="15" hidden="false" customHeight="false" outlineLevel="0" collapsed="false">
      <c r="A14" s="20"/>
      <c r="B14" s="20"/>
      <c r="C14" s="20"/>
      <c r="D14" s="30"/>
      <c r="E14" s="30"/>
      <c r="F14" s="22"/>
      <c r="G14" s="22"/>
      <c r="H14" s="22"/>
      <c r="I14" s="22"/>
      <c r="J14" s="22"/>
      <c r="K14" s="31" t="str">
        <f aca="false">IF(OR($A14="",$D14=""),"",MIN(5,$D14+$R14))</f>
        <v/>
      </c>
      <c r="L14" s="31" t="str">
        <f aca="false">IF(OR($A14="",$E14=""),"",MIN(5,$E14+$S14))</f>
        <v/>
      </c>
      <c r="M14" s="22"/>
      <c r="N14" s="22"/>
      <c r="O14" s="25" t="str">
        <f aca="false">IF($A14="","",COUNTIF(PART_RISK!$E$5:$E$304,$A14))</f>
        <v/>
      </c>
      <c r="P14" s="28" t="str">
        <f aca="false">IF($A14="","",IF(COUNTIFS(PART_RISK!$E$5:$E$304,$A14,PART_RISK!$Q$5:$Q$304,"CRITICAL*")&gt;0,"CRITICAL",IF(COUNTIFS(PART_RISK!$E$5:$E$304,$A14,PART_RISK!$Q$5:$Q$304,"MONITOR")&gt;0,"MONITOR",IF(COUNTIFS(PART_RISK!$E$5:$E$304,$A14,PART_RISK!$Q$5:$Q$304,"LOW")&gt;0,"LOW","NOT SCORED"))))</f>
        <v/>
      </c>
      <c r="Q14" s="2" t="str">
        <f aca="false">IF($A14="","",COUNTIF($F14:$G14,"?*"))</f>
        <v/>
      </c>
      <c r="R14" s="2" t="str">
        <f aca="false">IF($A14="","",IF($H14="",0,IF(IFERROR(INDEX(LISTS!$E$2:$E$50,MATCH($H14,LISTS!$D$2:$D$50,0)),"")="External",0,1))+IF($I14="",0,IF(IFERROR(INDEX(LISTS!$E$2:$E$50,MATCH($I14,LISTS!$D$2:$D$50,0)),"")="External",0,1))+IF($J14="",0,IF(IFERROR(INDEX(LISTS!$E$2:$E$50,MATCH($J14,LISTS!$D$2:$D$50,0)),"")="External",0,1)))</f>
        <v/>
      </c>
      <c r="S14" s="2" t="str">
        <f aca="false">IF($A14="","",IF($H14="",0,IF(IFERROR(INDEX(LISTS!$E$2:$E$50,MATCH($H14,LISTS!$D$2:$D$50,0)),"")="External",1,0))+IF($I14="",0,IF(IFERROR(INDEX(LISTS!$E$2:$E$50,MATCH($I14,LISTS!$D$2:$D$50,0)),"")="External",1,0))+IF($J14="",0,IF(IFERROR(INDEX(LISTS!$E$2:$E$50,MATCH($J14,LISTS!$D$2:$D$50,0)),"")="External",1,0)))</f>
        <v/>
      </c>
    </row>
    <row r="15" customFormat="false" ht="15" hidden="false" customHeight="false" outlineLevel="0" collapsed="false">
      <c r="A15" s="20"/>
      <c r="B15" s="20"/>
      <c r="C15" s="20"/>
      <c r="D15" s="30"/>
      <c r="E15" s="30"/>
      <c r="F15" s="22"/>
      <c r="G15" s="22"/>
      <c r="H15" s="22"/>
      <c r="I15" s="22"/>
      <c r="J15" s="22"/>
      <c r="K15" s="31" t="str">
        <f aca="false">IF(OR($A15="",$D15=""),"",MIN(5,$D15+$R15))</f>
        <v/>
      </c>
      <c r="L15" s="31" t="str">
        <f aca="false">IF(OR($A15="",$E15=""),"",MIN(5,$E15+$S15))</f>
        <v/>
      </c>
      <c r="M15" s="22"/>
      <c r="N15" s="22"/>
      <c r="O15" s="25" t="str">
        <f aca="false">IF($A15="","",COUNTIF(PART_RISK!$E$5:$E$304,$A15))</f>
        <v/>
      </c>
      <c r="P15" s="28" t="str">
        <f aca="false">IF($A15="","",IF(COUNTIFS(PART_RISK!$E$5:$E$304,$A15,PART_RISK!$Q$5:$Q$304,"CRITICAL*")&gt;0,"CRITICAL",IF(COUNTIFS(PART_RISK!$E$5:$E$304,$A15,PART_RISK!$Q$5:$Q$304,"MONITOR")&gt;0,"MONITOR",IF(COUNTIFS(PART_RISK!$E$5:$E$304,$A15,PART_RISK!$Q$5:$Q$304,"LOW")&gt;0,"LOW","NOT SCORED"))))</f>
        <v/>
      </c>
      <c r="Q15" s="2" t="str">
        <f aca="false">IF($A15="","",COUNTIF($F15:$G15,"?*"))</f>
        <v/>
      </c>
      <c r="R15" s="2" t="str">
        <f aca="false">IF($A15="","",IF($H15="",0,IF(IFERROR(INDEX(LISTS!$E$2:$E$50,MATCH($H15,LISTS!$D$2:$D$50,0)),"")="External",0,1))+IF($I15="",0,IF(IFERROR(INDEX(LISTS!$E$2:$E$50,MATCH($I15,LISTS!$D$2:$D$50,0)),"")="External",0,1))+IF($J15="",0,IF(IFERROR(INDEX(LISTS!$E$2:$E$50,MATCH($J15,LISTS!$D$2:$D$50,0)),"")="External",0,1)))</f>
        <v/>
      </c>
      <c r="S15" s="2" t="str">
        <f aca="false">IF($A15="","",IF($H15="",0,IF(IFERROR(INDEX(LISTS!$E$2:$E$50,MATCH($H15,LISTS!$D$2:$D$50,0)),"")="External",1,0))+IF($I15="",0,IF(IFERROR(INDEX(LISTS!$E$2:$E$50,MATCH($I15,LISTS!$D$2:$D$50,0)),"")="External",1,0))+IF($J15="",0,IF(IFERROR(INDEX(LISTS!$E$2:$E$50,MATCH($J15,LISTS!$D$2:$D$50,0)),"")="External",1,0)))</f>
        <v/>
      </c>
    </row>
    <row r="16" customFormat="false" ht="15" hidden="false" customHeight="false" outlineLevel="0" collapsed="false">
      <c r="A16" s="20"/>
      <c r="B16" s="20"/>
      <c r="C16" s="20"/>
      <c r="D16" s="30"/>
      <c r="E16" s="30"/>
      <c r="F16" s="22"/>
      <c r="G16" s="22"/>
      <c r="H16" s="22"/>
      <c r="I16" s="22"/>
      <c r="J16" s="22"/>
      <c r="K16" s="31" t="str">
        <f aca="false">IF(OR($A16="",$D16=""),"",MIN(5,$D16+$R16))</f>
        <v/>
      </c>
      <c r="L16" s="31" t="str">
        <f aca="false">IF(OR($A16="",$E16=""),"",MIN(5,$E16+$S16))</f>
        <v/>
      </c>
      <c r="M16" s="22"/>
      <c r="N16" s="22"/>
      <c r="O16" s="25" t="str">
        <f aca="false">IF($A16="","",COUNTIF(PART_RISK!$E$5:$E$304,$A16))</f>
        <v/>
      </c>
      <c r="P16" s="28" t="str">
        <f aca="false">IF($A16="","",IF(COUNTIFS(PART_RISK!$E$5:$E$304,$A16,PART_RISK!$Q$5:$Q$304,"CRITICAL*")&gt;0,"CRITICAL",IF(COUNTIFS(PART_RISK!$E$5:$E$304,$A16,PART_RISK!$Q$5:$Q$304,"MONITOR")&gt;0,"MONITOR",IF(COUNTIFS(PART_RISK!$E$5:$E$304,$A16,PART_RISK!$Q$5:$Q$304,"LOW")&gt;0,"LOW","NOT SCORED"))))</f>
        <v/>
      </c>
      <c r="Q16" s="2" t="str">
        <f aca="false">IF($A16="","",COUNTIF($F16:$G16,"?*"))</f>
        <v/>
      </c>
      <c r="R16" s="2" t="str">
        <f aca="false">IF($A16="","",IF($H16="",0,IF(IFERROR(INDEX(LISTS!$E$2:$E$50,MATCH($H16,LISTS!$D$2:$D$50,0)),"")="External",0,1))+IF($I16="",0,IF(IFERROR(INDEX(LISTS!$E$2:$E$50,MATCH($I16,LISTS!$D$2:$D$50,0)),"")="External",0,1))+IF($J16="",0,IF(IFERROR(INDEX(LISTS!$E$2:$E$50,MATCH($J16,LISTS!$D$2:$D$50,0)),"")="External",0,1)))</f>
        <v/>
      </c>
      <c r="S16" s="2" t="str">
        <f aca="false">IF($A16="","",IF($H16="",0,IF(IFERROR(INDEX(LISTS!$E$2:$E$50,MATCH($H16,LISTS!$D$2:$D$50,0)),"")="External",1,0))+IF($I16="",0,IF(IFERROR(INDEX(LISTS!$E$2:$E$50,MATCH($I16,LISTS!$D$2:$D$50,0)),"")="External",1,0))+IF($J16="",0,IF(IFERROR(INDEX(LISTS!$E$2:$E$50,MATCH($J16,LISTS!$D$2:$D$50,0)),"")="External",1,0)))</f>
        <v/>
      </c>
    </row>
    <row r="17" customFormat="false" ht="15" hidden="false" customHeight="false" outlineLevel="0" collapsed="false">
      <c r="A17" s="20"/>
      <c r="B17" s="20"/>
      <c r="C17" s="20"/>
      <c r="D17" s="30"/>
      <c r="E17" s="30"/>
      <c r="F17" s="22"/>
      <c r="G17" s="22"/>
      <c r="H17" s="22"/>
      <c r="I17" s="22"/>
      <c r="J17" s="22"/>
      <c r="K17" s="31" t="str">
        <f aca="false">IF(OR($A17="",$D17=""),"",MIN(5,$D17+$R17))</f>
        <v/>
      </c>
      <c r="L17" s="31" t="str">
        <f aca="false">IF(OR($A17="",$E17=""),"",MIN(5,$E17+$S17))</f>
        <v/>
      </c>
      <c r="M17" s="22"/>
      <c r="N17" s="22"/>
      <c r="O17" s="25" t="str">
        <f aca="false">IF($A17="","",COUNTIF(PART_RISK!$E$5:$E$304,$A17))</f>
        <v/>
      </c>
      <c r="P17" s="28" t="str">
        <f aca="false">IF($A17="","",IF(COUNTIFS(PART_RISK!$E$5:$E$304,$A17,PART_RISK!$Q$5:$Q$304,"CRITICAL*")&gt;0,"CRITICAL",IF(COUNTIFS(PART_RISK!$E$5:$E$304,$A17,PART_RISK!$Q$5:$Q$304,"MONITOR")&gt;0,"MONITOR",IF(COUNTIFS(PART_RISK!$E$5:$E$304,$A17,PART_RISK!$Q$5:$Q$304,"LOW")&gt;0,"LOW","NOT SCORED"))))</f>
        <v/>
      </c>
      <c r="Q17" s="2" t="str">
        <f aca="false">IF($A17="","",COUNTIF($F17:$G17,"?*"))</f>
        <v/>
      </c>
      <c r="R17" s="2" t="str">
        <f aca="false">IF($A17="","",IF($H17="",0,IF(IFERROR(INDEX(LISTS!$E$2:$E$50,MATCH($H17,LISTS!$D$2:$D$50,0)),"")="External",0,1))+IF($I17="",0,IF(IFERROR(INDEX(LISTS!$E$2:$E$50,MATCH($I17,LISTS!$D$2:$D$50,0)),"")="External",0,1))+IF($J17="",0,IF(IFERROR(INDEX(LISTS!$E$2:$E$50,MATCH($J17,LISTS!$D$2:$D$50,0)),"")="External",0,1)))</f>
        <v/>
      </c>
      <c r="S17" s="2" t="str">
        <f aca="false">IF($A17="","",IF($H17="",0,IF(IFERROR(INDEX(LISTS!$E$2:$E$50,MATCH($H17,LISTS!$D$2:$D$50,0)),"")="External",1,0))+IF($I17="",0,IF(IFERROR(INDEX(LISTS!$E$2:$E$50,MATCH($I17,LISTS!$D$2:$D$50,0)),"")="External",1,0))+IF($J17="",0,IF(IFERROR(INDEX(LISTS!$E$2:$E$50,MATCH($J17,LISTS!$D$2:$D$50,0)),"")="External",1,0)))</f>
        <v/>
      </c>
    </row>
    <row r="18" customFormat="false" ht="15" hidden="false" customHeight="false" outlineLevel="0" collapsed="false">
      <c r="A18" s="20"/>
      <c r="B18" s="20"/>
      <c r="C18" s="20"/>
      <c r="D18" s="30"/>
      <c r="E18" s="30"/>
      <c r="F18" s="22"/>
      <c r="G18" s="22"/>
      <c r="H18" s="22"/>
      <c r="I18" s="22"/>
      <c r="J18" s="22"/>
      <c r="K18" s="31" t="str">
        <f aca="false">IF(OR($A18="",$D18=""),"",MIN(5,$D18+$R18))</f>
        <v/>
      </c>
      <c r="L18" s="31" t="str">
        <f aca="false">IF(OR($A18="",$E18=""),"",MIN(5,$E18+$S18))</f>
        <v/>
      </c>
      <c r="M18" s="22"/>
      <c r="N18" s="22"/>
      <c r="O18" s="25" t="str">
        <f aca="false">IF($A18="","",COUNTIF(PART_RISK!$E$5:$E$304,$A18))</f>
        <v/>
      </c>
      <c r="P18" s="28" t="str">
        <f aca="false">IF($A18="","",IF(COUNTIFS(PART_RISK!$E$5:$E$304,$A18,PART_RISK!$Q$5:$Q$304,"CRITICAL*")&gt;0,"CRITICAL",IF(COUNTIFS(PART_RISK!$E$5:$E$304,$A18,PART_RISK!$Q$5:$Q$304,"MONITOR")&gt;0,"MONITOR",IF(COUNTIFS(PART_RISK!$E$5:$E$304,$A18,PART_RISK!$Q$5:$Q$304,"LOW")&gt;0,"LOW","NOT SCORED"))))</f>
        <v/>
      </c>
      <c r="Q18" s="2" t="str">
        <f aca="false">IF($A18="","",COUNTIF($F18:$G18,"?*"))</f>
        <v/>
      </c>
      <c r="R18" s="2" t="str">
        <f aca="false">IF($A18="","",IF($H18="",0,IF(IFERROR(INDEX(LISTS!$E$2:$E$50,MATCH($H18,LISTS!$D$2:$D$50,0)),"")="External",0,1))+IF($I18="",0,IF(IFERROR(INDEX(LISTS!$E$2:$E$50,MATCH($I18,LISTS!$D$2:$D$50,0)),"")="External",0,1))+IF($J18="",0,IF(IFERROR(INDEX(LISTS!$E$2:$E$50,MATCH($J18,LISTS!$D$2:$D$50,0)),"")="External",0,1)))</f>
        <v/>
      </c>
      <c r="S18" s="2" t="str">
        <f aca="false">IF($A18="","",IF($H18="",0,IF(IFERROR(INDEX(LISTS!$E$2:$E$50,MATCH($H18,LISTS!$D$2:$D$50,0)),"")="External",1,0))+IF($I18="",0,IF(IFERROR(INDEX(LISTS!$E$2:$E$50,MATCH($I18,LISTS!$D$2:$D$50,0)),"")="External",1,0))+IF($J18="",0,IF(IFERROR(INDEX(LISTS!$E$2:$E$50,MATCH($J18,LISTS!$D$2:$D$50,0)),"")="External",1,0)))</f>
        <v/>
      </c>
    </row>
    <row r="19" customFormat="false" ht="15" hidden="false" customHeight="false" outlineLevel="0" collapsed="false">
      <c r="A19" s="20"/>
      <c r="B19" s="20"/>
      <c r="C19" s="20"/>
      <c r="D19" s="30"/>
      <c r="E19" s="30"/>
      <c r="F19" s="22"/>
      <c r="G19" s="22"/>
      <c r="H19" s="22"/>
      <c r="I19" s="22"/>
      <c r="J19" s="22"/>
      <c r="K19" s="31" t="str">
        <f aca="false">IF(OR($A19="",$D19=""),"",MIN(5,$D19+$R19))</f>
        <v/>
      </c>
      <c r="L19" s="31" t="str">
        <f aca="false">IF(OR($A19="",$E19=""),"",MIN(5,$E19+$S19))</f>
        <v/>
      </c>
      <c r="M19" s="22"/>
      <c r="N19" s="22"/>
      <c r="O19" s="25" t="str">
        <f aca="false">IF($A19="","",COUNTIF(PART_RISK!$E$5:$E$304,$A19))</f>
        <v/>
      </c>
      <c r="P19" s="28" t="str">
        <f aca="false">IF($A19="","",IF(COUNTIFS(PART_RISK!$E$5:$E$304,$A19,PART_RISK!$Q$5:$Q$304,"CRITICAL*")&gt;0,"CRITICAL",IF(COUNTIFS(PART_RISK!$E$5:$E$304,$A19,PART_RISK!$Q$5:$Q$304,"MONITOR")&gt;0,"MONITOR",IF(COUNTIFS(PART_RISK!$E$5:$E$304,$A19,PART_RISK!$Q$5:$Q$304,"LOW")&gt;0,"LOW","NOT SCORED"))))</f>
        <v/>
      </c>
      <c r="Q19" s="2" t="str">
        <f aca="false">IF($A19="","",COUNTIF($F19:$G19,"?*"))</f>
        <v/>
      </c>
      <c r="R19" s="2" t="str">
        <f aca="false">IF($A19="","",IF($H19="",0,IF(IFERROR(INDEX(LISTS!$E$2:$E$50,MATCH($H19,LISTS!$D$2:$D$50,0)),"")="External",0,1))+IF($I19="",0,IF(IFERROR(INDEX(LISTS!$E$2:$E$50,MATCH($I19,LISTS!$D$2:$D$50,0)),"")="External",0,1))+IF($J19="",0,IF(IFERROR(INDEX(LISTS!$E$2:$E$50,MATCH($J19,LISTS!$D$2:$D$50,0)),"")="External",0,1)))</f>
        <v/>
      </c>
      <c r="S19" s="2" t="str">
        <f aca="false">IF($A19="","",IF($H19="",0,IF(IFERROR(INDEX(LISTS!$E$2:$E$50,MATCH($H19,LISTS!$D$2:$D$50,0)),"")="External",1,0))+IF($I19="",0,IF(IFERROR(INDEX(LISTS!$E$2:$E$50,MATCH($I19,LISTS!$D$2:$D$50,0)),"")="External",1,0))+IF($J19="",0,IF(IFERROR(INDEX(LISTS!$E$2:$E$50,MATCH($J19,LISTS!$D$2:$D$50,0)),"")="External",1,0)))</f>
        <v/>
      </c>
    </row>
    <row r="20" customFormat="false" ht="15" hidden="false" customHeight="false" outlineLevel="0" collapsed="false">
      <c r="A20" s="20"/>
      <c r="B20" s="20"/>
      <c r="C20" s="20"/>
      <c r="D20" s="30"/>
      <c r="E20" s="30"/>
      <c r="F20" s="22"/>
      <c r="G20" s="22"/>
      <c r="H20" s="22"/>
      <c r="I20" s="22"/>
      <c r="J20" s="22"/>
      <c r="K20" s="31" t="str">
        <f aca="false">IF(OR($A20="",$D20=""),"",MIN(5,$D20+$R20))</f>
        <v/>
      </c>
      <c r="L20" s="31" t="str">
        <f aca="false">IF(OR($A20="",$E20=""),"",MIN(5,$E20+$S20))</f>
        <v/>
      </c>
      <c r="M20" s="22"/>
      <c r="N20" s="22"/>
      <c r="O20" s="25" t="str">
        <f aca="false">IF($A20="","",COUNTIF(PART_RISK!$E$5:$E$304,$A20))</f>
        <v/>
      </c>
      <c r="P20" s="28" t="str">
        <f aca="false">IF($A20="","",IF(COUNTIFS(PART_RISK!$E$5:$E$304,$A20,PART_RISK!$Q$5:$Q$304,"CRITICAL*")&gt;0,"CRITICAL",IF(COUNTIFS(PART_RISK!$E$5:$E$304,$A20,PART_RISK!$Q$5:$Q$304,"MONITOR")&gt;0,"MONITOR",IF(COUNTIFS(PART_RISK!$E$5:$E$304,$A20,PART_RISK!$Q$5:$Q$304,"LOW")&gt;0,"LOW","NOT SCORED"))))</f>
        <v/>
      </c>
      <c r="Q20" s="2" t="str">
        <f aca="false">IF($A20="","",COUNTIF($F20:$G20,"?*"))</f>
        <v/>
      </c>
      <c r="R20" s="2" t="str">
        <f aca="false">IF($A20="","",IF($H20="",0,IF(IFERROR(INDEX(LISTS!$E$2:$E$50,MATCH($H20,LISTS!$D$2:$D$50,0)),"")="External",0,1))+IF($I20="",0,IF(IFERROR(INDEX(LISTS!$E$2:$E$50,MATCH($I20,LISTS!$D$2:$D$50,0)),"")="External",0,1))+IF($J20="",0,IF(IFERROR(INDEX(LISTS!$E$2:$E$50,MATCH($J20,LISTS!$D$2:$D$50,0)),"")="External",0,1)))</f>
        <v/>
      </c>
      <c r="S20" s="2" t="str">
        <f aca="false">IF($A20="","",IF($H20="",0,IF(IFERROR(INDEX(LISTS!$E$2:$E$50,MATCH($H20,LISTS!$D$2:$D$50,0)),"")="External",1,0))+IF($I20="",0,IF(IFERROR(INDEX(LISTS!$E$2:$E$50,MATCH($I20,LISTS!$D$2:$D$50,0)),"")="External",1,0))+IF($J20="",0,IF(IFERROR(INDEX(LISTS!$E$2:$E$50,MATCH($J20,LISTS!$D$2:$D$50,0)),"")="External",1,0)))</f>
        <v/>
      </c>
    </row>
    <row r="21" customFormat="false" ht="15" hidden="false" customHeight="false" outlineLevel="0" collapsed="false">
      <c r="A21" s="20"/>
      <c r="B21" s="20"/>
      <c r="C21" s="20"/>
      <c r="D21" s="30"/>
      <c r="E21" s="30"/>
      <c r="F21" s="22"/>
      <c r="G21" s="22"/>
      <c r="H21" s="22"/>
      <c r="I21" s="22"/>
      <c r="J21" s="22"/>
      <c r="K21" s="31" t="str">
        <f aca="false">IF(OR($A21="",$D21=""),"",MIN(5,$D21+$R21))</f>
        <v/>
      </c>
      <c r="L21" s="31" t="str">
        <f aca="false">IF(OR($A21="",$E21=""),"",MIN(5,$E21+$S21))</f>
        <v/>
      </c>
      <c r="M21" s="22"/>
      <c r="N21" s="22"/>
      <c r="O21" s="25" t="str">
        <f aca="false">IF($A21="","",COUNTIF(PART_RISK!$E$5:$E$304,$A21))</f>
        <v/>
      </c>
      <c r="P21" s="28" t="str">
        <f aca="false">IF($A21="","",IF(COUNTIFS(PART_RISK!$E$5:$E$304,$A21,PART_RISK!$Q$5:$Q$304,"CRITICAL*")&gt;0,"CRITICAL",IF(COUNTIFS(PART_RISK!$E$5:$E$304,$A21,PART_RISK!$Q$5:$Q$304,"MONITOR")&gt;0,"MONITOR",IF(COUNTIFS(PART_RISK!$E$5:$E$304,$A21,PART_RISK!$Q$5:$Q$304,"LOW")&gt;0,"LOW","NOT SCORED"))))</f>
        <v/>
      </c>
      <c r="Q21" s="2" t="str">
        <f aca="false">IF($A21="","",COUNTIF($F21:$G21,"?*"))</f>
        <v/>
      </c>
      <c r="R21" s="2" t="str">
        <f aca="false">IF($A21="","",IF($H21="",0,IF(IFERROR(INDEX(LISTS!$E$2:$E$50,MATCH($H21,LISTS!$D$2:$D$50,0)),"")="External",0,1))+IF($I21="",0,IF(IFERROR(INDEX(LISTS!$E$2:$E$50,MATCH($I21,LISTS!$D$2:$D$50,0)),"")="External",0,1))+IF($J21="",0,IF(IFERROR(INDEX(LISTS!$E$2:$E$50,MATCH($J21,LISTS!$D$2:$D$50,0)),"")="External",0,1)))</f>
        <v/>
      </c>
      <c r="S21" s="2" t="str">
        <f aca="false">IF($A21="","",IF($H21="",0,IF(IFERROR(INDEX(LISTS!$E$2:$E$50,MATCH($H21,LISTS!$D$2:$D$50,0)),"")="External",1,0))+IF($I21="",0,IF(IFERROR(INDEX(LISTS!$E$2:$E$50,MATCH($I21,LISTS!$D$2:$D$50,0)),"")="External",1,0))+IF($J21="",0,IF(IFERROR(INDEX(LISTS!$E$2:$E$50,MATCH($J21,LISTS!$D$2:$D$50,0)),"")="External",1,0)))</f>
        <v/>
      </c>
    </row>
    <row r="22" customFormat="false" ht="15" hidden="false" customHeight="false" outlineLevel="0" collapsed="false">
      <c r="A22" s="20"/>
      <c r="B22" s="20"/>
      <c r="C22" s="20"/>
      <c r="D22" s="30"/>
      <c r="E22" s="30"/>
      <c r="F22" s="22"/>
      <c r="G22" s="22"/>
      <c r="H22" s="22"/>
      <c r="I22" s="22"/>
      <c r="J22" s="22"/>
      <c r="K22" s="31" t="str">
        <f aca="false">IF(OR($A22="",$D22=""),"",MIN(5,$D22+$R22))</f>
        <v/>
      </c>
      <c r="L22" s="31" t="str">
        <f aca="false">IF(OR($A22="",$E22=""),"",MIN(5,$E22+$S22))</f>
        <v/>
      </c>
      <c r="M22" s="22"/>
      <c r="N22" s="22"/>
      <c r="O22" s="25" t="str">
        <f aca="false">IF($A22="","",COUNTIF(PART_RISK!$E$5:$E$304,$A22))</f>
        <v/>
      </c>
      <c r="P22" s="28" t="str">
        <f aca="false">IF($A22="","",IF(COUNTIFS(PART_RISK!$E$5:$E$304,$A22,PART_RISK!$Q$5:$Q$304,"CRITICAL*")&gt;0,"CRITICAL",IF(COUNTIFS(PART_RISK!$E$5:$E$304,$A22,PART_RISK!$Q$5:$Q$304,"MONITOR")&gt;0,"MONITOR",IF(COUNTIFS(PART_RISK!$E$5:$E$304,$A22,PART_RISK!$Q$5:$Q$304,"LOW")&gt;0,"LOW","NOT SCORED"))))</f>
        <v/>
      </c>
      <c r="Q22" s="2" t="str">
        <f aca="false">IF($A22="","",COUNTIF($F22:$G22,"?*"))</f>
        <v/>
      </c>
      <c r="R22" s="2" t="str">
        <f aca="false">IF($A22="","",IF($H22="",0,IF(IFERROR(INDEX(LISTS!$E$2:$E$50,MATCH($H22,LISTS!$D$2:$D$50,0)),"")="External",0,1))+IF($I22="",0,IF(IFERROR(INDEX(LISTS!$E$2:$E$50,MATCH($I22,LISTS!$D$2:$D$50,0)),"")="External",0,1))+IF($J22="",0,IF(IFERROR(INDEX(LISTS!$E$2:$E$50,MATCH($J22,LISTS!$D$2:$D$50,0)),"")="External",0,1)))</f>
        <v/>
      </c>
      <c r="S22" s="2" t="str">
        <f aca="false">IF($A22="","",IF($H22="",0,IF(IFERROR(INDEX(LISTS!$E$2:$E$50,MATCH($H22,LISTS!$D$2:$D$50,0)),"")="External",1,0))+IF($I22="",0,IF(IFERROR(INDEX(LISTS!$E$2:$E$50,MATCH($I22,LISTS!$D$2:$D$50,0)),"")="External",1,0))+IF($J22="",0,IF(IFERROR(INDEX(LISTS!$E$2:$E$50,MATCH($J22,LISTS!$D$2:$D$50,0)),"")="External",1,0)))</f>
        <v/>
      </c>
    </row>
    <row r="23" customFormat="false" ht="15" hidden="false" customHeight="false" outlineLevel="0" collapsed="false">
      <c r="A23" s="20"/>
      <c r="B23" s="20"/>
      <c r="C23" s="20"/>
      <c r="D23" s="30"/>
      <c r="E23" s="30"/>
      <c r="F23" s="22"/>
      <c r="G23" s="22"/>
      <c r="H23" s="22"/>
      <c r="I23" s="22"/>
      <c r="J23" s="22"/>
      <c r="K23" s="31" t="str">
        <f aca="false">IF(OR($A23="",$D23=""),"",MIN(5,$D23+$R23))</f>
        <v/>
      </c>
      <c r="L23" s="31" t="str">
        <f aca="false">IF(OR($A23="",$E23=""),"",MIN(5,$E23+$S23))</f>
        <v/>
      </c>
      <c r="M23" s="22"/>
      <c r="N23" s="22"/>
      <c r="O23" s="25" t="str">
        <f aca="false">IF($A23="","",COUNTIF(PART_RISK!$E$5:$E$304,$A23))</f>
        <v/>
      </c>
      <c r="P23" s="28" t="str">
        <f aca="false">IF($A23="","",IF(COUNTIFS(PART_RISK!$E$5:$E$304,$A23,PART_RISK!$Q$5:$Q$304,"CRITICAL*")&gt;0,"CRITICAL",IF(COUNTIFS(PART_RISK!$E$5:$E$304,$A23,PART_RISK!$Q$5:$Q$304,"MONITOR")&gt;0,"MONITOR",IF(COUNTIFS(PART_RISK!$E$5:$E$304,$A23,PART_RISK!$Q$5:$Q$304,"LOW")&gt;0,"LOW","NOT SCORED"))))</f>
        <v/>
      </c>
      <c r="Q23" s="2" t="str">
        <f aca="false">IF($A23="","",COUNTIF($F23:$G23,"?*"))</f>
        <v/>
      </c>
      <c r="R23" s="2" t="str">
        <f aca="false">IF($A23="","",IF($H23="",0,IF(IFERROR(INDEX(LISTS!$E$2:$E$50,MATCH($H23,LISTS!$D$2:$D$50,0)),"")="External",0,1))+IF($I23="",0,IF(IFERROR(INDEX(LISTS!$E$2:$E$50,MATCH($I23,LISTS!$D$2:$D$50,0)),"")="External",0,1))+IF($J23="",0,IF(IFERROR(INDEX(LISTS!$E$2:$E$50,MATCH($J23,LISTS!$D$2:$D$50,0)),"")="External",0,1)))</f>
        <v/>
      </c>
      <c r="S23" s="2" t="str">
        <f aca="false">IF($A23="","",IF($H23="",0,IF(IFERROR(INDEX(LISTS!$E$2:$E$50,MATCH($H23,LISTS!$D$2:$D$50,0)),"")="External",1,0))+IF($I23="",0,IF(IFERROR(INDEX(LISTS!$E$2:$E$50,MATCH($I23,LISTS!$D$2:$D$50,0)),"")="External",1,0))+IF($J23="",0,IF(IFERROR(INDEX(LISTS!$E$2:$E$50,MATCH($J23,LISTS!$D$2:$D$50,0)),"")="External",1,0)))</f>
        <v/>
      </c>
    </row>
    <row r="24" customFormat="false" ht="15" hidden="false" customHeight="false" outlineLevel="0" collapsed="false">
      <c r="A24" s="20"/>
      <c r="B24" s="20"/>
      <c r="C24" s="20"/>
      <c r="D24" s="30"/>
      <c r="E24" s="30"/>
      <c r="F24" s="22"/>
      <c r="G24" s="22"/>
      <c r="H24" s="22"/>
      <c r="I24" s="22"/>
      <c r="J24" s="22"/>
      <c r="K24" s="31" t="str">
        <f aca="false">IF(OR($A24="",$D24=""),"",MIN(5,$D24+$R24))</f>
        <v/>
      </c>
      <c r="L24" s="31" t="str">
        <f aca="false">IF(OR($A24="",$E24=""),"",MIN(5,$E24+$S24))</f>
        <v/>
      </c>
      <c r="M24" s="22"/>
      <c r="N24" s="22"/>
      <c r="O24" s="25" t="str">
        <f aca="false">IF($A24="","",COUNTIF(PART_RISK!$E$5:$E$304,$A24))</f>
        <v/>
      </c>
      <c r="P24" s="28" t="str">
        <f aca="false">IF($A24="","",IF(COUNTIFS(PART_RISK!$E$5:$E$304,$A24,PART_RISK!$Q$5:$Q$304,"CRITICAL*")&gt;0,"CRITICAL",IF(COUNTIFS(PART_RISK!$E$5:$E$304,$A24,PART_RISK!$Q$5:$Q$304,"MONITOR")&gt;0,"MONITOR",IF(COUNTIFS(PART_RISK!$E$5:$E$304,$A24,PART_RISK!$Q$5:$Q$304,"LOW")&gt;0,"LOW","NOT SCORED"))))</f>
        <v/>
      </c>
      <c r="Q24" s="2" t="str">
        <f aca="false">IF($A24="","",COUNTIF($F24:$G24,"?*"))</f>
        <v/>
      </c>
      <c r="R24" s="2" t="str">
        <f aca="false">IF($A24="","",IF($H24="",0,IF(IFERROR(INDEX(LISTS!$E$2:$E$50,MATCH($H24,LISTS!$D$2:$D$50,0)),"")="External",0,1))+IF($I24="",0,IF(IFERROR(INDEX(LISTS!$E$2:$E$50,MATCH($I24,LISTS!$D$2:$D$50,0)),"")="External",0,1))+IF($J24="",0,IF(IFERROR(INDEX(LISTS!$E$2:$E$50,MATCH($J24,LISTS!$D$2:$D$50,0)),"")="External",0,1)))</f>
        <v/>
      </c>
      <c r="S24" s="2" t="str">
        <f aca="false">IF($A24="","",IF($H24="",0,IF(IFERROR(INDEX(LISTS!$E$2:$E$50,MATCH($H24,LISTS!$D$2:$D$50,0)),"")="External",1,0))+IF($I24="",0,IF(IFERROR(INDEX(LISTS!$E$2:$E$50,MATCH($I24,LISTS!$D$2:$D$50,0)),"")="External",1,0))+IF($J24="",0,IF(IFERROR(INDEX(LISTS!$E$2:$E$50,MATCH($J24,LISTS!$D$2:$D$50,0)),"")="External",1,0)))</f>
        <v/>
      </c>
    </row>
    <row r="25" customFormat="false" ht="15" hidden="false" customHeight="false" outlineLevel="0" collapsed="false">
      <c r="A25" s="20"/>
      <c r="B25" s="20"/>
      <c r="C25" s="20"/>
      <c r="D25" s="30"/>
      <c r="E25" s="30"/>
      <c r="F25" s="22"/>
      <c r="G25" s="22"/>
      <c r="H25" s="22"/>
      <c r="I25" s="22"/>
      <c r="J25" s="22"/>
      <c r="K25" s="31" t="str">
        <f aca="false">IF(OR($A25="",$D25=""),"",MIN(5,$D25+$R25))</f>
        <v/>
      </c>
      <c r="L25" s="31" t="str">
        <f aca="false">IF(OR($A25="",$E25=""),"",MIN(5,$E25+$S25))</f>
        <v/>
      </c>
      <c r="M25" s="22"/>
      <c r="N25" s="22"/>
      <c r="O25" s="25" t="str">
        <f aca="false">IF($A25="","",COUNTIF(PART_RISK!$E$5:$E$304,$A25))</f>
        <v/>
      </c>
      <c r="P25" s="28" t="str">
        <f aca="false">IF($A25="","",IF(COUNTIFS(PART_RISK!$E$5:$E$304,$A25,PART_RISK!$Q$5:$Q$304,"CRITICAL*")&gt;0,"CRITICAL",IF(COUNTIFS(PART_RISK!$E$5:$E$304,$A25,PART_RISK!$Q$5:$Q$304,"MONITOR")&gt;0,"MONITOR",IF(COUNTIFS(PART_RISK!$E$5:$E$304,$A25,PART_RISK!$Q$5:$Q$304,"LOW")&gt;0,"LOW","NOT SCORED"))))</f>
        <v/>
      </c>
      <c r="Q25" s="2" t="str">
        <f aca="false">IF($A25="","",COUNTIF($F25:$G25,"?*"))</f>
        <v/>
      </c>
      <c r="R25" s="2" t="str">
        <f aca="false">IF($A25="","",IF($H25="",0,IF(IFERROR(INDEX(LISTS!$E$2:$E$50,MATCH($H25,LISTS!$D$2:$D$50,0)),"")="External",0,1))+IF($I25="",0,IF(IFERROR(INDEX(LISTS!$E$2:$E$50,MATCH($I25,LISTS!$D$2:$D$50,0)),"")="External",0,1))+IF($J25="",0,IF(IFERROR(INDEX(LISTS!$E$2:$E$50,MATCH($J25,LISTS!$D$2:$D$50,0)),"")="External",0,1)))</f>
        <v/>
      </c>
      <c r="S25" s="2" t="str">
        <f aca="false">IF($A25="","",IF($H25="",0,IF(IFERROR(INDEX(LISTS!$E$2:$E$50,MATCH($H25,LISTS!$D$2:$D$50,0)),"")="External",1,0))+IF($I25="",0,IF(IFERROR(INDEX(LISTS!$E$2:$E$50,MATCH($I25,LISTS!$D$2:$D$50,0)),"")="External",1,0))+IF($J25="",0,IF(IFERROR(INDEX(LISTS!$E$2:$E$50,MATCH($J25,LISTS!$D$2:$D$50,0)),"")="External",1,0)))</f>
        <v/>
      </c>
    </row>
    <row r="26" customFormat="false" ht="15" hidden="false" customHeight="false" outlineLevel="0" collapsed="false">
      <c r="A26" s="20"/>
      <c r="B26" s="20"/>
      <c r="C26" s="20"/>
      <c r="D26" s="30"/>
      <c r="E26" s="30"/>
      <c r="F26" s="22"/>
      <c r="G26" s="22"/>
      <c r="H26" s="22"/>
      <c r="I26" s="22"/>
      <c r="J26" s="22"/>
      <c r="K26" s="31" t="str">
        <f aca="false">IF(OR($A26="",$D26=""),"",MIN(5,$D26+$R26))</f>
        <v/>
      </c>
      <c r="L26" s="31" t="str">
        <f aca="false">IF(OR($A26="",$E26=""),"",MIN(5,$E26+$S26))</f>
        <v/>
      </c>
      <c r="M26" s="22"/>
      <c r="N26" s="22"/>
      <c r="O26" s="25" t="str">
        <f aca="false">IF($A26="","",COUNTIF(PART_RISK!$E$5:$E$304,$A26))</f>
        <v/>
      </c>
      <c r="P26" s="28" t="str">
        <f aca="false">IF($A26="","",IF(COUNTIFS(PART_RISK!$E$5:$E$304,$A26,PART_RISK!$Q$5:$Q$304,"CRITICAL*")&gt;0,"CRITICAL",IF(COUNTIFS(PART_RISK!$E$5:$E$304,$A26,PART_RISK!$Q$5:$Q$304,"MONITOR")&gt;0,"MONITOR",IF(COUNTIFS(PART_RISK!$E$5:$E$304,$A26,PART_RISK!$Q$5:$Q$304,"LOW")&gt;0,"LOW","NOT SCORED"))))</f>
        <v/>
      </c>
      <c r="Q26" s="2" t="str">
        <f aca="false">IF($A26="","",COUNTIF($F26:$G26,"?*"))</f>
        <v/>
      </c>
      <c r="R26" s="2" t="str">
        <f aca="false">IF($A26="","",IF($H26="",0,IF(IFERROR(INDEX(LISTS!$E$2:$E$50,MATCH($H26,LISTS!$D$2:$D$50,0)),"")="External",0,1))+IF($I26="",0,IF(IFERROR(INDEX(LISTS!$E$2:$E$50,MATCH($I26,LISTS!$D$2:$D$50,0)),"")="External",0,1))+IF($J26="",0,IF(IFERROR(INDEX(LISTS!$E$2:$E$50,MATCH($J26,LISTS!$D$2:$D$50,0)),"")="External",0,1)))</f>
        <v/>
      </c>
      <c r="S26" s="2" t="str">
        <f aca="false">IF($A26="","",IF($H26="",0,IF(IFERROR(INDEX(LISTS!$E$2:$E$50,MATCH($H26,LISTS!$D$2:$D$50,0)),"")="External",1,0))+IF($I26="",0,IF(IFERROR(INDEX(LISTS!$E$2:$E$50,MATCH($I26,LISTS!$D$2:$D$50,0)),"")="External",1,0))+IF($J26="",0,IF(IFERROR(INDEX(LISTS!$E$2:$E$50,MATCH($J26,LISTS!$D$2:$D$50,0)),"")="External",1,0)))</f>
        <v/>
      </c>
    </row>
    <row r="27" customFormat="false" ht="15" hidden="false" customHeight="false" outlineLevel="0" collapsed="false">
      <c r="A27" s="20"/>
      <c r="B27" s="20"/>
      <c r="C27" s="20"/>
      <c r="D27" s="30"/>
      <c r="E27" s="30"/>
      <c r="F27" s="22"/>
      <c r="G27" s="22"/>
      <c r="H27" s="22"/>
      <c r="I27" s="22"/>
      <c r="J27" s="22"/>
      <c r="K27" s="31" t="str">
        <f aca="false">IF(OR($A27="",$D27=""),"",MIN(5,$D27+$R27))</f>
        <v/>
      </c>
      <c r="L27" s="31" t="str">
        <f aca="false">IF(OR($A27="",$E27=""),"",MIN(5,$E27+$S27))</f>
        <v/>
      </c>
      <c r="M27" s="22"/>
      <c r="N27" s="22"/>
      <c r="O27" s="25" t="str">
        <f aca="false">IF($A27="","",COUNTIF(PART_RISK!$E$5:$E$304,$A27))</f>
        <v/>
      </c>
      <c r="P27" s="28" t="str">
        <f aca="false">IF($A27="","",IF(COUNTIFS(PART_RISK!$E$5:$E$304,$A27,PART_RISK!$Q$5:$Q$304,"CRITICAL*")&gt;0,"CRITICAL",IF(COUNTIFS(PART_RISK!$E$5:$E$304,$A27,PART_RISK!$Q$5:$Q$304,"MONITOR")&gt;0,"MONITOR",IF(COUNTIFS(PART_RISK!$E$5:$E$304,$A27,PART_RISK!$Q$5:$Q$304,"LOW")&gt;0,"LOW","NOT SCORED"))))</f>
        <v/>
      </c>
      <c r="Q27" s="2" t="str">
        <f aca="false">IF($A27="","",COUNTIF($F27:$G27,"?*"))</f>
        <v/>
      </c>
      <c r="R27" s="2" t="str">
        <f aca="false">IF($A27="","",IF($H27="",0,IF(IFERROR(INDEX(LISTS!$E$2:$E$50,MATCH($H27,LISTS!$D$2:$D$50,0)),"")="External",0,1))+IF($I27="",0,IF(IFERROR(INDEX(LISTS!$E$2:$E$50,MATCH($I27,LISTS!$D$2:$D$50,0)),"")="External",0,1))+IF($J27="",0,IF(IFERROR(INDEX(LISTS!$E$2:$E$50,MATCH($J27,LISTS!$D$2:$D$50,0)),"")="External",0,1)))</f>
        <v/>
      </c>
      <c r="S27" s="2" t="str">
        <f aca="false">IF($A27="","",IF($H27="",0,IF(IFERROR(INDEX(LISTS!$E$2:$E$50,MATCH($H27,LISTS!$D$2:$D$50,0)),"")="External",1,0))+IF($I27="",0,IF(IFERROR(INDEX(LISTS!$E$2:$E$50,MATCH($I27,LISTS!$D$2:$D$50,0)),"")="External",1,0))+IF($J27="",0,IF(IFERROR(INDEX(LISTS!$E$2:$E$50,MATCH($J27,LISTS!$D$2:$D$50,0)),"")="External",1,0)))</f>
        <v/>
      </c>
    </row>
    <row r="28" customFormat="false" ht="15" hidden="false" customHeight="false" outlineLevel="0" collapsed="false">
      <c r="A28" s="20"/>
      <c r="B28" s="20"/>
      <c r="C28" s="20"/>
      <c r="D28" s="30"/>
      <c r="E28" s="30"/>
      <c r="F28" s="22"/>
      <c r="G28" s="22"/>
      <c r="H28" s="22"/>
      <c r="I28" s="22"/>
      <c r="J28" s="22"/>
      <c r="K28" s="31" t="str">
        <f aca="false">IF(OR($A28="",$D28=""),"",MIN(5,$D28+$R28))</f>
        <v/>
      </c>
      <c r="L28" s="31" t="str">
        <f aca="false">IF(OR($A28="",$E28=""),"",MIN(5,$E28+$S28))</f>
        <v/>
      </c>
      <c r="M28" s="22"/>
      <c r="N28" s="22"/>
      <c r="O28" s="25" t="str">
        <f aca="false">IF($A28="","",COUNTIF(PART_RISK!$E$5:$E$304,$A28))</f>
        <v/>
      </c>
      <c r="P28" s="28" t="str">
        <f aca="false">IF($A28="","",IF(COUNTIFS(PART_RISK!$E$5:$E$304,$A28,PART_RISK!$Q$5:$Q$304,"CRITICAL*")&gt;0,"CRITICAL",IF(COUNTIFS(PART_RISK!$E$5:$E$304,$A28,PART_RISK!$Q$5:$Q$304,"MONITOR")&gt;0,"MONITOR",IF(COUNTIFS(PART_RISK!$E$5:$E$304,$A28,PART_RISK!$Q$5:$Q$304,"LOW")&gt;0,"LOW","NOT SCORED"))))</f>
        <v/>
      </c>
      <c r="Q28" s="2" t="str">
        <f aca="false">IF($A28="","",COUNTIF($F28:$G28,"?*"))</f>
        <v/>
      </c>
      <c r="R28" s="2" t="str">
        <f aca="false">IF($A28="","",IF($H28="",0,IF(IFERROR(INDEX(LISTS!$E$2:$E$50,MATCH($H28,LISTS!$D$2:$D$50,0)),"")="External",0,1))+IF($I28="",0,IF(IFERROR(INDEX(LISTS!$E$2:$E$50,MATCH($I28,LISTS!$D$2:$D$50,0)),"")="External",0,1))+IF($J28="",0,IF(IFERROR(INDEX(LISTS!$E$2:$E$50,MATCH($J28,LISTS!$D$2:$D$50,0)),"")="External",0,1)))</f>
        <v/>
      </c>
      <c r="S28" s="2" t="str">
        <f aca="false">IF($A28="","",IF($H28="",0,IF(IFERROR(INDEX(LISTS!$E$2:$E$50,MATCH($H28,LISTS!$D$2:$D$50,0)),"")="External",1,0))+IF($I28="",0,IF(IFERROR(INDEX(LISTS!$E$2:$E$50,MATCH($I28,LISTS!$D$2:$D$50,0)),"")="External",1,0))+IF($J28="",0,IF(IFERROR(INDEX(LISTS!$E$2:$E$50,MATCH($J28,LISTS!$D$2:$D$50,0)),"")="External",1,0)))</f>
        <v/>
      </c>
    </row>
    <row r="29" customFormat="false" ht="15" hidden="false" customHeight="false" outlineLevel="0" collapsed="false">
      <c r="A29" s="20"/>
      <c r="B29" s="20"/>
      <c r="C29" s="20"/>
      <c r="D29" s="30"/>
      <c r="E29" s="30"/>
      <c r="F29" s="22"/>
      <c r="G29" s="22"/>
      <c r="H29" s="22"/>
      <c r="I29" s="22"/>
      <c r="J29" s="22"/>
      <c r="K29" s="31" t="str">
        <f aca="false">IF(OR($A29="",$D29=""),"",MIN(5,$D29+$R29))</f>
        <v/>
      </c>
      <c r="L29" s="31" t="str">
        <f aca="false">IF(OR($A29="",$E29=""),"",MIN(5,$E29+$S29))</f>
        <v/>
      </c>
      <c r="M29" s="22"/>
      <c r="N29" s="22"/>
      <c r="O29" s="25" t="str">
        <f aca="false">IF($A29="","",COUNTIF(PART_RISK!$E$5:$E$304,$A29))</f>
        <v/>
      </c>
      <c r="P29" s="28" t="str">
        <f aca="false">IF($A29="","",IF(COUNTIFS(PART_RISK!$E$5:$E$304,$A29,PART_RISK!$Q$5:$Q$304,"CRITICAL*")&gt;0,"CRITICAL",IF(COUNTIFS(PART_RISK!$E$5:$E$304,$A29,PART_RISK!$Q$5:$Q$304,"MONITOR")&gt;0,"MONITOR",IF(COUNTIFS(PART_RISK!$E$5:$E$304,$A29,PART_RISK!$Q$5:$Q$304,"LOW")&gt;0,"LOW","NOT SCORED"))))</f>
        <v/>
      </c>
      <c r="Q29" s="2" t="str">
        <f aca="false">IF($A29="","",COUNTIF($F29:$G29,"?*"))</f>
        <v/>
      </c>
      <c r="R29" s="2" t="str">
        <f aca="false">IF($A29="","",IF($H29="",0,IF(IFERROR(INDEX(LISTS!$E$2:$E$50,MATCH($H29,LISTS!$D$2:$D$50,0)),"")="External",0,1))+IF($I29="",0,IF(IFERROR(INDEX(LISTS!$E$2:$E$50,MATCH($I29,LISTS!$D$2:$D$50,0)),"")="External",0,1))+IF($J29="",0,IF(IFERROR(INDEX(LISTS!$E$2:$E$50,MATCH($J29,LISTS!$D$2:$D$50,0)),"")="External",0,1)))</f>
        <v/>
      </c>
      <c r="S29" s="2" t="str">
        <f aca="false">IF($A29="","",IF($H29="",0,IF(IFERROR(INDEX(LISTS!$E$2:$E$50,MATCH($H29,LISTS!$D$2:$D$50,0)),"")="External",1,0))+IF($I29="",0,IF(IFERROR(INDEX(LISTS!$E$2:$E$50,MATCH($I29,LISTS!$D$2:$D$50,0)),"")="External",1,0))+IF($J29="",0,IF(IFERROR(INDEX(LISTS!$E$2:$E$50,MATCH($J29,LISTS!$D$2:$D$50,0)),"")="External",1,0)))</f>
        <v/>
      </c>
    </row>
    <row r="30" customFormat="false" ht="15" hidden="false" customHeight="false" outlineLevel="0" collapsed="false">
      <c r="A30" s="20"/>
      <c r="B30" s="20"/>
      <c r="C30" s="20"/>
      <c r="D30" s="30"/>
      <c r="E30" s="30"/>
      <c r="F30" s="22"/>
      <c r="G30" s="22"/>
      <c r="H30" s="22"/>
      <c r="I30" s="22"/>
      <c r="J30" s="22"/>
      <c r="K30" s="31" t="str">
        <f aca="false">IF(OR($A30="",$D30=""),"",MIN(5,$D30+$R30))</f>
        <v/>
      </c>
      <c r="L30" s="31" t="str">
        <f aca="false">IF(OR($A30="",$E30=""),"",MIN(5,$E30+$S30))</f>
        <v/>
      </c>
      <c r="M30" s="22"/>
      <c r="N30" s="22"/>
      <c r="O30" s="25" t="str">
        <f aca="false">IF($A30="","",COUNTIF(PART_RISK!$E$5:$E$304,$A30))</f>
        <v/>
      </c>
      <c r="P30" s="28" t="str">
        <f aca="false">IF($A30="","",IF(COUNTIFS(PART_RISK!$E$5:$E$304,$A30,PART_RISK!$Q$5:$Q$304,"CRITICAL*")&gt;0,"CRITICAL",IF(COUNTIFS(PART_RISK!$E$5:$E$304,$A30,PART_RISK!$Q$5:$Q$304,"MONITOR")&gt;0,"MONITOR",IF(COUNTIFS(PART_RISK!$E$5:$E$304,$A30,PART_RISK!$Q$5:$Q$304,"LOW")&gt;0,"LOW","NOT SCORED"))))</f>
        <v/>
      </c>
      <c r="Q30" s="2" t="str">
        <f aca="false">IF($A30="","",COUNTIF($F30:$G30,"?*"))</f>
        <v/>
      </c>
      <c r="R30" s="2" t="str">
        <f aca="false">IF($A30="","",IF($H30="",0,IF(IFERROR(INDEX(LISTS!$E$2:$E$50,MATCH($H30,LISTS!$D$2:$D$50,0)),"")="External",0,1))+IF($I30="",0,IF(IFERROR(INDEX(LISTS!$E$2:$E$50,MATCH($I30,LISTS!$D$2:$D$50,0)),"")="External",0,1))+IF($J30="",0,IF(IFERROR(INDEX(LISTS!$E$2:$E$50,MATCH($J30,LISTS!$D$2:$D$50,0)),"")="External",0,1)))</f>
        <v/>
      </c>
      <c r="S30" s="2" t="str">
        <f aca="false">IF($A30="","",IF($H30="",0,IF(IFERROR(INDEX(LISTS!$E$2:$E$50,MATCH($H30,LISTS!$D$2:$D$50,0)),"")="External",1,0))+IF($I30="",0,IF(IFERROR(INDEX(LISTS!$E$2:$E$50,MATCH($I30,LISTS!$D$2:$D$50,0)),"")="External",1,0))+IF($J30="",0,IF(IFERROR(INDEX(LISTS!$E$2:$E$50,MATCH($J30,LISTS!$D$2:$D$50,0)),"")="External",1,0)))</f>
        <v/>
      </c>
    </row>
    <row r="31" customFormat="false" ht="15" hidden="false" customHeight="false" outlineLevel="0" collapsed="false">
      <c r="A31" s="20"/>
      <c r="B31" s="20"/>
      <c r="C31" s="20"/>
      <c r="D31" s="30"/>
      <c r="E31" s="30"/>
      <c r="F31" s="22"/>
      <c r="G31" s="22"/>
      <c r="H31" s="22"/>
      <c r="I31" s="22"/>
      <c r="J31" s="22"/>
      <c r="K31" s="31" t="str">
        <f aca="false">IF(OR($A31="",$D31=""),"",MIN(5,$D31+$R31))</f>
        <v/>
      </c>
      <c r="L31" s="31" t="str">
        <f aca="false">IF(OR($A31="",$E31=""),"",MIN(5,$E31+$S31))</f>
        <v/>
      </c>
      <c r="M31" s="22"/>
      <c r="N31" s="22"/>
      <c r="O31" s="25" t="str">
        <f aca="false">IF($A31="","",COUNTIF(PART_RISK!$E$5:$E$304,$A31))</f>
        <v/>
      </c>
      <c r="P31" s="28" t="str">
        <f aca="false">IF($A31="","",IF(COUNTIFS(PART_RISK!$E$5:$E$304,$A31,PART_RISK!$Q$5:$Q$304,"CRITICAL*")&gt;0,"CRITICAL",IF(COUNTIFS(PART_RISK!$E$5:$E$304,$A31,PART_RISK!$Q$5:$Q$304,"MONITOR")&gt;0,"MONITOR",IF(COUNTIFS(PART_RISK!$E$5:$E$304,$A31,PART_RISK!$Q$5:$Q$304,"LOW")&gt;0,"LOW","NOT SCORED"))))</f>
        <v/>
      </c>
      <c r="Q31" s="2" t="str">
        <f aca="false">IF($A31="","",COUNTIF($F31:$G31,"?*"))</f>
        <v/>
      </c>
      <c r="R31" s="2" t="str">
        <f aca="false">IF($A31="","",IF($H31="",0,IF(IFERROR(INDEX(LISTS!$E$2:$E$50,MATCH($H31,LISTS!$D$2:$D$50,0)),"")="External",0,1))+IF($I31="",0,IF(IFERROR(INDEX(LISTS!$E$2:$E$50,MATCH($I31,LISTS!$D$2:$D$50,0)),"")="External",0,1))+IF($J31="",0,IF(IFERROR(INDEX(LISTS!$E$2:$E$50,MATCH($J31,LISTS!$D$2:$D$50,0)),"")="External",0,1)))</f>
        <v/>
      </c>
      <c r="S31" s="2" t="str">
        <f aca="false">IF($A31="","",IF($H31="",0,IF(IFERROR(INDEX(LISTS!$E$2:$E$50,MATCH($H31,LISTS!$D$2:$D$50,0)),"")="External",1,0))+IF($I31="",0,IF(IFERROR(INDEX(LISTS!$E$2:$E$50,MATCH($I31,LISTS!$D$2:$D$50,0)),"")="External",1,0))+IF($J31="",0,IF(IFERROR(INDEX(LISTS!$E$2:$E$50,MATCH($J31,LISTS!$D$2:$D$50,0)),"")="External",1,0)))</f>
        <v/>
      </c>
    </row>
    <row r="32" customFormat="false" ht="15" hidden="false" customHeight="false" outlineLevel="0" collapsed="false">
      <c r="A32" s="20"/>
      <c r="B32" s="20"/>
      <c r="C32" s="20"/>
      <c r="D32" s="30"/>
      <c r="E32" s="30"/>
      <c r="F32" s="22"/>
      <c r="G32" s="22"/>
      <c r="H32" s="22"/>
      <c r="I32" s="22"/>
      <c r="J32" s="22"/>
      <c r="K32" s="31" t="str">
        <f aca="false">IF(OR($A32="",$D32=""),"",MIN(5,$D32+$R32))</f>
        <v/>
      </c>
      <c r="L32" s="31" t="str">
        <f aca="false">IF(OR($A32="",$E32=""),"",MIN(5,$E32+$S32))</f>
        <v/>
      </c>
      <c r="M32" s="22"/>
      <c r="N32" s="22"/>
      <c r="O32" s="25" t="str">
        <f aca="false">IF($A32="","",COUNTIF(PART_RISK!$E$5:$E$304,$A32))</f>
        <v/>
      </c>
      <c r="P32" s="28" t="str">
        <f aca="false">IF($A32="","",IF(COUNTIFS(PART_RISK!$E$5:$E$304,$A32,PART_RISK!$Q$5:$Q$304,"CRITICAL*")&gt;0,"CRITICAL",IF(COUNTIFS(PART_RISK!$E$5:$E$304,$A32,PART_RISK!$Q$5:$Q$304,"MONITOR")&gt;0,"MONITOR",IF(COUNTIFS(PART_RISK!$E$5:$E$304,$A32,PART_RISK!$Q$5:$Q$304,"LOW")&gt;0,"LOW","NOT SCORED"))))</f>
        <v/>
      </c>
      <c r="Q32" s="2" t="str">
        <f aca="false">IF($A32="","",COUNTIF($F32:$G32,"?*"))</f>
        <v/>
      </c>
      <c r="R32" s="2" t="str">
        <f aca="false">IF($A32="","",IF($H32="",0,IF(IFERROR(INDEX(LISTS!$E$2:$E$50,MATCH($H32,LISTS!$D$2:$D$50,0)),"")="External",0,1))+IF($I32="",0,IF(IFERROR(INDEX(LISTS!$E$2:$E$50,MATCH($I32,LISTS!$D$2:$D$50,0)),"")="External",0,1))+IF($J32="",0,IF(IFERROR(INDEX(LISTS!$E$2:$E$50,MATCH($J32,LISTS!$D$2:$D$50,0)),"")="External",0,1)))</f>
        <v/>
      </c>
      <c r="S32" s="2" t="str">
        <f aca="false">IF($A32="","",IF($H32="",0,IF(IFERROR(INDEX(LISTS!$E$2:$E$50,MATCH($H32,LISTS!$D$2:$D$50,0)),"")="External",1,0))+IF($I32="",0,IF(IFERROR(INDEX(LISTS!$E$2:$E$50,MATCH($I32,LISTS!$D$2:$D$50,0)),"")="External",1,0))+IF($J32="",0,IF(IFERROR(INDEX(LISTS!$E$2:$E$50,MATCH($J32,LISTS!$D$2:$D$50,0)),"")="External",1,0)))</f>
        <v/>
      </c>
    </row>
    <row r="33" customFormat="false" ht="15" hidden="false" customHeight="false" outlineLevel="0" collapsed="false">
      <c r="A33" s="20"/>
      <c r="B33" s="20"/>
      <c r="C33" s="20"/>
      <c r="D33" s="30"/>
      <c r="E33" s="30"/>
      <c r="F33" s="22"/>
      <c r="G33" s="22"/>
      <c r="H33" s="22"/>
      <c r="I33" s="22"/>
      <c r="J33" s="22"/>
      <c r="K33" s="31" t="str">
        <f aca="false">IF(OR($A33="",$D33=""),"",MIN(5,$D33+$R33))</f>
        <v/>
      </c>
      <c r="L33" s="31" t="str">
        <f aca="false">IF(OR($A33="",$E33=""),"",MIN(5,$E33+$S33))</f>
        <v/>
      </c>
      <c r="M33" s="22"/>
      <c r="N33" s="22"/>
      <c r="O33" s="25" t="str">
        <f aca="false">IF($A33="","",COUNTIF(PART_RISK!$E$5:$E$304,$A33))</f>
        <v/>
      </c>
      <c r="P33" s="28" t="str">
        <f aca="false">IF($A33="","",IF(COUNTIFS(PART_RISK!$E$5:$E$304,$A33,PART_RISK!$Q$5:$Q$304,"CRITICAL*")&gt;0,"CRITICAL",IF(COUNTIFS(PART_RISK!$E$5:$E$304,$A33,PART_RISK!$Q$5:$Q$304,"MONITOR")&gt;0,"MONITOR",IF(COUNTIFS(PART_RISK!$E$5:$E$304,$A33,PART_RISK!$Q$5:$Q$304,"LOW")&gt;0,"LOW","NOT SCORED"))))</f>
        <v/>
      </c>
      <c r="Q33" s="2" t="str">
        <f aca="false">IF($A33="","",COUNTIF($F33:$G33,"?*"))</f>
        <v/>
      </c>
      <c r="R33" s="2" t="str">
        <f aca="false">IF($A33="","",IF($H33="",0,IF(IFERROR(INDEX(LISTS!$E$2:$E$50,MATCH($H33,LISTS!$D$2:$D$50,0)),"")="External",0,1))+IF($I33="",0,IF(IFERROR(INDEX(LISTS!$E$2:$E$50,MATCH($I33,LISTS!$D$2:$D$50,0)),"")="External",0,1))+IF($J33="",0,IF(IFERROR(INDEX(LISTS!$E$2:$E$50,MATCH($J33,LISTS!$D$2:$D$50,0)),"")="External",0,1)))</f>
        <v/>
      </c>
      <c r="S33" s="2" t="str">
        <f aca="false">IF($A33="","",IF($H33="",0,IF(IFERROR(INDEX(LISTS!$E$2:$E$50,MATCH($H33,LISTS!$D$2:$D$50,0)),"")="External",1,0))+IF($I33="",0,IF(IFERROR(INDEX(LISTS!$E$2:$E$50,MATCH($I33,LISTS!$D$2:$D$50,0)),"")="External",1,0))+IF($J33="",0,IF(IFERROR(INDEX(LISTS!$E$2:$E$50,MATCH($J33,LISTS!$D$2:$D$50,0)),"")="External",1,0)))</f>
        <v/>
      </c>
    </row>
    <row r="34" customFormat="false" ht="15" hidden="false" customHeight="false" outlineLevel="0" collapsed="false">
      <c r="A34" s="20"/>
      <c r="B34" s="20"/>
      <c r="C34" s="20"/>
      <c r="D34" s="30"/>
      <c r="E34" s="30"/>
      <c r="F34" s="22"/>
      <c r="G34" s="22"/>
      <c r="H34" s="22"/>
      <c r="I34" s="22"/>
      <c r="J34" s="22"/>
      <c r="K34" s="31" t="str">
        <f aca="false">IF(OR($A34="",$D34=""),"",MIN(5,$D34+$R34))</f>
        <v/>
      </c>
      <c r="L34" s="31" t="str">
        <f aca="false">IF(OR($A34="",$E34=""),"",MIN(5,$E34+$S34))</f>
        <v/>
      </c>
      <c r="M34" s="22"/>
      <c r="N34" s="22"/>
      <c r="O34" s="25" t="str">
        <f aca="false">IF($A34="","",COUNTIF(PART_RISK!$E$5:$E$304,$A34))</f>
        <v/>
      </c>
      <c r="P34" s="28" t="str">
        <f aca="false">IF($A34="","",IF(COUNTIFS(PART_RISK!$E$5:$E$304,$A34,PART_RISK!$Q$5:$Q$304,"CRITICAL*")&gt;0,"CRITICAL",IF(COUNTIFS(PART_RISK!$E$5:$E$304,$A34,PART_RISK!$Q$5:$Q$304,"MONITOR")&gt;0,"MONITOR",IF(COUNTIFS(PART_RISK!$E$5:$E$304,$A34,PART_RISK!$Q$5:$Q$304,"LOW")&gt;0,"LOW","NOT SCORED"))))</f>
        <v/>
      </c>
      <c r="Q34" s="2" t="str">
        <f aca="false">IF($A34="","",COUNTIF($F34:$G34,"?*"))</f>
        <v/>
      </c>
      <c r="R34" s="2" t="str">
        <f aca="false">IF($A34="","",IF($H34="",0,IF(IFERROR(INDEX(LISTS!$E$2:$E$50,MATCH($H34,LISTS!$D$2:$D$50,0)),"")="External",0,1))+IF($I34="",0,IF(IFERROR(INDEX(LISTS!$E$2:$E$50,MATCH($I34,LISTS!$D$2:$D$50,0)),"")="External",0,1))+IF($J34="",0,IF(IFERROR(INDEX(LISTS!$E$2:$E$50,MATCH($J34,LISTS!$D$2:$D$50,0)),"")="External",0,1)))</f>
        <v/>
      </c>
      <c r="S34" s="2" t="str">
        <f aca="false">IF($A34="","",IF($H34="",0,IF(IFERROR(INDEX(LISTS!$E$2:$E$50,MATCH($H34,LISTS!$D$2:$D$50,0)),"")="External",1,0))+IF($I34="",0,IF(IFERROR(INDEX(LISTS!$E$2:$E$50,MATCH($I34,LISTS!$D$2:$D$50,0)),"")="External",1,0))+IF($J34="",0,IF(IFERROR(INDEX(LISTS!$E$2:$E$50,MATCH($J34,LISTS!$D$2:$D$50,0)),"")="External",1,0)))</f>
        <v/>
      </c>
    </row>
    <row r="35" customFormat="false" ht="15" hidden="false" customHeight="false" outlineLevel="0" collapsed="false">
      <c r="A35" s="20"/>
      <c r="B35" s="20"/>
      <c r="C35" s="20"/>
      <c r="D35" s="30"/>
      <c r="E35" s="30"/>
      <c r="F35" s="22"/>
      <c r="G35" s="22"/>
      <c r="H35" s="22"/>
      <c r="I35" s="22"/>
      <c r="J35" s="22"/>
      <c r="K35" s="31" t="str">
        <f aca="false">IF(OR($A35="",$D35=""),"",MIN(5,$D35+$R35))</f>
        <v/>
      </c>
      <c r="L35" s="31" t="str">
        <f aca="false">IF(OR($A35="",$E35=""),"",MIN(5,$E35+$S35))</f>
        <v/>
      </c>
      <c r="M35" s="22"/>
      <c r="N35" s="22"/>
      <c r="O35" s="25" t="str">
        <f aca="false">IF($A35="","",COUNTIF(PART_RISK!$E$5:$E$304,$A35))</f>
        <v/>
      </c>
      <c r="P35" s="28" t="str">
        <f aca="false">IF($A35="","",IF(COUNTIFS(PART_RISK!$E$5:$E$304,$A35,PART_RISK!$Q$5:$Q$304,"CRITICAL*")&gt;0,"CRITICAL",IF(COUNTIFS(PART_RISK!$E$5:$E$304,$A35,PART_RISK!$Q$5:$Q$304,"MONITOR")&gt;0,"MONITOR",IF(COUNTIFS(PART_RISK!$E$5:$E$304,$A35,PART_RISK!$Q$5:$Q$304,"LOW")&gt;0,"LOW","NOT SCORED"))))</f>
        <v/>
      </c>
      <c r="Q35" s="2" t="str">
        <f aca="false">IF($A35="","",COUNTIF($F35:$G35,"?*"))</f>
        <v/>
      </c>
      <c r="R35" s="2" t="str">
        <f aca="false">IF($A35="","",IF($H35="",0,IF(IFERROR(INDEX(LISTS!$E$2:$E$50,MATCH($H35,LISTS!$D$2:$D$50,0)),"")="External",0,1))+IF($I35="",0,IF(IFERROR(INDEX(LISTS!$E$2:$E$50,MATCH($I35,LISTS!$D$2:$D$50,0)),"")="External",0,1))+IF($J35="",0,IF(IFERROR(INDEX(LISTS!$E$2:$E$50,MATCH($J35,LISTS!$D$2:$D$50,0)),"")="External",0,1)))</f>
        <v/>
      </c>
      <c r="S35" s="2" t="str">
        <f aca="false">IF($A35="","",IF($H35="",0,IF(IFERROR(INDEX(LISTS!$E$2:$E$50,MATCH($H35,LISTS!$D$2:$D$50,0)),"")="External",1,0))+IF($I35="",0,IF(IFERROR(INDEX(LISTS!$E$2:$E$50,MATCH($I35,LISTS!$D$2:$D$50,0)),"")="External",1,0))+IF($J35="",0,IF(IFERROR(INDEX(LISTS!$E$2:$E$50,MATCH($J35,LISTS!$D$2:$D$50,0)),"")="External",1,0)))</f>
        <v/>
      </c>
    </row>
    <row r="36" customFormat="false" ht="15" hidden="false" customHeight="false" outlineLevel="0" collapsed="false">
      <c r="A36" s="20"/>
      <c r="B36" s="20"/>
      <c r="C36" s="20"/>
      <c r="D36" s="30"/>
      <c r="E36" s="30"/>
      <c r="F36" s="22"/>
      <c r="G36" s="22"/>
      <c r="H36" s="22"/>
      <c r="I36" s="22"/>
      <c r="J36" s="22"/>
      <c r="K36" s="31" t="str">
        <f aca="false">IF(OR($A36="",$D36=""),"",MIN(5,$D36+$R36))</f>
        <v/>
      </c>
      <c r="L36" s="31" t="str">
        <f aca="false">IF(OR($A36="",$E36=""),"",MIN(5,$E36+$S36))</f>
        <v/>
      </c>
      <c r="M36" s="22"/>
      <c r="N36" s="22"/>
      <c r="O36" s="25" t="str">
        <f aca="false">IF($A36="","",COUNTIF(PART_RISK!$E$5:$E$304,$A36))</f>
        <v/>
      </c>
      <c r="P36" s="28" t="str">
        <f aca="false">IF($A36="","",IF(COUNTIFS(PART_RISK!$E$5:$E$304,$A36,PART_RISK!$Q$5:$Q$304,"CRITICAL*")&gt;0,"CRITICAL",IF(COUNTIFS(PART_RISK!$E$5:$E$304,$A36,PART_RISK!$Q$5:$Q$304,"MONITOR")&gt;0,"MONITOR",IF(COUNTIFS(PART_RISK!$E$5:$E$304,$A36,PART_RISK!$Q$5:$Q$304,"LOW")&gt;0,"LOW","NOT SCORED"))))</f>
        <v/>
      </c>
      <c r="Q36" s="2" t="str">
        <f aca="false">IF($A36="","",COUNTIF($F36:$G36,"?*"))</f>
        <v/>
      </c>
      <c r="R36" s="2" t="str">
        <f aca="false">IF($A36="","",IF($H36="",0,IF(IFERROR(INDEX(LISTS!$E$2:$E$50,MATCH($H36,LISTS!$D$2:$D$50,0)),"")="External",0,1))+IF($I36="",0,IF(IFERROR(INDEX(LISTS!$E$2:$E$50,MATCH($I36,LISTS!$D$2:$D$50,0)),"")="External",0,1))+IF($J36="",0,IF(IFERROR(INDEX(LISTS!$E$2:$E$50,MATCH($J36,LISTS!$D$2:$D$50,0)),"")="External",0,1)))</f>
        <v/>
      </c>
      <c r="S36" s="2" t="str">
        <f aca="false">IF($A36="","",IF($H36="",0,IF(IFERROR(INDEX(LISTS!$E$2:$E$50,MATCH($H36,LISTS!$D$2:$D$50,0)),"")="External",1,0))+IF($I36="",0,IF(IFERROR(INDEX(LISTS!$E$2:$E$50,MATCH($I36,LISTS!$D$2:$D$50,0)),"")="External",1,0))+IF($J36="",0,IF(IFERROR(INDEX(LISTS!$E$2:$E$50,MATCH($J36,LISTS!$D$2:$D$50,0)),"")="External",1,0)))</f>
        <v/>
      </c>
    </row>
    <row r="37" customFormat="false" ht="15" hidden="false" customHeight="false" outlineLevel="0" collapsed="false">
      <c r="A37" s="20"/>
      <c r="B37" s="20"/>
      <c r="C37" s="20"/>
      <c r="D37" s="30"/>
      <c r="E37" s="30"/>
      <c r="F37" s="22"/>
      <c r="G37" s="22"/>
      <c r="H37" s="22"/>
      <c r="I37" s="22"/>
      <c r="J37" s="22"/>
      <c r="K37" s="31" t="str">
        <f aca="false">IF(OR($A37="",$D37=""),"",MIN(5,$D37+$R37))</f>
        <v/>
      </c>
      <c r="L37" s="31" t="str">
        <f aca="false">IF(OR($A37="",$E37=""),"",MIN(5,$E37+$S37))</f>
        <v/>
      </c>
      <c r="M37" s="22"/>
      <c r="N37" s="22"/>
      <c r="O37" s="25" t="str">
        <f aca="false">IF($A37="","",COUNTIF(PART_RISK!$E$5:$E$304,$A37))</f>
        <v/>
      </c>
      <c r="P37" s="28" t="str">
        <f aca="false">IF($A37="","",IF(COUNTIFS(PART_RISK!$E$5:$E$304,$A37,PART_RISK!$Q$5:$Q$304,"CRITICAL*")&gt;0,"CRITICAL",IF(COUNTIFS(PART_RISK!$E$5:$E$304,$A37,PART_RISK!$Q$5:$Q$304,"MONITOR")&gt;0,"MONITOR",IF(COUNTIFS(PART_RISK!$E$5:$E$304,$A37,PART_RISK!$Q$5:$Q$304,"LOW")&gt;0,"LOW","NOT SCORED"))))</f>
        <v/>
      </c>
      <c r="Q37" s="2" t="str">
        <f aca="false">IF($A37="","",COUNTIF($F37:$G37,"?*"))</f>
        <v/>
      </c>
      <c r="R37" s="2" t="str">
        <f aca="false">IF($A37="","",IF($H37="",0,IF(IFERROR(INDEX(LISTS!$E$2:$E$50,MATCH($H37,LISTS!$D$2:$D$50,0)),"")="External",0,1))+IF($I37="",0,IF(IFERROR(INDEX(LISTS!$E$2:$E$50,MATCH($I37,LISTS!$D$2:$D$50,0)),"")="External",0,1))+IF($J37="",0,IF(IFERROR(INDEX(LISTS!$E$2:$E$50,MATCH($J37,LISTS!$D$2:$D$50,0)),"")="External",0,1)))</f>
        <v/>
      </c>
      <c r="S37" s="2" t="str">
        <f aca="false">IF($A37="","",IF($H37="",0,IF(IFERROR(INDEX(LISTS!$E$2:$E$50,MATCH($H37,LISTS!$D$2:$D$50,0)),"")="External",1,0))+IF($I37="",0,IF(IFERROR(INDEX(LISTS!$E$2:$E$50,MATCH($I37,LISTS!$D$2:$D$50,0)),"")="External",1,0))+IF($J37="",0,IF(IFERROR(INDEX(LISTS!$E$2:$E$50,MATCH($J37,LISTS!$D$2:$D$50,0)),"")="External",1,0)))</f>
        <v/>
      </c>
    </row>
    <row r="38" customFormat="false" ht="15" hidden="false" customHeight="false" outlineLevel="0" collapsed="false">
      <c r="A38" s="20"/>
      <c r="B38" s="20"/>
      <c r="C38" s="20"/>
      <c r="D38" s="30"/>
      <c r="E38" s="30"/>
      <c r="F38" s="22"/>
      <c r="G38" s="22"/>
      <c r="H38" s="22"/>
      <c r="I38" s="22"/>
      <c r="J38" s="22"/>
      <c r="K38" s="31" t="str">
        <f aca="false">IF(OR($A38="",$D38=""),"",MIN(5,$D38+$R38))</f>
        <v/>
      </c>
      <c r="L38" s="31" t="str">
        <f aca="false">IF(OR($A38="",$E38=""),"",MIN(5,$E38+$S38))</f>
        <v/>
      </c>
      <c r="M38" s="22"/>
      <c r="N38" s="22"/>
      <c r="O38" s="25" t="str">
        <f aca="false">IF($A38="","",COUNTIF(PART_RISK!$E$5:$E$304,$A38))</f>
        <v/>
      </c>
      <c r="P38" s="28" t="str">
        <f aca="false">IF($A38="","",IF(COUNTIFS(PART_RISK!$E$5:$E$304,$A38,PART_RISK!$Q$5:$Q$304,"CRITICAL*")&gt;0,"CRITICAL",IF(COUNTIFS(PART_RISK!$E$5:$E$304,$A38,PART_RISK!$Q$5:$Q$304,"MONITOR")&gt;0,"MONITOR",IF(COUNTIFS(PART_RISK!$E$5:$E$304,$A38,PART_RISK!$Q$5:$Q$304,"LOW")&gt;0,"LOW","NOT SCORED"))))</f>
        <v/>
      </c>
      <c r="Q38" s="2" t="str">
        <f aca="false">IF($A38="","",COUNTIF($F38:$G38,"?*"))</f>
        <v/>
      </c>
      <c r="R38" s="2" t="str">
        <f aca="false">IF($A38="","",IF($H38="",0,IF(IFERROR(INDEX(LISTS!$E$2:$E$50,MATCH($H38,LISTS!$D$2:$D$50,0)),"")="External",0,1))+IF($I38="",0,IF(IFERROR(INDEX(LISTS!$E$2:$E$50,MATCH($I38,LISTS!$D$2:$D$50,0)),"")="External",0,1))+IF($J38="",0,IF(IFERROR(INDEX(LISTS!$E$2:$E$50,MATCH($J38,LISTS!$D$2:$D$50,0)),"")="External",0,1)))</f>
        <v/>
      </c>
      <c r="S38" s="2" t="str">
        <f aca="false">IF($A38="","",IF($H38="",0,IF(IFERROR(INDEX(LISTS!$E$2:$E$50,MATCH($H38,LISTS!$D$2:$D$50,0)),"")="External",1,0))+IF($I38="",0,IF(IFERROR(INDEX(LISTS!$E$2:$E$50,MATCH($I38,LISTS!$D$2:$D$50,0)),"")="External",1,0))+IF($J38="",0,IF(IFERROR(INDEX(LISTS!$E$2:$E$50,MATCH($J38,LISTS!$D$2:$D$50,0)),"")="External",1,0)))</f>
        <v/>
      </c>
    </row>
    <row r="39" customFormat="false" ht="15" hidden="false" customHeight="false" outlineLevel="0" collapsed="false">
      <c r="A39" s="20"/>
      <c r="B39" s="20"/>
      <c r="C39" s="20"/>
      <c r="D39" s="30"/>
      <c r="E39" s="30"/>
      <c r="F39" s="22"/>
      <c r="G39" s="22"/>
      <c r="H39" s="22"/>
      <c r="I39" s="22"/>
      <c r="J39" s="22"/>
      <c r="K39" s="31" t="str">
        <f aca="false">IF(OR($A39="",$D39=""),"",MIN(5,$D39+$R39))</f>
        <v/>
      </c>
      <c r="L39" s="31" t="str">
        <f aca="false">IF(OR($A39="",$E39=""),"",MIN(5,$E39+$S39))</f>
        <v/>
      </c>
      <c r="M39" s="22"/>
      <c r="N39" s="22"/>
      <c r="O39" s="25" t="str">
        <f aca="false">IF($A39="","",COUNTIF(PART_RISK!$E$5:$E$304,$A39))</f>
        <v/>
      </c>
      <c r="P39" s="28" t="str">
        <f aca="false">IF($A39="","",IF(COUNTIFS(PART_RISK!$E$5:$E$304,$A39,PART_RISK!$Q$5:$Q$304,"CRITICAL*")&gt;0,"CRITICAL",IF(COUNTIFS(PART_RISK!$E$5:$E$304,$A39,PART_RISK!$Q$5:$Q$304,"MONITOR")&gt;0,"MONITOR",IF(COUNTIFS(PART_RISK!$E$5:$E$304,$A39,PART_RISK!$Q$5:$Q$304,"LOW")&gt;0,"LOW","NOT SCORED"))))</f>
        <v/>
      </c>
      <c r="Q39" s="2" t="str">
        <f aca="false">IF($A39="","",COUNTIF($F39:$G39,"?*"))</f>
        <v/>
      </c>
      <c r="R39" s="2" t="str">
        <f aca="false">IF($A39="","",IF($H39="",0,IF(IFERROR(INDEX(LISTS!$E$2:$E$50,MATCH($H39,LISTS!$D$2:$D$50,0)),"")="External",0,1))+IF($I39="",0,IF(IFERROR(INDEX(LISTS!$E$2:$E$50,MATCH($I39,LISTS!$D$2:$D$50,0)),"")="External",0,1))+IF($J39="",0,IF(IFERROR(INDEX(LISTS!$E$2:$E$50,MATCH($J39,LISTS!$D$2:$D$50,0)),"")="External",0,1)))</f>
        <v/>
      </c>
      <c r="S39" s="2" t="str">
        <f aca="false">IF($A39="","",IF($H39="",0,IF(IFERROR(INDEX(LISTS!$E$2:$E$50,MATCH($H39,LISTS!$D$2:$D$50,0)),"")="External",1,0))+IF($I39="",0,IF(IFERROR(INDEX(LISTS!$E$2:$E$50,MATCH($I39,LISTS!$D$2:$D$50,0)),"")="External",1,0))+IF($J39="",0,IF(IFERROR(INDEX(LISTS!$E$2:$E$50,MATCH($J39,LISTS!$D$2:$D$50,0)),"")="External",1,0)))</f>
        <v/>
      </c>
    </row>
    <row r="40" customFormat="false" ht="15" hidden="false" customHeight="false" outlineLevel="0" collapsed="false">
      <c r="A40" s="20"/>
      <c r="B40" s="20"/>
      <c r="C40" s="20"/>
      <c r="D40" s="30"/>
      <c r="E40" s="30"/>
      <c r="F40" s="22"/>
      <c r="G40" s="22"/>
      <c r="H40" s="22"/>
      <c r="I40" s="22"/>
      <c r="J40" s="22"/>
      <c r="K40" s="31" t="str">
        <f aca="false">IF(OR($A40="",$D40=""),"",MIN(5,$D40+$R40))</f>
        <v/>
      </c>
      <c r="L40" s="31" t="str">
        <f aca="false">IF(OR($A40="",$E40=""),"",MIN(5,$E40+$S40))</f>
        <v/>
      </c>
      <c r="M40" s="22"/>
      <c r="N40" s="22"/>
      <c r="O40" s="25" t="str">
        <f aca="false">IF($A40="","",COUNTIF(PART_RISK!$E$5:$E$304,$A40))</f>
        <v/>
      </c>
      <c r="P40" s="28" t="str">
        <f aca="false">IF($A40="","",IF(COUNTIFS(PART_RISK!$E$5:$E$304,$A40,PART_RISK!$Q$5:$Q$304,"CRITICAL*")&gt;0,"CRITICAL",IF(COUNTIFS(PART_RISK!$E$5:$E$304,$A40,PART_RISK!$Q$5:$Q$304,"MONITOR")&gt;0,"MONITOR",IF(COUNTIFS(PART_RISK!$E$5:$E$304,$A40,PART_RISK!$Q$5:$Q$304,"LOW")&gt;0,"LOW","NOT SCORED"))))</f>
        <v/>
      </c>
      <c r="Q40" s="2" t="str">
        <f aca="false">IF($A40="","",COUNTIF($F40:$G40,"?*"))</f>
        <v/>
      </c>
      <c r="R40" s="2" t="str">
        <f aca="false">IF($A40="","",IF($H40="",0,IF(IFERROR(INDEX(LISTS!$E$2:$E$50,MATCH($H40,LISTS!$D$2:$D$50,0)),"")="External",0,1))+IF($I40="",0,IF(IFERROR(INDEX(LISTS!$E$2:$E$50,MATCH($I40,LISTS!$D$2:$D$50,0)),"")="External",0,1))+IF($J40="",0,IF(IFERROR(INDEX(LISTS!$E$2:$E$50,MATCH($J40,LISTS!$D$2:$D$50,0)),"")="External",0,1)))</f>
        <v/>
      </c>
      <c r="S40" s="2" t="str">
        <f aca="false">IF($A40="","",IF($H40="",0,IF(IFERROR(INDEX(LISTS!$E$2:$E$50,MATCH($H40,LISTS!$D$2:$D$50,0)),"")="External",1,0))+IF($I40="",0,IF(IFERROR(INDEX(LISTS!$E$2:$E$50,MATCH($I40,LISTS!$D$2:$D$50,0)),"")="External",1,0))+IF($J40="",0,IF(IFERROR(INDEX(LISTS!$E$2:$E$50,MATCH($J40,LISTS!$D$2:$D$50,0)),"")="External",1,0)))</f>
        <v/>
      </c>
    </row>
    <row r="41" customFormat="false" ht="15" hidden="false" customHeight="false" outlineLevel="0" collapsed="false">
      <c r="A41" s="20"/>
      <c r="B41" s="20"/>
      <c r="C41" s="20"/>
      <c r="D41" s="30"/>
      <c r="E41" s="30"/>
      <c r="F41" s="22"/>
      <c r="G41" s="22"/>
      <c r="H41" s="22"/>
      <c r="I41" s="22"/>
      <c r="J41" s="22"/>
      <c r="K41" s="31" t="str">
        <f aca="false">IF(OR($A41="",$D41=""),"",MIN(5,$D41+$R41))</f>
        <v/>
      </c>
      <c r="L41" s="31" t="str">
        <f aca="false">IF(OR($A41="",$E41=""),"",MIN(5,$E41+$S41))</f>
        <v/>
      </c>
      <c r="M41" s="22"/>
      <c r="N41" s="22"/>
      <c r="O41" s="25" t="str">
        <f aca="false">IF($A41="","",COUNTIF(PART_RISK!$E$5:$E$304,$A41))</f>
        <v/>
      </c>
      <c r="P41" s="28" t="str">
        <f aca="false">IF($A41="","",IF(COUNTIFS(PART_RISK!$E$5:$E$304,$A41,PART_RISK!$Q$5:$Q$304,"CRITICAL*")&gt;0,"CRITICAL",IF(COUNTIFS(PART_RISK!$E$5:$E$304,$A41,PART_RISK!$Q$5:$Q$304,"MONITOR")&gt;0,"MONITOR",IF(COUNTIFS(PART_RISK!$E$5:$E$304,$A41,PART_RISK!$Q$5:$Q$304,"LOW")&gt;0,"LOW","NOT SCORED"))))</f>
        <v/>
      </c>
      <c r="Q41" s="2" t="str">
        <f aca="false">IF($A41="","",COUNTIF($F41:$G41,"?*"))</f>
        <v/>
      </c>
      <c r="R41" s="2" t="str">
        <f aca="false">IF($A41="","",IF($H41="",0,IF(IFERROR(INDEX(LISTS!$E$2:$E$50,MATCH($H41,LISTS!$D$2:$D$50,0)),"")="External",0,1))+IF($I41="",0,IF(IFERROR(INDEX(LISTS!$E$2:$E$50,MATCH($I41,LISTS!$D$2:$D$50,0)),"")="External",0,1))+IF($J41="",0,IF(IFERROR(INDEX(LISTS!$E$2:$E$50,MATCH($J41,LISTS!$D$2:$D$50,0)),"")="External",0,1)))</f>
        <v/>
      </c>
      <c r="S41" s="2" t="str">
        <f aca="false">IF($A41="","",IF($H41="",0,IF(IFERROR(INDEX(LISTS!$E$2:$E$50,MATCH($H41,LISTS!$D$2:$D$50,0)),"")="External",1,0))+IF($I41="",0,IF(IFERROR(INDEX(LISTS!$E$2:$E$50,MATCH($I41,LISTS!$D$2:$D$50,0)),"")="External",1,0))+IF($J41="",0,IF(IFERROR(INDEX(LISTS!$E$2:$E$50,MATCH($J41,LISTS!$D$2:$D$50,0)),"")="External",1,0)))</f>
        <v/>
      </c>
    </row>
    <row r="42" customFormat="false" ht="15" hidden="false" customHeight="false" outlineLevel="0" collapsed="false">
      <c r="A42" s="20"/>
      <c r="B42" s="20"/>
      <c r="C42" s="20"/>
      <c r="D42" s="30"/>
      <c r="E42" s="30"/>
      <c r="F42" s="22"/>
      <c r="G42" s="22"/>
      <c r="H42" s="22"/>
      <c r="I42" s="22"/>
      <c r="J42" s="22"/>
      <c r="K42" s="31" t="str">
        <f aca="false">IF(OR($A42="",$D42=""),"",MIN(5,$D42+$R42))</f>
        <v/>
      </c>
      <c r="L42" s="31" t="str">
        <f aca="false">IF(OR($A42="",$E42=""),"",MIN(5,$E42+$S42))</f>
        <v/>
      </c>
      <c r="M42" s="22"/>
      <c r="N42" s="22"/>
      <c r="O42" s="25" t="str">
        <f aca="false">IF($A42="","",COUNTIF(PART_RISK!$E$5:$E$304,$A42))</f>
        <v/>
      </c>
      <c r="P42" s="28" t="str">
        <f aca="false">IF($A42="","",IF(COUNTIFS(PART_RISK!$E$5:$E$304,$A42,PART_RISK!$Q$5:$Q$304,"CRITICAL*")&gt;0,"CRITICAL",IF(COUNTIFS(PART_RISK!$E$5:$E$304,$A42,PART_RISK!$Q$5:$Q$304,"MONITOR")&gt;0,"MONITOR",IF(COUNTIFS(PART_RISK!$E$5:$E$304,$A42,PART_RISK!$Q$5:$Q$304,"LOW")&gt;0,"LOW","NOT SCORED"))))</f>
        <v/>
      </c>
      <c r="Q42" s="2" t="str">
        <f aca="false">IF($A42="","",COUNTIF($F42:$G42,"?*"))</f>
        <v/>
      </c>
      <c r="R42" s="2" t="str">
        <f aca="false">IF($A42="","",IF($H42="",0,IF(IFERROR(INDEX(LISTS!$E$2:$E$50,MATCH($H42,LISTS!$D$2:$D$50,0)),"")="External",0,1))+IF($I42="",0,IF(IFERROR(INDEX(LISTS!$E$2:$E$50,MATCH($I42,LISTS!$D$2:$D$50,0)),"")="External",0,1))+IF($J42="",0,IF(IFERROR(INDEX(LISTS!$E$2:$E$50,MATCH($J42,LISTS!$D$2:$D$50,0)),"")="External",0,1)))</f>
        <v/>
      </c>
      <c r="S42" s="2" t="str">
        <f aca="false">IF($A42="","",IF($H42="",0,IF(IFERROR(INDEX(LISTS!$E$2:$E$50,MATCH($H42,LISTS!$D$2:$D$50,0)),"")="External",1,0))+IF($I42="",0,IF(IFERROR(INDEX(LISTS!$E$2:$E$50,MATCH($I42,LISTS!$D$2:$D$50,0)),"")="External",1,0))+IF($J42="",0,IF(IFERROR(INDEX(LISTS!$E$2:$E$50,MATCH($J42,LISTS!$D$2:$D$50,0)),"")="External",1,0)))</f>
        <v/>
      </c>
    </row>
    <row r="43" customFormat="false" ht="15" hidden="false" customHeight="false" outlineLevel="0" collapsed="false">
      <c r="A43" s="20"/>
      <c r="B43" s="20"/>
      <c r="C43" s="20"/>
      <c r="D43" s="30"/>
      <c r="E43" s="30"/>
      <c r="F43" s="22"/>
      <c r="G43" s="22"/>
      <c r="H43" s="22"/>
      <c r="I43" s="22"/>
      <c r="J43" s="22"/>
      <c r="K43" s="31" t="str">
        <f aca="false">IF(OR($A43="",$D43=""),"",MIN(5,$D43+$R43))</f>
        <v/>
      </c>
      <c r="L43" s="31" t="str">
        <f aca="false">IF(OR($A43="",$E43=""),"",MIN(5,$E43+$S43))</f>
        <v/>
      </c>
      <c r="M43" s="22"/>
      <c r="N43" s="22"/>
      <c r="O43" s="25" t="str">
        <f aca="false">IF($A43="","",COUNTIF(PART_RISK!$E$5:$E$304,$A43))</f>
        <v/>
      </c>
      <c r="P43" s="28" t="str">
        <f aca="false">IF($A43="","",IF(COUNTIFS(PART_RISK!$E$5:$E$304,$A43,PART_RISK!$Q$5:$Q$304,"CRITICAL*")&gt;0,"CRITICAL",IF(COUNTIFS(PART_RISK!$E$5:$E$304,$A43,PART_RISK!$Q$5:$Q$304,"MONITOR")&gt;0,"MONITOR",IF(COUNTIFS(PART_RISK!$E$5:$E$304,$A43,PART_RISK!$Q$5:$Q$304,"LOW")&gt;0,"LOW","NOT SCORED"))))</f>
        <v/>
      </c>
      <c r="Q43" s="2" t="str">
        <f aca="false">IF($A43="","",COUNTIF($F43:$G43,"?*"))</f>
        <v/>
      </c>
      <c r="R43" s="2" t="str">
        <f aca="false">IF($A43="","",IF($H43="",0,IF(IFERROR(INDEX(LISTS!$E$2:$E$50,MATCH($H43,LISTS!$D$2:$D$50,0)),"")="External",0,1))+IF($I43="",0,IF(IFERROR(INDEX(LISTS!$E$2:$E$50,MATCH($I43,LISTS!$D$2:$D$50,0)),"")="External",0,1))+IF($J43="",0,IF(IFERROR(INDEX(LISTS!$E$2:$E$50,MATCH($J43,LISTS!$D$2:$D$50,0)),"")="External",0,1)))</f>
        <v/>
      </c>
      <c r="S43" s="2" t="str">
        <f aca="false">IF($A43="","",IF($H43="",0,IF(IFERROR(INDEX(LISTS!$E$2:$E$50,MATCH($H43,LISTS!$D$2:$D$50,0)),"")="External",1,0))+IF($I43="",0,IF(IFERROR(INDEX(LISTS!$E$2:$E$50,MATCH($I43,LISTS!$D$2:$D$50,0)),"")="External",1,0))+IF($J43="",0,IF(IFERROR(INDEX(LISTS!$E$2:$E$50,MATCH($J43,LISTS!$D$2:$D$50,0)),"")="External",1,0)))</f>
        <v/>
      </c>
    </row>
    <row r="44" customFormat="false" ht="15" hidden="false" customHeight="false" outlineLevel="0" collapsed="false">
      <c r="A44" s="20"/>
      <c r="B44" s="20"/>
      <c r="C44" s="20"/>
      <c r="D44" s="30"/>
      <c r="E44" s="30"/>
      <c r="F44" s="22"/>
      <c r="G44" s="22"/>
      <c r="H44" s="22"/>
      <c r="I44" s="22"/>
      <c r="J44" s="22"/>
      <c r="K44" s="31" t="str">
        <f aca="false">IF(OR($A44="",$D44=""),"",MIN(5,$D44+$R44))</f>
        <v/>
      </c>
      <c r="L44" s="31" t="str">
        <f aca="false">IF(OR($A44="",$E44=""),"",MIN(5,$E44+$S44))</f>
        <v/>
      </c>
      <c r="M44" s="22"/>
      <c r="N44" s="22"/>
      <c r="O44" s="25" t="str">
        <f aca="false">IF($A44="","",COUNTIF(PART_RISK!$E$5:$E$304,$A44))</f>
        <v/>
      </c>
      <c r="P44" s="28" t="str">
        <f aca="false">IF($A44="","",IF(COUNTIFS(PART_RISK!$E$5:$E$304,$A44,PART_RISK!$Q$5:$Q$304,"CRITICAL*")&gt;0,"CRITICAL",IF(COUNTIFS(PART_RISK!$E$5:$E$304,$A44,PART_RISK!$Q$5:$Q$304,"MONITOR")&gt;0,"MONITOR",IF(COUNTIFS(PART_RISK!$E$5:$E$304,$A44,PART_RISK!$Q$5:$Q$304,"LOW")&gt;0,"LOW","NOT SCORED"))))</f>
        <v/>
      </c>
      <c r="Q44" s="2" t="str">
        <f aca="false">IF($A44="","",COUNTIF($F44:$G44,"?*"))</f>
        <v/>
      </c>
      <c r="R44" s="2" t="str">
        <f aca="false">IF($A44="","",IF($H44="",0,IF(IFERROR(INDEX(LISTS!$E$2:$E$50,MATCH($H44,LISTS!$D$2:$D$50,0)),"")="External",0,1))+IF($I44="",0,IF(IFERROR(INDEX(LISTS!$E$2:$E$50,MATCH($I44,LISTS!$D$2:$D$50,0)),"")="External",0,1))+IF($J44="",0,IF(IFERROR(INDEX(LISTS!$E$2:$E$50,MATCH($J44,LISTS!$D$2:$D$50,0)),"")="External",0,1)))</f>
        <v/>
      </c>
      <c r="S44" s="2" t="str">
        <f aca="false">IF($A44="","",IF($H44="",0,IF(IFERROR(INDEX(LISTS!$E$2:$E$50,MATCH($H44,LISTS!$D$2:$D$50,0)),"")="External",1,0))+IF($I44="",0,IF(IFERROR(INDEX(LISTS!$E$2:$E$50,MATCH($I44,LISTS!$D$2:$D$50,0)),"")="External",1,0))+IF($J44="",0,IF(IFERROR(INDEX(LISTS!$E$2:$E$50,MATCH($J44,LISTS!$D$2:$D$50,0)),"")="External",1,0)))</f>
        <v/>
      </c>
    </row>
    <row r="45" customFormat="false" ht="15" hidden="false" customHeight="false" outlineLevel="0" collapsed="false">
      <c r="A45" s="20"/>
      <c r="B45" s="20"/>
      <c r="C45" s="20"/>
      <c r="D45" s="30"/>
      <c r="E45" s="30"/>
      <c r="F45" s="22"/>
      <c r="G45" s="22"/>
      <c r="H45" s="22"/>
      <c r="I45" s="22"/>
      <c r="J45" s="22"/>
      <c r="K45" s="31" t="str">
        <f aca="false">IF(OR($A45="",$D45=""),"",MIN(5,$D45+$R45))</f>
        <v/>
      </c>
      <c r="L45" s="31" t="str">
        <f aca="false">IF(OR($A45="",$E45=""),"",MIN(5,$E45+$S45))</f>
        <v/>
      </c>
      <c r="M45" s="22"/>
      <c r="N45" s="22"/>
      <c r="O45" s="25" t="str">
        <f aca="false">IF($A45="","",COUNTIF(PART_RISK!$E$5:$E$304,$A45))</f>
        <v/>
      </c>
      <c r="P45" s="28" t="str">
        <f aca="false">IF($A45="","",IF(COUNTIFS(PART_RISK!$E$5:$E$304,$A45,PART_RISK!$Q$5:$Q$304,"CRITICAL*")&gt;0,"CRITICAL",IF(COUNTIFS(PART_RISK!$E$5:$E$304,$A45,PART_RISK!$Q$5:$Q$304,"MONITOR")&gt;0,"MONITOR",IF(COUNTIFS(PART_RISK!$E$5:$E$304,$A45,PART_RISK!$Q$5:$Q$304,"LOW")&gt;0,"LOW","NOT SCORED"))))</f>
        <v/>
      </c>
      <c r="Q45" s="2" t="str">
        <f aca="false">IF($A45="","",COUNTIF($F45:$G45,"?*"))</f>
        <v/>
      </c>
      <c r="R45" s="2" t="str">
        <f aca="false">IF($A45="","",IF($H45="",0,IF(IFERROR(INDEX(LISTS!$E$2:$E$50,MATCH($H45,LISTS!$D$2:$D$50,0)),"")="External",0,1))+IF($I45="",0,IF(IFERROR(INDEX(LISTS!$E$2:$E$50,MATCH($I45,LISTS!$D$2:$D$50,0)),"")="External",0,1))+IF($J45="",0,IF(IFERROR(INDEX(LISTS!$E$2:$E$50,MATCH($J45,LISTS!$D$2:$D$50,0)),"")="External",0,1)))</f>
        <v/>
      </c>
      <c r="S45" s="2" t="str">
        <f aca="false">IF($A45="","",IF($H45="",0,IF(IFERROR(INDEX(LISTS!$E$2:$E$50,MATCH($H45,LISTS!$D$2:$D$50,0)),"")="External",1,0))+IF($I45="",0,IF(IFERROR(INDEX(LISTS!$E$2:$E$50,MATCH($I45,LISTS!$D$2:$D$50,0)),"")="External",1,0))+IF($J45="",0,IF(IFERROR(INDEX(LISTS!$E$2:$E$50,MATCH($J45,LISTS!$D$2:$D$50,0)),"")="External",1,0)))</f>
        <v/>
      </c>
    </row>
    <row r="46" customFormat="false" ht="15" hidden="false" customHeight="false" outlineLevel="0" collapsed="false">
      <c r="A46" s="20"/>
      <c r="B46" s="20"/>
      <c r="C46" s="20"/>
      <c r="D46" s="30"/>
      <c r="E46" s="30"/>
      <c r="F46" s="22"/>
      <c r="G46" s="22"/>
      <c r="H46" s="22"/>
      <c r="I46" s="22"/>
      <c r="J46" s="22"/>
      <c r="K46" s="31" t="str">
        <f aca="false">IF(OR($A46="",$D46=""),"",MIN(5,$D46+$R46))</f>
        <v/>
      </c>
      <c r="L46" s="31" t="str">
        <f aca="false">IF(OR($A46="",$E46=""),"",MIN(5,$E46+$S46))</f>
        <v/>
      </c>
      <c r="M46" s="22"/>
      <c r="N46" s="22"/>
      <c r="O46" s="25" t="str">
        <f aca="false">IF($A46="","",COUNTIF(PART_RISK!$E$5:$E$304,$A46))</f>
        <v/>
      </c>
      <c r="P46" s="28" t="str">
        <f aca="false">IF($A46="","",IF(COUNTIFS(PART_RISK!$E$5:$E$304,$A46,PART_RISK!$Q$5:$Q$304,"CRITICAL*")&gt;0,"CRITICAL",IF(COUNTIFS(PART_RISK!$E$5:$E$304,$A46,PART_RISK!$Q$5:$Q$304,"MONITOR")&gt;0,"MONITOR",IF(COUNTIFS(PART_RISK!$E$5:$E$304,$A46,PART_RISK!$Q$5:$Q$304,"LOW")&gt;0,"LOW","NOT SCORED"))))</f>
        <v/>
      </c>
      <c r="Q46" s="2" t="str">
        <f aca="false">IF($A46="","",COUNTIF($F46:$G46,"?*"))</f>
        <v/>
      </c>
      <c r="R46" s="2" t="str">
        <f aca="false">IF($A46="","",IF($H46="",0,IF(IFERROR(INDEX(LISTS!$E$2:$E$50,MATCH($H46,LISTS!$D$2:$D$50,0)),"")="External",0,1))+IF($I46="",0,IF(IFERROR(INDEX(LISTS!$E$2:$E$50,MATCH($I46,LISTS!$D$2:$D$50,0)),"")="External",0,1))+IF($J46="",0,IF(IFERROR(INDEX(LISTS!$E$2:$E$50,MATCH($J46,LISTS!$D$2:$D$50,0)),"")="External",0,1)))</f>
        <v/>
      </c>
      <c r="S46" s="2" t="str">
        <f aca="false">IF($A46="","",IF($H46="",0,IF(IFERROR(INDEX(LISTS!$E$2:$E$50,MATCH($H46,LISTS!$D$2:$D$50,0)),"")="External",1,0))+IF($I46="",0,IF(IFERROR(INDEX(LISTS!$E$2:$E$50,MATCH($I46,LISTS!$D$2:$D$50,0)),"")="External",1,0))+IF($J46="",0,IF(IFERROR(INDEX(LISTS!$E$2:$E$50,MATCH($J46,LISTS!$D$2:$D$50,0)),"")="External",1,0)))</f>
        <v/>
      </c>
    </row>
    <row r="47" customFormat="false" ht="15" hidden="false" customHeight="false" outlineLevel="0" collapsed="false">
      <c r="A47" s="20"/>
      <c r="B47" s="20"/>
      <c r="C47" s="20"/>
      <c r="D47" s="30"/>
      <c r="E47" s="30"/>
      <c r="F47" s="22"/>
      <c r="G47" s="22"/>
      <c r="H47" s="22"/>
      <c r="I47" s="22"/>
      <c r="J47" s="22"/>
      <c r="K47" s="31" t="str">
        <f aca="false">IF(OR($A47="",$D47=""),"",MIN(5,$D47+$R47))</f>
        <v/>
      </c>
      <c r="L47" s="31" t="str">
        <f aca="false">IF(OR($A47="",$E47=""),"",MIN(5,$E47+$S47))</f>
        <v/>
      </c>
      <c r="M47" s="22"/>
      <c r="N47" s="22"/>
      <c r="O47" s="25" t="str">
        <f aca="false">IF($A47="","",COUNTIF(PART_RISK!$E$5:$E$304,$A47))</f>
        <v/>
      </c>
      <c r="P47" s="28" t="str">
        <f aca="false">IF($A47="","",IF(COUNTIFS(PART_RISK!$E$5:$E$304,$A47,PART_RISK!$Q$5:$Q$304,"CRITICAL*")&gt;0,"CRITICAL",IF(COUNTIFS(PART_RISK!$E$5:$E$304,$A47,PART_RISK!$Q$5:$Q$304,"MONITOR")&gt;0,"MONITOR",IF(COUNTIFS(PART_RISK!$E$5:$E$304,$A47,PART_RISK!$Q$5:$Q$304,"LOW")&gt;0,"LOW","NOT SCORED"))))</f>
        <v/>
      </c>
      <c r="Q47" s="2" t="str">
        <f aca="false">IF($A47="","",COUNTIF($F47:$G47,"?*"))</f>
        <v/>
      </c>
      <c r="R47" s="2" t="str">
        <f aca="false">IF($A47="","",IF($H47="",0,IF(IFERROR(INDEX(LISTS!$E$2:$E$50,MATCH($H47,LISTS!$D$2:$D$50,0)),"")="External",0,1))+IF($I47="",0,IF(IFERROR(INDEX(LISTS!$E$2:$E$50,MATCH($I47,LISTS!$D$2:$D$50,0)),"")="External",0,1))+IF($J47="",0,IF(IFERROR(INDEX(LISTS!$E$2:$E$50,MATCH($J47,LISTS!$D$2:$D$50,0)),"")="External",0,1)))</f>
        <v/>
      </c>
      <c r="S47" s="2" t="str">
        <f aca="false">IF($A47="","",IF($H47="",0,IF(IFERROR(INDEX(LISTS!$E$2:$E$50,MATCH($H47,LISTS!$D$2:$D$50,0)),"")="External",1,0))+IF($I47="",0,IF(IFERROR(INDEX(LISTS!$E$2:$E$50,MATCH($I47,LISTS!$D$2:$D$50,0)),"")="External",1,0))+IF($J47="",0,IF(IFERROR(INDEX(LISTS!$E$2:$E$50,MATCH($J47,LISTS!$D$2:$D$50,0)),"")="External",1,0)))</f>
        <v/>
      </c>
    </row>
    <row r="48" customFormat="false" ht="15" hidden="false" customHeight="false" outlineLevel="0" collapsed="false">
      <c r="A48" s="20"/>
      <c r="B48" s="20"/>
      <c r="C48" s="20"/>
      <c r="D48" s="30"/>
      <c r="E48" s="30"/>
      <c r="F48" s="22"/>
      <c r="G48" s="22"/>
      <c r="H48" s="22"/>
      <c r="I48" s="22"/>
      <c r="J48" s="22"/>
      <c r="K48" s="31" t="str">
        <f aca="false">IF(OR($A48="",$D48=""),"",MIN(5,$D48+$R48))</f>
        <v/>
      </c>
      <c r="L48" s="31" t="str">
        <f aca="false">IF(OR($A48="",$E48=""),"",MIN(5,$E48+$S48))</f>
        <v/>
      </c>
      <c r="M48" s="22"/>
      <c r="N48" s="22"/>
      <c r="O48" s="25" t="str">
        <f aca="false">IF($A48="","",COUNTIF(PART_RISK!$E$5:$E$304,$A48))</f>
        <v/>
      </c>
      <c r="P48" s="28" t="str">
        <f aca="false">IF($A48="","",IF(COUNTIFS(PART_RISK!$E$5:$E$304,$A48,PART_RISK!$Q$5:$Q$304,"CRITICAL*")&gt;0,"CRITICAL",IF(COUNTIFS(PART_RISK!$E$5:$E$304,$A48,PART_RISK!$Q$5:$Q$304,"MONITOR")&gt;0,"MONITOR",IF(COUNTIFS(PART_RISK!$E$5:$E$304,$A48,PART_RISK!$Q$5:$Q$304,"LOW")&gt;0,"LOW","NOT SCORED"))))</f>
        <v/>
      </c>
      <c r="Q48" s="2" t="str">
        <f aca="false">IF($A48="","",COUNTIF($F48:$G48,"?*"))</f>
        <v/>
      </c>
      <c r="R48" s="2" t="str">
        <f aca="false">IF($A48="","",IF($H48="",0,IF(IFERROR(INDEX(LISTS!$E$2:$E$50,MATCH($H48,LISTS!$D$2:$D$50,0)),"")="External",0,1))+IF($I48="",0,IF(IFERROR(INDEX(LISTS!$E$2:$E$50,MATCH($I48,LISTS!$D$2:$D$50,0)),"")="External",0,1))+IF($J48="",0,IF(IFERROR(INDEX(LISTS!$E$2:$E$50,MATCH($J48,LISTS!$D$2:$D$50,0)),"")="External",0,1)))</f>
        <v/>
      </c>
      <c r="S48" s="2" t="str">
        <f aca="false">IF($A48="","",IF($H48="",0,IF(IFERROR(INDEX(LISTS!$E$2:$E$50,MATCH($H48,LISTS!$D$2:$D$50,0)),"")="External",1,0))+IF($I48="",0,IF(IFERROR(INDEX(LISTS!$E$2:$E$50,MATCH($I48,LISTS!$D$2:$D$50,0)),"")="External",1,0))+IF($J48="",0,IF(IFERROR(INDEX(LISTS!$E$2:$E$50,MATCH($J48,LISTS!$D$2:$D$50,0)),"")="External",1,0)))</f>
        <v/>
      </c>
    </row>
    <row r="49" customFormat="false" ht="15" hidden="false" customHeight="false" outlineLevel="0" collapsed="false">
      <c r="A49" s="20"/>
      <c r="B49" s="20"/>
      <c r="C49" s="20"/>
      <c r="D49" s="30"/>
      <c r="E49" s="30"/>
      <c r="F49" s="22"/>
      <c r="G49" s="22"/>
      <c r="H49" s="22"/>
      <c r="I49" s="22"/>
      <c r="J49" s="22"/>
      <c r="K49" s="31" t="str">
        <f aca="false">IF(OR($A49="",$D49=""),"",MIN(5,$D49+$R49))</f>
        <v/>
      </c>
      <c r="L49" s="31" t="str">
        <f aca="false">IF(OR($A49="",$E49=""),"",MIN(5,$E49+$S49))</f>
        <v/>
      </c>
      <c r="M49" s="22"/>
      <c r="N49" s="22"/>
      <c r="O49" s="25" t="str">
        <f aca="false">IF($A49="","",COUNTIF(PART_RISK!$E$5:$E$304,$A49))</f>
        <v/>
      </c>
      <c r="P49" s="28" t="str">
        <f aca="false">IF($A49="","",IF(COUNTIFS(PART_RISK!$E$5:$E$304,$A49,PART_RISK!$Q$5:$Q$304,"CRITICAL*")&gt;0,"CRITICAL",IF(COUNTIFS(PART_RISK!$E$5:$E$304,$A49,PART_RISK!$Q$5:$Q$304,"MONITOR")&gt;0,"MONITOR",IF(COUNTIFS(PART_RISK!$E$5:$E$304,$A49,PART_RISK!$Q$5:$Q$304,"LOW")&gt;0,"LOW","NOT SCORED"))))</f>
        <v/>
      </c>
      <c r="Q49" s="2" t="str">
        <f aca="false">IF($A49="","",COUNTIF($F49:$G49,"?*"))</f>
        <v/>
      </c>
      <c r="R49" s="2" t="str">
        <f aca="false">IF($A49="","",IF($H49="",0,IF(IFERROR(INDEX(LISTS!$E$2:$E$50,MATCH($H49,LISTS!$D$2:$D$50,0)),"")="External",0,1))+IF($I49="",0,IF(IFERROR(INDEX(LISTS!$E$2:$E$50,MATCH($I49,LISTS!$D$2:$D$50,0)),"")="External",0,1))+IF($J49="",0,IF(IFERROR(INDEX(LISTS!$E$2:$E$50,MATCH($J49,LISTS!$D$2:$D$50,0)),"")="External",0,1)))</f>
        <v/>
      </c>
      <c r="S49" s="2" t="str">
        <f aca="false">IF($A49="","",IF($H49="",0,IF(IFERROR(INDEX(LISTS!$E$2:$E$50,MATCH($H49,LISTS!$D$2:$D$50,0)),"")="External",1,0))+IF($I49="",0,IF(IFERROR(INDEX(LISTS!$E$2:$E$50,MATCH($I49,LISTS!$D$2:$D$50,0)),"")="External",1,0))+IF($J49="",0,IF(IFERROR(INDEX(LISTS!$E$2:$E$50,MATCH($J49,LISTS!$D$2:$D$50,0)),"")="External",1,0)))</f>
        <v/>
      </c>
    </row>
    <row r="50" customFormat="false" ht="15" hidden="false" customHeight="false" outlineLevel="0" collapsed="false">
      <c r="A50" s="20"/>
      <c r="B50" s="20"/>
      <c r="C50" s="20"/>
      <c r="D50" s="30"/>
      <c r="E50" s="30"/>
      <c r="F50" s="22"/>
      <c r="G50" s="22"/>
      <c r="H50" s="22"/>
      <c r="I50" s="22"/>
      <c r="J50" s="22"/>
      <c r="K50" s="31" t="str">
        <f aca="false">IF(OR($A50="",$D50=""),"",MIN(5,$D50+$R50))</f>
        <v/>
      </c>
      <c r="L50" s="31" t="str">
        <f aca="false">IF(OR($A50="",$E50=""),"",MIN(5,$E50+$S50))</f>
        <v/>
      </c>
      <c r="M50" s="22"/>
      <c r="N50" s="22"/>
      <c r="O50" s="25" t="str">
        <f aca="false">IF($A50="","",COUNTIF(PART_RISK!$E$5:$E$304,$A50))</f>
        <v/>
      </c>
      <c r="P50" s="28" t="str">
        <f aca="false">IF($A50="","",IF(COUNTIFS(PART_RISK!$E$5:$E$304,$A50,PART_RISK!$Q$5:$Q$304,"CRITICAL*")&gt;0,"CRITICAL",IF(COUNTIFS(PART_RISK!$E$5:$E$304,$A50,PART_RISK!$Q$5:$Q$304,"MONITOR")&gt;0,"MONITOR",IF(COUNTIFS(PART_RISK!$E$5:$E$304,$A50,PART_RISK!$Q$5:$Q$304,"LOW")&gt;0,"LOW","NOT SCORED"))))</f>
        <v/>
      </c>
      <c r="Q50" s="2" t="str">
        <f aca="false">IF($A50="","",COUNTIF($F50:$G50,"?*"))</f>
        <v/>
      </c>
      <c r="R50" s="2" t="str">
        <f aca="false">IF($A50="","",IF($H50="",0,IF(IFERROR(INDEX(LISTS!$E$2:$E$50,MATCH($H50,LISTS!$D$2:$D$50,0)),"")="External",0,1))+IF($I50="",0,IF(IFERROR(INDEX(LISTS!$E$2:$E$50,MATCH($I50,LISTS!$D$2:$D$50,0)),"")="External",0,1))+IF($J50="",0,IF(IFERROR(INDEX(LISTS!$E$2:$E$50,MATCH($J50,LISTS!$D$2:$D$50,0)),"")="External",0,1)))</f>
        <v/>
      </c>
      <c r="S50" s="2" t="str">
        <f aca="false">IF($A50="","",IF($H50="",0,IF(IFERROR(INDEX(LISTS!$E$2:$E$50,MATCH($H50,LISTS!$D$2:$D$50,0)),"")="External",1,0))+IF($I50="",0,IF(IFERROR(INDEX(LISTS!$E$2:$E$50,MATCH($I50,LISTS!$D$2:$D$50,0)),"")="External",1,0))+IF($J50="",0,IF(IFERROR(INDEX(LISTS!$E$2:$E$50,MATCH($J50,LISTS!$D$2:$D$50,0)),"")="External",1,0)))</f>
        <v/>
      </c>
    </row>
    <row r="51" customFormat="false" ht="15" hidden="false" customHeight="false" outlineLevel="0" collapsed="false">
      <c r="A51" s="20"/>
      <c r="B51" s="20"/>
      <c r="C51" s="20"/>
      <c r="D51" s="30"/>
      <c r="E51" s="30"/>
      <c r="F51" s="22"/>
      <c r="G51" s="22"/>
      <c r="H51" s="22"/>
      <c r="I51" s="22"/>
      <c r="J51" s="22"/>
      <c r="K51" s="31" t="str">
        <f aca="false">IF(OR($A51="",$D51=""),"",MIN(5,$D51+$R51))</f>
        <v/>
      </c>
      <c r="L51" s="31" t="str">
        <f aca="false">IF(OR($A51="",$E51=""),"",MIN(5,$E51+$S51))</f>
        <v/>
      </c>
      <c r="M51" s="22"/>
      <c r="N51" s="22"/>
      <c r="O51" s="25" t="str">
        <f aca="false">IF($A51="","",COUNTIF(PART_RISK!$E$5:$E$304,$A51))</f>
        <v/>
      </c>
      <c r="P51" s="28" t="str">
        <f aca="false">IF($A51="","",IF(COUNTIFS(PART_RISK!$E$5:$E$304,$A51,PART_RISK!$Q$5:$Q$304,"CRITICAL*")&gt;0,"CRITICAL",IF(COUNTIFS(PART_RISK!$E$5:$E$304,$A51,PART_RISK!$Q$5:$Q$304,"MONITOR")&gt;0,"MONITOR",IF(COUNTIFS(PART_RISK!$E$5:$E$304,$A51,PART_RISK!$Q$5:$Q$304,"LOW")&gt;0,"LOW","NOT SCORED"))))</f>
        <v/>
      </c>
      <c r="Q51" s="2" t="str">
        <f aca="false">IF($A51="","",COUNTIF($F51:$G51,"?*"))</f>
        <v/>
      </c>
      <c r="R51" s="2" t="str">
        <f aca="false">IF($A51="","",IF($H51="",0,IF(IFERROR(INDEX(LISTS!$E$2:$E$50,MATCH($H51,LISTS!$D$2:$D$50,0)),"")="External",0,1))+IF($I51="",0,IF(IFERROR(INDEX(LISTS!$E$2:$E$50,MATCH($I51,LISTS!$D$2:$D$50,0)),"")="External",0,1))+IF($J51="",0,IF(IFERROR(INDEX(LISTS!$E$2:$E$50,MATCH($J51,LISTS!$D$2:$D$50,0)),"")="External",0,1)))</f>
        <v/>
      </c>
      <c r="S51" s="2" t="str">
        <f aca="false">IF($A51="","",IF($H51="",0,IF(IFERROR(INDEX(LISTS!$E$2:$E$50,MATCH($H51,LISTS!$D$2:$D$50,0)),"")="External",1,0))+IF($I51="",0,IF(IFERROR(INDEX(LISTS!$E$2:$E$50,MATCH($I51,LISTS!$D$2:$D$50,0)),"")="External",1,0))+IF($J51="",0,IF(IFERROR(INDEX(LISTS!$E$2:$E$50,MATCH($J51,LISTS!$D$2:$D$50,0)),"")="External",1,0)))</f>
        <v/>
      </c>
    </row>
    <row r="52" customFormat="false" ht="15" hidden="false" customHeight="false" outlineLevel="0" collapsed="false">
      <c r="A52" s="20"/>
      <c r="B52" s="20"/>
      <c r="C52" s="20"/>
      <c r="D52" s="30"/>
      <c r="E52" s="30"/>
      <c r="F52" s="22"/>
      <c r="G52" s="22"/>
      <c r="H52" s="22"/>
      <c r="I52" s="22"/>
      <c r="J52" s="22"/>
      <c r="K52" s="31" t="str">
        <f aca="false">IF(OR($A52="",$D52=""),"",MIN(5,$D52+$R52))</f>
        <v/>
      </c>
      <c r="L52" s="31" t="str">
        <f aca="false">IF(OR($A52="",$E52=""),"",MIN(5,$E52+$S52))</f>
        <v/>
      </c>
      <c r="M52" s="22"/>
      <c r="N52" s="22"/>
      <c r="O52" s="25" t="str">
        <f aca="false">IF($A52="","",COUNTIF(PART_RISK!$E$5:$E$304,$A52))</f>
        <v/>
      </c>
      <c r="P52" s="28" t="str">
        <f aca="false">IF($A52="","",IF(COUNTIFS(PART_RISK!$E$5:$E$304,$A52,PART_RISK!$Q$5:$Q$304,"CRITICAL*")&gt;0,"CRITICAL",IF(COUNTIFS(PART_RISK!$E$5:$E$304,$A52,PART_RISK!$Q$5:$Q$304,"MONITOR")&gt;0,"MONITOR",IF(COUNTIFS(PART_RISK!$E$5:$E$304,$A52,PART_RISK!$Q$5:$Q$304,"LOW")&gt;0,"LOW","NOT SCORED"))))</f>
        <v/>
      </c>
      <c r="Q52" s="2" t="str">
        <f aca="false">IF($A52="","",COUNTIF($F52:$G52,"?*"))</f>
        <v/>
      </c>
      <c r="R52" s="2" t="str">
        <f aca="false">IF($A52="","",IF($H52="",0,IF(IFERROR(INDEX(LISTS!$E$2:$E$50,MATCH($H52,LISTS!$D$2:$D$50,0)),"")="External",0,1))+IF($I52="",0,IF(IFERROR(INDEX(LISTS!$E$2:$E$50,MATCH($I52,LISTS!$D$2:$D$50,0)),"")="External",0,1))+IF($J52="",0,IF(IFERROR(INDEX(LISTS!$E$2:$E$50,MATCH($J52,LISTS!$D$2:$D$50,0)),"")="External",0,1)))</f>
        <v/>
      </c>
      <c r="S52" s="2" t="str">
        <f aca="false">IF($A52="","",IF($H52="",0,IF(IFERROR(INDEX(LISTS!$E$2:$E$50,MATCH($H52,LISTS!$D$2:$D$50,0)),"")="External",1,0))+IF($I52="",0,IF(IFERROR(INDEX(LISTS!$E$2:$E$50,MATCH($I52,LISTS!$D$2:$D$50,0)),"")="External",1,0))+IF($J52="",0,IF(IFERROR(INDEX(LISTS!$E$2:$E$50,MATCH($J52,LISTS!$D$2:$D$50,0)),"")="External",1,0)))</f>
        <v/>
      </c>
    </row>
    <row r="53" customFormat="false" ht="15" hidden="false" customHeight="false" outlineLevel="0" collapsed="false">
      <c r="A53" s="20"/>
      <c r="B53" s="20"/>
      <c r="C53" s="20"/>
      <c r="D53" s="30"/>
      <c r="E53" s="30"/>
      <c r="F53" s="22"/>
      <c r="G53" s="22"/>
      <c r="H53" s="22"/>
      <c r="I53" s="22"/>
      <c r="J53" s="22"/>
      <c r="K53" s="31" t="str">
        <f aca="false">IF(OR($A53="",$D53=""),"",MIN(5,$D53+$R53))</f>
        <v/>
      </c>
      <c r="L53" s="31" t="str">
        <f aca="false">IF(OR($A53="",$E53=""),"",MIN(5,$E53+$S53))</f>
        <v/>
      </c>
      <c r="M53" s="22"/>
      <c r="N53" s="22"/>
      <c r="O53" s="25" t="str">
        <f aca="false">IF($A53="","",COUNTIF(PART_RISK!$E$5:$E$304,$A53))</f>
        <v/>
      </c>
      <c r="P53" s="28" t="str">
        <f aca="false">IF($A53="","",IF(COUNTIFS(PART_RISK!$E$5:$E$304,$A53,PART_RISK!$Q$5:$Q$304,"CRITICAL*")&gt;0,"CRITICAL",IF(COUNTIFS(PART_RISK!$E$5:$E$304,$A53,PART_RISK!$Q$5:$Q$304,"MONITOR")&gt;0,"MONITOR",IF(COUNTIFS(PART_RISK!$E$5:$E$304,$A53,PART_RISK!$Q$5:$Q$304,"LOW")&gt;0,"LOW","NOT SCORED"))))</f>
        <v/>
      </c>
      <c r="Q53" s="2" t="str">
        <f aca="false">IF($A53="","",COUNTIF($F53:$G53,"?*"))</f>
        <v/>
      </c>
      <c r="R53" s="2" t="str">
        <f aca="false">IF($A53="","",IF($H53="",0,IF(IFERROR(INDEX(LISTS!$E$2:$E$50,MATCH($H53,LISTS!$D$2:$D$50,0)),"")="External",0,1))+IF($I53="",0,IF(IFERROR(INDEX(LISTS!$E$2:$E$50,MATCH($I53,LISTS!$D$2:$D$50,0)),"")="External",0,1))+IF($J53="",0,IF(IFERROR(INDEX(LISTS!$E$2:$E$50,MATCH($J53,LISTS!$D$2:$D$50,0)),"")="External",0,1)))</f>
        <v/>
      </c>
      <c r="S53" s="2" t="str">
        <f aca="false">IF($A53="","",IF($H53="",0,IF(IFERROR(INDEX(LISTS!$E$2:$E$50,MATCH($H53,LISTS!$D$2:$D$50,0)),"")="External",1,0))+IF($I53="",0,IF(IFERROR(INDEX(LISTS!$E$2:$E$50,MATCH($I53,LISTS!$D$2:$D$50,0)),"")="External",1,0))+IF($J53="",0,IF(IFERROR(INDEX(LISTS!$E$2:$E$50,MATCH($J53,LISTS!$D$2:$D$50,0)),"")="External",1,0)))</f>
        <v/>
      </c>
    </row>
    <row r="54" customFormat="false" ht="15" hidden="false" customHeight="false" outlineLevel="0" collapsed="false">
      <c r="A54" s="20"/>
      <c r="B54" s="20"/>
      <c r="C54" s="20"/>
      <c r="D54" s="30"/>
      <c r="E54" s="30"/>
      <c r="F54" s="22"/>
      <c r="G54" s="22"/>
      <c r="H54" s="22"/>
      <c r="I54" s="22"/>
      <c r="J54" s="22"/>
      <c r="K54" s="31" t="str">
        <f aca="false">IF(OR($A54="",$D54=""),"",MIN(5,$D54+$R54))</f>
        <v/>
      </c>
      <c r="L54" s="31" t="str">
        <f aca="false">IF(OR($A54="",$E54=""),"",MIN(5,$E54+$S54))</f>
        <v/>
      </c>
      <c r="M54" s="22"/>
      <c r="N54" s="22"/>
      <c r="O54" s="25" t="str">
        <f aca="false">IF($A54="","",COUNTIF(PART_RISK!$E$5:$E$304,$A54))</f>
        <v/>
      </c>
      <c r="P54" s="28" t="str">
        <f aca="false">IF($A54="","",IF(COUNTIFS(PART_RISK!$E$5:$E$304,$A54,PART_RISK!$Q$5:$Q$304,"CRITICAL*")&gt;0,"CRITICAL",IF(COUNTIFS(PART_RISK!$E$5:$E$304,$A54,PART_RISK!$Q$5:$Q$304,"MONITOR")&gt;0,"MONITOR",IF(COUNTIFS(PART_RISK!$E$5:$E$304,$A54,PART_RISK!$Q$5:$Q$304,"LOW")&gt;0,"LOW","NOT SCORED"))))</f>
        <v/>
      </c>
      <c r="Q54" s="2" t="str">
        <f aca="false">IF($A54="","",COUNTIF($F54:$G54,"?*"))</f>
        <v/>
      </c>
      <c r="R54" s="2" t="str">
        <f aca="false">IF($A54="","",IF($H54="",0,IF(IFERROR(INDEX(LISTS!$E$2:$E$50,MATCH($H54,LISTS!$D$2:$D$50,0)),"")="External",0,1))+IF($I54="",0,IF(IFERROR(INDEX(LISTS!$E$2:$E$50,MATCH($I54,LISTS!$D$2:$D$50,0)),"")="External",0,1))+IF($J54="",0,IF(IFERROR(INDEX(LISTS!$E$2:$E$50,MATCH($J54,LISTS!$D$2:$D$50,0)),"")="External",0,1)))</f>
        <v/>
      </c>
      <c r="S54" s="2" t="str">
        <f aca="false">IF($A54="","",IF($H54="",0,IF(IFERROR(INDEX(LISTS!$E$2:$E$50,MATCH($H54,LISTS!$D$2:$D$50,0)),"")="External",1,0))+IF($I54="",0,IF(IFERROR(INDEX(LISTS!$E$2:$E$50,MATCH($I54,LISTS!$D$2:$D$50,0)),"")="External",1,0))+IF($J54="",0,IF(IFERROR(INDEX(LISTS!$E$2:$E$50,MATCH($J54,LISTS!$D$2:$D$50,0)),"")="External",1,0)))</f>
        <v/>
      </c>
    </row>
    <row r="55" customFormat="false" ht="15" hidden="false" customHeight="false" outlineLevel="0" collapsed="false">
      <c r="A55" s="20"/>
      <c r="B55" s="20"/>
      <c r="C55" s="20"/>
      <c r="D55" s="30"/>
      <c r="E55" s="30"/>
      <c r="F55" s="22"/>
      <c r="G55" s="22"/>
      <c r="H55" s="22"/>
      <c r="I55" s="22"/>
      <c r="J55" s="22"/>
      <c r="K55" s="31" t="str">
        <f aca="false">IF(OR($A55="",$D55=""),"",MIN(5,$D55+$R55))</f>
        <v/>
      </c>
      <c r="L55" s="31" t="str">
        <f aca="false">IF(OR($A55="",$E55=""),"",MIN(5,$E55+$S55))</f>
        <v/>
      </c>
      <c r="M55" s="22"/>
      <c r="N55" s="22"/>
      <c r="O55" s="25" t="str">
        <f aca="false">IF($A55="","",COUNTIF(PART_RISK!$E$5:$E$304,$A55))</f>
        <v/>
      </c>
      <c r="P55" s="28" t="str">
        <f aca="false">IF($A55="","",IF(COUNTIFS(PART_RISK!$E$5:$E$304,$A55,PART_RISK!$Q$5:$Q$304,"CRITICAL*")&gt;0,"CRITICAL",IF(COUNTIFS(PART_RISK!$E$5:$E$304,$A55,PART_RISK!$Q$5:$Q$304,"MONITOR")&gt;0,"MONITOR",IF(COUNTIFS(PART_RISK!$E$5:$E$304,$A55,PART_RISK!$Q$5:$Q$304,"LOW")&gt;0,"LOW","NOT SCORED"))))</f>
        <v/>
      </c>
      <c r="Q55" s="2" t="str">
        <f aca="false">IF($A55="","",COUNTIF($F55:$G55,"?*"))</f>
        <v/>
      </c>
      <c r="R55" s="2" t="str">
        <f aca="false">IF($A55="","",IF($H55="",0,IF(IFERROR(INDEX(LISTS!$E$2:$E$50,MATCH($H55,LISTS!$D$2:$D$50,0)),"")="External",0,1))+IF($I55="",0,IF(IFERROR(INDEX(LISTS!$E$2:$E$50,MATCH($I55,LISTS!$D$2:$D$50,0)),"")="External",0,1))+IF($J55="",0,IF(IFERROR(INDEX(LISTS!$E$2:$E$50,MATCH($J55,LISTS!$D$2:$D$50,0)),"")="External",0,1)))</f>
        <v/>
      </c>
      <c r="S55" s="2" t="str">
        <f aca="false">IF($A55="","",IF($H55="",0,IF(IFERROR(INDEX(LISTS!$E$2:$E$50,MATCH($H55,LISTS!$D$2:$D$50,0)),"")="External",1,0))+IF($I55="",0,IF(IFERROR(INDEX(LISTS!$E$2:$E$50,MATCH($I55,LISTS!$D$2:$D$50,0)),"")="External",1,0))+IF($J55="",0,IF(IFERROR(INDEX(LISTS!$E$2:$E$50,MATCH($J55,LISTS!$D$2:$D$50,0)),"")="External",1,0)))</f>
        <v/>
      </c>
    </row>
    <row r="56" customFormat="false" ht="15" hidden="false" customHeight="false" outlineLevel="0" collapsed="false">
      <c r="A56" s="20"/>
      <c r="B56" s="20"/>
      <c r="C56" s="20"/>
      <c r="D56" s="30"/>
      <c r="E56" s="30"/>
      <c r="F56" s="22"/>
      <c r="G56" s="22"/>
      <c r="H56" s="22"/>
      <c r="I56" s="22"/>
      <c r="J56" s="22"/>
      <c r="K56" s="31" t="str">
        <f aca="false">IF(OR($A56="",$D56=""),"",MIN(5,$D56+$R56))</f>
        <v/>
      </c>
      <c r="L56" s="31" t="str">
        <f aca="false">IF(OR($A56="",$E56=""),"",MIN(5,$E56+$S56))</f>
        <v/>
      </c>
      <c r="M56" s="22"/>
      <c r="N56" s="22"/>
      <c r="O56" s="25" t="str">
        <f aca="false">IF($A56="","",COUNTIF(PART_RISK!$E$5:$E$304,$A56))</f>
        <v/>
      </c>
      <c r="P56" s="28" t="str">
        <f aca="false">IF($A56="","",IF(COUNTIFS(PART_RISK!$E$5:$E$304,$A56,PART_RISK!$Q$5:$Q$304,"CRITICAL*")&gt;0,"CRITICAL",IF(COUNTIFS(PART_RISK!$E$5:$E$304,$A56,PART_RISK!$Q$5:$Q$304,"MONITOR")&gt;0,"MONITOR",IF(COUNTIFS(PART_RISK!$E$5:$E$304,$A56,PART_RISK!$Q$5:$Q$304,"LOW")&gt;0,"LOW","NOT SCORED"))))</f>
        <v/>
      </c>
      <c r="Q56" s="2" t="str">
        <f aca="false">IF($A56="","",COUNTIF($F56:$G56,"?*"))</f>
        <v/>
      </c>
      <c r="R56" s="2" t="str">
        <f aca="false">IF($A56="","",IF($H56="",0,IF(IFERROR(INDEX(LISTS!$E$2:$E$50,MATCH($H56,LISTS!$D$2:$D$50,0)),"")="External",0,1))+IF($I56="",0,IF(IFERROR(INDEX(LISTS!$E$2:$E$50,MATCH($I56,LISTS!$D$2:$D$50,0)),"")="External",0,1))+IF($J56="",0,IF(IFERROR(INDEX(LISTS!$E$2:$E$50,MATCH($J56,LISTS!$D$2:$D$50,0)),"")="External",0,1)))</f>
        <v/>
      </c>
      <c r="S56" s="2" t="str">
        <f aca="false">IF($A56="","",IF($H56="",0,IF(IFERROR(INDEX(LISTS!$E$2:$E$50,MATCH($H56,LISTS!$D$2:$D$50,0)),"")="External",1,0))+IF($I56="",0,IF(IFERROR(INDEX(LISTS!$E$2:$E$50,MATCH($I56,LISTS!$D$2:$D$50,0)),"")="External",1,0))+IF($J56="",0,IF(IFERROR(INDEX(LISTS!$E$2:$E$50,MATCH($J56,LISTS!$D$2:$D$50,0)),"")="External",1,0)))</f>
        <v/>
      </c>
    </row>
    <row r="57" customFormat="false" ht="15" hidden="false" customHeight="false" outlineLevel="0" collapsed="false">
      <c r="A57" s="20"/>
      <c r="B57" s="20"/>
      <c r="C57" s="20"/>
      <c r="D57" s="30"/>
      <c r="E57" s="30"/>
      <c r="F57" s="22"/>
      <c r="G57" s="22"/>
      <c r="H57" s="22"/>
      <c r="I57" s="22"/>
      <c r="J57" s="22"/>
      <c r="K57" s="31" t="str">
        <f aca="false">IF(OR($A57="",$D57=""),"",MIN(5,$D57+$R57))</f>
        <v/>
      </c>
      <c r="L57" s="31" t="str">
        <f aca="false">IF(OR($A57="",$E57=""),"",MIN(5,$E57+$S57))</f>
        <v/>
      </c>
      <c r="M57" s="22"/>
      <c r="N57" s="22"/>
      <c r="O57" s="25" t="str">
        <f aca="false">IF($A57="","",COUNTIF(PART_RISK!$E$5:$E$304,$A57))</f>
        <v/>
      </c>
      <c r="P57" s="28" t="str">
        <f aca="false">IF($A57="","",IF(COUNTIFS(PART_RISK!$E$5:$E$304,$A57,PART_RISK!$Q$5:$Q$304,"CRITICAL*")&gt;0,"CRITICAL",IF(COUNTIFS(PART_RISK!$E$5:$E$304,$A57,PART_RISK!$Q$5:$Q$304,"MONITOR")&gt;0,"MONITOR",IF(COUNTIFS(PART_RISK!$E$5:$E$304,$A57,PART_RISK!$Q$5:$Q$304,"LOW")&gt;0,"LOW","NOT SCORED"))))</f>
        <v/>
      </c>
      <c r="Q57" s="2" t="str">
        <f aca="false">IF($A57="","",COUNTIF($F57:$G57,"?*"))</f>
        <v/>
      </c>
      <c r="R57" s="2" t="str">
        <f aca="false">IF($A57="","",IF($H57="",0,IF(IFERROR(INDEX(LISTS!$E$2:$E$50,MATCH($H57,LISTS!$D$2:$D$50,0)),"")="External",0,1))+IF($I57="",0,IF(IFERROR(INDEX(LISTS!$E$2:$E$50,MATCH($I57,LISTS!$D$2:$D$50,0)),"")="External",0,1))+IF($J57="",0,IF(IFERROR(INDEX(LISTS!$E$2:$E$50,MATCH($J57,LISTS!$D$2:$D$50,0)),"")="External",0,1)))</f>
        <v/>
      </c>
      <c r="S57" s="2" t="str">
        <f aca="false">IF($A57="","",IF($H57="",0,IF(IFERROR(INDEX(LISTS!$E$2:$E$50,MATCH($H57,LISTS!$D$2:$D$50,0)),"")="External",1,0))+IF($I57="",0,IF(IFERROR(INDEX(LISTS!$E$2:$E$50,MATCH($I57,LISTS!$D$2:$D$50,0)),"")="External",1,0))+IF($J57="",0,IF(IFERROR(INDEX(LISTS!$E$2:$E$50,MATCH($J57,LISTS!$D$2:$D$50,0)),"")="External",1,0)))</f>
        <v/>
      </c>
    </row>
    <row r="58" customFormat="false" ht="15" hidden="false" customHeight="false" outlineLevel="0" collapsed="false">
      <c r="A58" s="20"/>
      <c r="B58" s="20"/>
      <c r="C58" s="20"/>
      <c r="D58" s="30"/>
      <c r="E58" s="30"/>
      <c r="F58" s="22"/>
      <c r="G58" s="22"/>
      <c r="H58" s="22"/>
      <c r="I58" s="22"/>
      <c r="J58" s="22"/>
      <c r="K58" s="31" t="str">
        <f aca="false">IF(OR($A58="",$D58=""),"",MIN(5,$D58+$R58))</f>
        <v/>
      </c>
      <c r="L58" s="31" t="str">
        <f aca="false">IF(OR($A58="",$E58=""),"",MIN(5,$E58+$S58))</f>
        <v/>
      </c>
      <c r="M58" s="22"/>
      <c r="N58" s="22"/>
      <c r="O58" s="25" t="str">
        <f aca="false">IF($A58="","",COUNTIF(PART_RISK!$E$5:$E$304,$A58))</f>
        <v/>
      </c>
      <c r="P58" s="28" t="str">
        <f aca="false">IF($A58="","",IF(COUNTIFS(PART_RISK!$E$5:$E$304,$A58,PART_RISK!$Q$5:$Q$304,"CRITICAL*")&gt;0,"CRITICAL",IF(COUNTIFS(PART_RISK!$E$5:$E$304,$A58,PART_RISK!$Q$5:$Q$304,"MONITOR")&gt;0,"MONITOR",IF(COUNTIFS(PART_RISK!$E$5:$E$304,$A58,PART_RISK!$Q$5:$Q$304,"LOW")&gt;0,"LOW","NOT SCORED"))))</f>
        <v/>
      </c>
      <c r="Q58" s="2" t="str">
        <f aca="false">IF($A58="","",COUNTIF($F58:$G58,"?*"))</f>
        <v/>
      </c>
      <c r="R58" s="2" t="str">
        <f aca="false">IF($A58="","",IF($H58="",0,IF(IFERROR(INDEX(LISTS!$E$2:$E$50,MATCH($H58,LISTS!$D$2:$D$50,0)),"")="External",0,1))+IF($I58="",0,IF(IFERROR(INDEX(LISTS!$E$2:$E$50,MATCH($I58,LISTS!$D$2:$D$50,0)),"")="External",0,1))+IF($J58="",0,IF(IFERROR(INDEX(LISTS!$E$2:$E$50,MATCH($J58,LISTS!$D$2:$D$50,0)),"")="External",0,1)))</f>
        <v/>
      </c>
      <c r="S58" s="2" t="str">
        <f aca="false">IF($A58="","",IF($H58="",0,IF(IFERROR(INDEX(LISTS!$E$2:$E$50,MATCH($H58,LISTS!$D$2:$D$50,0)),"")="External",1,0))+IF($I58="",0,IF(IFERROR(INDEX(LISTS!$E$2:$E$50,MATCH($I58,LISTS!$D$2:$D$50,0)),"")="External",1,0))+IF($J58="",0,IF(IFERROR(INDEX(LISTS!$E$2:$E$50,MATCH($J58,LISTS!$D$2:$D$50,0)),"")="External",1,0)))</f>
        <v/>
      </c>
    </row>
    <row r="59" customFormat="false" ht="15" hidden="false" customHeight="false" outlineLevel="0" collapsed="false">
      <c r="A59" s="20"/>
      <c r="B59" s="20"/>
      <c r="C59" s="20"/>
      <c r="D59" s="30"/>
      <c r="E59" s="30"/>
      <c r="F59" s="22"/>
      <c r="G59" s="22"/>
      <c r="H59" s="22"/>
      <c r="I59" s="22"/>
      <c r="J59" s="22"/>
      <c r="K59" s="31" t="str">
        <f aca="false">IF(OR($A59="",$D59=""),"",MIN(5,$D59+$R59))</f>
        <v/>
      </c>
      <c r="L59" s="31" t="str">
        <f aca="false">IF(OR($A59="",$E59=""),"",MIN(5,$E59+$S59))</f>
        <v/>
      </c>
      <c r="M59" s="22"/>
      <c r="N59" s="22"/>
      <c r="O59" s="25" t="str">
        <f aca="false">IF($A59="","",COUNTIF(PART_RISK!$E$5:$E$304,$A59))</f>
        <v/>
      </c>
      <c r="P59" s="28" t="str">
        <f aca="false">IF($A59="","",IF(COUNTIFS(PART_RISK!$E$5:$E$304,$A59,PART_RISK!$Q$5:$Q$304,"CRITICAL*")&gt;0,"CRITICAL",IF(COUNTIFS(PART_RISK!$E$5:$E$304,$A59,PART_RISK!$Q$5:$Q$304,"MONITOR")&gt;0,"MONITOR",IF(COUNTIFS(PART_RISK!$E$5:$E$304,$A59,PART_RISK!$Q$5:$Q$304,"LOW")&gt;0,"LOW","NOT SCORED"))))</f>
        <v/>
      </c>
      <c r="Q59" s="2" t="str">
        <f aca="false">IF($A59="","",COUNTIF($F59:$G59,"?*"))</f>
        <v/>
      </c>
      <c r="R59" s="2" t="str">
        <f aca="false">IF($A59="","",IF($H59="",0,IF(IFERROR(INDEX(LISTS!$E$2:$E$50,MATCH($H59,LISTS!$D$2:$D$50,0)),"")="External",0,1))+IF($I59="",0,IF(IFERROR(INDEX(LISTS!$E$2:$E$50,MATCH($I59,LISTS!$D$2:$D$50,0)),"")="External",0,1))+IF($J59="",0,IF(IFERROR(INDEX(LISTS!$E$2:$E$50,MATCH($J59,LISTS!$D$2:$D$50,0)),"")="External",0,1)))</f>
        <v/>
      </c>
      <c r="S59" s="2" t="str">
        <f aca="false">IF($A59="","",IF($H59="",0,IF(IFERROR(INDEX(LISTS!$E$2:$E$50,MATCH($H59,LISTS!$D$2:$D$50,0)),"")="External",1,0))+IF($I59="",0,IF(IFERROR(INDEX(LISTS!$E$2:$E$50,MATCH($I59,LISTS!$D$2:$D$50,0)),"")="External",1,0))+IF($J59="",0,IF(IFERROR(INDEX(LISTS!$E$2:$E$50,MATCH($J59,LISTS!$D$2:$D$50,0)),"")="External",1,0)))</f>
        <v/>
      </c>
    </row>
    <row r="60" customFormat="false" ht="15" hidden="false" customHeight="false" outlineLevel="0" collapsed="false">
      <c r="A60" s="20"/>
      <c r="B60" s="20"/>
      <c r="C60" s="20"/>
      <c r="D60" s="30"/>
      <c r="E60" s="30"/>
      <c r="F60" s="22"/>
      <c r="G60" s="22"/>
      <c r="H60" s="22"/>
      <c r="I60" s="22"/>
      <c r="J60" s="22"/>
      <c r="K60" s="31" t="str">
        <f aca="false">IF(OR($A60="",$D60=""),"",MIN(5,$D60+$R60))</f>
        <v/>
      </c>
      <c r="L60" s="31" t="str">
        <f aca="false">IF(OR($A60="",$E60=""),"",MIN(5,$E60+$S60))</f>
        <v/>
      </c>
      <c r="M60" s="22"/>
      <c r="N60" s="22"/>
      <c r="O60" s="25" t="str">
        <f aca="false">IF($A60="","",COUNTIF(PART_RISK!$E$5:$E$304,$A60))</f>
        <v/>
      </c>
      <c r="P60" s="28" t="str">
        <f aca="false">IF($A60="","",IF(COUNTIFS(PART_RISK!$E$5:$E$304,$A60,PART_RISK!$Q$5:$Q$304,"CRITICAL*")&gt;0,"CRITICAL",IF(COUNTIFS(PART_RISK!$E$5:$E$304,$A60,PART_RISK!$Q$5:$Q$304,"MONITOR")&gt;0,"MONITOR",IF(COUNTIFS(PART_RISK!$E$5:$E$304,$A60,PART_RISK!$Q$5:$Q$304,"LOW")&gt;0,"LOW","NOT SCORED"))))</f>
        <v/>
      </c>
      <c r="Q60" s="2" t="str">
        <f aca="false">IF($A60="","",COUNTIF($F60:$G60,"?*"))</f>
        <v/>
      </c>
      <c r="R60" s="2" t="str">
        <f aca="false">IF($A60="","",IF($H60="",0,IF(IFERROR(INDEX(LISTS!$E$2:$E$50,MATCH($H60,LISTS!$D$2:$D$50,0)),"")="External",0,1))+IF($I60="",0,IF(IFERROR(INDEX(LISTS!$E$2:$E$50,MATCH($I60,LISTS!$D$2:$D$50,0)),"")="External",0,1))+IF($J60="",0,IF(IFERROR(INDEX(LISTS!$E$2:$E$50,MATCH($J60,LISTS!$D$2:$D$50,0)),"")="External",0,1)))</f>
        <v/>
      </c>
      <c r="S60" s="2" t="str">
        <f aca="false">IF($A60="","",IF($H60="",0,IF(IFERROR(INDEX(LISTS!$E$2:$E$50,MATCH($H60,LISTS!$D$2:$D$50,0)),"")="External",1,0))+IF($I60="",0,IF(IFERROR(INDEX(LISTS!$E$2:$E$50,MATCH($I60,LISTS!$D$2:$D$50,0)),"")="External",1,0))+IF($J60="",0,IF(IFERROR(INDEX(LISTS!$E$2:$E$50,MATCH($J60,LISTS!$D$2:$D$50,0)),"")="External",1,0)))</f>
        <v/>
      </c>
    </row>
    <row r="61" customFormat="false" ht="15" hidden="false" customHeight="false" outlineLevel="0" collapsed="false">
      <c r="A61" s="20"/>
      <c r="B61" s="20"/>
      <c r="C61" s="20"/>
      <c r="D61" s="30"/>
      <c r="E61" s="30"/>
      <c r="F61" s="22"/>
      <c r="G61" s="22"/>
      <c r="H61" s="22"/>
      <c r="I61" s="22"/>
      <c r="J61" s="22"/>
      <c r="K61" s="31" t="str">
        <f aca="false">IF(OR($A61="",$D61=""),"",MIN(5,$D61+$R61))</f>
        <v/>
      </c>
      <c r="L61" s="31" t="str">
        <f aca="false">IF(OR($A61="",$E61=""),"",MIN(5,$E61+$S61))</f>
        <v/>
      </c>
      <c r="M61" s="22"/>
      <c r="N61" s="22"/>
      <c r="O61" s="25" t="str">
        <f aca="false">IF($A61="","",COUNTIF(PART_RISK!$E$5:$E$304,$A61))</f>
        <v/>
      </c>
      <c r="P61" s="28" t="str">
        <f aca="false">IF($A61="","",IF(COUNTIFS(PART_RISK!$E$5:$E$304,$A61,PART_RISK!$Q$5:$Q$304,"CRITICAL*")&gt;0,"CRITICAL",IF(COUNTIFS(PART_RISK!$E$5:$E$304,$A61,PART_RISK!$Q$5:$Q$304,"MONITOR")&gt;0,"MONITOR",IF(COUNTIFS(PART_RISK!$E$5:$E$304,$A61,PART_RISK!$Q$5:$Q$304,"LOW")&gt;0,"LOW","NOT SCORED"))))</f>
        <v/>
      </c>
      <c r="Q61" s="2" t="str">
        <f aca="false">IF($A61="","",COUNTIF($F61:$G61,"?*"))</f>
        <v/>
      </c>
      <c r="R61" s="2" t="str">
        <f aca="false">IF($A61="","",IF($H61="",0,IF(IFERROR(INDEX(LISTS!$E$2:$E$50,MATCH($H61,LISTS!$D$2:$D$50,0)),"")="External",0,1))+IF($I61="",0,IF(IFERROR(INDEX(LISTS!$E$2:$E$50,MATCH($I61,LISTS!$D$2:$D$50,0)),"")="External",0,1))+IF($J61="",0,IF(IFERROR(INDEX(LISTS!$E$2:$E$50,MATCH($J61,LISTS!$D$2:$D$50,0)),"")="External",0,1)))</f>
        <v/>
      </c>
      <c r="S61" s="2" t="str">
        <f aca="false">IF($A61="","",IF($H61="",0,IF(IFERROR(INDEX(LISTS!$E$2:$E$50,MATCH($H61,LISTS!$D$2:$D$50,0)),"")="External",1,0))+IF($I61="",0,IF(IFERROR(INDEX(LISTS!$E$2:$E$50,MATCH($I61,LISTS!$D$2:$D$50,0)),"")="External",1,0))+IF($J61="",0,IF(IFERROR(INDEX(LISTS!$E$2:$E$50,MATCH($J61,LISTS!$D$2:$D$50,0)),"")="External",1,0)))</f>
        <v/>
      </c>
    </row>
    <row r="62" customFormat="false" ht="15" hidden="false" customHeight="false" outlineLevel="0" collapsed="false">
      <c r="A62" s="20"/>
      <c r="B62" s="20"/>
      <c r="C62" s="20"/>
      <c r="D62" s="30"/>
      <c r="E62" s="30"/>
      <c r="F62" s="22"/>
      <c r="G62" s="22"/>
      <c r="H62" s="22"/>
      <c r="I62" s="22"/>
      <c r="J62" s="22"/>
      <c r="K62" s="31" t="str">
        <f aca="false">IF(OR($A62="",$D62=""),"",MIN(5,$D62+$R62))</f>
        <v/>
      </c>
      <c r="L62" s="31" t="str">
        <f aca="false">IF(OR($A62="",$E62=""),"",MIN(5,$E62+$S62))</f>
        <v/>
      </c>
      <c r="M62" s="22"/>
      <c r="N62" s="22"/>
      <c r="O62" s="25" t="str">
        <f aca="false">IF($A62="","",COUNTIF(PART_RISK!$E$5:$E$304,$A62))</f>
        <v/>
      </c>
      <c r="P62" s="28" t="str">
        <f aca="false">IF($A62="","",IF(COUNTIFS(PART_RISK!$E$5:$E$304,$A62,PART_RISK!$Q$5:$Q$304,"CRITICAL*")&gt;0,"CRITICAL",IF(COUNTIFS(PART_RISK!$E$5:$E$304,$A62,PART_RISK!$Q$5:$Q$304,"MONITOR")&gt;0,"MONITOR",IF(COUNTIFS(PART_RISK!$E$5:$E$304,$A62,PART_RISK!$Q$5:$Q$304,"LOW")&gt;0,"LOW","NOT SCORED"))))</f>
        <v/>
      </c>
      <c r="Q62" s="2" t="str">
        <f aca="false">IF($A62="","",COUNTIF($F62:$G62,"?*"))</f>
        <v/>
      </c>
      <c r="R62" s="2" t="str">
        <f aca="false">IF($A62="","",IF($H62="",0,IF(IFERROR(INDEX(LISTS!$E$2:$E$50,MATCH($H62,LISTS!$D$2:$D$50,0)),"")="External",0,1))+IF($I62="",0,IF(IFERROR(INDEX(LISTS!$E$2:$E$50,MATCH($I62,LISTS!$D$2:$D$50,0)),"")="External",0,1))+IF($J62="",0,IF(IFERROR(INDEX(LISTS!$E$2:$E$50,MATCH($J62,LISTS!$D$2:$D$50,0)),"")="External",0,1)))</f>
        <v/>
      </c>
      <c r="S62" s="2" t="str">
        <f aca="false">IF($A62="","",IF($H62="",0,IF(IFERROR(INDEX(LISTS!$E$2:$E$50,MATCH($H62,LISTS!$D$2:$D$50,0)),"")="External",1,0))+IF($I62="",0,IF(IFERROR(INDEX(LISTS!$E$2:$E$50,MATCH($I62,LISTS!$D$2:$D$50,0)),"")="External",1,0))+IF($J62="",0,IF(IFERROR(INDEX(LISTS!$E$2:$E$50,MATCH($J62,LISTS!$D$2:$D$50,0)),"")="External",1,0)))</f>
        <v/>
      </c>
    </row>
    <row r="63" customFormat="false" ht="15" hidden="false" customHeight="false" outlineLevel="0" collapsed="false">
      <c r="A63" s="20"/>
      <c r="B63" s="20"/>
      <c r="C63" s="20"/>
      <c r="D63" s="30"/>
      <c r="E63" s="30"/>
      <c r="F63" s="22"/>
      <c r="G63" s="22"/>
      <c r="H63" s="22"/>
      <c r="I63" s="22"/>
      <c r="J63" s="22"/>
      <c r="K63" s="31" t="str">
        <f aca="false">IF(OR($A63="",$D63=""),"",MIN(5,$D63+$R63))</f>
        <v/>
      </c>
      <c r="L63" s="31" t="str">
        <f aca="false">IF(OR($A63="",$E63=""),"",MIN(5,$E63+$S63))</f>
        <v/>
      </c>
      <c r="M63" s="22"/>
      <c r="N63" s="22"/>
      <c r="O63" s="25" t="str">
        <f aca="false">IF($A63="","",COUNTIF(PART_RISK!$E$5:$E$304,$A63))</f>
        <v/>
      </c>
      <c r="P63" s="28" t="str">
        <f aca="false">IF($A63="","",IF(COUNTIFS(PART_RISK!$E$5:$E$304,$A63,PART_RISK!$Q$5:$Q$304,"CRITICAL*")&gt;0,"CRITICAL",IF(COUNTIFS(PART_RISK!$E$5:$E$304,$A63,PART_RISK!$Q$5:$Q$304,"MONITOR")&gt;0,"MONITOR",IF(COUNTIFS(PART_RISK!$E$5:$E$304,$A63,PART_RISK!$Q$5:$Q$304,"LOW")&gt;0,"LOW","NOT SCORED"))))</f>
        <v/>
      </c>
      <c r="Q63" s="2" t="str">
        <f aca="false">IF($A63="","",COUNTIF($F63:$G63,"?*"))</f>
        <v/>
      </c>
      <c r="R63" s="2" t="str">
        <f aca="false">IF($A63="","",IF($H63="",0,IF(IFERROR(INDEX(LISTS!$E$2:$E$50,MATCH($H63,LISTS!$D$2:$D$50,0)),"")="External",0,1))+IF($I63="",0,IF(IFERROR(INDEX(LISTS!$E$2:$E$50,MATCH($I63,LISTS!$D$2:$D$50,0)),"")="External",0,1))+IF($J63="",0,IF(IFERROR(INDEX(LISTS!$E$2:$E$50,MATCH($J63,LISTS!$D$2:$D$50,0)),"")="External",0,1)))</f>
        <v/>
      </c>
      <c r="S63" s="2" t="str">
        <f aca="false">IF($A63="","",IF($H63="",0,IF(IFERROR(INDEX(LISTS!$E$2:$E$50,MATCH($H63,LISTS!$D$2:$D$50,0)),"")="External",1,0))+IF($I63="",0,IF(IFERROR(INDEX(LISTS!$E$2:$E$50,MATCH($I63,LISTS!$D$2:$D$50,0)),"")="External",1,0))+IF($J63="",0,IF(IFERROR(INDEX(LISTS!$E$2:$E$50,MATCH($J63,LISTS!$D$2:$D$50,0)),"")="External",1,0)))</f>
        <v/>
      </c>
    </row>
  </sheetData>
  <conditionalFormatting sqref="P4:P63">
    <cfRule type="containsText" priority="2" operator="containsText" aboveAverage="0" equalAverage="0" bottom="0" percent="0" rank="0" text="CRITICAL" dxfId="0">
      <formula>NOT(ISERROR(SEARCH("CRITICAL",P4)))</formula>
    </cfRule>
    <cfRule type="containsText" priority="3" operator="containsText" aboveAverage="0" equalAverage="0" bottom="0" percent="0" rank="0" text="MONITOR" dxfId="1">
      <formula>NOT(ISERROR(SEARCH("MONITOR",P4)))</formula>
    </cfRule>
    <cfRule type="containsText" priority="4" operator="containsText" aboveAverage="0" equalAverage="0" bottom="0" percent="0" rank="0" text="LOW" dxfId="2">
      <formula>NOT(ISERROR(SEARCH("LOW",P4)))</formula>
    </cfRule>
  </conditionalFormatting>
  <dataValidations count="4">
    <dataValidation allowBlank="true" errorStyle="stop" operator="between" showDropDown="false" showErrorMessage="false" showInputMessage="false" sqref="C4:C63" type="list">
      <formula1>StatusList</formula1>
      <formula2>0</formula2>
    </dataValidation>
    <dataValidation allowBlank="true" errorStyle="stop" operator="between" showDropDown="false" showErrorMessage="false" showInputMessage="false" sqref="D4:E63" type="list">
      <formula1>Score15</formula1>
      <formula2>0</formula2>
    </dataValidation>
    <dataValidation allowBlank="true" errorStyle="stop" operator="between" showDropDown="false" showErrorMessage="false" showInputMessage="false" sqref="F4:G63" type="list">
      <formula1>RedFlagsSup</formula1>
      <formula2>0</formula2>
    </dataValidation>
    <dataValidation allowBlank="true" errorStyle="stop" operator="between" showDropDown="false" showErrorMessage="false" showInputMessage="false" sqref="H4:J63" type="list">
      <formula1>YellowFlagsSup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40"/>
    <col collapsed="false" customWidth="true" hidden="false" outlineLevel="0" max="3" min="3" style="0" width="14"/>
    <col collapsed="false" customWidth="true" hidden="false" outlineLevel="0" max="4" min="4" style="0" width="8"/>
    <col collapsed="false" customWidth="true" hidden="false" outlineLevel="0" max="6" min="5" style="0" width="9"/>
    <col collapsed="false" customWidth="true" hidden="false" outlineLevel="0" max="7" min="7" style="0" width="8"/>
    <col collapsed="false" customWidth="true" hidden="false" outlineLevel="0" max="8" min="8" style="0" width="11"/>
    <col collapsed="false" customWidth="true" hidden="false" outlineLevel="0" max="9" min="9" style="0" width="10"/>
    <col collapsed="false" customWidth="true" hidden="false" outlineLevel="0" max="10" min="10" style="0" width="14"/>
    <col collapsed="false" customWidth="true" hidden="false" outlineLevel="0" max="11" min="11" style="0" width="16"/>
  </cols>
  <sheetData>
    <row r="1" customFormat="false" ht="17.35" hidden="false" customHeight="false" outlineLevel="0" collapsed="false">
      <c r="A1" s="1" t="s">
        <v>136</v>
      </c>
    </row>
    <row r="2" customFormat="false" ht="15" hidden="false" customHeight="false" outlineLevel="0" collapsed="false">
      <c r="A2" s="2" t="s">
        <v>137</v>
      </c>
    </row>
    <row r="3" customFormat="false" ht="22.35" hidden="false" customHeight="false" outlineLevel="0" collapsed="false">
      <c r="A3" s="5" t="s">
        <v>138</v>
      </c>
      <c r="B3" s="5" t="s">
        <v>40</v>
      </c>
      <c r="C3" s="5" t="s">
        <v>139</v>
      </c>
      <c r="D3" s="5" t="s">
        <v>29</v>
      </c>
      <c r="E3" s="5" t="s">
        <v>20</v>
      </c>
      <c r="F3" s="5" t="s">
        <v>21</v>
      </c>
      <c r="G3" s="5" t="s">
        <v>22</v>
      </c>
      <c r="H3" s="5" t="s">
        <v>140</v>
      </c>
      <c r="I3" s="5" t="s">
        <v>141</v>
      </c>
      <c r="J3" s="5" t="s">
        <v>142</v>
      </c>
      <c r="K3" s="5" t="s">
        <v>143</v>
      </c>
    </row>
    <row r="4" customFormat="false" ht="15" hidden="false" customHeight="false" outlineLevel="0" collapsed="false">
      <c r="A4" s="20" t="s">
        <v>36</v>
      </c>
      <c r="B4" s="22"/>
      <c r="C4" s="25" t="str">
        <f aca="false">IF($A4="","",IF(COUNTIFS(PART_RISK!$D$5:$D$304,"Tissue*",PART_RISK!$A$5:$A$304,$A4)&gt;0,"Yes","No"))</f>
        <v>Yes</v>
      </c>
      <c r="D4" s="25" t="n">
        <f aca="false">IF($A4="","",COUNTIF(PART_RISK!$A$5:$A$304,$A4))</f>
        <v>6</v>
      </c>
      <c r="E4" s="25" t="n">
        <f aca="false">IF($A4="","",COUNTIFS(PART_RISK!$A$5:$A$304,$A4,PART_RISK!$Q$5:$Q$304,"CRITICAL*"))</f>
        <v>1</v>
      </c>
      <c r="F4" s="25" t="n">
        <f aca="false">IF($A4="","",COUNTIFS(PART_RISK!$A$5:$A$304,$A4,PART_RISK!$Q$5:$Q$304,"MONITOR"))</f>
        <v>3</v>
      </c>
      <c r="G4" s="25" t="n">
        <f aca="false">IF($A4="","",COUNTIFS(PART_RISK!$A$5:$A$304,$A4,PART_RISK!$Q$5:$Q$304,"LOW"))</f>
        <v>0</v>
      </c>
      <c r="H4" s="25" t="n">
        <f aca="false">IF($A4="","",COUNTIFS(PART_RISK!$A$5:$A$304,$A4,PART_RISK!$Q$5:$Q$304,"NOT SCORED"))</f>
        <v>2</v>
      </c>
      <c r="I4" s="26" t="n">
        <f aca="false">IF($A4="","",IF($E4+$F4+$G4=0,"",_xlfn.MAXIFS(PART_RISK!$P$5:$P$304,PART_RISK!$A$5:$A$304,$A4)))</f>
        <v>20.5</v>
      </c>
      <c r="J4" s="28" t="str">
        <f aca="false">IF($A4="","",IF($E4&gt;0,"CRITICAL",IF($F4&gt;0,"MONITOR",IF($G4&gt;0,"LOW","NOT SCORED"))))</f>
        <v>CRITICAL</v>
      </c>
      <c r="K4" s="23"/>
    </row>
    <row r="5" customFormat="false" ht="15" hidden="false" customHeight="false" outlineLevel="0" collapsed="false">
      <c r="A5" s="20" t="s">
        <v>144</v>
      </c>
      <c r="B5" s="22"/>
      <c r="C5" s="25" t="str">
        <f aca="false">IF($A5="","",IF(COUNTIFS(PART_RISK!$D$5:$D$304,"Tissue*",PART_RISK!$A$5:$A$304,$A5)&gt;0,"Yes","No"))</f>
        <v>No</v>
      </c>
      <c r="D5" s="25" t="n">
        <f aca="false">IF($A5="","",COUNTIF(PART_RISK!$A$5:$A$304,$A5))</f>
        <v>0</v>
      </c>
      <c r="E5" s="25" t="n">
        <f aca="false">IF($A5="","",COUNTIFS(PART_RISK!$A$5:$A$304,$A5,PART_RISK!$Q$5:$Q$304,"CRITICAL*"))</f>
        <v>0</v>
      </c>
      <c r="F5" s="25" t="n">
        <f aca="false">IF($A5="","",COUNTIFS(PART_RISK!$A$5:$A$304,$A5,PART_RISK!$Q$5:$Q$304,"MONITOR"))</f>
        <v>0</v>
      </c>
      <c r="G5" s="25" t="n">
        <f aca="false">IF($A5="","",COUNTIFS(PART_RISK!$A$5:$A$304,$A5,PART_RISK!$Q$5:$Q$304,"LOW"))</f>
        <v>0</v>
      </c>
      <c r="H5" s="25" t="n">
        <f aca="false">IF($A5="","",COUNTIFS(PART_RISK!$A$5:$A$304,$A5,PART_RISK!$Q$5:$Q$304,"NOT SCORED"))</f>
        <v>0</v>
      </c>
      <c r="I5" s="26" t="str">
        <f aca="false">IF($A5="","",IF($E5+$F5+$G5=0,"",_xlfn.MAXIFS(PART_RISK!$P$5:$P$304,PART_RISK!$A$5:$A$304,$A5)))</f>
        <v/>
      </c>
      <c r="J5" s="28" t="str">
        <f aca="false">IF($A5="","",IF($E5&gt;0,"CRITICAL",IF($F5&gt;0,"MONITOR",IF($G5&gt;0,"LOW","NOT SCORED"))))</f>
        <v>NOT SCORED</v>
      </c>
      <c r="K5" s="23"/>
    </row>
    <row r="6" customFormat="false" ht="15" hidden="false" customHeight="false" outlineLevel="0" collapsed="false">
      <c r="A6" s="20" t="s">
        <v>145</v>
      </c>
      <c r="B6" s="22"/>
      <c r="C6" s="25" t="str">
        <f aca="false">IF($A6="","",IF(COUNTIFS(PART_RISK!$D$5:$D$304,"Tissue*",PART_RISK!$A$5:$A$304,$A6)&gt;0,"Yes","No"))</f>
        <v>No</v>
      </c>
      <c r="D6" s="25" t="n">
        <f aca="false">IF($A6="","",COUNTIF(PART_RISK!$A$5:$A$304,$A6))</f>
        <v>0</v>
      </c>
      <c r="E6" s="25" t="n">
        <f aca="false">IF($A6="","",COUNTIFS(PART_RISK!$A$5:$A$304,$A6,PART_RISK!$Q$5:$Q$304,"CRITICAL*"))</f>
        <v>0</v>
      </c>
      <c r="F6" s="25" t="n">
        <f aca="false">IF($A6="","",COUNTIFS(PART_RISK!$A$5:$A$304,$A6,PART_RISK!$Q$5:$Q$304,"MONITOR"))</f>
        <v>0</v>
      </c>
      <c r="G6" s="25" t="n">
        <f aca="false">IF($A6="","",COUNTIFS(PART_RISK!$A$5:$A$304,$A6,PART_RISK!$Q$5:$Q$304,"LOW"))</f>
        <v>0</v>
      </c>
      <c r="H6" s="25" t="n">
        <f aca="false">IF($A6="","",COUNTIFS(PART_RISK!$A$5:$A$304,$A6,PART_RISK!$Q$5:$Q$304,"NOT SCORED"))</f>
        <v>0</v>
      </c>
      <c r="I6" s="26" t="str">
        <f aca="false">IF($A6="","",IF($E6+$F6+$G6=0,"",_xlfn.MAXIFS(PART_RISK!$P$5:$P$304,PART_RISK!$A$5:$A$304,$A6)))</f>
        <v/>
      </c>
      <c r="J6" s="28" t="str">
        <f aca="false">IF($A6="","",IF($E6&gt;0,"CRITICAL",IF($F6&gt;0,"MONITOR",IF($G6&gt;0,"LOW","NOT SCORED"))))</f>
        <v>NOT SCORED</v>
      </c>
      <c r="K6" s="23"/>
    </row>
    <row r="7" customFormat="false" ht="15" hidden="false" customHeight="false" outlineLevel="0" collapsed="false">
      <c r="A7" s="20" t="s">
        <v>146</v>
      </c>
      <c r="B7" s="22"/>
      <c r="C7" s="25" t="str">
        <f aca="false">IF($A7="","",IF(COUNTIFS(PART_RISK!$D$5:$D$304,"Tissue*",PART_RISK!$A$5:$A$304,$A7)&gt;0,"Yes","No"))</f>
        <v>No</v>
      </c>
      <c r="D7" s="25" t="n">
        <f aca="false">IF($A7="","",COUNTIF(PART_RISK!$A$5:$A$304,$A7))</f>
        <v>0</v>
      </c>
      <c r="E7" s="25" t="n">
        <f aca="false">IF($A7="","",COUNTIFS(PART_RISK!$A$5:$A$304,$A7,PART_RISK!$Q$5:$Q$304,"CRITICAL*"))</f>
        <v>0</v>
      </c>
      <c r="F7" s="25" t="n">
        <f aca="false">IF($A7="","",COUNTIFS(PART_RISK!$A$5:$A$304,$A7,PART_RISK!$Q$5:$Q$304,"MONITOR"))</f>
        <v>0</v>
      </c>
      <c r="G7" s="25" t="n">
        <f aca="false">IF($A7="","",COUNTIFS(PART_RISK!$A$5:$A$304,$A7,PART_RISK!$Q$5:$Q$304,"LOW"))</f>
        <v>0</v>
      </c>
      <c r="H7" s="25" t="n">
        <f aca="false">IF($A7="","",COUNTIFS(PART_RISK!$A$5:$A$304,$A7,PART_RISK!$Q$5:$Q$304,"NOT SCORED"))</f>
        <v>0</v>
      </c>
      <c r="I7" s="26" t="str">
        <f aca="false">IF($A7="","",IF($E7+$F7+$G7=0,"",_xlfn.MAXIFS(PART_RISK!$P$5:$P$304,PART_RISK!$A$5:$A$304,$A7)))</f>
        <v/>
      </c>
      <c r="J7" s="28" t="str">
        <f aca="false">IF($A7="","",IF($E7&gt;0,"CRITICAL",IF($F7&gt;0,"MONITOR",IF($G7&gt;0,"LOW","NOT SCORED"))))</f>
        <v>NOT SCORED</v>
      </c>
      <c r="K7" s="23"/>
    </row>
    <row r="8" customFormat="false" ht="15" hidden="false" customHeight="false" outlineLevel="0" collapsed="false">
      <c r="A8" s="20" t="s">
        <v>147</v>
      </c>
      <c r="B8" s="22"/>
      <c r="C8" s="25" t="str">
        <f aca="false">IF($A8="","",IF(COUNTIFS(PART_RISK!$D$5:$D$304,"Tissue*",PART_RISK!$A$5:$A$304,$A8)&gt;0,"Yes","No"))</f>
        <v>No</v>
      </c>
      <c r="D8" s="25" t="n">
        <f aca="false">IF($A8="","",COUNTIF(PART_RISK!$A$5:$A$304,$A8))</f>
        <v>0</v>
      </c>
      <c r="E8" s="25" t="n">
        <f aca="false">IF($A8="","",COUNTIFS(PART_RISK!$A$5:$A$304,$A8,PART_RISK!$Q$5:$Q$304,"CRITICAL*"))</f>
        <v>0</v>
      </c>
      <c r="F8" s="25" t="n">
        <f aca="false">IF($A8="","",COUNTIFS(PART_RISK!$A$5:$A$304,$A8,PART_RISK!$Q$5:$Q$304,"MONITOR"))</f>
        <v>0</v>
      </c>
      <c r="G8" s="25" t="n">
        <f aca="false">IF($A8="","",COUNTIFS(PART_RISK!$A$5:$A$304,$A8,PART_RISK!$Q$5:$Q$304,"LOW"))</f>
        <v>0</v>
      </c>
      <c r="H8" s="25" t="n">
        <f aca="false">IF($A8="","",COUNTIFS(PART_RISK!$A$5:$A$304,$A8,PART_RISK!$Q$5:$Q$304,"NOT SCORED"))</f>
        <v>0</v>
      </c>
      <c r="I8" s="26" t="str">
        <f aca="false">IF($A8="","",IF($E8+$F8+$G8=0,"",_xlfn.MAXIFS(PART_RISK!$P$5:$P$304,PART_RISK!$A$5:$A$304,$A8)))</f>
        <v/>
      </c>
      <c r="J8" s="28" t="str">
        <f aca="false">IF($A8="","",IF($E8&gt;0,"CRITICAL",IF($F8&gt;0,"MONITOR",IF($G8&gt;0,"LOW","NOT SCORED"))))</f>
        <v>NOT SCORED</v>
      </c>
      <c r="K8" s="23"/>
    </row>
    <row r="9" customFormat="false" ht="15" hidden="false" customHeight="false" outlineLevel="0" collapsed="false">
      <c r="A9" s="20"/>
      <c r="B9" s="22"/>
      <c r="C9" s="25" t="str">
        <f aca="false">IF($A9="","",IF(COUNTIFS(PART_RISK!$D$5:$D$304,"Tissue*",PART_RISK!$A$5:$A$304,$A9)&gt;0,"Yes","No"))</f>
        <v/>
      </c>
      <c r="D9" s="25" t="str">
        <f aca="false">IF($A9="","",COUNTIF(PART_RISK!$A$5:$A$304,$A9))</f>
        <v/>
      </c>
      <c r="E9" s="25" t="str">
        <f aca="false">IF($A9="","",COUNTIFS(PART_RISK!$A$5:$A$304,$A9,PART_RISK!$Q$5:$Q$304,"CRITICAL*"))</f>
        <v/>
      </c>
      <c r="F9" s="25" t="str">
        <f aca="false">IF($A9="","",COUNTIFS(PART_RISK!$A$5:$A$304,$A9,PART_RISK!$Q$5:$Q$304,"MONITOR"))</f>
        <v/>
      </c>
      <c r="G9" s="25" t="str">
        <f aca="false">IF($A9="","",COUNTIFS(PART_RISK!$A$5:$A$304,$A9,PART_RISK!$Q$5:$Q$304,"LOW"))</f>
        <v/>
      </c>
      <c r="H9" s="25" t="str">
        <f aca="false">IF($A9="","",COUNTIFS(PART_RISK!$A$5:$A$304,$A9,PART_RISK!$Q$5:$Q$304,"NOT SCORED"))</f>
        <v/>
      </c>
      <c r="I9" s="26" t="str">
        <f aca="false">IF($A9="","",IF($E9+$F9+$G9=0,"",_xlfn.MAXIFS(PART_RISK!$P$5:$P$304,PART_RISK!$A$5:$A$304,$A9)))</f>
        <v/>
      </c>
      <c r="J9" s="28" t="str">
        <f aca="false">IF($A9="","",IF($E9&gt;0,"CRITICAL",IF($F9&gt;0,"MONITOR",IF($G9&gt;0,"LOW","NOT SCORED"))))</f>
        <v/>
      </c>
      <c r="K9" s="23"/>
    </row>
    <row r="10" customFormat="false" ht="15" hidden="false" customHeight="false" outlineLevel="0" collapsed="false">
      <c r="A10" s="20"/>
      <c r="B10" s="22"/>
      <c r="C10" s="25" t="str">
        <f aca="false">IF($A10="","",IF(COUNTIFS(PART_RISK!$D$5:$D$304,"Tissue*",PART_RISK!$A$5:$A$304,$A10)&gt;0,"Yes","No"))</f>
        <v/>
      </c>
      <c r="D10" s="25" t="str">
        <f aca="false">IF($A10="","",COUNTIF(PART_RISK!$A$5:$A$304,$A10))</f>
        <v/>
      </c>
      <c r="E10" s="25" t="str">
        <f aca="false">IF($A10="","",COUNTIFS(PART_RISK!$A$5:$A$304,$A10,PART_RISK!$Q$5:$Q$304,"CRITICAL*"))</f>
        <v/>
      </c>
      <c r="F10" s="25" t="str">
        <f aca="false">IF($A10="","",COUNTIFS(PART_RISK!$A$5:$A$304,$A10,PART_RISK!$Q$5:$Q$304,"MONITOR"))</f>
        <v/>
      </c>
      <c r="G10" s="25" t="str">
        <f aca="false">IF($A10="","",COUNTIFS(PART_RISK!$A$5:$A$304,$A10,PART_RISK!$Q$5:$Q$304,"LOW"))</f>
        <v/>
      </c>
      <c r="H10" s="25" t="str">
        <f aca="false">IF($A10="","",COUNTIFS(PART_RISK!$A$5:$A$304,$A10,PART_RISK!$Q$5:$Q$304,"NOT SCORED"))</f>
        <v/>
      </c>
      <c r="I10" s="26" t="str">
        <f aca="false">IF($A10="","",IF($E10+$F10+$G10=0,"",_xlfn.MAXIFS(PART_RISK!$P$5:$P$304,PART_RISK!$A$5:$A$304,$A10)))</f>
        <v/>
      </c>
      <c r="J10" s="28" t="str">
        <f aca="false">IF($A10="","",IF($E10&gt;0,"CRITICAL",IF($F10&gt;0,"MONITOR",IF($G10&gt;0,"LOW","NOT SCORED"))))</f>
        <v/>
      </c>
      <c r="K10" s="23"/>
    </row>
    <row r="11" customFormat="false" ht="15" hidden="false" customHeight="false" outlineLevel="0" collapsed="false">
      <c r="A11" s="20"/>
      <c r="B11" s="22"/>
      <c r="C11" s="25" t="str">
        <f aca="false">IF($A11="","",IF(COUNTIFS(PART_RISK!$D$5:$D$304,"Tissue*",PART_RISK!$A$5:$A$304,$A11)&gt;0,"Yes","No"))</f>
        <v/>
      </c>
      <c r="D11" s="25" t="str">
        <f aca="false">IF($A11="","",COUNTIF(PART_RISK!$A$5:$A$304,$A11))</f>
        <v/>
      </c>
      <c r="E11" s="25" t="str">
        <f aca="false">IF($A11="","",COUNTIFS(PART_RISK!$A$5:$A$304,$A11,PART_RISK!$Q$5:$Q$304,"CRITICAL*"))</f>
        <v/>
      </c>
      <c r="F11" s="25" t="str">
        <f aca="false">IF($A11="","",COUNTIFS(PART_RISK!$A$5:$A$304,$A11,PART_RISK!$Q$5:$Q$304,"MONITOR"))</f>
        <v/>
      </c>
      <c r="G11" s="25" t="str">
        <f aca="false">IF($A11="","",COUNTIFS(PART_RISK!$A$5:$A$304,$A11,PART_RISK!$Q$5:$Q$304,"LOW"))</f>
        <v/>
      </c>
      <c r="H11" s="25" t="str">
        <f aca="false">IF($A11="","",COUNTIFS(PART_RISK!$A$5:$A$304,$A11,PART_RISK!$Q$5:$Q$304,"NOT SCORED"))</f>
        <v/>
      </c>
      <c r="I11" s="26" t="str">
        <f aca="false">IF($A11="","",IF($E11+$F11+$G11=0,"",_xlfn.MAXIFS(PART_RISK!$P$5:$P$304,PART_RISK!$A$5:$A$304,$A11)))</f>
        <v/>
      </c>
      <c r="J11" s="28" t="str">
        <f aca="false">IF($A11="","",IF($E11&gt;0,"CRITICAL",IF($F11&gt;0,"MONITOR",IF($G11&gt;0,"LOW","NOT SCORED"))))</f>
        <v/>
      </c>
      <c r="K11" s="23"/>
    </row>
    <row r="12" customFormat="false" ht="15" hidden="false" customHeight="false" outlineLevel="0" collapsed="false">
      <c r="A12" s="20"/>
      <c r="B12" s="22"/>
      <c r="C12" s="25" t="str">
        <f aca="false">IF($A12="","",IF(COUNTIFS(PART_RISK!$D$5:$D$304,"Tissue*",PART_RISK!$A$5:$A$304,$A12)&gt;0,"Yes","No"))</f>
        <v/>
      </c>
      <c r="D12" s="25" t="str">
        <f aca="false">IF($A12="","",COUNTIF(PART_RISK!$A$5:$A$304,$A12))</f>
        <v/>
      </c>
      <c r="E12" s="25" t="str">
        <f aca="false">IF($A12="","",COUNTIFS(PART_RISK!$A$5:$A$304,$A12,PART_RISK!$Q$5:$Q$304,"CRITICAL*"))</f>
        <v/>
      </c>
      <c r="F12" s="25" t="str">
        <f aca="false">IF($A12="","",COUNTIFS(PART_RISK!$A$5:$A$304,$A12,PART_RISK!$Q$5:$Q$304,"MONITOR"))</f>
        <v/>
      </c>
      <c r="G12" s="25" t="str">
        <f aca="false">IF($A12="","",COUNTIFS(PART_RISK!$A$5:$A$304,$A12,PART_RISK!$Q$5:$Q$304,"LOW"))</f>
        <v/>
      </c>
      <c r="H12" s="25" t="str">
        <f aca="false">IF($A12="","",COUNTIFS(PART_RISK!$A$5:$A$304,$A12,PART_RISK!$Q$5:$Q$304,"NOT SCORED"))</f>
        <v/>
      </c>
      <c r="I12" s="26" t="str">
        <f aca="false">IF($A12="","",IF($E12+$F12+$G12=0,"",_xlfn.MAXIFS(PART_RISK!$P$5:$P$304,PART_RISK!$A$5:$A$304,$A12)))</f>
        <v/>
      </c>
      <c r="J12" s="28" t="str">
        <f aca="false">IF($A12="","",IF($E12&gt;0,"CRITICAL",IF($F12&gt;0,"MONITOR",IF($G12&gt;0,"LOW","NOT SCORED"))))</f>
        <v/>
      </c>
      <c r="K12" s="23"/>
    </row>
    <row r="13" customFormat="false" ht="15" hidden="false" customHeight="false" outlineLevel="0" collapsed="false">
      <c r="A13" s="20"/>
      <c r="B13" s="22"/>
      <c r="C13" s="25" t="str">
        <f aca="false">IF($A13="","",IF(COUNTIFS(PART_RISK!$D$5:$D$304,"Tissue*",PART_RISK!$A$5:$A$304,$A13)&gt;0,"Yes","No"))</f>
        <v/>
      </c>
      <c r="D13" s="25" t="str">
        <f aca="false">IF($A13="","",COUNTIF(PART_RISK!$A$5:$A$304,$A13))</f>
        <v/>
      </c>
      <c r="E13" s="25" t="str">
        <f aca="false">IF($A13="","",COUNTIFS(PART_RISK!$A$5:$A$304,$A13,PART_RISK!$Q$5:$Q$304,"CRITICAL*"))</f>
        <v/>
      </c>
      <c r="F13" s="25" t="str">
        <f aca="false">IF($A13="","",COUNTIFS(PART_RISK!$A$5:$A$304,$A13,PART_RISK!$Q$5:$Q$304,"MONITOR"))</f>
        <v/>
      </c>
      <c r="G13" s="25" t="str">
        <f aca="false">IF($A13="","",COUNTIFS(PART_RISK!$A$5:$A$304,$A13,PART_RISK!$Q$5:$Q$304,"LOW"))</f>
        <v/>
      </c>
      <c r="H13" s="25" t="str">
        <f aca="false">IF($A13="","",COUNTIFS(PART_RISK!$A$5:$A$304,$A13,PART_RISK!$Q$5:$Q$304,"NOT SCORED"))</f>
        <v/>
      </c>
      <c r="I13" s="26" t="str">
        <f aca="false">IF($A13="","",IF($E13+$F13+$G13=0,"",_xlfn.MAXIFS(PART_RISK!$P$5:$P$304,PART_RISK!$A$5:$A$304,$A13)))</f>
        <v/>
      </c>
      <c r="J13" s="28" t="str">
        <f aca="false">IF($A13="","",IF($E13&gt;0,"CRITICAL",IF($F13&gt;0,"MONITOR",IF($G13&gt;0,"LOW","NOT SCORED"))))</f>
        <v/>
      </c>
      <c r="K13" s="23"/>
    </row>
    <row r="14" customFormat="false" ht="15" hidden="false" customHeight="false" outlineLevel="0" collapsed="false">
      <c r="A14" s="20"/>
      <c r="B14" s="22"/>
      <c r="C14" s="25" t="str">
        <f aca="false">IF($A14="","",IF(COUNTIFS(PART_RISK!$D$5:$D$304,"Tissue*",PART_RISK!$A$5:$A$304,$A14)&gt;0,"Yes","No"))</f>
        <v/>
      </c>
      <c r="D14" s="25" t="str">
        <f aca="false">IF($A14="","",COUNTIF(PART_RISK!$A$5:$A$304,$A14))</f>
        <v/>
      </c>
      <c r="E14" s="25" t="str">
        <f aca="false">IF($A14="","",COUNTIFS(PART_RISK!$A$5:$A$304,$A14,PART_RISK!$Q$5:$Q$304,"CRITICAL*"))</f>
        <v/>
      </c>
      <c r="F14" s="25" t="str">
        <f aca="false">IF($A14="","",COUNTIFS(PART_RISK!$A$5:$A$304,$A14,PART_RISK!$Q$5:$Q$304,"MONITOR"))</f>
        <v/>
      </c>
      <c r="G14" s="25" t="str">
        <f aca="false">IF($A14="","",COUNTIFS(PART_RISK!$A$5:$A$304,$A14,PART_RISK!$Q$5:$Q$304,"LOW"))</f>
        <v/>
      </c>
      <c r="H14" s="25" t="str">
        <f aca="false">IF($A14="","",COUNTIFS(PART_RISK!$A$5:$A$304,$A14,PART_RISK!$Q$5:$Q$304,"NOT SCORED"))</f>
        <v/>
      </c>
      <c r="I14" s="26" t="str">
        <f aca="false">IF($A14="","",IF($E14+$F14+$G14=0,"",_xlfn.MAXIFS(PART_RISK!$P$5:$P$304,PART_RISK!$A$5:$A$304,$A14)))</f>
        <v/>
      </c>
      <c r="J14" s="28" t="str">
        <f aca="false">IF($A14="","",IF($E14&gt;0,"CRITICAL",IF($F14&gt;0,"MONITOR",IF($G14&gt;0,"LOW","NOT SCORED"))))</f>
        <v/>
      </c>
      <c r="K14" s="23"/>
    </row>
    <row r="15" customFormat="false" ht="15" hidden="false" customHeight="false" outlineLevel="0" collapsed="false">
      <c r="A15" s="20"/>
      <c r="B15" s="22"/>
      <c r="C15" s="25" t="str">
        <f aca="false">IF($A15="","",IF(COUNTIFS(PART_RISK!$D$5:$D$304,"Tissue*",PART_RISK!$A$5:$A$304,$A15)&gt;0,"Yes","No"))</f>
        <v/>
      </c>
      <c r="D15" s="25" t="str">
        <f aca="false">IF($A15="","",COUNTIF(PART_RISK!$A$5:$A$304,$A15))</f>
        <v/>
      </c>
      <c r="E15" s="25" t="str">
        <f aca="false">IF($A15="","",COUNTIFS(PART_RISK!$A$5:$A$304,$A15,PART_RISK!$Q$5:$Q$304,"CRITICAL*"))</f>
        <v/>
      </c>
      <c r="F15" s="25" t="str">
        <f aca="false">IF($A15="","",COUNTIFS(PART_RISK!$A$5:$A$304,$A15,PART_RISK!$Q$5:$Q$304,"MONITOR"))</f>
        <v/>
      </c>
      <c r="G15" s="25" t="str">
        <f aca="false">IF($A15="","",COUNTIFS(PART_RISK!$A$5:$A$304,$A15,PART_RISK!$Q$5:$Q$304,"LOW"))</f>
        <v/>
      </c>
      <c r="H15" s="25" t="str">
        <f aca="false">IF($A15="","",COUNTIFS(PART_RISK!$A$5:$A$304,$A15,PART_RISK!$Q$5:$Q$304,"NOT SCORED"))</f>
        <v/>
      </c>
      <c r="I15" s="26" t="str">
        <f aca="false">IF($A15="","",IF($E15+$F15+$G15=0,"",_xlfn.MAXIFS(PART_RISK!$P$5:$P$304,PART_RISK!$A$5:$A$304,$A15)))</f>
        <v/>
      </c>
      <c r="J15" s="28" t="str">
        <f aca="false">IF($A15="","",IF($E15&gt;0,"CRITICAL",IF($F15&gt;0,"MONITOR",IF($G15&gt;0,"LOW","NOT SCORED"))))</f>
        <v/>
      </c>
      <c r="K15" s="23"/>
    </row>
    <row r="16" customFormat="false" ht="15" hidden="false" customHeight="false" outlineLevel="0" collapsed="false">
      <c r="A16" s="20"/>
      <c r="B16" s="22"/>
      <c r="C16" s="25" t="str">
        <f aca="false">IF($A16="","",IF(COUNTIFS(PART_RISK!$D$5:$D$304,"Tissue*",PART_RISK!$A$5:$A$304,$A16)&gt;0,"Yes","No"))</f>
        <v/>
      </c>
      <c r="D16" s="25" t="str">
        <f aca="false">IF($A16="","",COUNTIF(PART_RISK!$A$5:$A$304,$A16))</f>
        <v/>
      </c>
      <c r="E16" s="25" t="str">
        <f aca="false">IF($A16="","",COUNTIFS(PART_RISK!$A$5:$A$304,$A16,PART_RISK!$Q$5:$Q$304,"CRITICAL*"))</f>
        <v/>
      </c>
      <c r="F16" s="25" t="str">
        <f aca="false">IF($A16="","",COUNTIFS(PART_RISK!$A$5:$A$304,$A16,PART_RISK!$Q$5:$Q$304,"MONITOR"))</f>
        <v/>
      </c>
      <c r="G16" s="25" t="str">
        <f aca="false">IF($A16="","",COUNTIFS(PART_RISK!$A$5:$A$304,$A16,PART_RISK!$Q$5:$Q$304,"LOW"))</f>
        <v/>
      </c>
      <c r="H16" s="25" t="str">
        <f aca="false">IF($A16="","",COUNTIFS(PART_RISK!$A$5:$A$304,$A16,PART_RISK!$Q$5:$Q$304,"NOT SCORED"))</f>
        <v/>
      </c>
      <c r="I16" s="26" t="str">
        <f aca="false">IF($A16="","",IF($E16+$F16+$G16=0,"",_xlfn.MAXIFS(PART_RISK!$P$5:$P$304,PART_RISK!$A$5:$A$304,$A16)))</f>
        <v/>
      </c>
      <c r="J16" s="28" t="str">
        <f aca="false">IF($A16="","",IF($E16&gt;0,"CRITICAL",IF($F16&gt;0,"MONITOR",IF($G16&gt;0,"LOW","NOT SCORED"))))</f>
        <v/>
      </c>
      <c r="K16" s="23"/>
    </row>
    <row r="17" customFormat="false" ht="15" hidden="false" customHeight="false" outlineLevel="0" collapsed="false">
      <c r="A17" s="20"/>
      <c r="B17" s="22"/>
      <c r="C17" s="25" t="str">
        <f aca="false">IF($A17="","",IF(COUNTIFS(PART_RISK!$D$5:$D$304,"Tissue*",PART_RISK!$A$5:$A$304,$A17)&gt;0,"Yes","No"))</f>
        <v/>
      </c>
      <c r="D17" s="25" t="str">
        <f aca="false">IF($A17="","",COUNTIF(PART_RISK!$A$5:$A$304,$A17))</f>
        <v/>
      </c>
      <c r="E17" s="25" t="str">
        <f aca="false">IF($A17="","",COUNTIFS(PART_RISK!$A$5:$A$304,$A17,PART_RISK!$Q$5:$Q$304,"CRITICAL*"))</f>
        <v/>
      </c>
      <c r="F17" s="25" t="str">
        <f aca="false">IF($A17="","",COUNTIFS(PART_RISK!$A$5:$A$304,$A17,PART_RISK!$Q$5:$Q$304,"MONITOR"))</f>
        <v/>
      </c>
      <c r="G17" s="25" t="str">
        <f aca="false">IF($A17="","",COUNTIFS(PART_RISK!$A$5:$A$304,$A17,PART_RISK!$Q$5:$Q$304,"LOW"))</f>
        <v/>
      </c>
      <c r="H17" s="25" t="str">
        <f aca="false">IF($A17="","",COUNTIFS(PART_RISK!$A$5:$A$304,$A17,PART_RISK!$Q$5:$Q$304,"NOT SCORED"))</f>
        <v/>
      </c>
      <c r="I17" s="26" t="str">
        <f aca="false">IF($A17="","",IF($E17+$F17+$G17=0,"",_xlfn.MAXIFS(PART_RISK!$P$5:$P$304,PART_RISK!$A$5:$A$304,$A17)))</f>
        <v/>
      </c>
      <c r="J17" s="28" t="str">
        <f aca="false">IF($A17="","",IF($E17&gt;0,"CRITICAL",IF($F17&gt;0,"MONITOR",IF($G17&gt;0,"LOW","NOT SCORED"))))</f>
        <v/>
      </c>
      <c r="K17" s="23"/>
    </row>
    <row r="18" customFormat="false" ht="15" hidden="false" customHeight="false" outlineLevel="0" collapsed="false">
      <c r="A18" s="20"/>
      <c r="B18" s="22"/>
      <c r="C18" s="25" t="str">
        <f aca="false">IF($A18="","",IF(COUNTIFS(PART_RISK!$D$5:$D$304,"Tissue*",PART_RISK!$A$5:$A$304,$A18)&gt;0,"Yes","No"))</f>
        <v/>
      </c>
      <c r="D18" s="25" t="str">
        <f aca="false">IF($A18="","",COUNTIF(PART_RISK!$A$5:$A$304,$A18))</f>
        <v/>
      </c>
      <c r="E18" s="25" t="str">
        <f aca="false">IF($A18="","",COUNTIFS(PART_RISK!$A$5:$A$304,$A18,PART_RISK!$Q$5:$Q$304,"CRITICAL*"))</f>
        <v/>
      </c>
      <c r="F18" s="25" t="str">
        <f aca="false">IF($A18="","",COUNTIFS(PART_RISK!$A$5:$A$304,$A18,PART_RISK!$Q$5:$Q$304,"MONITOR"))</f>
        <v/>
      </c>
      <c r="G18" s="25" t="str">
        <f aca="false">IF($A18="","",COUNTIFS(PART_RISK!$A$5:$A$304,$A18,PART_RISK!$Q$5:$Q$304,"LOW"))</f>
        <v/>
      </c>
      <c r="H18" s="25" t="str">
        <f aca="false">IF($A18="","",COUNTIFS(PART_RISK!$A$5:$A$304,$A18,PART_RISK!$Q$5:$Q$304,"NOT SCORED"))</f>
        <v/>
      </c>
      <c r="I18" s="26" t="str">
        <f aca="false">IF($A18="","",IF($E18+$F18+$G18=0,"",_xlfn.MAXIFS(PART_RISK!$P$5:$P$304,PART_RISK!$A$5:$A$304,$A18)))</f>
        <v/>
      </c>
      <c r="J18" s="28" t="str">
        <f aca="false">IF($A18="","",IF($E18&gt;0,"CRITICAL",IF($F18&gt;0,"MONITOR",IF($G18&gt;0,"LOW","NOT SCORED"))))</f>
        <v/>
      </c>
      <c r="K18" s="23"/>
    </row>
    <row r="19" customFormat="false" ht="15" hidden="false" customHeight="false" outlineLevel="0" collapsed="false">
      <c r="A19" s="20"/>
      <c r="B19" s="22"/>
      <c r="C19" s="25" t="str">
        <f aca="false">IF($A19="","",IF(COUNTIFS(PART_RISK!$D$5:$D$304,"Tissue*",PART_RISK!$A$5:$A$304,$A19)&gt;0,"Yes","No"))</f>
        <v/>
      </c>
      <c r="D19" s="25" t="str">
        <f aca="false">IF($A19="","",COUNTIF(PART_RISK!$A$5:$A$304,$A19))</f>
        <v/>
      </c>
      <c r="E19" s="25" t="str">
        <f aca="false">IF($A19="","",COUNTIFS(PART_RISK!$A$5:$A$304,$A19,PART_RISK!$Q$5:$Q$304,"CRITICAL*"))</f>
        <v/>
      </c>
      <c r="F19" s="25" t="str">
        <f aca="false">IF($A19="","",COUNTIFS(PART_RISK!$A$5:$A$304,$A19,PART_RISK!$Q$5:$Q$304,"MONITOR"))</f>
        <v/>
      </c>
      <c r="G19" s="25" t="str">
        <f aca="false">IF($A19="","",COUNTIFS(PART_RISK!$A$5:$A$304,$A19,PART_RISK!$Q$5:$Q$304,"LOW"))</f>
        <v/>
      </c>
      <c r="H19" s="25" t="str">
        <f aca="false">IF($A19="","",COUNTIFS(PART_RISK!$A$5:$A$304,$A19,PART_RISK!$Q$5:$Q$304,"NOT SCORED"))</f>
        <v/>
      </c>
      <c r="I19" s="26" t="str">
        <f aca="false">IF($A19="","",IF($E19+$F19+$G19=0,"",_xlfn.MAXIFS(PART_RISK!$P$5:$P$304,PART_RISK!$A$5:$A$304,$A19)))</f>
        <v/>
      </c>
      <c r="J19" s="28" t="str">
        <f aca="false">IF($A19="","",IF($E19&gt;0,"CRITICAL",IF($F19&gt;0,"MONITOR",IF($G19&gt;0,"LOW","NOT SCORED"))))</f>
        <v/>
      </c>
      <c r="K19" s="23"/>
    </row>
    <row r="20" customFormat="false" ht="15" hidden="false" customHeight="false" outlineLevel="0" collapsed="false">
      <c r="A20" s="20"/>
      <c r="B20" s="22"/>
      <c r="C20" s="25" t="str">
        <f aca="false">IF($A20="","",IF(COUNTIFS(PART_RISK!$D$5:$D$304,"Tissue*",PART_RISK!$A$5:$A$304,$A20)&gt;0,"Yes","No"))</f>
        <v/>
      </c>
      <c r="D20" s="25" t="str">
        <f aca="false">IF($A20="","",COUNTIF(PART_RISK!$A$5:$A$304,$A20))</f>
        <v/>
      </c>
      <c r="E20" s="25" t="str">
        <f aca="false">IF($A20="","",COUNTIFS(PART_RISK!$A$5:$A$304,$A20,PART_RISK!$Q$5:$Q$304,"CRITICAL*"))</f>
        <v/>
      </c>
      <c r="F20" s="25" t="str">
        <f aca="false">IF($A20="","",COUNTIFS(PART_RISK!$A$5:$A$304,$A20,PART_RISK!$Q$5:$Q$304,"MONITOR"))</f>
        <v/>
      </c>
      <c r="G20" s="25" t="str">
        <f aca="false">IF($A20="","",COUNTIFS(PART_RISK!$A$5:$A$304,$A20,PART_RISK!$Q$5:$Q$304,"LOW"))</f>
        <v/>
      </c>
      <c r="H20" s="25" t="str">
        <f aca="false">IF($A20="","",COUNTIFS(PART_RISK!$A$5:$A$304,$A20,PART_RISK!$Q$5:$Q$304,"NOT SCORED"))</f>
        <v/>
      </c>
      <c r="I20" s="26" t="str">
        <f aca="false">IF($A20="","",IF($E20+$F20+$G20=0,"",_xlfn.MAXIFS(PART_RISK!$P$5:$P$304,PART_RISK!$A$5:$A$304,$A20)))</f>
        <v/>
      </c>
      <c r="J20" s="28" t="str">
        <f aca="false">IF($A20="","",IF($E20&gt;0,"CRITICAL",IF($F20&gt;0,"MONITOR",IF($G20&gt;0,"LOW","NOT SCORED"))))</f>
        <v/>
      </c>
      <c r="K20" s="23"/>
    </row>
    <row r="21" customFormat="false" ht="15" hidden="false" customHeight="false" outlineLevel="0" collapsed="false">
      <c r="A21" s="20"/>
      <c r="B21" s="22"/>
      <c r="C21" s="25" t="str">
        <f aca="false">IF($A21="","",IF(COUNTIFS(PART_RISK!$D$5:$D$304,"Tissue*",PART_RISK!$A$5:$A$304,$A21)&gt;0,"Yes","No"))</f>
        <v/>
      </c>
      <c r="D21" s="25" t="str">
        <f aca="false">IF($A21="","",COUNTIF(PART_RISK!$A$5:$A$304,$A21))</f>
        <v/>
      </c>
      <c r="E21" s="25" t="str">
        <f aca="false">IF($A21="","",COUNTIFS(PART_RISK!$A$5:$A$304,$A21,PART_RISK!$Q$5:$Q$304,"CRITICAL*"))</f>
        <v/>
      </c>
      <c r="F21" s="25" t="str">
        <f aca="false">IF($A21="","",COUNTIFS(PART_RISK!$A$5:$A$304,$A21,PART_RISK!$Q$5:$Q$304,"MONITOR"))</f>
        <v/>
      </c>
      <c r="G21" s="25" t="str">
        <f aca="false">IF($A21="","",COUNTIFS(PART_RISK!$A$5:$A$304,$A21,PART_RISK!$Q$5:$Q$304,"LOW"))</f>
        <v/>
      </c>
      <c r="H21" s="25" t="str">
        <f aca="false">IF($A21="","",COUNTIFS(PART_RISK!$A$5:$A$304,$A21,PART_RISK!$Q$5:$Q$304,"NOT SCORED"))</f>
        <v/>
      </c>
      <c r="I21" s="26" t="str">
        <f aca="false">IF($A21="","",IF($E21+$F21+$G21=0,"",_xlfn.MAXIFS(PART_RISK!$P$5:$P$304,PART_RISK!$A$5:$A$304,$A21)))</f>
        <v/>
      </c>
      <c r="J21" s="28" t="str">
        <f aca="false">IF($A21="","",IF($E21&gt;0,"CRITICAL",IF($F21&gt;0,"MONITOR",IF($G21&gt;0,"LOW","NOT SCORED"))))</f>
        <v/>
      </c>
      <c r="K21" s="23"/>
    </row>
    <row r="22" customFormat="false" ht="15" hidden="false" customHeight="false" outlineLevel="0" collapsed="false">
      <c r="A22" s="20"/>
      <c r="B22" s="22"/>
      <c r="C22" s="25" t="str">
        <f aca="false">IF($A22="","",IF(COUNTIFS(PART_RISK!$D$5:$D$304,"Tissue*",PART_RISK!$A$5:$A$304,$A22)&gt;0,"Yes","No"))</f>
        <v/>
      </c>
      <c r="D22" s="25" t="str">
        <f aca="false">IF($A22="","",COUNTIF(PART_RISK!$A$5:$A$304,$A22))</f>
        <v/>
      </c>
      <c r="E22" s="25" t="str">
        <f aca="false">IF($A22="","",COUNTIFS(PART_RISK!$A$5:$A$304,$A22,PART_RISK!$Q$5:$Q$304,"CRITICAL*"))</f>
        <v/>
      </c>
      <c r="F22" s="25" t="str">
        <f aca="false">IF($A22="","",COUNTIFS(PART_RISK!$A$5:$A$304,$A22,PART_RISK!$Q$5:$Q$304,"MONITOR"))</f>
        <v/>
      </c>
      <c r="G22" s="25" t="str">
        <f aca="false">IF($A22="","",COUNTIFS(PART_RISK!$A$5:$A$304,$A22,PART_RISK!$Q$5:$Q$304,"LOW"))</f>
        <v/>
      </c>
      <c r="H22" s="25" t="str">
        <f aca="false">IF($A22="","",COUNTIFS(PART_RISK!$A$5:$A$304,$A22,PART_RISK!$Q$5:$Q$304,"NOT SCORED"))</f>
        <v/>
      </c>
      <c r="I22" s="26" t="str">
        <f aca="false">IF($A22="","",IF($E22+$F22+$G22=0,"",_xlfn.MAXIFS(PART_RISK!$P$5:$P$304,PART_RISK!$A$5:$A$304,$A22)))</f>
        <v/>
      </c>
      <c r="J22" s="28" t="str">
        <f aca="false">IF($A22="","",IF($E22&gt;0,"CRITICAL",IF($F22&gt;0,"MONITOR",IF($G22&gt;0,"LOW","NOT SCORED"))))</f>
        <v/>
      </c>
      <c r="K22" s="23"/>
    </row>
    <row r="23" customFormat="false" ht="15" hidden="false" customHeight="false" outlineLevel="0" collapsed="false">
      <c r="A23" s="20"/>
      <c r="B23" s="22"/>
      <c r="C23" s="25" t="str">
        <f aca="false">IF($A23="","",IF(COUNTIFS(PART_RISK!$D$5:$D$304,"Tissue*",PART_RISK!$A$5:$A$304,$A23)&gt;0,"Yes","No"))</f>
        <v/>
      </c>
      <c r="D23" s="25" t="str">
        <f aca="false">IF($A23="","",COUNTIF(PART_RISK!$A$5:$A$304,$A23))</f>
        <v/>
      </c>
      <c r="E23" s="25" t="str">
        <f aca="false">IF($A23="","",COUNTIFS(PART_RISK!$A$5:$A$304,$A23,PART_RISK!$Q$5:$Q$304,"CRITICAL*"))</f>
        <v/>
      </c>
      <c r="F23" s="25" t="str">
        <f aca="false">IF($A23="","",COUNTIFS(PART_RISK!$A$5:$A$304,$A23,PART_RISK!$Q$5:$Q$304,"MONITOR"))</f>
        <v/>
      </c>
      <c r="G23" s="25" t="str">
        <f aca="false">IF($A23="","",COUNTIFS(PART_RISK!$A$5:$A$304,$A23,PART_RISK!$Q$5:$Q$304,"LOW"))</f>
        <v/>
      </c>
      <c r="H23" s="25" t="str">
        <f aca="false">IF($A23="","",COUNTIFS(PART_RISK!$A$5:$A$304,$A23,PART_RISK!$Q$5:$Q$304,"NOT SCORED"))</f>
        <v/>
      </c>
      <c r="I23" s="26" t="str">
        <f aca="false">IF($A23="","",IF($E23+$F23+$G23=0,"",_xlfn.MAXIFS(PART_RISK!$P$5:$P$304,PART_RISK!$A$5:$A$304,$A23)))</f>
        <v/>
      </c>
      <c r="J23" s="28" t="str">
        <f aca="false">IF($A23="","",IF($E23&gt;0,"CRITICAL",IF($F23&gt;0,"MONITOR",IF($G23&gt;0,"LOW","NOT SCORED"))))</f>
        <v/>
      </c>
      <c r="K23" s="23"/>
    </row>
    <row r="24" customFormat="false" ht="15" hidden="false" customHeight="false" outlineLevel="0" collapsed="false">
      <c r="A24" s="20"/>
      <c r="B24" s="22"/>
      <c r="C24" s="25" t="str">
        <f aca="false">IF($A24="","",IF(COUNTIFS(PART_RISK!$D$5:$D$304,"Tissue*",PART_RISK!$A$5:$A$304,$A24)&gt;0,"Yes","No"))</f>
        <v/>
      </c>
      <c r="D24" s="25" t="str">
        <f aca="false">IF($A24="","",COUNTIF(PART_RISK!$A$5:$A$304,$A24))</f>
        <v/>
      </c>
      <c r="E24" s="25" t="str">
        <f aca="false">IF($A24="","",COUNTIFS(PART_RISK!$A$5:$A$304,$A24,PART_RISK!$Q$5:$Q$304,"CRITICAL*"))</f>
        <v/>
      </c>
      <c r="F24" s="25" t="str">
        <f aca="false">IF($A24="","",COUNTIFS(PART_RISK!$A$5:$A$304,$A24,PART_RISK!$Q$5:$Q$304,"MONITOR"))</f>
        <v/>
      </c>
      <c r="G24" s="25" t="str">
        <f aca="false">IF($A24="","",COUNTIFS(PART_RISK!$A$5:$A$304,$A24,PART_RISK!$Q$5:$Q$304,"LOW"))</f>
        <v/>
      </c>
      <c r="H24" s="25" t="str">
        <f aca="false">IF($A24="","",COUNTIFS(PART_RISK!$A$5:$A$304,$A24,PART_RISK!$Q$5:$Q$304,"NOT SCORED"))</f>
        <v/>
      </c>
      <c r="I24" s="26" t="str">
        <f aca="false">IF($A24="","",IF($E24+$F24+$G24=0,"",_xlfn.MAXIFS(PART_RISK!$P$5:$P$304,PART_RISK!$A$5:$A$304,$A24)))</f>
        <v/>
      </c>
      <c r="J24" s="28" t="str">
        <f aca="false">IF($A24="","",IF($E24&gt;0,"CRITICAL",IF($F24&gt;0,"MONITOR",IF($G24&gt;0,"LOW","NOT SCORED"))))</f>
        <v/>
      </c>
      <c r="K24" s="23"/>
    </row>
    <row r="25" customFormat="false" ht="15" hidden="false" customHeight="false" outlineLevel="0" collapsed="false">
      <c r="A25" s="20"/>
      <c r="B25" s="22"/>
      <c r="C25" s="25" t="str">
        <f aca="false">IF($A25="","",IF(COUNTIFS(PART_RISK!$D$5:$D$304,"Tissue*",PART_RISK!$A$5:$A$304,$A25)&gt;0,"Yes","No"))</f>
        <v/>
      </c>
      <c r="D25" s="25" t="str">
        <f aca="false">IF($A25="","",COUNTIF(PART_RISK!$A$5:$A$304,$A25))</f>
        <v/>
      </c>
      <c r="E25" s="25" t="str">
        <f aca="false">IF($A25="","",COUNTIFS(PART_RISK!$A$5:$A$304,$A25,PART_RISK!$Q$5:$Q$304,"CRITICAL*"))</f>
        <v/>
      </c>
      <c r="F25" s="25" t="str">
        <f aca="false">IF($A25="","",COUNTIFS(PART_RISK!$A$5:$A$304,$A25,PART_RISK!$Q$5:$Q$304,"MONITOR"))</f>
        <v/>
      </c>
      <c r="G25" s="25" t="str">
        <f aca="false">IF($A25="","",COUNTIFS(PART_RISK!$A$5:$A$304,$A25,PART_RISK!$Q$5:$Q$304,"LOW"))</f>
        <v/>
      </c>
      <c r="H25" s="25" t="str">
        <f aca="false">IF($A25="","",COUNTIFS(PART_RISK!$A$5:$A$304,$A25,PART_RISK!$Q$5:$Q$304,"NOT SCORED"))</f>
        <v/>
      </c>
      <c r="I25" s="26" t="str">
        <f aca="false">IF($A25="","",IF($E25+$F25+$G25=0,"",_xlfn.MAXIFS(PART_RISK!$P$5:$P$304,PART_RISK!$A$5:$A$304,$A25)))</f>
        <v/>
      </c>
      <c r="J25" s="28" t="str">
        <f aca="false">IF($A25="","",IF($E25&gt;0,"CRITICAL",IF($F25&gt;0,"MONITOR",IF($G25&gt;0,"LOW","NOT SCORED"))))</f>
        <v/>
      </c>
      <c r="K25" s="23"/>
    </row>
    <row r="26" customFormat="false" ht="15" hidden="false" customHeight="false" outlineLevel="0" collapsed="false">
      <c r="A26" s="20"/>
      <c r="B26" s="22"/>
      <c r="C26" s="25" t="str">
        <f aca="false">IF($A26="","",IF(COUNTIFS(PART_RISK!$D$5:$D$304,"Tissue*",PART_RISK!$A$5:$A$304,$A26)&gt;0,"Yes","No"))</f>
        <v/>
      </c>
      <c r="D26" s="25" t="str">
        <f aca="false">IF($A26="","",COUNTIF(PART_RISK!$A$5:$A$304,$A26))</f>
        <v/>
      </c>
      <c r="E26" s="25" t="str">
        <f aca="false">IF($A26="","",COUNTIFS(PART_RISK!$A$5:$A$304,$A26,PART_RISK!$Q$5:$Q$304,"CRITICAL*"))</f>
        <v/>
      </c>
      <c r="F26" s="25" t="str">
        <f aca="false">IF($A26="","",COUNTIFS(PART_RISK!$A$5:$A$304,$A26,PART_RISK!$Q$5:$Q$304,"MONITOR"))</f>
        <v/>
      </c>
      <c r="G26" s="25" t="str">
        <f aca="false">IF($A26="","",COUNTIFS(PART_RISK!$A$5:$A$304,$A26,PART_RISK!$Q$5:$Q$304,"LOW"))</f>
        <v/>
      </c>
      <c r="H26" s="25" t="str">
        <f aca="false">IF($A26="","",COUNTIFS(PART_RISK!$A$5:$A$304,$A26,PART_RISK!$Q$5:$Q$304,"NOT SCORED"))</f>
        <v/>
      </c>
      <c r="I26" s="26" t="str">
        <f aca="false">IF($A26="","",IF($E26+$F26+$G26=0,"",_xlfn.MAXIFS(PART_RISK!$P$5:$P$304,PART_RISK!$A$5:$A$304,$A26)))</f>
        <v/>
      </c>
      <c r="J26" s="28" t="str">
        <f aca="false">IF($A26="","",IF($E26&gt;0,"CRITICAL",IF($F26&gt;0,"MONITOR",IF($G26&gt;0,"LOW","NOT SCORED"))))</f>
        <v/>
      </c>
      <c r="K26" s="23"/>
    </row>
    <row r="27" customFormat="false" ht="15" hidden="false" customHeight="false" outlineLevel="0" collapsed="false">
      <c r="A27" s="20"/>
      <c r="B27" s="22"/>
      <c r="C27" s="25" t="str">
        <f aca="false">IF($A27="","",IF(COUNTIFS(PART_RISK!$D$5:$D$304,"Tissue*",PART_RISK!$A$5:$A$304,$A27)&gt;0,"Yes","No"))</f>
        <v/>
      </c>
      <c r="D27" s="25" t="str">
        <f aca="false">IF($A27="","",COUNTIF(PART_RISK!$A$5:$A$304,$A27))</f>
        <v/>
      </c>
      <c r="E27" s="25" t="str">
        <f aca="false">IF($A27="","",COUNTIFS(PART_RISK!$A$5:$A$304,$A27,PART_RISK!$Q$5:$Q$304,"CRITICAL*"))</f>
        <v/>
      </c>
      <c r="F27" s="25" t="str">
        <f aca="false">IF($A27="","",COUNTIFS(PART_RISK!$A$5:$A$304,$A27,PART_RISK!$Q$5:$Q$304,"MONITOR"))</f>
        <v/>
      </c>
      <c r="G27" s="25" t="str">
        <f aca="false">IF($A27="","",COUNTIFS(PART_RISK!$A$5:$A$304,$A27,PART_RISK!$Q$5:$Q$304,"LOW"))</f>
        <v/>
      </c>
      <c r="H27" s="25" t="str">
        <f aca="false">IF($A27="","",COUNTIFS(PART_RISK!$A$5:$A$304,$A27,PART_RISK!$Q$5:$Q$304,"NOT SCORED"))</f>
        <v/>
      </c>
      <c r="I27" s="26" t="str">
        <f aca="false">IF($A27="","",IF($E27+$F27+$G27=0,"",_xlfn.MAXIFS(PART_RISK!$P$5:$P$304,PART_RISK!$A$5:$A$304,$A27)))</f>
        <v/>
      </c>
      <c r="J27" s="28" t="str">
        <f aca="false">IF($A27="","",IF($E27&gt;0,"CRITICAL",IF($F27&gt;0,"MONITOR",IF($G27&gt;0,"LOW","NOT SCORED"))))</f>
        <v/>
      </c>
      <c r="K27" s="23"/>
    </row>
    <row r="28" customFormat="false" ht="15" hidden="false" customHeight="false" outlineLevel="0" collapsed="false">
      <c r="A28" s="20"/>
      <c r="B28" s="22"/>
      <c r="C28" s="25" t="str">
        <f aca="false">IF($A28="","",IF(COUNTIFS(PART_RISK!$D$5:$D$304,"Tissue*",PART_RISK!$A$5:$A$304,$A28)&gt;0,"Yes","No"))</f>
        <v/>
      </c>
      <c r="D28" s="25" t="str">
        <f aca="false">IF($A28="","",COUNTIF(PART_RISK!$A$5:$A$304,$A28))</f>
        <v/>
      </c>
      <c r="E28" s="25" t="str">
        <f aca="false">IF($A28="","",COUNTIFS(PART_RISK!$A$5:$A$304,$A28,PART_RISK!$Q$5:$Q$304,"CRITICAL*"))</f>
        <v/>
      </c>
      <c r="F28" s="25" t="str">
        <f aca="false">IF($A28="","",COUNTIFS(PART_RISK!$A$5:$A$304,$A28,PART_RISK!$Q$5:$Q$304,"MONITOR"))</f>
        <v/>
      </c>
      <c r="G28" s="25" t="str">
        <f aca="false">IF($A28="","",COUNTIFS(PART_RISK!$A$5:$A$304,$A28,PART_RISK!$Q$5:$Q$304,"LOW"))</f>
        <v/>
      </c>
      <c r="H28" s="25" t="str">
        <f aca="false">IF($A28="","",COUNTIFS(PART_RISK!$A$5:$A$304,$A28,PART_RISK!$Q$5:$Q$304,"NOT SCORED"))</f>
        <v/>
      </c>
      <c r="I28" s="26" t="str">
        <f aca="false">IF($A28="","",IF($E28+$F28+$G28=0,"",_xlfn.MAXIFS(PART_RISK!$P$5:$P$304,PART_RISK!$A$5:$A$304,$A28)))</f>
        <v/>
      </c>
      <c r="J28" s="28" t="str">
        <f aca="false">IF($A28="","",IF($E28&gt;0,"CRITICAL",IF($F28&gt;0,"MONITOR",IF($G28&gt;0,"LOW","NOT SCORED"))))</f>
        <v/>
      </c>
      <c r="K28" s="23"/>
    </row>
  </sheetData>
  <conditionalFormatting sqref="J4:J28">
    <cfRule type="containsText" priority="2" operator="containsText" aboveAverage="0" equalAverage="0" bottom="0" percent="0" rank="0" text="CRITICAL" dxfId="0">
      <formula>NOT(ISERROR(SEARCH("CRITICAL",J4)))</formula>
    </cfRule>
    <cfRule type="containsText" priority="3" operator="containsText" aboveAverage="0" equalAverage="0" bottom="0" percent="0" rank="0" text="MONITOR" dxfId="1">
      <formula>NOT(ISERROR(SEARCH("MONITOR",J4)))</formula>
    </cfRule>
    <cfRule type="containsText" priority="4" operator="containsText" aboveAverage="0" equalAverage="0" bottom="0" percent="0" rank="0" text="LOW" dxfId="2">
      <formula>NOT(ISERROR(SEARCH("LOW",J4)))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1"/>
    <col collapsed="false" customWidth="true" hidden="false" outlineLevel="0" max="3" min="3" style="0" width="100"/>
  </cols>
  <sheetData>
    <row r="1" customFormat="false" ht="17.35" hidden="false" customHeight="false" outlineLevel="0" collapsed="false">
      <c r="A1" s="1" t="s">
        <v>148</v>
      </c>
    </row>
    <row r="2" customFormat="false" ht="15" hidden="false" customHeight="false" outlineLevel="0" collapsed="false">
      <c r="A2" s="2" t="s">
        <v>149</v>
      </c>
    </row>
    <row r="4" customFormat="false" ht="15" hidden="false" customHeight="false" outlineLevel="0" collapsed="false">
      <c r="A4" s="32" t="s">
        <v>150</v>
      </c>
    </row>
    <row r="6" customFormat="false" ht="15" hidden="false" customHeight="false" outlineLevel="0" collapsed="false">
      <c r="A6" s="10" t="s">
        <v>151</v>
      </c>
    </row>
    <row r="8" customFormat="false" ht="15" hidden="false" customHeight="false" outlineLevel="0" collapsed="false">
      <c r="A8" s="33" t="s">
        <v>152</v>
      </c>
      <c r="B8" s="5" t="s">
        <v>153</v>
      </c>
      <c r="C8" s="33" t="s">
        <v>154</v>
      </c>
    </row>
    <row r="9" customFormat="false" ht="15" hidden="false" customHeight="false" outlineLevel="0" collapsed="false">
      <c r="A9" s="34" t="s">
        <v>155</v>
      </c>
      <c r="B9" s="35" t="n">
        <v>0.25</v>
      </c>
      <c r="C9" s="36" t="s">
        <v>156</v>
      </c>
    </row>
    <row r="10" customFormat="false" ht="15" hidden="false" customHeight="false" outlineLevel="0" collapsed="false">
      <c r="A10" s="34" t="s">
        <v>157</v>
      </c>
      <c r="B10" s="35" t="n">
        <v>0.25</v>
      </c>
      <c r="C10" s="36" t="s">
        <v>158</v>
      </c>
    </row>
    <row r="11" customFormat="false" ht="15" hidden="false" customHeight="false" outlineLevel="0" collapsed="false">
      <c r="A11" s="34" t="s">
        <v>67</v>
      </c>
      <c r="B11" s="35" t="n">
        <v>0.2</v>
      </c>
      <c r="C11" s="36" t="s">
        <v>159</v>
      </c>
    </row>
    <row r="12" customFormat="false" ht="15" hidden="false" customHeight="false" outlineLevel="0" collapsed="false">
      <c r="A12" s="34" t="s">
        <v>160</v>
      </c>
      <c r="B12" s="35" t="n">
        <v>0.2</v>
      </c>
      <c r="C12" s="36" t="s">
        <v>161</v>
      </c>
    </row>
    <row r="13" customFormat="false" ht="15" hidden="false" customHeight="false" outlineLevel="0" collapsed="false">
      <c r="A13" s="34" t="s">
        <v>162</v>
      </c>
      <c r="B13" s="35" t="n">
        <v>0.1</v>
      </c>
      <c r="C13" s="36" t="s">
        <v>163</v>
      </c>
    </row>
    <row r="14" customFormat="false" ht="15" hidden="false" customHeight="false" outlineLevel="0" collapsed="false">
      <c r="A14" s="37" t="s">
        <v>164</v>
      </c>
      <c r="B14" s="38" t="n">
        <f aca="false">SUM(B9:B13)</f>
        <v>1</v>
      </c>
      <c r="C14" s="39" t="s">
        <v>165</v>
      </c>
    </row>
    <row r="16" customFormat="false" ht="15" hidden="false" customHeight="false" outlineLevel="0" collapsed="false">
      <c r="A16" s="10" t="s">
        <v>166</v>
      </c>
    </row>
    <row r="17" customFormat="false" ht="15" hidden="false" customHeight="false" outlineLevel="0" collapsed="false">
      <c r="A17" s="33" t="s">
        <v>32</v>
      </c>
      <c r="B17" s="5" t="s">
        <v>167</v>
      </c>
      <c r="C17" s="33" t="s">
        <v>168</v>
      </c>
    </row>
    <row r="18" customFormat="false" ht="15" hidden="false" customHeight="false" outlineLevel="0" collapsed="false">
      <c r="A18" s="40" t="s">
        <v>169</v>
      </c>
      <c r="B18" s="21" t="n">
        <v>15</v>
      </c>
      <c r="C18" s="36" t="s">
        <v>170</v>
      </c>
    </row>
    <row r="19" customFormat="false" ht="15" hidden="false" customHeight="false" outlineLevel="0" collapsed="false">
      <c r="A19" s="41" t="s">
        <v>171</v>
      </c>
      <c r="B19" s="21" t="n">
        <v>7</v>
      </c>
      <c r="C19" s="36" t="s">
        <v>172</v>
      </c>
    </row>
    <row r="20" customFormat="false" ht="15" hidden="false" customHeight="false" outlineLevel="0" collapsed="false">
      <c r="A20" s="42" t="s">
        <v>173</v>
      </c>
      <c r="B20" s="25" t="s">
        <v>174</v>
      </c>
      <c r="C20" s="36" t="s">
        <v>175</v>
      </c>
    </row>
    <row r="21" customFormat="false" ht="15" hidden="false" customHeight="false" outlineLevel="0" collapsed="false">
      <c r="C21" s="43" t="s">
        <v>176</v>
      </c>
    </row>
    <row r="23" customFormat="false" ht="15" hidden="false" customHeight="false" outlineLevel="0" collapsed="false">
      <c r="A23" s="10" t="s">
        <v>177</v>
      </c>
    </row>
    <row r="24" customFormat="false" ht="15" hidden="false" customHeight="false" outlineLevel="0" collapsed="false">
      <c r="A24" s="5" t="s">
        <v>178</v>
      </c>
      <c r="C24" s="33" t="s">
        <v>179</v>
      </c>
    </row>
    <row r="25" customFormat="false" ht="15" hidden="false" customHeight="false" outlineLevel="0" collapsed="false">
      <c r="A25" s="31" t="n">
        <v>1</v>
      </c>
      <c r="C25" s="36" t="s">
        <v>180</v>
      </c>
    </row>
    <row r="26" customFormat="false" ht="15" hidden="false" customHeight="false" outlineLevel="0" collapsed="false">
      <c r="A26" s="31" t="n">
        <v>3</v>
      </c>
      <c r="C26" s="36" t="s">
        <v>181</v>
      </c>
    </row>
    <row r="27" customFormat="false" ht="15" hidden="false" customHeight="false" outlineLevel="0" collapsed="false">
      <c r="A27" s="31" t="n">
        <v>5</v>
      </c>
      <c r="C27" s="36" t="s">
        <v>182</v>
      </c>
    </row>
    <row r="29" customFormat="false" ht="15" hidden="false" customHeight="false" outlineLevel="0" collapsed="false">
      <c r="A29" s="10" t="s">
        <v>183</v>
      </c>
    </row>
    <row r="30" customFormat="false" ht="15" hidden="false" customHeight="false" outlineLevel="0" collapsed="false">
      <c r="A30" s="5" t="s">
        <v>178</v>
      </c>
      <c r="C30" s="33" t="s">
        <v>179</v>
      </c>
    </row>
    <row r="31" customFormat="false" ht="15" hidden="false" customHeight="false" outlineLevel="0" collapsed="false">
      <c r="A31" s="31" t="n">
        <v>1</v>
      </c>
      <c r="C31" s="36" t="s">
        <v>184</v>
      </c>
    </row>
    <row r="32" customFormat="false" ht="15" hidden="false" customHeight="false" outlineLevel="0" collapsed="false">
      <c r="A32" s="31" t="n">
        <v>3</v>
      </c>
      <c r="C32" s="36" t="s">
        <v>185</v>
      </c>
    </row>
    <row r="33" customFormat="false" ht="15" hidden="false" customHeight="false" outlineLevel="0" collapsed="false">
      <c r="A33" s="31" t="n">
        <v>5</v>
      </c>
      <c r="C33" s="36" t="s">
        <v>186</v>
      </c>
    </row>
    <row r="34" customFormat="false" ht="15" hidden="false" customHeight="false" outlineLevel="0" collapsed="false">
      <c r="C34" s="43" t="s">
        <v>187</v>
      </c>
    </row>
    <row r="35" customFormat="false" ht="15" hidden="false" customHeight="false" outlineLevel="0" collapsed="false">
      <c r="C35" s="43" t="s">
        <v>188</v>
      </c>
    </row>
    <row r="37" customFormat="false" ht="15" hidden="false" customHeight="false" outlineLevel="0" collapsed="false">
      <c r="A37" s="10" t="s">
        <v>189</v>
      </c>
    </row>
    <row r="38" customFormat="false" ht="15" hidden="false" customHeight="false" outlineLevel="0" collapsed="false">
      <c r="A38" s="5" t="s">
        <v>178</v>
      </c>
      <c r="C38" s="33" t="s">
        <v>179</v>
      </c>
    </row>
    <row r="39" customFormat="false" ht="15" hidden="false" customHeight="false" outlineLevel="0" collapsed="false">
      <c r="A39" s="31" t="n">
        <v>1</v>
      </c>
      <c r="C39" s="36" t="s">
        <v>190</v>
      </c>
    </row>
    <row r="40" customFormat="false" ht="15" hidden="false" customHeight="false" outlineLevel="0" collapsed="false">
      <c r="A40" s="31" t="n">
        <v>3</v>
      </c>
      <c r="C40" s="36" t="s">
        <v>191</v>
      </c>
    </row>
    <row r="41" customFormat="false" ht="15" hidden="false" customHeight="false" outlineLevel="0" collapsed="false">
      <c r="A41" s="31" t="n">
        <v>5</v>
      </c>
      <c r="C41" s="36" t="s">
        <v>192</v>
      </c>
    </row>
    <row r="43" customFormat="false" ht="15" hidden="false" customHeight="false" outlineLevel="0" collapsed="false">
      <c r="A43" s="10" t="s">
        <v>193</v>
      </c>
    </row>
    <row r="44" customFormat="false" ht="15" hidden="false" customHeight="false" outlineLevel="0" collapsed="false">
      <c r="A44" s="5" t="s">
        <v>178</v>
      </c>
      <c r="C44" s="33" t="s">
        <v>179</v>
      </c>
    </row>
    <row r="45" customFormat="false" ht="15" hidden="false" customHeight="false" outlineLevel="0" collapsed="false">
      <c r="A45" s="31" t="n">
        <v>1</v>
      </c>
      <c r="C45" s="36" t="s">
        <v>194</v>
      </c>
    </row>
    <row r="46" customFormat="false" ht="15" hidden="false" customHeight="false" outlineLevel="0" collapsed="false">
      <c r="A46" s="31" t="n">
        <v>3</v>
      </c>
      <c r="C46" s="36" t="s">
        <v>195</v>
      </c>
    </row>
    <row r="47" customFormat="false" ht="15" hidden="false" customHeight="false" outlineLevel="0" collapsed="false">
      <c r="A47" s="31" t="n">
        <v>5</v>
      </c>
      <c r="C47" s="36" t="s">
        <v>196</v>
      </c>
    </row>
    <row r="48" customFormat="false" ht="15" hidden="false" customHeight="false" outlineLevel="0" collapsed="false">
      <c r="C48" s="43" t="s">
        <v>197</v>
      </c>
    </row>
    <row r="49" customFormat="false" ht="15" hidden="false" customHeight="false" outlineLevel="0" collapsed="false">
      <c r="C49" s="43" t="s">
        <v>198</v>
      </c>
    </row>
    <row r="51" customFormat="false" ht="15" hidden="false" customHeight="false" outlineLevel="0" collapsed="false">
      <c r="A51" s="10" t="s">
        <v>199</v>
      </c>
    </row>
    <row r="52" customFormat="false" ht="15" hidden="false" customHeight="false" outlineLevel="0" collapsed="false">
      <c r="A52" s="5" t="s">
        <v>178</v>
      </c>
      <c r="C52" s="33" t="s">
        <v>179</v>
      </c>
    </row>
    <row r="53" customFormat="false" ht="15" hidden="false" customHeight="false" outlineLevel="0" collapsed="false">
      <c r="A53" s="31" t="n">
        <v>1</v>
      </c>
      <c r="C53" s="36" t="s">
        <v>200</v>
      </c>
    </row>
    <row r="54" customFormat="false" ht="15" hidden="false" customHeight="false" outlineLevel="0" collapsed="false">
      <c r="A54" s="31" t="n">
        <v>3</v>
      </c>
      <c r="C54" s="36" t="s">
        <v>201</v>
      </c>
    </row>
    <row r="55" customFormat="false" ht="15" hidden="false" customHeight="false" outlineLevel="0" collapsed="false">
      <c r="A55" s="31" t="n">
        <v>5</v>
      </c>
      <c r="C55" s="36" t="s">
        <v>202</v>
      </c>
    </row>
    <row r="57" customFormat="false" ht="15" hidden="false" customHeight="false" outlineLevel="0" collapsed="false">
      <c r="A57" s="10" t="s">
        <v>203</v>
      </c>
    </row>
    <row r="58" customFormat="false" ht="15" hidden="false" customHeight="false" outlineLevel="0" collapsed="false">
      <c r="A58" s="5" t="s">
        <v>178</v>
      </c>
      <c r="C58" s="33" t="s">
        <v>179</v>
      </c>
    </row>
    <row r="59" customFormat="false" ht="15" hidden="false" customHeight="false" outlineLevel="0" collapsed="false">
      <c r="A59" s="31" t="n">
        <v>1</v>
      </c>
      <c r="C59" s="36" t="s">
        <v>204</v>
      </c>
    </row>
    <row r="60" customFormat="false" ht="15" hidden="false" customHeight="false" outlineLevel="0" collapsed="false">
      <c r="A60" s="31" t="n">
        <v>3</v>
      </c>
      <c r="C60" s="36" t="s">
        <v>205</v>
      </c>
    </row>
    <row r="61" customFormat="false" ht="15" hidden="false" customHeight="false" outlineLevel="0" collapsed="false">
      <c r="A61" s="31" t="n">
        <v>5</v>
      </c>
      <c r="C61" s="36" t="s">
        <v>206</v>
      </c>
    </row>
    <row r="63" customFormat="false" ht="15" hidden="false" customHeight="false" outlineLevel="0" collapsed="false">
      <c r="A63" s="10" t="s">
        <v>207</v>
      </c>
    </row>
    <row r="64" customFormat="false" ht="15" hidden="false" customHeight="false" outlineLevel="0" collapsed="false">
      <c r="A64" s="33" t="s">
        <v>208</v>
      </c>
      <c r="C64" s="33" t="s">
        <v>209</v>
      </c>
    </row>
    <row r="65" customFormat="false" ht="15" hidden="false" customHeight="false" outlineLevel="0" collapsed="false">
      <c r="A65" s="36" t="s">
        <v>210</v>
      </c>
      <c r="C65" s="36" t="s">
        <v>211</v>
      </c>
    </row>
    <row r="66" customFormat="false" ht="15" hidden="false" customHeight="false" outlineLevel="0" collapsed="false">
      <c r="A66" s="36" t="s">
        <v>212</v>
      </c>
      <c r="C66" s="36" t="s">
        <v>213</v>
      </c>
    </row>
    <row r="67" customFormat="false" ht="15" hidden="false" customHeight="false" outlineLevel="0" collapsed="false">
      <c r="A67" s="36" t="s">
        <v>214</v>
      </c>
      <c r="C67" s="36" t="s">
        <v>215</v>
      </c>
    </row>
    <row r="68" customFormat="false" ht="15" hidden="false" customHeight="false" outlineLevel="0" collapsed="false">
      <c r="A68" s="36" t="s">
        <v>216</v>
      </c>
      <c r="C68" s="36" t="s">
        <v>217</v>
      </c>
    </row>
    <row r="69" customFormat="false" ht="15" hidden="false" customHeight="false" outlineLevel="0" collapsed="false">
      <c r="A69" s="36" t="s">
        <v>218</v>
      </c>
      <c r="C69" s="36" t="s">
        <v>219</v>
      </c>
    </row>
    <row r="70" customFormat="false" ht="15" hidden="false" customHeight="false" outlineLevel="0" collapsed="false">
      <c r="A70" s="36" t="s">
        <v>220</v>
      </c>
      <c r="C70" s="36" t="s">
        <v>221</v>
      </c>
    </row>
    <row r="71" customFormat="false" ht="15" hidden="false" customHeight="false" outlineLevel="0" collapsed="false">
      <c r="A71" s="36" t="s">
        <v>222</v>
      </c>
      <c r="C71" s="36" t="s">
        <v>223</v>
      </c>
    </row>
    <row r="72" customFormat="false" ht="15" hidden="false" customHeight="false" outlineLevel="0" collapsed="false">
      <c r="A72" s="36" t="s">
        <v>224</v>
      </c>
      <c r="C72" s="36" t="s">
        <v>225</v>
      </c>
    </row>
    <row r="73" customFormat="false" ht="15" hidden="false" customHeight="false" outlineLevel="0" collapsed="false">
      <c r="A73" s="36" t="s">
        <v>226</v>
      </c>
      <c r="C73" s="36" t="s">
        <v>227</v>
      </c>
    </row>
    <row r="75" customFormat="false" ht="15" hidden="false" customHeight="false" outlineLevel="0" collapsed="false">
      <c r="A75" s="10" t="s">
        <v>228</v>
      </c>
    </row>
    <row r="76" customFormat="false" ht="15" hidden="false" customHeight="false" outlineLevel="0" collapsed="false">
      <c r="A76" s="33" t="s">
        <v>229</v>
      </c>
      <c r="C76" s="33" t="s">
        <v>230</v>
      </c>
    </row>
    <row r="77" customFormat="false" ht="15" hidden="false" customHeight="false" outlineLevel="0" collapsed="false">
      <c r="A77" s="36" t="s">
        <v>231</v>
      </c>
      <c r="C77" s="36" t="s">
        <v>232</v>
      </c>
    </row>
    <row r="78" customFormat="false" ht="15" hidden="false" customHeight="false" outlineLevel="0" collapsed="false">
      <c r="A78" s="36" t="s">
        <v>233</v>
      </c>
      <c r="C78" s="36" t="s">
        <v>234</v>
      </c>
    </row>
    <row r="79" customFormat="false" ht="15" hidden="false" customHeight="false" outlineLevel="0" collapsed="false">
      <c r="A79" s="36" t="s">
        <v>235</v>
      </c>
      <c r="C79" s="36" t="s">
        <v>236</v>
      </c>
    </row>
    <row r="80" customFormat="false" ht="15" hidden="false" customHeight="false" outlineLevel="0" collapsed="false">
      <c r="A80" s="36" t="s">
        <v>237</v>
      </c>
      <c r="C80" s="36" t="s">
        <v>238</v>
      </c>
    </row>
    <row r="81" customFormat="false" ht="15" hidden="false" customHeight="false" outlineLevel="0" collapsed="false">
      <c r="A81" s="36" t="s">
        <v>239</v>
      </c>
      <c r="C81" s="36" t="s">
        <v>240</v>
      </c>
    </row>
    <row r="82" customFormat="false" ht="15" hidden="false" customHeight="false" outlineLevel="0" collapsed="false">
      <c r="A82" s="36" t="s">
        <v>241</v>
      </c>
      <c r="C82" s="36" t="s">
        <v>242</v>
      </c>
    </row>
    <row r="83" customFormat="false" ht="15" hidden="false" customHeight="false" outlineLevel="0" collapsed="false">
      <c r="A83" s="36" t="s">
        <v>243</v>
      </c>
      <c r="C83" s="36" t="s">
        <v>244</v>
      </c>
    </row>
    <row r="84" customFormat="false" ht="15" hidden="false" customHeight="false" outlineLevel="0" collapsed="false">
      <c r="A84" s="36" t="s">
        <v>245</v>
      </c>
      <c r="C84" s="36" t="s">
        <v>246</v>
      </c>
    </row>
    <row r="85" customFormat="false" ht="15" hidden="false" customHeight="false" outlineLevel="0" collapsed="false">
      <c r="A85" s="36" t="s">
        <v>247</v>
      </c>
      <c r="C85" s="36" t="s">
        <v>248</v>
      </c>
    </row>
    <row r="86" customFormat="false" ht="15" hidden="false" customHeight="false" outlineLevel="0" collapsed="false">
      <c r="A86" s="36" t="s">
        <v>249</v>
      </c>
      <c r="C86" s="36" t="s">
        <v>250</v>
      </c>
    </row>
    <row r="87" customFormat="false" ht="15" hidden="false" customHeight="false" outlineLevel="0" collapsed="false">
      <c r="A87" s="36" t="s">
        <v>251</v>
      </c>
      <c r="C87" s="36" t="s">
        <v>252</v>
      </c>
    </row>
    <row r="88" customFormat="false" ht="15" hidden="false" customHeight="false" outlineLevel="0" collapsed="false">
      <c r="A88" s="36" t="s">
        <v>253</v>
      </c>
      <c r="C88" s="36" t="s">
        <v>254</v>
      </c>
    </row>
    <row r="89" customFormat="false" ht="15" hidden="false" customHeight="false" outlineLevel="0" collapsed="false">
      <c r="A89" s="36" t="s">
        <v>255</v>
      </c>
      <c r="C89" s="36" t="s">
        <v>227</v>
      </c>
    </row>
    <row r="91" customFormat="false" ht="15" hidden="false" customHeight="false" outlineLevel="0" collapsed="false">
      <c r="A91" s="10" t="s">
        <v>256</v>
      </c>
    </row>
    <row r="92" customFormat="false" ht="24" hidden="false" customHeight="true" outlineLevel="0" collapsed="false">
      <c r="A92" s="44" t="s">
        <v>257</v>
      </c>
      <c r="B92" s="44"/>
      <c r="C92" s="44"/>
    </row>
    <row r="93" customFormat="false" ht="24" hidden="false" customHeight="true" outlineLevel="0" collapsed="false">
      <c r="A93" s="44" t="s">
        <v>258</v>
      </c>
      <c r="B93" s="44"/>
      <c r="C93" s="44"/>
    </row>
    <row r="94" customFormat="false" ht="24" hidden="false" customHeight="true" outlineLevel="0" collapsed="false">
      <c r="A94" s="44" t="s">
        <v>259</v>
      </c>
      <c r="B94" s="44"/>
      <c r="C94" s="44"/>
    </row>
    <row r="95" customFormat="false" ht="24" hidden="false" customHeight="true" outlineLevel="0" collapsed="false">
      <c r="A95" s="44" t="s">
        <v>260</v>
      </c>
      <c r="B95" s="44"/>
      <c r="C95" s="44"/>
    </row>
    <row r="96" customFormat="false" ht="24" hidden="false" customHeight="true" outlineLevel="0" collapsed="false">
      <c r="A96" s="44" t="s">
        <v>261</v>
      </c>
      <c r="B96" s="44"/>
      <c r="C96" s="44"/>
    </row>
    <row r="97" customFormat="false" ht="24" hidden="false" customHeight="true" outlineLevel="0" collapsed="false">
      <c r="A97" s="44" t="s">
        <v>262</v>
      </c>
      <c r="B97" s="44"/>
      <c r="C97" s="44"/>
    </row>
    <row r="98" customFormat="false" ht="24" hidden="false" customHeight="true" outlineLevel="0" collapsed="false">
      <c r="A98" s="44" t="s">
        <v>263</v>
      </c>
      <c r="B98" s="44"/>
      <c r="C98" s="44"/>
    </row>
    <row r="100" customFormat="false" ht="15" hidden="false" customHeight="false" outlineLevel="0" collapsed="false">
      <c r="A100" s="10" t="s">
        <v>264</v>
      </c>
    </row>
    <row r="101" customFormat="false" ht="30" hidden="false" customHeight="true" outlineLevel="0" collapsed="false">
      <c r="A101" s="44" t="s">
        <v>265</v>
      </c>
      <c r="B101" s="44"/>
      <c r="C101" s="44"/>
    </row>
    <row r="102" customFormat="false" ht="30" hidden="false" customHeight="true" outlineLevel="0" collapsed="false">
      <c r="A102" s="44" t="s">
        <v>266</v>
      </c>
      <c r="B102" s="44"/>
      <c r="C102" s="44"/>
    </row>
    <row r="103" customFormat="false" ht="30" hidden="false" customHeight="true" outlineLevel="0" collapsed="false">
      <c r="A103" s="44" t="s">
        <v>267</v>
      </c>
      <c r="B103" s="44"/>
      <c r="C103" s="44"/>
    </row>
    <row r="104" customFormat="false" ht="30" hidden="false" customHeight="true" outlineLevel="0" collapsed="false">
      <c r="A104" s="44" t="s">
        <v>268</v>
      </c>
      <c r="B104" s="44"/>
      <c r="C104" s="44"/>
    </row>
    <row r="105" customFormat="false" ht="30" hidden="false" customHeight="true" outlineLevel="0" collapsed="false">
      <c r="A105" s="44" t="s">
        <v>269</v>
      </c>
      <c r="B105" s="44"/>
      <c r="C105" s="44"/>
    </row>
    <row r="106" customFormat="false" ht="30" hidden="false" customHeight="true" outlineLevel="0" collapsed="false">
      <c r="A106" s="44" t="s">
        <v>270</v>
      </c>
      <c r="B106" s="44"/>
      <c r="C106" s="44"/>
    </row>
    <row r="107" customFormat="false" ht="30" hidden="false" customHeight="true" outlineLevel="0" collapsed="false">
      <c r="A107" s="44" t="s">
        <v>271</v>
      </c>
      <c r="B107" s="44"/>
      <c r="C107" s="44"/>
    </row>
    <row r="109" customFormat="false" ht="15" hidden="false" customHeight="false" outlineLevel="0" collapsed="false">
      <c r="A109" s="10" t="s">
        <v>272</v>
      </c>
    </row>
    <row r="110" customFormat="false" ht="25.5" hidden="false" customHeight="true" outlineLevel="0" collapsed="false">
      <c r="A110" s="44" t="s">
        <v>273</v>
      </c>
      <c r="B110" s="44"/>
      <c r="C110" s="44"/>
    </row>
    <row r="111" customFormat="false" ht="25.5" hidden="false" customHeight="true" outlineLevel="0" collapsed="false">
      <c r="A111" s="44" t="s">
        <v>274</v>
      </c>
      <c r="B111" s="44"/>
      <c r="C111" s="44"/>
    </row>
    <row r="112" customFormat="false" ht="25.5" hidden="false" customHeight="true" outlineLevel="0" collapsed="false">
      <c r="A112" s="44" t="s">
        <v>275</v>
      </c>
      <c r="B112" s="44"/>
      <c r="C112" s="44"/>
    </row>
    <row r="113" customFormat="false" ht="25.5" hidden="false" customHeight="true" outlineLevel="0" collapsed="false">
      <c r="A113" s="44" t="s">
        <v>276</v>
      </c>
      <c r="B113" s="44"/>
      <c r="C113" s="44"/>
    </row>
    <row r="114" customFormat="false" ht="25.5" hidden="false" customHeight="true" outlineLevel="0" collapsed="false">
      <c r="A114" s="44" t="s">
        <v>277</v>
      </c>
      <c r="B114" s="44"/>
      <c r="C114" s="44"/>
    </row>
    <row r="116" customFormat="false" ht="15" hidden="false" customHeight="false" outlineLevel="0" collapsed="false">
      <c r="A116" s="10" t="s">
        <v>278</v>
      </c>
    </row>
    <row r="117" customFormat="false" ht="25.5" hidden="false" customHeight="true" outlineLevel="0" collapsed="false">
      <c r="A117" s="44" t="s">
        <v>279</v>
      </c>
      <c r="B117" s="44"/>
      <c r="C117" s="44"/>
    </row>
    <row r="118" customFormat="false" ht="25.5" hidden="false" customHeight="true" outlineLevel="0" collapsed="false">
      <c r="A118" s="44" t="s">
        <v>280</v>
      </c>
      <c r="B118" s="44"/>
      <c r="C118" s="44"/>
    </row>
    <row r="119" customFormat="false" ht="25.5" hidden="false" customHeight="true" outlineLevel="0" collapsed="false">
      <c r="A119" s="44" t="s">
        <v>281</v>
      </c>
      <c r="B119" s="44"/>
      <c r="C119" s="44"/>
    </row>
    <row r="120" customFormat="false" ht="25.5" hidden="false" customHeight="true" outlineLevel="0" collapsed="false">
      <c r="A120" s="44" t="s">
        <v>282</v>
      </c>
      <c r="B120" s="44"/>
      <c r="C120" s="44"/>
    </row>
    <row r="121" customFormat="false" ht="25.5" hidden="false" customHeight="true" outlineLevel="0" collapsed="false">
      <c r="A121" s="44" t="s">
        <v>283</v>
      </c>
      <c r="B121" s="44"/>
      <c r="C121" s="44"/>
    </row>
    <row r="122" customFormat="false" ht="25.5" hidden="false" customHeight="true" outlineLevel="0" collapsed="false">
      <c r="A122" s="44" t="s">
        <v>284</v>
      </c>
      <c r="B122" s="44"/>
      <c r="C122" s="44"/>
    </row>
    <row r="123" customFormat="false" ht="25.5" hidden="false" customHeight="true" outlineLevel="0" collapsed="false">
      <c r="A123" s="44" t="s">
        <v>285</v>
      </c>
      <c r="B123" s="44"/>
      <c r="C123" s="44"/>
    </row>
    <row r="124" customFormat="false" ht="25.5" hidden="false" customHeight="true" outlineLevel="0" collapsed="false">
      <c r="A124" s="44" t="s">
        <v>286</v>
      </c>
      <c r="B124" s="44"/>
      <c r="C124" s="44"/>
    </row>
  </sheetData>
  <mergeCells count="27">
    <mergeCell ref="A92:C92"/>
    <mergeCell ref="A93:C93"/>
    <mergeCell ref="A94:C94"/>
    <mergeCell ref="A95:C95"/>
    <mergeCell ref="A96:C96"/>
    <mergeCell ref="A97:C97"/>
    <mergeCell ref="A98:C98"/>
    <mergeCell ref="A101:C101"/>
    <mergeCell ref="A102:C102"/>
    <mergeCell ref="A103:C103"/>
    <mergeCell ref="A104:C104"/>
    <mergeCell ref="A105:C105"/>
    <mergeCell ref="A106:C106"/>
    <mergeCell ref="A107:C107"/>
    <mergeCell ref="A110:C110"/>
    <mergeCell ref="A111:C111"/>
    <mergeCell ref="A112:C112"/>
    <mergeCell ref="A113:C113"/>
    <mergeCell ref="A114:C114"/>
    <mergeCell ref="A117:C117"/>
    <mergeCell ref="A118:C118"/>
    <mergeCell ref="A119:C119"/>
    <mergeCell ref="A120:C120"/>
    <mergeCell ref="A121:C121"/>
    <mergeCell ref="A122:C122"/>
    <mergeCell ref="A123:C123"/>
    <mergeCell ref="A124:C124"/>
  </mergeCells>
  <conditionalFormatting sqref="B14">
    <cfRule type="expression" priority="2" aboveAverage="0" equalAverage="0" bottom="0" percent="0" rank="0" text="" dxfId="0">
      <formula>$B$14&lt;&gt;1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36"/>
    <col collapsed="false" customWidth="true" hidden="false" outlineLevel="0" max="4" min="4" style="0" width="40"/>
    <col collapsed="false" customWidth="true" hidden="false" outlineLevel="0" max="5" min="5" style="0" width="24"/>
    <col collapsed="false" customWidth="true" hidden="false" outlineLevel="0" max="7" min="7" style="0" width="20"/>
    <col collapsed="false" customWidth="true" hidden="false" outlineLevel="0" max="8" min="8" style="0" width="24"/>
  </cols>
  <sheetData>
    <row r="1" customFormat="false" ht="15" hidden="false" customHeight="false" outlineLevel="0" collapsed="false">
      <c r="A1" s="16" t="s">
        <v>287</v>
      </c>
      <c r="B1" s="16" t="s">
        <v>288</v>
      </c>
      <c r="C1" s="16" t="s">
        <v>289</v>
      </c>
      <c r="D1" s="16" t="s">
        <v>290</v>
      </c>
      <c r="E1" s="16" t="s">
        <v>291</v>
      </c>
      <c r="G1" s="16" t="s">
        <v>292</v>
      </c>
      <c r="H1" s="16" t="s">
        <v>293</v>
      </c>
    </row>
    <row r="2" customFormat="false" ht="15" hidden="false" customHeight="false" outlineLevel="0" collapsed="false">
      <c r="A2" s="45" t="s">
        <v>81</v>
      </c>
      <c r="B2" s="45" t="n">
        <v>1</v>
      </c>
      <c r="C2" s="45" t="s">
        <v>210</v>
      </c>
      <c r="D2" s="45" t="s">
        <v>294</v>
      </c>
      <c r="E2" s="45" t="s">
        <v>295</v>
      </c>
      <c r="G2" s="45" t="s">
        <v>296</v>
      </c>
      <c r="H2" s="45" t="s">
        <v>155</v>
      </c>
    </row>
    <row r="3" customFormat="false" ht="15" hidden="false" customHeight="false" outlineLevel="0" collapsed="false">
      <c r="A3" s="45" t="s">
        <v>297</v>
      </c>
      <c r="B3" s="45" t="n">
        <v>2</v>
      </c>
      <c r="C3" s="45" t="s">
        <v>212</v>
      </c>
      <c r="D3" s="45" t="s">
        <v>298</v>
      </c>
      <c r="E3" s="45" t="s">
        <v>295</v>
      </c>
      <c r="G3" s="45" t="s">
        <v>124</v>
      </c>
      <c r="H3" s="45" t="s">
        <v>157</v>
      </c>
    </row>
    <row r="4" customFormat="false" ht="15" hidden="false" customHeight="false" outlineLevel="0" collapsed="false">
      <c r="A4" s="45" t="s">
        <v>87</v>
      </c>
      <c r="B4" s="45" t="n">
        <v>3</v>
      </c>
      <c r="C4" s="45" t="s">
        <v>214</v>
      </c>
      <c r="D4" s="45" t="s">
        <v>299</v>
      </c>
      <c r="E4" s="45" t="s">
        <v>295</v>
      </c>
      <c r="G4" s="45" t="s">
        <v>300</v>
      </c>
      <c r="H4" s="45" t="s">
        <v>67</v>
      </c>
    </row>
    <row r="5" customFormat="false" ht="15" hidden="false" customHeight="false" outlineLevel="0" collapsed="false">
      <c r="A5" s="45" t="s">
        <v>90</v>
      </c>
      <c r="B5" s="45" t="n">
        <v>4</v>
      </c>
      <c r="C5" s="45" t="s">
        <v>216</v>
      </c>
      <c r="D5" s="45" t="s">
        <v>301</v>
      </c>
      <c r="E5" s="45" t="s">
        <v>295</v>
      </c>
      <c r="G5" s="45" t="s">
        <v>302</v>
      </c>
      <c r="H5" s="45" t="s">
        <v>160</v>
      </c>
    </row>
    <row r="6" customFormat="false" ht="15" hidden="false" customHeight="false" outlineLevel="0" collapsed="false">
      <c r="B6" s="45" t="n">
        <v>5</v>
      </c>
      <c r="C6" s="45" t="s">
        <v>218</v>
      </c>
      <c r="D6" s="45" t="s">
        <v>303</v>
      </c>
      <c r="E6" s="45" t="s">
        <v>295</v>
      </c>
      <c r="G6" s="45" t="s">
        <v>304</v>
      </c>
      <c r="H6" s="45" t="s">
        <v>162</v>
      </c>
    </row>
    <row r="7" customFormat="false" ht="15" hidden="false" customHeight="false" outlineLevel="0" collapsed="false">
      <c r="C7" s="45" t="s">
        <v>220</v>
      </c>
      <c r="D7" s="45" t="s">
        <v>305</v>
      </c>
      <c r="E7" s="45" t="s">
        <v>295</v>
      </c>
      <c r="G7" s="45" t="s">
        <v>306</v>
      </c>
    </row>
    <row r="8" customFormat="false" ht="15" hidden="false" customHeight="false" outlineLevel="0" collapsed="false">
      <c r="C8" s="45" t="s">
        <v>222</v>
      </c>
      <c r="D8" s="45" t="s">
        <v>307</v>
      </c>
      <c r="E8" s="45" t="s">
        <v>295</v>
      </c>
    </row>
    <row r="9" customFormat="false" ht="15" hidden="false" customHeight="false" outlineLevel="0" collapsed="false">
      <c r="C9" s="45" t="s">
        <v>224</v>
      </c>
      <c r="D9" s="45" t="s">
        <v>308</v>
      </c>
      <c r="E9" s="45" t="s">
        <v>295</v>
      </c>
    </row>
    <row r="10" customFormat="false" ht="15" hidden="false" customHeight="false" outlineLevel="0" collapsed="false">
      <c r="C10" s="45" t="s">
        <v>226</v>
      </c>
      <c r="D10" s="45" t="s">
        <v>309</v>
      </c>
      <c r="E10" s="45" t="s">
        <v>295</v>
      </c>
    </row>
    <row r="11" customFormat="false" ht="15" hidden="false" customHeight="false" outlineLevel="0" collapsed="false">
      <c r="D11" s="45" t="s">
        <v>310</v>
      </c>
      <c r="E11" s="45" t="s">
        <v>311</v>
      </c>
    </row>
    <row r="12" customFormat="false" ht="15" hidden="false" customHeight="false" outlineLevel="0" collapsed="false">
      <c r="D12" s="45" t="s">
        <v>312</v>
      </c>
      <c r="E12" s="45" t="s">
        <v>311</v>
      </c>
    </row>
    <row r="13" customFormat="false" ht="15" hidden="false" customHeight="false" outlineLevel="0" collapsed="false">
      <c r="D13" s="45" t="s">
        <v>313</v>
      </c>
      <c r="E13" s="45" t="s">
        <v>311</v>
      </c>
    </row>
    <row r="14" customFormat="false" ht="15" hidden="false" customHeight="false" outlineLevel="0" collapsed="false">
      <c r="D14" s="45" t="s">
        <v>314</v>
      </c>
      <c r="E14" s="45" t="s">
        <v>295</v>
      </c>
    </row>
    <row r="15" customFormat="false" ht="15" hidden="false" customHeight="false" outlineLevel="0" collapsed="false">
      <c r="D15" s="45" t="s">
        <v>315</v>
      </c>
      <c r="E15" s="45" t="s">
        <v>311</v>
      </c>
    </row>
    <row r="18" customFormat="false" ht="15" hidden="false" customHeight="false" outlineLevel="0" collapsed="false">
      <c r="A18" s="46" t="s">
        <v>316</v>
      </c>
      <c r="B18" s="46"/>
      <c r="C18" s="46"/>
      <c r="D18" s="46"/>
      <c r="E18" s="46"/>
      <c r="F18" s="46"/>
      <c r="G18" s="46"/>
      <c r="H18" s="46"/>
    </row>
  </sheetData>
  <mergeCells count="1">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2026-08-07T18:34:07Z</dcterms:created>
  <dc:creator>openpyxl</dc:creator>
  <dc:description/>
  <dc:language>en-US</dc:language>
  <cp:lastModifiedBy/>
  <dcterms:modified xsi:type="dcterms:W3CDTF">2026-08-07T18:34:08Z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