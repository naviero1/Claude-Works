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Score Log" sheetId="2" state="visible" r:id="rId4"/>
    <sheet name="Dashboard" sheetId="3" state="visible" r:id="rId5"/>
    <sheet name="Risk Suggestions" sheetId="4" state="visible" r:id="rId6"/>
    <sheet name="Suppliers" sheetId="5" state="visible" r:id="rId7"/>
    <sheet name="Rubric" sheetId="6" state="visible" r:id="rId8"/>
    <sheet name="Settings" sheetId="7" state="visible" r:id="rId9"/>
  </sheets>
  <definedNames>
    <definedName function="false" hidden="true" localSheetId="1" name="_xlnm._FilterDatabase" vbProcedure="false">'Score Log'!$A$3:$V$204</definedName>
    <definedName function="false" hidden="false" name="ScorecardProcesses" vbProcedure="false">Settings!$D$4:$D$33</definedName>
    <definedName function="false" hidden="false" name="ScorecardSuppliers" vbProcedure="false">Suppliers!$A$3:$A$32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<sst xmlns="http://schemas.openxmlformats.org/spreadsheetml/2006/main" count="183" uniqueCount="155">
  <si>
    <t xml:space="preserve">Supplier Scorecard — how to use</t>
  </si>
  <si>
    <t xml:space="preserve">What this workbook does</t>
  </si>
  <si>
    <t xml:space="preserve">Logs every project you run with a supplier, scores it on Cost, Quality, Lead time and Responsiveness (1–5), and rolls it all up so you can see what each supplier is giving you — overall and per process.</t>
  </si>
  <si>
    <t xml:space="preserve">Logging a project (Score Log tab)</t>
  </si>
  <si>
    <t xml:space="preserve">1.  One row per project / PO. Enter the date, project name, and pick Supplier and Process from the dropdowns.</t>
  </si>
  <si>
    <t xml:space="preserve">2.  Score the four criteria 1–5 — the Rubric tab defines what each number means. Each score has its own notes column; use it for the 'why'.</t>
  </si>
  <si>
    <t xml:space="preserve">3.  Overall is calculated automatically from the weights in Settings (defaults: Quality 30%, Cost 25%, Lead time 25%, Responsiveness 20% — edit the yellow cells anytime).</t>
  </si>
  <si>
    <t xml:space="preserve">4.  Cost data and Delivery data columns are optional — leave them blank when you don't have the numbers. When filled, the sheet computes cost variance, days late, and on-time %.</t>
  </si>
  <si>
    <t xml:space="preserve">Reading the Dashboard tab</t>
  </si>
  <si>
    <t xml:space="preserve">Supplier scorecard: one line per supplier — project count, average score per criterion, weighted overall, on-time %, average cost variance, and the date last used. The chart compares overall averages.</t>
  </si>
  <si>
    <t xml:space="preserve">By-process comparison: average overall score for each supplier × process pairing, so you can see who is strongest at injection molding vs 3D printing vs thermoforming.</t>
  </si>
  <si>
    <t xml:space="preserve">Color legend</t>
  </si>
  <si>
    <t xml:space="preserve">White cells = you type.    Yellow cells (Settings) = editable defaults.    Gray-filled columns = automatic, don't type in them.    Gray italic rows = example data — replace with real entries.</t>
  </si>
  <si>
    <t xml:space="preserve">Scores are shaded red (1) → yellow (3) → green (5) automatically.</t>
  </si>
  <si>
    <t xml:space="preserve">Adding suppliers and processes</t>
  </si>
  <si>
    <t xml:space="preserve">New supplier: add a row in the Suppliers tab (column A feeds the dropdown). New process/part type: add it in Settings, column D. Both dropdowns update automatically.</t>
  </si>
  <si>
    <t xml:space="preserve">Capacity (pre-wired ranges)</t>
  </si>
  <si>
    <t xml:space="preserve">200 log rows · 30 suppliers · 30 processes. Dashboard chart shows the first 15 suppliers; the by-process grid shows the first 10 suppliers × first 20 processes. If you outgrow any of these, ask Claude to extend them.</t>
  </si>
  <si>
    <t xml:space="preserve">Built with Claude, 2026-07-25. Example data and default weights were set for illustration — every assumption is editable.</t>
  </si>
  <si>
    <t xml:space="preserve">Supplier Score Log</t>
  </si>
  <si>
    <t xml:space="preserve">One row per project. White cells = you type; gray columns = automatic. Gray italic rows are examples — replace them. Rubric tab defines the 1–5 scale.</t>
  </si>
  <si>
    <t xml:space="preserve">Project info</t>
  </si>
  <si>
    <t xml:space="preserve">Scores 1–5 &amp; notes  (Overall is automatic)</t>
  </si>
  <si>
    <t xml:space="preserve">Cost data (optional)</t>
  </si>
  <si>
    <t xml:space="preserve">Delivery data (optional)</t>
  </si>
  <si>
    <t xml:space="preserve">Date</t>
  </si>
  <si>
    <t xml:space="preserve">Project</t>
  </si>
  <si>
    <t xml:space="preserve">Supplier</t>
  </si>
  <si>
    <t xml:space="preserve">Process / part type</t>
  </si>
  <si>
    <t xml:space="preserve">Part description</t>
  </si>
  <si>
    <t xml:space="preserve">Cost (1–5)</t>
  </si>
  <si>
    <t xml:space="preserve">Cost notes</t>
  </si>
  <si>
    <t xml:space="preserve">Quality (1–5)</t>
  </si>
  <si>
    <t xml:space="preserve">Quality notes</t>
  </si>
  <si>
    <t xml:space="preserve">Lead time (1–5)</t>
  </si>
  <si>
    <t xml:space="preserve">Lead time notes</t>
  </si>
  <si>
    <t xml:space="preserve">Responsiveness (1–5)</t>
  </si>
  <si>
    <t xml:space="preserve">Responsiveness notes</t>
  </si>
  <si>
    <t xml:space="preserve">Overall (auto)</t>
  </si>
  <si>
    <t xml:space="preserve">Quoted cost</t>
  </si>
  <si>
    <t xml:space="preserve">Actual cost</t>
  </si>
  <si>
    <t xml:space="preserve">Cost var % (auto)</t>
  </si>
  <si>
    <t xml:space="preserve">Promised delivery</t>
  </si>
  <si>
    <t xml:space="preserve">Actual delivery</t>
  </si>
  <si>
    <t xml:space="preserve">Days late (auto)</t>
  </si>
  <si>
    <t xml:space="preserve">On time? (auto)</t>
  </si>
  <si>
    <t xml:space="preserve">General notes</t>
  </si>
  <si>
    <t xml:space="preserve">Gyn 2.0</t>
  </si>
  <si>
    <t xml:space="preserve">Fictiv</t>
  </si>
  <si>
    <t xml:space="preserve">Injection molding</t>
  </si>
  <si>
    <t xml:space="preserve">Uterus Insert</t>
  </si>
  <si>
    <t xml:space="preserve">35% (average) under comparable quotes </t>
  </si>
  <si>
    <t xml:space="preserve">Zero rejects at incoming inspection</t>
  </si>
  <si>
    <t xml:space="preserve">Parts came on time.</t>
  </si>
  <si>
    <t xml:space="preserve">24 hours spam of replies and thorough.</t>
  </si>
  <si>
    <t xml:space="preserve">Good quality overall, communications, lead time and responsiveness</t>
  </si>
  <si>
    <t xml:space="preserve">End Plate</t>
  </si>
  <si>
    <t xml:space="preserve">Advanced Plastiform</t>
  </si>
  <si>
    <t xml:space="preserve">Thermoforming</t>
  </si>
  <si>
    <t xml:space="preserve">Suppine chest base</t>
  </si>
  <si>
    <t xml:space="preserve">Responsive to inquiries and provided revised timelines, but Intuitive frequently had to request status updates</t>
  </si>
  <si>
    <t xml:space="preserve">Supplier Dashboard</t>
  </si>
  <si>
    <t xml:space="preserve">Everything on this tab is automatic — it updates as you log projects. '–' means no data yet.</t>
  </si>
  <si>
    <t xml:space="preserve">Supplier scorecard</t>
  </si>
  <si>
    <t xml:space="preserve">Projects</t>
  </si>
  <si>
    <t xml:space="preserve">Avg Cost</t>
  </si>
  <si>
    <t xml:space="preserve">Avg Quality</t>
  </si>
  <si>
    <t xml:space="preserve">Avg Lead time</t>
  </si>
  <si>
    <t xml:space="preserve">Avg Responsiveness</t>
  </si>
  <si>
    <t xml:space="preserve">Avg Overall</t>
  </si>
  <si>
    <t xml:space="preserve">On-time %</t>
  </si>
  <si>
    <t xml:space="preserve">Avg cost var %</t>
  </si>
  <si>
    <t xml:space="preserve">Last project</t>
  </si>
  <si>
    <t xml:space="preserve">By-process comparison — average overall score</t>
  </si>
  <si>
    <t xml:space="preserve">Rows mirror the process list in Settings (first 20); columns mirror the first 10 suppliers. Blank = no projects yet for that pairing.</t>
  </si>
  <si>
    <t xml:space="preserve">Risk Suggestions - feed for the Part-Supplier Risk Model</t>
  </si>
  <si>
    <t xml:space="preserve">FULLY AUTOMATIC: every distinct Part + Supplier pair in the Score Log gets exactly one line here, in order of first appearance - log projects one row per part and combos appear by themselves. Translation: risk = 6 - average performance (scorecard 5 = excellent -&gt; risk 1 = low), rounded and clamped to 1-5. Type the suggested values into the PART_RISK tab of Part_Supplier_Risk_Model - a starting point, not an override.</t>
  </si>
  <si>
    <t xml:space="preserve">PART-SUPPLIER COMBOS (auto from Score Log)</t>
  </si>
  <si>
    <t xml:space="preserve">SCORECARD PERFORMANCE FOR THE COMBO (auto, 5 = excellent)</t>
  </si>
  <si>
    <t xml:space="preserve">SUGGESTED RISK ENTRIES FOR PART_RISK (1 = low risk ... 5 = high)</t>
  </si>
  <si>
    <t xml:space="preserve">first</t>
  </si>
  <si>
    <t xml:space="preserve">ord</t>
  </si>
  <si>
    <t xml:space="preserve">Part (from Score Log)</t>
  </si>
  <si>
    <t xml:space="preserve">Quality_Compliance (suggest)</t>
  </si>
  <si>
    <t xml:space="preserve">Capacity (suggest)</t>
  </si>
  <si>
    <t xml:space="preserve">Supplier_Stability (suggest)</t>
  </si>
  <si>
    <t xml:space="preserve">cA</t>
  </si>
  <si>
    <t xml:space="preserve">rA</t>
  </si>
  <si>
    <t xml:space="preserve">lr</t>
  </si>
  <si>
    <t xml:space="preserve">HOW THIS TAB WORKS</t>
  </si>
  <si>
    <t xml:space="preserve">Rows appear automatically: each distinct Part + Supplier pair in the Score Log = one line (first 60 combos; log rows without a Part description are not listed). Keep part names consistent in the log - 'Uterus Insert' and 'uterus insert' would count as two parts.</t>
  </si>
  <si>
    <t xml:space="preserve">Quality_Compliance  &lt;-  6 - avg Quality of THIS combo.  What they delivered on this part is direct evidence for its quality risk.</t>
  </si>
  <si>
    <t xml:space="preserve">Capacity  &lt;-  6 - avg Lead time of THIS combo.  Observed delivery performance is the visible side of capacity; sanity-check against On-time %.</t>
  </si>
  <si>
    <t xml:space="preserve">Supplier_Stability  &lt;-  6 - average(Responsiveness, Cost) across ALL the supplier's projects, regardless of part - stability is about the supplier as a business. Cost has no part-level column in the risk register, but erratic pricing and poor cost transparency - like slow communication - are stability evidence.</t>
  </si>
  <si>
    <t xml:space="preserve">No scorecard equivalent - score these by judgment in the master model:  Sourcing_Backup (do alternatives exist?),  External_Factors (location, logistics, borders),  Impact (what the part means to the model),  Qty_per_Model / volume.</t>
  </si>
  <si>
    <t xml:space="preserve">Suggestions round to the nearest whole score and clamp to 1-5. Few projects behind a combo (see Projects column) = thin evidence - weigh it accordingly.</t>
  </si>
  <si>
    <t xml:space="preserve">Supplier directory</t>
  </si>
  <si>
    <t xml:space="preserve">One row per supplier. The Supplier dropdown in Score Log pulls from column A. Gray italic rows are examples — replace them.</t>
  </si>
  <si>
    <t xml:space="preserve">Supplier name</t>
  </si>
  <si>
    <t xml:space="preserve">Location</t>
  </si>
  <si>
    <t xml:space="preserve">Contact person</t>
  </si>
  <si>
    <t xml:space="preserve">Email / phone</t>
  </si>
  <si>
    <t xml:space="preserve">Processes offered</t>
  </si>
  <si>
    <t xml:space="preserve">Notes</t>
  </si>
  <si>
    <t xml:space="preserve">Zoran Savic</t>
  </si>
  <si>
    <t xml:space="preserve">zoran.savic@fictiv.com</t>
  </si>
  <si>
    <t xml:space="preserve">Injection molding, Thermoforming, 3D printing (FDM / SLA), PVA</t>
  </si>
  <si>
    <t xml:space="preserve">Scoring rubric — what 1 to 5 means</t>
  </si>
  <si>
    <t xml:space="preserve">Score each criterion at project close. When you're between two numbers, pick the lower one and explain in the notes column.</t>
  </si>
  <si>
    <t xml:space="preserve">Criterion</t>
  </si>
  <si>
    <t xml:space="preserve">1 — Poor</t>
  </si>
  <si>
    <t xml:space="preserve">2 — Weak</t>
  </si>
  <si>
    <t xml:space="preserve">3 — Acceptable</t>
  </si>
  <si>
    <t xml:space="preserve">4 — Good</t>
  </si>
  <si>
    <t xml:space="preserve">5 — Excellent</t>
  </si>
  <si>
    <t xml:space="preserve">Cost</t>
  </si>
  <si>
    <t xml:space="preserve">Far above market; surprise charges; no cost transparency.</t>
  </si>
  <si>
    <t xml:space="preserve">Above comparable quotes; extras billed without warning.</t>
  </si>
  <si>
    <t xml:space="preserve">In line with market; small deviations, explained when raised.</t>
  </si>
  <si>
    <t xml:space="preserve">Competitive; quotes hold through the project; flags cost drivers early.</t>
  </si>
  <si>
    <t xml:space="preserve">Best value; proactive cost-down ideas; transparent cost breakdowns.</t>
  </si>
  <si>
    <t xml:space="preserve">Quality</t>
  </si>
  <si>
    <t xml:space="preserve">Major defects; lot rejected or unusable; no corrective action.</t>
  </si>
  <si>
    <t xml:space="preserve">Repeated defects; rework needed; corrective action is slow.</t>
  </si>
  <si>
    <t xml:space="preserve">Occasional minor defects; fixed when we raise them.</t>
  </si>
  <si>
    <t xml:space="preserve">Meets spec consistently; rare cosmetic issues; solid first articles.</t>
  </si>
  <si>
    <t xml:space="preserve">Zero defects; first article right the first time; strong QC documentation.</t>
  </si>
  <si>
    <t xml:space="preserve">Lead time</t>
  </si>
  <si>
    <t xml:space="preserve">Very late (weeks or &gt;50% overrun); no warning given.</t>
  </si>
  <si>
    <t xml:space="preserve">Late with little notice; promised dates slip repeatedly.</t>
  </si>
  <si>
    <t xml:space="preserve">Mostly on time; small slips, communicated in advance.</t>
  </si>
  <si>
    <t xml:space="preserve">On time; realistic promises; good visibility of schedule.</t>
  </si>
  <si>
    <t xml:space="preserve">On time or early, every time; absorbs rush requests without drama.</t>
  </si>
  <si>
    <t xml:space="preserve">Responsiveness</t>
  </si>
  <si>
    <t xml:space="preserve">Days of silence; we chase constantly; unclear who owns our account.</t>
  </si>
  <si>
    <t xml:space="preserve">Slow replies; vague answers; hard to reach when problems appear.</t>
  </si>
  <si>
    <t xml:space="preserve">Replies within ~48 h; adequate technical answers.</t>
  </si>
  <si>
    <t xml:space="preserve">Same/next-day replies; clear technical communication; proactive updates.</t>
  </si>
  <si>
    <t xml:space="preserve">Immediate expert answers; flags problems before we ask; acts like a partner.</t>
  </si>
  <si>
    <t xml:space="preserve">Settings &amp; Lists</t>
  </si>
  <si>
    <t xml:space="preserve">Score weights</t>
  </si>
  <si>
    <t xml:space="preserve">Edit the yellow cells. Total must equal 100%. (Defaults set 2026-07-25 with Oscar — quality weighted highest.)</t>
  </si>
  <si>
    <t xml:space="preserve">Process / part type list  (add more below — dropdowns update automatically)</t>
  </si>
  <si>
    <t xml:space="preserve">3D printing (FDM)</t>
  </si>
  <si>
    <t xml:space="preserve">3D printing (SLA)</t>
  </si>
  <si>
    <t xml:space="preserve">Total</t>
  </si>
  <si>
    <t xml:space="preserve">3D printing (SLS)</t>
  </si>
  <si>
    <t xml:space="preserve">PVA</t>
  </si>
  <si>
    <t xml:space="preserve">CNC machining</t>
  </si>
  <si>
    <t xml:space="preserve">Vacuum casting</t>
  </si>
  <si>
    <t xml:space="preserve">Sheet metal</t>
  </si>
  <si>
    <t xml:space="preserve">Extrusion</t>
  </si>
  <si>
    <t xml:space="preserve">Casting</t>
  </si>
  <si>
    <t xml:space="preserve">Other</t>
  </si>
  <si>
    <t xml:space="preserve">Compression Molding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</si>
</sst>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0"/>
    <numFmt numFmtId="167" formatCode="0.00"/>
    <numFmt numFmtId="168" formatCode="#,##0"/>
    <numFmt numFmtId="169" formatCode="0.0%"/>
    <numFmt numFmtId="170" formatCode="0%"/>
    <numFmt numFmtId="171" formatCode="General"/>
    <numFmt numFmtId="172" formatCode="0.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1F3864"/>
      <name val="Arial"/>
      <family val="2"/>
      <charset val="1"/>
    </font>
    <font>
      <i val="true"/>
      <sz val="9"/>
      <color rgb="FF808080"/>
      <name val="Arial"/>
      <family val="2"/>
      <charset val="1"/>
    </font>
    <font>
      <b val="true"/>
      <sz val="9"/>
      <color rgb="FF1F3864"/>
      <name val="Arial"/>
      <family val="2"/>
      <charset val="1"/>
    </font>
    <font>
      <b val="true"/>
      <sz val="9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sz val="11"/>
      <color rgb="FF0000FF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E2F3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2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8ACA7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ont>
        <name val="Arial"/>
        <charset val="1"/>
        <family val="0"/>
        <b val="1"/>
        <color rgb="FFC00000"/>
        <sz val="10"/>
      </font>
    </dxf>
    <dxf>
      <font>
        <name val="Arial"/>
        <charset val="1"/>
        <family val="0"/>
        <color rgb="FF2E7D32"/>
        <sz val="10"/>
      </font>
    </dxf>
    <dxf>
      <font>
        <name val="Arial"/>
        <charset val="1"/>
        <family val="0"/>
        <b val="1"/>
        <color rgb="FFFFFFFF"/>
        <sz val="10"/>
      </font>
      <fill>
        <patternFill>
          <bgColor rgb="FFF8696B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78787"/>
      <rgbColor rgb="FF993366"/>
      <rgbColor rgb="FFFFF2CC"/>
      <rgbColor rgb="FFF2F2F2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F9F9F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8496B0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Average overall score by supplier (first 15)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Dashboard!$G$4</c:f>
              <c:strCache>
                <c:ptCount val="1"/>
                <c:pt idx="0">
                  <c:v>Avg Overall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Dashboard!$A$5:$A$19</c:f>
              <c:strCache>
                <c:ptCount val="15"/>
                <c:pt idx="0">
                  <c:v>Fictiv</c:v>
                </c:pt>
                <c:pt idx="1">
                  <c:v>Advanced Plastiform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</c:strCache>
            </c:strRef>
          </c:cat>
          <c:val>
            <c:numRef>
              <c:f>Dashboard!$G$5:$G$19</c:f>
              <c:numCache>
                <c:formatCode>0.00</c:formatCode>
                <c:ptCount val="15"/>
                <c:pt idx="0">
                  <c:v>4.5</c:v>
                </c:pt>
              </c:numCache>
            </c:numRef>
          </c:val>
        </c:ser>
        <c:gapWidth val="150"/>
        <c:overlap val="0"/>
        <c:axId val="99799878"/>
        <c:axId val="57483095"/>
      </c:barChart>
      <c:catAx>
        <c:axId val="997998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83095"/>
        <c:crosses val="autoZero"/>
        <c:auto val="1"/>
        <c:lblAlgn val="ctr"/>
        <c:lblOffset val="100"/>
        <c:noMultiLvlLbl val="0"/>
      </c:catAx>
      <c:valAx>
        <c:axId val="57483095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7998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160920</xdr:rowOff>
    </xdr:from>
    <xdr:to>
      <xdr:col>19</xdr:col>
      <xdr:colOff>131760</xdr:colOff>
      <xdr:row>20</xdr:row>
      <xdr:rowOff>17280</xdr:rowOff>
    </xdr:to>
    <xdr:graphicFrame>
      <xdr:nvGraphicFramePr>
        <xdr:cNvPr id="0" name="Chart 1"/>
        <xdr:cNvGraphicFramePr/>
      </xdr:nvGraphicFramePr>
      <xdr:xfrm>
        <a:off x="13335120" y="560880"/>
        <a:ext cx="6768000" cy="3256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mailto:zoran.savic@fictiv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false"/>
  </sheetPr>
  <dimension ref="A1:A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40625" defaultRowHeight="14.25" zeroHeight="false" outlineLevelRow="0" outlineLevelCol="0"/>
  <cols>
    <col collapsed="false" customWidth="true" hidden="false" outlineLevel="0" max="1" min="1" style="0" width="130"/>
  </cols>
  <sheetData>
    <row r="1" customFormat="false" ht="17.25" hidden="false" customHeight="true" outlineLevel="0" collapsed="false">
      <c r="A1" s="1" t="s">
        <v>0</v>
      </c>
    </row>
    <row r="2" customFormat="false" ht="14.25" hidden="false" customHeight="false" outlineLevel="0" collapsed="false">
      <c r="A2" s="2"/>
    </row>
    <row r="3" customFormat="false" ht="14.25" hidden="false" customHeight="false" outlineLevel="0" collapsed="false">
      <c r="A3" s="3" t="s">
        <v>1</v>
      </c>
    </row>
    <row r="4" customFormat="false" ht="27.75" hidden="false" customHeight="true" outlineLevel="0" collapsed="false">
      <c r="A4" s="2" t="s">
        <v>2</v>
      </c>
    </row>
    <row r="5" customFormat="false" ht="14.25" hidden="false" customHeight="false" outlineLevel="0" collapsed="false">
      <c r="A5" s="2"/>
    </row>
    <row r="6" customFormat="false" ht="14.25" hidden="false" customHeight="false" outlineLevel="0" collapsed="false">
      <c r="A6" s="3" t="s">
        <v>3</v>
      </c>
    </row>
    <row r="7" customFormat="false" ht="14.25" hidden="false" customHeight="false" outlineLevel="0" collapsed="false">
      <c r="A7" s="2" t="s">
        <v>4</v>
      </c>
    </row>
    <row r="8" customFormat="false" ht="27.75" hidden="false" customHeight="true" outlineLevel="0" collapsed="false">
      <c r="A8" s="2" t="s">
        <v>5</v>
      </c>
    </row>
    <row r="9" customFormat="false" ht="27.75" hidden="false" customHeight="true" outlineLevel="0" collapsed="false">
      <c r="A9" s="2" t="s">
        <v>6</v>
      </c>
    </row>
    <row r="10" customFormat="false" ht="27.75" hidden="false" customHeight="true" outlineLevel="0" collapsed="false">
      <c r="A10" s="2" t="s">
        <v>7</v>
      </c>
    </row>
    <row r="11" customFormat="false" ht="14.25" hidden="false" customHeight="false" outlineLevel="0" collapsed="false">
      <c r="A11" s="2"/>
    </row>
    <row r="12" customFormat="false" ht="14.25" hidden="false" customHeight="false" outlineLevel="0" collapsed="false">
      <c r="A12" s="3" t="s">
        <v>8</v>
      </c>
    </row>
    <row r="13" customFormat="false" ht="27.75" hidden="false" customHeight="true" outlineLevel="0" collapsed="false">
      <c r="A13" s="2" t="s">
        <v>9</v>
      </c>
    </row>
    <row r="14" customFormat="false" ht="27.75" hidden="false" customHeight="true" outlineLevel="0" collapsed="false">
      <c r="A14" s="2" t="s">
        <v>10</v>
      </c>
    </row>
    <row r="15" customFormat="false" ht="14.25" hidden="false" customHeight="false" outlineLevel="0" collapsed="false">
      <c r="A15" s="2"/>
    </row>
    <row r="16" customFormat="false" ht="14.25" hidden="false" customHeight="false" outlineLevel="0" collapsed="false">
      <c r="A16" s="3" t="s">
        <v>11</v>
      </c>
    </row>
    <row r="17" customFormat="false" ht="27.75" hidden="false" customHeight="true" outlineLevel="0" collapsed="false">
      <c r="A17" s="2" t="s">
        <v>12</v>
      </c>
    </row>
    <row r="18" customFormat="false" ht="14.25" hidden="false" customHeight="false" outlineLevel="0" collapsed="false">
      <c r="A18" s="2" t="s">
        <v>13</v>
      </c>
    </row>
    <row r="19" customFormat="false" ht="14.25" hidden="false" customHeight="false" outlineLevel="0" collapsed="false">
      <c r="A19" s="2"/>
    </row>
    <row r="20" customFormat="false" ht="14.25" hidden="false" customHeight="false" outlineLevel="0" collapsed="false">
      <c r="A20" s="3" t="s">
        <v>14</v>
      </c>
    </row>
    <row r="21" customFormat="false" ht="27.75" hidden="false" customHeight="true" outlineLevel="0" collapsed="false">
      <c r="A21" s="2" t="s">
        <v>15</v>
      </c>
    </row>
    <row r="22" customFormat="false" ht="14.25" hidden="false" customHeight="false" outlineLevel="0" collapsed="false">
      <c r="A22" s="2"/>
    </row>
    <row r="23" customFormat="false" ht="14.25" hidden="false" customHeight="false" outlineLevel="0" collapsed="false">
      <c r="A23" s="3" t="s">
        <v>16</v>
      </c>
    </row>
    <row r="24" customFormat="false" ht="27.75" hidden="false" customHeight="true" outlineLevel="0" collapsed="false">
      <c r="A24" s="2" t="s">
        <v>17</v>
      </c>
    </row>
    <row r="25" customFormat="false" ht="14.25" hidden="false" customHeight="false" outlineLevel="0" collapsed="false">
      <c r="A25" s="2"/>
    </row>
    <row r="26" customFormat="false" ht="14.25" hidden="false" customHeight="false" outlineLevel="0" collapsed="false">
      <c r="A26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V20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E7" activeCellId="0" sqref="E7"/>
    </sheetView>
  </sheetViews>
  <sheetFormatPr defaultColWidth="8.6640625" defaultRowHeight="14.2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21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24"/>
    <col collapsed="false" customWidth="true" hidden="false" outlineLevel="0" max="8" min="8" style="0" width="9"/>
    <col collapsed="false" customWidth="true" hidden="false" outlineLevel="0" max="9" min="9" style="0" width="24"/>
    <col collapsed="false" customWidth="true" hidden="false" outlineLevel="0" max="10" min="10" style="0" width="9"/>
    <col collapsed="false" customWidth="true" hidden="false" outlineLevel="0" max="11" min="11" style="0" width="24"/>
    <col collapsed="false" customWidth="true" hidden="false" outlineLevel="0" max="12" min="12" style="0" width="8.44"/>
    <col collapsed="false" customWidth="true" hidden="false" outlineLevel="0" max="13" min="13" style="0" width="24"/>
    <col collapsed="false" customWidth="true" hidden="false" outlineLevel="0" max="14" min="14" style="0" width="9"/>
    <col collapsed="false" customWidth="true" hidden="false" outlineLevel="0" max="16" min="15" style="0" width="11"/>
    <col collapsed="false" customWidth="true" hidden="false" outlineLevel="0" max="17" min="17" style="0" width="10"/>
    <col collapsed="false" customWidth="true" hidden="false" outlineLevel="0" max="19" min="18" style="0" width="12"/>
    <col collapsed="false" customWidth="true" hidden="false" outlineLevel="0" max="21" min="20" style="0" width="9"/>
    <col collapsed="false" customWidth="true" hidden="false" outlineLevel="0" max="22" min="22" style="0" width="30"/>
  </cols>
  <sheetData>
    <row r="1" customFormat="false" ht="17.25" hidden="false" customHeight="true" outlineLevel="0" collapsed="false">
      <c r="A1" s="5" t="s">
        <v>19</v>
      </c>
      <c r="E1" s="6" t="s">
        <v>20</v>
      </c>
    </row>
    <row r="2" customFormat="false" ht="14.25" hidden="false" customHeight="false" outlineLevel="0" collapsed="false">
      <c r="A2" s="7" t="s">
        <v>21</v>
      </c>
      <c r="B2" s="7"/>
      <c r="C2" s="7"/>
      <c r="D2" s="7"/>
      <c r="E2" s="7"/>
      <c r="F2" s="7" t="s">
        <v>22</v>
      </c>
      <c r="G2" s="7"/>
      <c r="H2" s="7"/>
      <c r="I2" s="7"/>
      <c r="J2" s="7"/>
      <c r="K2" s="7"/>
      <c r="L2" s="7"/>
      <c r="M2" s="7"/>
      <c r="N2" s="7"/>
      <c r="O2" s="7" t="s">
        <v>23</v>
      </c>
      <c r="P2" s="7"/>
      <c r="Q2" s="7"/>
      <c r="R2" s="7" t="s">
        <v>24</v>
      </c>
      <c r="S2" s="7"/>
      <c r="T2" s="7"/>
      <c r="U2" s="7"/>
      <c r="V2" s="8"/>
    </row>
    <row r="3" customFormat="false" ht="36" hidden="false" customHeight="true" outlineLevel="0" collapsed="false">
      <c r="A3" s="9" t="s">
        <v>25</v>
      </c>
      <c r="B3" s="9" t="s">
        <v>26</v>
      </c>
      <c r="C3" s="9" t="s">
        <v>27</v>
      </c>
      <c r="D3" s="9" t="s">
        <v>28</v>
      </c>
      <c r="E3" s="9" t="s">
        <v>29</v>
      </c>
      <c r="F3" s="9" t="s">
        <v>30</v>
      </c>
      <c r="G3" s="9" t="s">
        <v>31</v>
      </c>
      <c r="H3" s="9" t="s">
        <v>32</v>
      </c>
      <c r="I3" s="9" t="s">
        <v>33</v>
      </c>
      <c r="J3" s="9" t="s">
        <v>34</v>
      </c>
      <c r="K3" s="9" t="s">
        <v>35</v>
      </c>
      <c r="L3" s="9" t="s">
        <v>36</v>
      </c>
      <c r="M3" s="9" t="s">
        <v>37</v>
      </c>
      <c r="N3" s="9" t="s">
        <v>38</v>
      </c>
      <c r="O3" s="9" t="s">
        <v>39</v>
      </c>
      <c r="P3" s="9" t="s">
        <v>40</v>
      </c>
      <c r="Q3" s="9" t="s">
        <v>41</v>
      </c>
      <c r="R3" s="9" t="s">
        <v>42</v>
      </c>
      <c r="S3" s="9" t="s">
        <v>43</v>
      </c>
      <c r="T3" s="9" t="s">
        <v>44</v>
      </c>
      <c r="U3" s="9" t="s">
        <v>45</v>
      </c>
      <c r="V3" s="9" t="s">
        <v>46</v>
      </c>
    </row>
    <row r="4" customFormat="false" ht="39" hidden="false" customHeight="true" outlineLevel="0" collapsed="false">
      <c r="A4" s="10" t="n">
        <v>46174</v>
      </c>
      <c r="B4" s="11" t="s">
        <v>47</v>
      </c>
      <c r="C4" s="11" t="s">
        <v>48</v>
      </c>
      <c r="D4" s="11" t="s">
        <v>49</v>
      </c>
      <c r="E4" s="11" t="s">
        <v>50</v>
      </c>
      <c r="F4" s="12" t="n">
        <v>4</v>
      </c>
      <c r="G4" s="11" t="s">
        <v>51</v>
      </c>
      <c r="H4" s="12" t="n">
        <v>5</v>
      </c>
      <c r="I4" s="11" t="s">
        <v>52</v>
      </c>
      <c r="J4" s="12" t="n">
        <v>4</v>
      </c>
      <c r="K4" s="11" t="s">
        <v>53</v>
      </c>
      <c r="L4" s="12" t="n">
        <v>5</v>
      </c>
      <c r="M4" s="11" t="s">
        <v>54</v>
      </c>
      <c r="N4" s="13" t="n">
        <f aca="false">IF(COUNT(F4,H4,J4,L4)&lt;4,"",ROUND(F4*Settings!$B$4+H4*Settings!$B$5+J4*Settings!$B$6+L4*Settings!$B$7,2))</f>
        <v>4.5</v>
      </c>
      <c r="O4" s="14" t="n">
        <v>20585.77</v>
      </c>
      <c r="P4" s="14" t="n">
        <v>6939</v>
      </c>
      <c r="Q4" s="15" t="n">
        <f aca="false">IF(OR(O4="",P4="",O4=0),"",(P4-O4)/O4)</f>
        <v>-0.662922494519272</v>
      </c>
      <c r="R4" s="10" t="n">
        <v>46216</v>
      </c>
      <c r="S4" s="10" t="n">
        <v>46216</v>
      </c>
      <c r="T4" s="16" t="n">
        <f aca="false">IF(OR(R4="",S4=""),"",S4-R4)</f>
        <v>0</v>
      </c>
      <c r="U4" s="17" t="str">
        <f aca="false">IF(T4="","",IF(T4&lt;=0,"Yes","No"))</f>
        <v>Yes</v>
      </c>
      <c r="V4" s="11" t="s">
        <v>55</v>
      </c>
    </row>
    <row r="5" customFormat="false" ht="39" hidden="false" customHeight="true" outlineLevel="0" collapsed="false">
      <c r="A5" s="10" t="n">
        <v>46174</v>
      </c>
      <c r="B5" s="11" t="s">
        <v>47</v>
      </c>
      <c r="C5" s="11" t="s">
        <v>48</v>
      </c>
      <c r="D5" s="11" t="s">
        <v>49</v>
      </c>
      <c r="E5" s="11" t="s">
        <v>56</v>
      </c>
      <c r="F5" s="12" t="n">
        <v>4</v>
      </c>
      <c r="G5" s="11" t="s">
        <v>51</v>
      </c>
      <c r="H5" s="12" t="n">
        <v>5</v>
      </c>
      <c r="I5" s="11" t="s">
        <v>52</v>
      </c>
      <c r="J5" s="12" t="n">
        <v>4</v>
      </c>
      <c r="K5" s="11" t="s">
        <v>53</v>
      </c>
      <c r="L5" s="12" t="n">
        <v>5</v>
      </c>
      <c r="M5" s="11" t="s">
        <v>54</v>
      </c>
      <c r="N5" s="13" t="n">
        <f aca="false">IF(COUNT(F5,H5,J5,L5)&lt;4,"",ROUND(F5*Settings!$B$4+H5*Settings!$B$5+J5*Settings!$B$6+L5*Settings!$B$7,2))</f>
        <v>4.5</v>
      </c>
      <c r="O5" s="14" t="n">
        <v>20585.77</v>
      </c>
      <c r="P5" s="14" t="n">
        <v>6939</v>
      </c>
      <c r="Q5" s="15" t="n">
        <f aca="false">IF(OR(O5="",P5="",O5=0),"",(P5-O5)/O5)</f>
        <v>-0.662922494519272</v>
      </c>
      <c r="R5" s="10" t="n">
        <v>46216</v>
      </c>
      <c r="S5" s="10" t="n">
        <v>46216</v>
      </c>
      <c r="T5" s="16" t="n">
        <f aca="false">IF(OR(R5="",S5=""),"",S5-R5)</f>
        <v>0</v>
      </c>
      <c r="U5" s="17" t="str">
        <f aca="false">IF(T5="","",IF(T5&lt;=0,"Yes","No"))</f>
        <v>Yes</v>
      </c>
      <c r="V5" s="11" t="s">
        <v>55</v>
      </c>
    </row>
    <row r="6" customFormat="false" ht="66" hidden="false" customHeight="true" outlineLevel="0" collapsed="false">
      <c r="A6" s="10" t="n">
        <v>46027</v>
      </c>
      <c r="B6" s="11"/>
      <c r="C6" s="11" t="s">
        <v>57</v>
      </c>
      <c r="D6" s="11" t="s">
        <v>58</v>
      </c>
      <c r="E6" s="11" t="s">
        <v>59</v>
      </c>
      <c r="F6" s="12"/>
      <c r="G6" s="11"/>
      <c r="H6" s="12"/>
      <c r="I6" s="11"/>
      <c r="J6" s="12"/>
      <c r="K6" s="11"/>
      <c r="L6" s="12"/>
      <c r="M6" s="11" t="s">
        <v>60</v>
      </c>
      <c r="N6" s="13"/>
      <c r="O6" s="14"/>
      <c r="P6" s="14"/>
      <c r="Q6" s="15"/>
      <c r="R6" s="10"/>
      <c r="S6" s="10"/>
      <c r="T6" s="16"/>
      <c r="U6" s="17"/>
      <c r="V6" s="11"/>
    </row>
    <row r="7" customFormat="false" ht="14.25" hidden="false" customHeight="false" outlineLevel="0" collapsed="false">
      <c r="A7" s="10"/>
      <c r="B7" s="11"/>
      <c r="C7" s="11"/>
      <c r="D7" s="11"/>
      <c r="E7" s="11"/>
      <c r="F7" s="12"/>
      <c r="G7" s="11"/>
      <c r="H7" s="12"/>
      <c r="I7" s="11"/>
      <c r="J7" s="12"/>
      <c r="K7" s="11"/>
      <c r="L7" s="12"/>
      <c r="M7" s="11"/>
      <c r="N7" s="13"/>
      <c r="O7" s="14"/>
      <c r="P7" s="14"/>
      <c r="Q7" s="15"/>
      <c r="R7" s="10"/>
      <c r="S7" s="10"/>
      <c r="T7" s="16"/>
      <c r="U7" s="17"/>
      <c r="V7" s="11"/>
    </row>
    <row r="8" customFormat="false" ht="14.25" hidden="false" customHeight="false" outlineLevel="0" collapsed="false">
      <c r="A8" s="10"/>
      <c r="B8" s="11"/>
      <c r="C8" s="11"/>
      <c r="D8" s="11"/>
      <c r="E8" s="11"/>
      <c r="F8" s="12"/>
      <c r="G8" s="11"/>
      <c r="H8" s="12"/>
      <c r="I8" s="11"/>
      <c r="J8" s="12"/>
      <c r="K8" s="11"/>
      <c r="L8" s="12"/>
      <c r="M8" s="11"/>
      <c r="N8" s="13"/>
      <c r="O8" s="14"/>
      <c r="P8" s="14"/>
      <c r="Q8" s="15"/>
      <c r="R8" s="10"/>
      <c r="S8" s="10"/>
      <c r="T8" s="16"/>
      <c r="U8" s="17"/>
      <c r="V8" s="11"/>
    </row>
    <row r="9" customFormat="false" ht="14.25" hidden="false" customHeight="false" outlineLevel="0" collapsed="false">
      <c r="A9" s="10"/>
      <c r="B9" s="11"/>
      <c r="C9" s="11"/>
      <c r="D9" s="11"/>
      <c r="E9" s="11"/>
      <c r="F9" s="12"/>
      <c r="G9" s="11"/>
      <c r="H9" s="12"/>
      <c r="I9" s="11"/>
      <c r="J9" s="12"/>
      <c r="K9" s="11"/>
      <c r="L9" s="12"/>
      <c r="M9" s="11"/>
      <c r="N9" s="13"/>
      <c r="O9" s="14"/>
      <c r="P9" s="14"/>
      <c r="Q9" s="15"/>
      <c r="R9" s="10"/>
      <c r="S9" s="10"/>
      <c r="T9" s="16"/>
      <c r="U9" s="17"/>
      <c r="V9" s="11"/>
    </row>
    <row r="10" customFormat="false" ht="14.25" hidden="false" customHeight="false" outlineLevel="0" collapsed="false">
      <c r="A10" s="18"/>
      <c r="B10" s="2"/>
      <c r="C10" s="2"/>
      <c r="D10" s="2"/>
      <c r="E10" s="2"/>
      <c r="F10" s="19"/>
      <c r="G10" s="2"/>
      <c r="H10" s="19"/>
      <c r="I10" s="2"/>
      <c r="J10" s="19"/>
      <c r="K10" s="2"/>
      <c r="L10" s="19"/>
      <c r="M10" s="2"/>
      <c r="N10" s="20" t="str">
        <f aca="false">IF(COUNT(F10,H10,J10,L10)&lt;4,"",ROUND(F10*Settings!$B$4+H10*Settings!$B$5+J10*Settings!$B$6+L10*Settings!$B$7,2))</f>
        <v/>
      </c>
      <c r="O10" s="21"/>
      <c r="P10" s="21"/>
      <c r="Q10" s="22" t="str">
        <f aca="false">IF(OR(O10="",P10="",O10=0),"",(P10-O10)/O10)</f>
        <v/>
      </c>
      <c r="R10" s="18"/>
      <c r="S10" s="18"/>
      <c r="T10" s="23" t="str">
        <f aca="false">IF(OR(R10="",S10=""),"",S10-R10)</f>
        <v/>
      </c>
      <c r="U10" s="24" t="str">
        <f aca="false">IF(T10="","",IF(T10&lt;=0,"Yes","No"))</f>
        <v/>
      </c>
      <c r="V10" s="2"/>
    </row>
    <row r="11" customFormat="false" ht="14.25" hidden="false" customHeight="false" outlineLevel="0" collapsed="false">
      <c r="A11" s="18"/>
      <c r="B11" s="2"/>
      <c r="C11" s="2"/>
      <c r="D11" s="2"/>
      <c r="E11" s="2"/>
      <c r="F11" s="19"/>
      <c r="G11" s="2"/>
      <c r="H11" s="19"/>
      <c r="I11" s="2"/>
      <c r="J11" s="19"/>
      <c r="K11" s="2"/>
      <c r="L11" s="19"/>
      <c r="M11" s="2"/>
      <c r="N11" s="20" t="str">
        <f aca="false">IF(COUNT(F11,H11,J11,L11)&lt;4,"",ROUND(F11*Settings!$B$4+H11*Settings!$B$5+J11*Settings!$B$6+L11*Settings!$B$7,2))</f>
        <v/>
      </c>
      <c r="O11" s="21"/>
      <c r="P11" s="21"/>
      <c r="Q11" s="22" t="str">
        <f aca="false">IF(OR(O11="",P11="",O11=0),"",(P11-O11)/O11)</f>
        <v/>
      </c>
      <c r="R11" s="18"/>
      <c r="S11" s="18"/>
      <c r="T11" s="23" t="str">
        <f aca="false">IF(OR(R11="",S11=""),"",S11-R11)</f>
        <v/>
      </c>
      <c r="U11" s="24" t="str">
        <f aca="false">IF(T11="","",IF(T11&lt;=0,"Yes","No"))</f>
        <v/>
      </c>
      <c r="V11" s="2"/>
    </row>
    <row r="12" customFormat="false" ht="14.25" hidden="false" customHeight="false" outlineLevel="0" collapsed="false">
      <c r="A12" s="18"/>
      <c r="B12" s="2"/>
      <c r="C12" s="2"/>
      <c r="D12" s="2"/>
      <c r="E12" s="2"/>
      <c r="F12" s="19"/>
      <c r="G12" s="2"/>
      <c r="H12" s="19"/>
      <c r="I12" s="2"/>
      <c r="J12" s="19"/>
      <c r="K12" s="2"/>
      <c r="L12" s="19"/>
      <c r="M12" s="2"/>
      <c r="N12" s="20" t="str">
        <f aca="false">IF(COUNT(F12,H12,J12,L12)&lt;4,"",ROUND(F12*Settings!$B$4+H12*Settings!$B$5+J12*Settings!$B$6+L12*Settings!$B$7,2))</f>
        <v/>
      </c>
      <c r="O12" s="21"/>
      <c r="P12" s="21"/>
      <c r="Q12" s="22" t="str">
        <f aca="false">IF(OR(O12="",P12="",O12=0),"",(P12-O12)/O12)</f>
        <v/>
      </c>
      <c r="R12" s="18"/>
      <c r="S12" s="18"/>
      <c r="T12" s="23" t="str">
        <f aca="false">IF(OR(R12="",S12=""),"",S12-R12)</f>
        <v/>
      </c>
      <c r="U12" s="24" t="str">
        <f aca="false">IF(T12="","",IF(T12&lt;=0,"Yes","No"))</f>
        <v/>
      </c>
      <c r="V12" s="2"/>
    </row>
    <row r="13" customFormat="false" ht="14.25" hidden="false" customHeight="false" outlineLevel="0" collapsed="false">
      <c r="A13" s="18"/>
      <c r="B13" s="2"/>
      <c r="C13" s="2"/>
      <c r="D13" s="2"/>
      <c r="E13" s="2"/>
      <c r="F13" s="19"/>
      <c r="G13" s="2"/>
      <c r="H13" s="19"/>
      <c r="I13" s="2"/>
      <c r="J13" s="19"/>
      <c r="K13" s="2"/>
      <c r="L13" s="19"/>
      <c r="M13" s="2"/>
      <c r="N13" s="20" t="str">
        <f aca="false">IF(COUNT(F13,H13,J13,L13)&lt;4,"",ROUND(F13*Settings!$B$4+H13*Settings!$B$5+J13*Settings!$B$6+L13*Settings!$B$7,2))</f>
        <v/>
      </c>
      <c r="O13" s="21"/>
      <c r="P13" s="21"/>
      <c r="Q13" s="22" t="str">
        <f aca="false">IF(OR(O13="",P13="",O13=0),"",(P13-O13)/O13)</f>
        <v/>
      </c>
      <c r="R13" s="18"/>
      <c r="S13" s="18"/>
      <c r="T13" s="23" t="str">
        <f aca="false">IF(OR(R13="",S13=""),"",S13-R13)</f>
        <v/>
      </c>
      <c r="U13" s="24" t="str">
        <f aca="false">IF(T13="","",IF(T13&lt;=0,"Yes","No"))</f>
        <v/>
      </c>
      <c r="V13" s="2"/>
    </row>
    <row r="14" customFormat="false" ht="14.25" hidden="false" customHeight="false" outlineLevel="0" collapsed="false">
      <c r="A14" s="18"/>
      <c r="B14" s="2"/>
      <c r="C14" s="2"/>
      <c r="D14" s="2"/>
      <c r="E14" s="2"/>
      <c r="F14" s="19"/>
      <c r="G14" s="2"/>
      <c r="H14" s="19"/>
      <c r="I14" s="2"/>
      <c r="J14" s="19"/>
      <c r="K14" s="2"/>
      <c r="L14" s="19"/>
      <c r="M14" s="2"/>
      <c r="N14" s="20" t="str">
        <f aca="false">IF(COUNT(F14,H14,J14,L14)&lt;4,"",ROUND(F14*Settings!$B$4+H14*Settings!$B$5+J14*Settings!$B$6+L14*Settings!$B$7,2))</f>
        <v/>
      </c>
      <c r="O14" s="21"/>
      <c r="P14" s="21"/>
      <c r="Q14" s="22" t="str">
        <f aca="false">IF(OR(O14="",P14="",O14=0),"",(P14-O14)/O14)</f>
        <v/>
      </c>
      <c r="R14" s="18"/>
      <c r="S14" s="18"/>
      <c r="T14" s="23" t="str">
        <f aca="false">IF(OR(R14="",S14=""),"",S14-R14)</f>
        <v/>
      </c>
      <c r="U14" s="24" t="str">
        <f aca="false">IF(T14="","",IF(T14&lt;=0,"Yes","No"))</f>
        <v/>
      </c>
      <c r="V14" s="2"/>
    </row>
    <row r="15" customFormat="false" ht="14.25" hidden="false" customHeight="false" outlineLevel="0" collapsed="false">
      <c r="A15" s="18"/>
      <c r="B15" s="2"/>
      <c r="C15" s="2"/>
      <c r="D15" s="2"/>
      <c r="E15" s="2"/>
      <c r="F15" s="19"/>
      <c r="G15" s="2"/>
      <c r="H15" s="19"/>
      <c r="I15" s="2"/>
      <c r="J15" s="19"/>
      <c r="K15" s="2"/>
      <c r="L15" s="19"/>
      <c r="M15" s="2"/>
      <c r="N15" s="20" t="str">
        <f aca="false">IF(COUNT(F15,H15,J15,L15)&lt;4,"",ROUND(F15*Settings!$B$4+H15*Settings!$B$5+J15*Settings!$B$6+L15*Settings!$B$7,2))</f>
        <v/>
      </c>
      <c r="O15" s="21"/>
      <c r="P15" s="21"/>
      <c r="Q15" s="22" t="str">
        <f aca="false">IF(OR(O15="",P15="",O15=0),"",(P15-O15)/O15)</f>
        <v/>
      </c>
      <c r="R15" s="18"/>
      <c r="S15" s="18"/>
      <c r="T15" s="23" t="str">
        <f aca="false">IF(OR(R15="",S15=""),"",S15-R15)</f>
        <v/>
      </c>
      <c r="U15" s="24" t="str">
        <f aca="false">IF(T15="","",IF(T15&lt;=0,"Yes","No"))</f>
        <v/>
      </c>
      <c r="V15" s="2"/>
    </row>
    <row r="16" customFormat="false" ht="14.25" hidden="false" customHeight="false" outlineLevel="0" collapsed="false">
      <c r="A16" s="18"/>
      <c r="B16" s="2"/>
      <c r="C16" s="2"/>
      <c r="D16" s="2"/>
      <c r="E16" s="2"/>
      <c r="F16" s="19"/>
      <c r="G16" s="2"/>
      <c r="H16" s="19"/>
      <c r="I16" s="2"/>
      <c r="J16" s="19"/>
      <c r="K16" s="2"/>
      <c r="L16" s="19"/>
      <c r="M16" s="2"/>
      <c r="N16" s="20" t="str">
        <f aca="false">IF(COUNT(F16,H16,J16,L16)&lt;4,"",ROUND(F16*Settings!$B$4+H16*Settings!$B$5+J16*Settings!$B$6+L16*Settings!$B$7,2))</f>
        <v/>
      </c>
      <c r="O16" s="21"/>
      <c r="P16" s="21"/>
      <c r="Q16" s="22" t="str">
        <f aca="false">IF(OR(O16="",P16="",O16=0),"",(P16-O16)/O16)</f>
        <v/>
      </c>
      <c r="R16" s="18"/>
      <c r="S16" s="18"/>
      <c r="T16" s="23" t="str">
        <f aca="false">IF(OR(R16="",S16=""),"",S16-R16)</f>
        <v/>
      </c>
      <c r="U16" s="24" t="str">
        <f aca="false">IF(T16="","",IF(T16&lt;=0,"Yes","No"))</f>
        <v/>
      </c>
      <c r="V16" s="2"/>
    </row>
    <row r="17" customFormat="false" ht="14.25" hidden="false" customHeight="false" outlineLevel="0" collapsed="false">
      <c r="A17" s="18"/>
      <c r="B17" s="2"/>
      <c r="C17" s="2"/>
      <c r="D17" s="2"/>
      <c r="E17" s="2"/>
      <c r="F17" s="19"/>
      <c r="G17" s="2"/>
      <c r="H17" s="19"/>
      <c r="I17" s="2"/>
      <c r="J17" s="19"/>
      <c r="K17" s="2"/>
      <c r="L17" s="19"/>
      <c r="M17" s="2"/>
      <c r="N17" s="20" t="str">
        <f aca="false">IF(COUNT(F17,H17,J17,L17)&lt;4,"",ROUND(F17*Settings!$B$4+H17*Settings!$B$5+J17*Settings!$B$6+L17*Settings!$B$7,2))</f>
        <v/>
      </c>
      <c r="O17" s="21"/>
      <c r="P17" s="21"/>
      <c r="Q17" s="22" t="str">
        <f aca="false">IF(OR(O17="",P17="",O17=0),"",(P17-O17)/O17)</f>
        <v/>
      </c>
      <c r="R17" s="18"/>
      <c r="S17" s="18"/>
      <c r="T17" s="23" t="str">
        <f aca="false">IF(OR(R17="",S17=""),"",S17-R17)</f>
        <v/>
      </c>
      <c r="U17" s="24" t="str">
        <f aca="false">IF(T17="","",IF(T17&lt;=0,"Yes","No"))</f>
        <v/>
      </c>
      <c r="V17" s="2"/>
    </row>
    <row r="18" customFormat="false" ht="14.25" hidden="false" customHeight="false" outlineLevel="0" collapsed="false">
      <c r="A18" s="18"/>
      <c r="B18" s="2"/>
      <c r="C18" s="2"/>
      <c r="D18" s="2"/>
      <c r="E18" s="2"/>
      <c r="F18" s="19"/>
      <c r="G18" s="2"/>
      <c r="H18" s="19"/>
      <c r="I18" s="2"/>
      <c r="J18" s="19"/>
      <c r="K18" s="2"/>
      <c r="L18" s="19"/>
      <c r="M18" s="2"/>
      <c r="N18" s="20" t="str">
        <f aca="false">IF(COUNT(F18,H18,J18,L18)&lt;4,"",ROUND(F18*Settings!$B$4+H18*Settings!$B$5+J18*Settings!$B$6+L18*Settings!$B$7,2))</f>
        <v/>
      </c>
      <c r="O18" s="21"/>
      <c r="P18" s="21"/>
      <c r="Q18" s="22" t="str">
        <f aca="false">IF(OR(O18="",P18="",O18=0),"",(P18-O18)/O18)</f>
        <v/>
      </c>
      <c r="R18" s="18"/>
      <c r="S18" s="18"/>
      <c r="T18" s="23" t="str">
        <f aca="false">IF(OR(R18="",S18=""),"",S18-R18)</f>
        <v/>
      </c>
      <c r="U18" s="24" t="str">
        <f aca="false">IF(T18="","",IF(T18&lt;=0,"Yes","No"))</f>
        <v/>
      </c>
      <c r="V18" s="2"/>
    </row>
    <row r="19" customFormat="false" ht="14.25" hidden="false" customHeight="false" outlineLevel="0" collapsed="false">
      <c r="A19" s="18"/>
      <c r="B19" s="2"/>
      <c r="C19" s="2"/>
      <c r="D19" s="2"/>
      <c r="E19" s="2"/>
      <c r="F19" s="19"/>
      <c r="G19" s="2"/>
      <c r="H19" s="19"/>
      <c r="I19" s="2"/>
      <c r="J19" s="19"/>
      <c r="K19" s="2"/>
      <c r="L19" s="19"/>
      <c r="M19" s="2"/>
      <c r="N19" s="20" t="str">
        <f aca="false">IF(COUNT(F19,H19,J19,L19)&lt;4,"",ROUND(F19*Settings!$B$4+H19*Settings!$B$5+J19*Settings!$B$6+L19*Settings!$B$7,2))</f>
        <v/>
      </c>
      <c r="O19" s="21"/>
      <c r="P19" s="21"/>
      <c r="Q19" s="22" t="str">
        <f aca="false">IF(OR(O19="",P19="",O19=0),"",(P19-O19)/O19)</f>
        <v/>
      </c>
      <c r="R19" s="18"/>
      <c r="S19" s="18"/>
      <c r="T19" s="23" t="str">
        <f aca="false">IF(OR(R19="",S19=""),"",S19-R19)</f>
        <v/>
      </c>
      <c r="U19" s="24" t="str">
        <f aca="false">IF(T19="","",IF(T19&lt;=0,"Yes","No"))</f>
        <v/>
      </c>
      <c r="V19" s="2"/>
    </row>
    <row r="20" customFormat="false" ht="14.25" hidden="false" customHeight="false" outlineLevel="0" collapsed="false">
      <c r="A20" s="18"/>
      <c r="B20" s="2"/>
      <c r="C20" s="2"/>
      <c r="D20" s="2"/>
      <c r="E20" s="2"/>
      <c r="F20" s="19"/>
      <c r="G20" s="2"/>
      <c r="H20" s="19"/>
      <c r="I20" s="2"/>
      <c r="J20" s="19"/>
      <c r="K20" s="2"/>
      <c r="L20" s="19"/>
      <c r="M20" s="2"/>
      <c r="N20" s="20" t="str">
        <f aca="false">IF(COUNT(F20,H20,J20,L20)&lt;4,"",ROUND(F20*Settings!$B$4+H20*Settings!$B$5+J20*Settings!$B$6+L20*Settings!$B$7,2))</f>
        <v/>
      </c>
      <c r="O20" s="21"/>
      <c r="P20" s="21"/>
      <c r="Q20" s="22" t="str">
        <f aca="false">IF(OR(O20="",P20="",O20=0),"",(P20-O20)/O20)</f>
        <v/>
      </c>
      <c r="R20" s="18"/>
      <c r="S20" s="18"/>
      <c r="T20" s="23" t="str">
        <f aca="false">IF(OR(R20="",S20=""),"",S20-R20)</f>
        <v/>
      </c>
      <c r="U20" s="24" t="str">
        <f aca="false">IF(T20="","",IF(T20&lt;=0,"Yes","No"))</f>
        <v/>
      </c>
      <c r="V20" s="2"/>
    </row>
    <row r="21" customFormat="false" ht="14.25" hidden="false" customHeight="false" outlineLevel="0" collapsed="false">
      <c r="A21" s="18"/>
      <c r="B21" s="2"/>
      <c r="C21" s="2"/>
      <c r="D21" s="2"/>
      <c r="E21" s="2"/>
      <c r="F21" s="19"/>
      <c r="G21" s="2"/>
      <c r="H21" s="19"/>
      <c r="I21" s="2"/>
      <c r="J21" s="19"/>
      <c r="K21" s="2"/>
      <c r="L21" s="19"/>
      <c r="M21" s="2"/>
      <c r="N21" s="20" t="str">
        <f aca="false">IF(COUNT(F21,H21,J21,L21)&lt;4,"",ROUND(F21*Settings!$B$4+H21*Settings!$B$5+J21*Settings!$B$6+L21*Settings!$B$7,2))</f>
        <v/>
      </c>
      <c r="O21" s="21"/>
      <c r="P21" s="21"/>
      <c r="Q21" s="22" t="str">
        <f aca="false">IF(OR(O21="",P21="",O21=0),"",(P21-O21)/O21)</f>
        <v/>
      </c>
      <c r="R21" s="18"/>
      <c r="S21" s="18"/>
      <c r="T21" s="23" t="str">
        <f aca="false">IF(OR(R21="",S21=""),"",S21-R21)</f>
        <v/>
      </c>
      <c r="U21" s="24" t="str">
        <f aca="false">IF(T21="","",IF(T21&lt;=0,"Yes","No"))</f>
        <v/>
      </c>
      <c r="V21" s="2"/>
    </row>
    <row r="22" customFormat="false" ht="14.25" hidden="false" customHeight="false" outlineLevel="0" collapsed="false">
      <c r="A22" s="18"/>
      <c r="B22" s="2"/>
      <c r="C22" s="2"/>
      <c r="D22" s="2"/>
      <c r="E22" s="2"/>
      <c r="F22" s="19"/>
      <c r="G22" s="2"/>
      <c r="H22" s="19"/>
      <c r="I22" s="2"/>
      <c r="J22" s="19"/>
      <c r="K22" s="2"/>
      <c r="L22" s="19"/>
      <c r="M22" s="2"/>
      <c r="N22" s="20" t="str">
        <f aca="false">IF(COUNT(F22,H22,J22,L22)&lt;4,"",ROUND(F22*Settings!$B$4+H22*Settings!$B$5+J22*Settings!$B$6+L22*Settings!$B$7,2))</f>
        <v/>
      </c>
      <c r="O22" s="21"/>
      <c r="P22" s="21"/>
      <c r="Q22" s="22" t="str">
        <f aca="false">IF(OR(O22="",P22="",O22=0),"",(P22-O22)/O22)</f>
        <v/>
      </c>
      <c r="R22" s="18"/>
      <c r="S22" s="18"/>
      <c r="T22" s="23" t="str">
        <f aca="false">IF(OR(R22="",S22=""),"",S22-R22)</f>
        <v/>
      </c>
      <c r="U22" s="24" t="str">
        <f aca="false">IF(T22="","",IF(T22&lt;=0,"Yes","No"))</f>
        <v/>
      </c>
      <c r="V22" s="2"/>
    </row>
    <row r="23" customFormat="false" ht="14.25" hidden="false" customHeight="false" outlineLevel="0" collapsed="false">
      <c r="A23" s="18"/>
      <c r="B23" s="2"/>
      <c r="C23" s="2"/>
      <c r="D23" s="2"/>
      <c r="E23" s="2"/>
      <c r="F23" s="19"/>
      <c r="G23" s="2"/>
      <c r="H23" s="19"/>
      <c r="I23" s="2"/>
      <c r="J23" s="19"/>
      <c r="K23" s="2"/>
      <c r="L23" s="19"/>
      <c r="M23" s="2"/>
      <c r="N23" s="20" t="str">
        <f aca="false">IF(COUNT(F23,H23,J23,L23)&lt;4,"",ROUND(F23*Settings!$B$4+H23*Settings!$B$5+J23*Settings!$B$6+L23*Settings!$B$7,2))</f>
        <v/>
      </c>
      <c r="O23" s="21"/>
      <c r="P23" s="21"/>
      <c r="Q23" s="22" t="str">
        <f aca="false">IF(OR(O23="",P23="",O23=0),"",(P23-O23)/O23)</f>
        <v/>
      </c>
      <c r="R23" s="18"/>
      <c r="S23" s="18"/>
      <c r="T23" s="23" t="str">
        <f aca="false">IF(OR(R23="",S23=""),"",S23-R23)</f>
        <v/>
      </c>
      <c r="U23" s="24" t="str">
        <f aca="false">IF(T23="","",IF(T23&lt;=0,"Yes","No"))</f>
        <v/>
      </c>
      <c r="V23" s="2"/>
    </row>
    <row r="24" customFormat="false" ht="14.25" hidden="false" customHeight="false" outlineLevel="0" collapsed="false">
      <c r="A24" s="18"/>
      <c r="B24" s="2"/>
      <c r="C24" s="2"/>
      <c r="D24" s="2"/>
      <c r="E24" s="2"/>
      <c r="F24" s="19"/>
      <c r="G24" s="2"/>
      <c r="H24" s="19"/>
      <c r="I24" s="2"/>
      <c r="J24" s="19"/>
      <c r="K24" s="2"/>
      <c r="L24" s="19"/>
      <c r="M24" s="2"/>
      <c r="N24" s="20" t="str">
        <f aca="false">IF(COUNT(F24,H24,J24,L24)&lt;4,"",ROUND(F24*Settings!$B$4+H24*Settings!$B$5+J24*Settings!$B$6+L24*Settings!$B$7,2))</f>
        <v/>
      </c>
      <c r="O24" s="21"/>
      <c r="P24" s="21"/>
      <c r="Q24" s="22" t="str">
        <f aca="false">IF(OR(O24="",P24="",O24=0),"",(P24-O24)/O24)</f>
        <v/>
      </c>
      <c r="R24" s="18"/>
      <c r="S24" s="18"/>
      <c r="T24" s="23" t="str">
        <f aca="false">IF(OR(R24="",S24=""),"",S24-R24)</f>
        <v/>
      </c>
      <c r="U24" s="24" t="str">
        <f aca="false">IF(T24="","",IF(T24&lt;=0,"Yes","No"))</f>
        <v/>
      </c>
      <c r="V24" s="2"/>
    </row>
    <row r="25" customFormat="false" ht="14.25" hidden="false" customHeight="false" outlineLevel="0" collapsed="false">
      <c r="A25" s="18"/>
      <c r="B25" s="2"/>
      <c r="C25" s="2"/>
      <c r="D25" s="2"/>
      <c r="E25" s="2"/>
      <c r="F25" s="19"/>
      <c r="G25" s="2"/>
      <c r="H25" s="19"/>
      <c r="I25" s="2"/>
      <c r="J25" s="19"/>
      <c r="K25" s="2"/>
      <c r="L25" s="19"/>
      <c r="M25" s="2"/>
      <c r="N25" s="20" t="str">
        <f aca="false">IF(COUNT(F25,H25,J25,L25)&lt;4,"",ROUND(F25*Settings!$B$4+H25*Settings!$B$5+J25*Settings!$B$6+L25*Settings!$B$7,2))</f>
        <v/>
      </c>
      <c r="O25" s="21"/>
      <c r="P25" s="21"/>
      <c r="Q25" s="22" t="str">
        <f aca="false">IF(OR(O25="",P25="",O25=0),"",(P25-O25)/O25)</f>
        <v/>
      </c>
      <c r="R25" s="18"/>
      <c r="S25" s="18"/>
      <c r="T25" s="23" t="str">
        <f aca="false">IF(OR(R25="",S25=""),"",S25-R25)</f>
        <v/>
      </c>
      <c r="U25" s="24" t="str">
        <f aca="false">IF(T25="","",IF(T25&lt;=0,"Yes","No"))</f>
        <v/>
      </c>
      <c r="V25" s="2"/>
    </row>
    <row r="26" customFormat="false" ht="14.25" hidden="false" customHeight="false" outlineLevel="0" collapsed="false">
      <c r="A26" s="18"/>
      <c r="B26" s="2"/>
      <c r="C26" s="2"/>
      <c r="D26" s="2"/>
      <c r="E26" s="2"/>
      <c r="F26" s="19"/>
      <c r="G26" s="2"/>
      <c r="H26" s="19"/>
      <c r="I26" s="2"/>
      <c r="J26" s="19"/>
      <c r="K26" s="2"/>
      <c r="L26" s="19"/>
      <c r="M26" s="2"/>
      <c r="N26" s="20" t="str">
        <f aca="false">IF(COUNT(F26,H26,J26,L26)&lt;4,"",ROUND(F26*Settings!$B$4+H26*Settings!$B$5+J26*Settings!$B$6+L26*Settings!$B$7,2))</f>
        <v/>
      </c>
      <c r="O26" s="21"/>
      <c r="P26" s="21"/>
      <c r="Q26" s="22" t="str">
        <f aca="false">IF(OR(O26="",P26="",O26=0),"",(P26-O26)/O26)</f>
        <v/>
      </c>
      <c r="R26" s="18"/>
      <c r="S26" s="18"/>
      <c r="T26" s="23" t="str">
        <f aca="false">IF(OR(R26="",S26=""),"",S26-R26)</f>
        <v/>
      </c>
      <c r="U26" s="24" t="str">
        <f aca="false">IF(T26="","",IF(T26&lt;=0,"Yes","No"))</f>
        <v/>
      </c>
      <c r="V26" s="2"/>
    </row>
    <row r="27" customFormat="false" ht="14.25" hidden="false" customHeight="false" outlineLevel="0" collapsed="false">
      <c r="A27" s="18"/>
      <c r="B27" s="2"/>
      <c r="C27" s="2"/>
      <c r="D27" s="2"/>
      <c r="E27" s="2"/>
      <c r="F27" s="19"/>
      <c r="G27" s="2"/>
      <c r="H27" s="19"/>
      <c r="I27" s="2"/>
      <c r="J27" s="19"/>
      <c r="K27" s="2"/>
      <c r="L27" s="19"/>
      <c r="M27" s="2"/>
      <c r="N27" s="20" t="str">
        <f aca="false">IF(COUNT(F27,H27,J27,L27)&lt;4,"",ROUND(F27*Settings!$B$4+H27*Settings!$B$5+J27*Settings!$B$6+L27*Settings!$B$7,2))</f>
        <v/>
      </c>
      <c r="O27" s="21"/>
      <c r="P27" s="21"/>
      <c r="Q27" s="22" t="str">
        <f aca="false">IF(OR(O27="",P27="",O27=0),"",(P27-O27)/O27)</f>
        <v/>
      </c>
      <c r="R27" s="18"/>
      <c r="S27" s="18"/>
      <c r="T27" s="23" t="str">
        <f aca="false">IF(OR(R27="",S27=""),"",S27-R27)</f>
        <v/>
      </c>
      <c r="U27" s="24" t="str">
        <f aca="false">IF(T27="","",IF(T27&lt;=0,"Yes","No"))</f>
        <v/>
      </c>
      <c r="V27" s="2"/>
    </row>
    <row r="28" customFormat="false" ht="14.25" hidden="false" customHeight="false" outlineLevel="0" collapsed="false">
      <c r="A28" s="18"/>
      <c r="B28" s="2"/>
      <c r="C28" s="2"/>
      <c r="D28" s="2"/>
      <c r="E28" s="2"/>
      <c r="F28" s="19"/>
      <c r="G28" s="2"/>
      <c r="H28" s="19"/>
      <c r="I28" s="2"/>
      <c r="J28" s="19"/>
      <c r="K28" s="2"/>
      <c r="L28" s="19"/>
      <c r="M28" s="2"/>
      <c r="N28" s="20" t="str">
        <f aca="false">IF(COUNT(F28,H28,J28,L28)&lt;4,"",ROUND(F28*Settings!$B$4+H28*Settings!$B$5+J28*Settings!$B$6+L28*Settings!$B$7,2))</f>
        <v/>
      </c>
      <c r="O28" s="21"/>
      <c r="P28" s="21"/>
      <c r="Q28" s="22" t="str">
        <f aca="false">IF(OR(O28="",P28="",O28=0),"",(P28-O28)/O28)</f>
        <v/>
      </c>
      <c r="R28" s="18"/>
      <c r="S28" s="18"/>
      <c r="T28" s="23" t="str">
        <f aca="false">IF(OR(R28="",S28=""),"",S28-R28)</f>
        <v/>
      </c>
      <c r="U28" s="24" t="str">
        <f aca="false">IF(T28="","",IF(T28&lt;=0,"Yes","No"))</f>
        <v/>
      </c>
      <c r="V28" s="2"/>
    </row>
    <row r="29" customFormat="false" ht="14.25" hidden="false" customHeight="false" outlineLevel="0" collapsed="false">
      <c r="A29" s="18"/>
      <c r="B29" s="2"/>
      <c r="C29" s="2"/>
      <c r="D29" s="2"/>
      <c r="E29" s="2"/>
      <c r="F29" s="19"/>
      <c r="G29" s="2"/>
      <c r="H29" s="19"/>
      <c r="I29" s="2"/>
      <c r="J29" s="19"/>
      <c r="K29" s="2"/>
      <c r="L29" s="19"/>
      <c r="M29" s="2"/>
      <c r="N29" s="20" t="str">
        <f aca="false">IF(COUNT(F29,H29,J29,L29)&lt;4,"",ROUND(F29*Settings!$B$4+H29*Settings!$B$5+J29*Settings!$B$6+L29*Settings!$B$7,2))</f>
        <v/>
      </c>
      <c r="O29" s="21"/>
      <c r="P29" s="21"/>
      <c r="Q29" s="22" t="str">
        <f aca="false">IF(OR(O29="",P29="",O29=0),"",(P29-O29)/O29)</f>
        <v/>
      </c>
      <c r="R29" s="18"/>
      <c r="S29" s="18"/>
      <c r="T29" s="23" t="str">
        <f aca="false">IF(OR(R29="",S29=""),"",S29-R29)</f>
        <v/>
      </c>
      <c r="U29" s="24" t="str">
        <f aca="false">IF(T29="","",IF(T29&lt;=0,"Yes","No"))</f>
        <v/>
      </c>
      <c r="V29" s="2"/>
    </row>
    <row r="30" customFormat="false" ht="14.25" hidden="false" customHeight="false" outlineLevel="0" collapsed="false">
      <c r="A30" s="18"/>
      <c r="B30" s="2"/>
      <c r="C30" s="2"/>
      <c r="D30" s="2"/>
      <c r="E30" s="2"/>
      <c r="F30" s="19"/>
      <c r="G30" s="2"/>
      <c r="H30" s="19"/>
      <c r="I30" s="2"/>
      <c r="J30" s="19"/>
      <c r="K30" s="2"/>
      <c r="L30" s="19"/>
      <c r="M30" s="2"/>
      <c r="N30" s="20" t="str">
        <f aca="false">IF(COUNT(F30,H30,J30,L30)&lt;4,"",ROUND(F30*Settings!$B$4+H30*Settings!$B$5+J30*Settings!$B$6+L30*Settings!$B$7,2))</f>
        <v/>
      </c>
      <c r="O30" s="21"/>
      <c r="P30" s="21"/>
      <c r="Q30" s="22" t="str">
        <f aca="false">IF(OR(O30="",P30="",O30=0),"",(P30-O30)/O30)</f>
        <v/>
      </c>
      <c r="R30" s="18"/>
      <c r="S30" s="18"/>
      <c r="T30" s="23" t="str">
        <f aca="false">IF(OR(R30="",S30=""),"",S30-R30)</f>
        <v/>
      </c>
      <c r="U30" s="24" t="str">
        <f aca="false">IF(T30="","",IF(T30&lt;=0,"Yes","No"))</f>
        <v/>
      </c>
      <c r="V30" s="2"/>
    </row>
    <row r="31" customFormat="false" ht="14.25" hidden="false" customHeight="false" outlineLevel="0" collapsed="false">
      <c r="A31" s="18"/>
      <c r="B31" s="2"/>
      <c r="C31" s="2"/>
      <c r="D31" s="2"/>
      <c r="E31" s="2"/>
      <c r="F31" s="19"/>
      <c r="G31" s="2"/>
      <c r="H31" s="19"/>
      <c r="I31" s="2"/>
      <c r="J31" s="19"/>
      <c r="K31" s="2"/>
      <c r="L31" s="19"/>
      <c r="M31" s="2"/>
      <c r="N31" s="20" t="str">
        <f aca="false">IF(COUNT(F31,H31,J31,L31)&lt;4,"",ROUND(F31*Settings!$B$4+H31*Settings!$B$5+J31*Settings!$B$6+L31*Settings!$B$7,2))</f>
        <v/>
      </c>
      <c r="O31" s="21"/>
      <c r="P31" s="21"/>
      <c r="Q31" s="22" t="str">
        <f aca="false">IF(OR(O31="",P31="",O31=0),"",(P31-O31)/O31)</f>
        <v/>
      </c>
      <c r="R31" s="18"/>
      <c r="S31" s="18"/>
      <c r="T31" s="23" t="str">
        <f aca="false">IF(OR(R31="",S31=""),"",S31-R31)</f>
        <v/>
      </c>
      <c r="U31" s="24" t="str">
        <f aca="false">IF(T31="","",IF(T31&lt;=0,"Yes","No"))</f>
        <v/>
      </c>
      <c r="V31" s="2"/>
    </row>
    <row r="32" customFormat="false" ht="14.25" hidden="false" customHeight="false" outlineLevel="0" collapsed="false">
      <c r="A32" s="18"/>
      <c r="B32" s="2"/>
      <c r="C32" s="2"/>
      <c r="D32" s="2"/>
      <c r="E32" s="2"/>
      <c r="F32" s="19"/>
      <c r="G32" s="2"/>
      <c r="H32" s="19"/>
      <c r="I32" s="2"/>
      <c r="J32" s="19"/>
      <c r="K32" s="2"/>
      <c r="L32" s="19"/>
      <c r="M32" s="2"/>
      <c r="N32" s="20" t="str">
        <f aca="false">IF(COUNT(F32,H32,J32,L32)&lt;4,"",ROUND(F32*Settings!$B$4+H32*Settings!$B$5+J32*Settings!$B$6+L32*Settings!$B$7,2))</f>
        <v/>
      </c>
      <c r="O32" s="21"/>
      <c r="P32" s="21"/>
      <c r="Q32" s="22" t="str">
        <f aca="false">IF(OR(O32="",P32="",O32=0),"",(P32-O32)/O32)</f>
        <v/>
      </c>
      <c r="R32" s="18"/>
      <c r="S32" s="18"/>
      <c r="T32" s="23" t="str">
        <f aca="false">IF(OR(R32="",S32=""),"",S32-R32)</f>
        <v/>
      </c>
      <c r="U32" s="24" t="str">
        <f aca="false">IF(T32="","",IF(T32&lt;=0,"Yes","No"))</f>
        <v/>
      </c>
      <c r="V32" s="2"/>
    </row>
    <row r="33" customFormat="false" ht="14.25" hidden="false" customHeight="false" outlineLevel="0" collapsed="false">
      <c r="A33" s="18"/>
      <c r="B33" s="2"/>
      <c r="C33" s="2"/>
      <c r="D33" s="2"/>
      <c r="E33" s="2"/>
      <c r="F33" s="19"/>
      <c r="G33" s="2"/>
      <c r="H33" s="19"/>
      <c r="I33" s="2"/>
      <c r="J33" s="19"/>
      <c r="K33" s="2"/>
      <c r="L33" s="19"/>
      <c r="M33" s="2"/>
      <c r="N33" s="20" t="str">
        <f aca="false">IF(COUNT(F33,H33,J33,L33)&lt;4,"",ROUND(F33*Settings!$B$4+H33*Settings!$B$5+J33*Settings!$B$6+L33*Settings!$B$7,2))</f>
        <v/>
      </c>
      <c r="O33" s="21"/>
      <c r="P33" s="21"/>
      <c r="Q33" s="22" t="str">
        <f aca="false">IF(OR(O33="",P33="",O33=0),"",(P33-O33)/O33)</f>
        <v/>
      </c>
      <c r="R33" s="18"/>
      <c r="S33" s="18"/>
      <c r="T33" s="23" t="str">
        <f aca="false">IF(OR(R33="",S33=""),"",S33-R33)</f>
        <v/>
      </c>
      <c r="U33" s="24" t="str">
        <f aca="false">IF(T33="","",IF(T33&lt;=0,"Yes","No"))</f>
        <v/>
      </c>
      <c r="V33" s="2"/>
    </row>
    <row r="34" customFormat="false" ht="14.25" hidden="false" customHeight="false" outlineLevel="0" collapsed="false">
      <c r="A34" s="18"/>
      <c r="B34" s="2"/>
      <c r="C34" s="2"/>
      <c r="D34" s="2"/>
      <c r="E34" s="2"/>
      <c r="F34" s="19"/>
      <c r="G34" s="2"/>
      <c r="H34" s="19"/>
      <c r="I34" s="2"/>
      <c r="J34" s="19"/>
      <c r="K34" s="2"/>
      <c r="L34" s="19"/>
      <c r="M34" s="2"/>
      <c r="N34" s="20" t="str">
        <f aca="false">IF(COUNT(F34,H34,J34,L34)&lt;4,"",ROUND(F34*Settings!$B$4+H34*Settings!$B$5+J34*Settings!$B$6+L34*Settings!$B$7,2))</f>
        <v/>
      </c>
      <c r="O34" s="21"/>
      <c r="P34" s="21"/>
      <c r="Q34" s="22" t="str">
        <f aca="false">IF(OR(O34="",P34="",O34=0),"",(P34-O34)/O34)</f>
        <v/>
      </c>
      <c r="R34" s="18"/>
      <c r="S34" s="18"/>
      <c r="T34" s="23" t="str">
        <f aca="false">IF(OR(R34="",S34=""),"",S34-R34)</f>
        <v/>
      </c>
      <c r="U34" s="24" t="str">
        <f aca="false">IF(T34="","",IF(T34&lt;=0,"Yes","No"))</f>
        <v/>
      </c>
      <c r="V34" s="2"/>
    </row>
    <row r="35" customFormat="false" ht="14.25" hidden="false" customHeight="false" outlineLevel="0" collapsed="false">
      <c r="A35" s="18"/>
      <c r="B35" s="2"/>
      <c r="C35" s="2"/>
      <c r="D35" s="2"/>
      <c r="E35" s="2"/>
      <c r="F35" s="19"/>
      <c r="G35" s="2"/>
      <c r="H35" s="19"/>
      <c r="I35" s="2"/>
      <c r="J35" s="19"/>
      <c r="K35" s="2"/>
      <c r="L35" s="19"/>
      <c r="M35" s="2"/>
      <c r="N35" s="20" t="str">
        <f aca="false">IF(COUNT(F35,H35,J35,L35)&lt;4,"",ROUND(F35*Settings!$B$4+H35*Settings!$B$5+J35*Settings!$B$6+L35*Settings!$B$7,2))</f>
        <v/>
      </c>
      <c r="O35" s="21"/>
      <c r="P35" s="21"/>
      <c r="Q35" s="22" t="str">
        <f aca="false">IF(OR(O35="",P35="",O35=0),"",(P35-O35)/O35)</f>
        <v/>
      </c>
      <c r="R35" s="18"/>
      <c r="S35" s="18"/>
      <c r="T35" s="23" t="str">
        <f aca="false">IF(OR(R35="",S35=""),"",S35-R35)</f>
        <v/>
      </c>
      <c r="U35" s="24" t="str">
        <f aca="false">IF(T35="","",IF(T35&lt;=0,"Yes","No"))</f>
        <v/>
      </c>
      <c r="V35" s="2"/>
    </row>
    <row r="36" customFormat="false" ht="14.25" hidden="false" customHeight="false" outlineLevel="0" collapsed="false">
      <c r="A36" s="18"/>
      <c r="B36" s="2"/>
      <c r="C36" s="2"/>
      <c r="D36" s="2"/>
      <c r="E36" s="2"/>
      <c r="F36" s="19"/>
      <c r="G36" s="2"/>
      <c r="H36" s="19"/>
      <c r="I36" s="2"/>
      <c r="J36" s="19"/>
      <c r="K36" s="2"/>
      <c r="L36" s="19"/>
      <c r="M36" s="2"/>
      <c r="N36" s="20" t="str">
        <f aca="false">IF(COUNT(F36,H36,J36,L36)&lt;4,"",ROUND(F36*Settings!$B$4+H36*Settings!$B$5+J36*Settings!$B$6+L36*Settings!$B$7,2))</f>
        <v/>
      </c>
      <c r="O36" s="21"/>
      <c r="P36" s="21"/>
      <c r="Q36" s="22" t="str">
        <f aca="false">IF(OR(O36="",P36="",O36=0),"",(P36-O36)/O36)</f>
        <v/>
      </c>
      <c r="R36" s="18"/>
      <c r="S36" s="18"/>
      <c r="T36" s="23" t="str">
        <f aca="false">IF(OR(R36="",S36=""),"",S36-R36)</f>
        <v/>
      </c>
      <c r="U36" s="24" t="str">
        <f aca="false">IF(T36="","",IF(T36&lt;=0,"Yes","No"))</f>
        <v/>
      </c>
      <c r="V36" s="2"/>
    </row>
    <row r="37" customFormat="false" ht="14.25" hidden="false" customHeight="false" outlineLevel="0" collapsed="false">
      <c r="A37" s="18"/>
      <c r="B37" s="2"/>
      <c r="C37" s="2"/>
      <c r="D37" s="2"/>
      <c r="E37" s="2"/>
      <c r="F37" s="19"/>
      <c r="G37" s="2"/>
      <c r="H37" s="19"/>
      <c r="I37" s="2"/>
      <c r="J37" s="19"/>
      <c r="K37" s="2"/>
      <c r="L37" s="19"/>
      <c r="M37" s="2"/>
      <c r="N37" s="20" t="str">
        <f aca="false">IF(COUNT(F37,H37,J37,L37)&lt;4,"",ROUND(F37*Settings!$B$4+H37*Settings!$B$5+J37*Settings!$B$6+L37*Settings!$B$7,2))</f>
        <v/>
      </c>
      <c r="O37" s="21"/>
      <c r="P37" s="21"/>
      <c r="Q37" s="22" t="str">
        <f aca="false">IF(OR(O37="",P37="",O37=0),"",(P37-O37)/O37)</f>
        <v/>
      </c>
      <c r="R37" s="18"/>
      <c r="S37" s="18"/>
      <c r="T37" s="23" t="str">
        <f aca="false">IF(OR(R37="",S37=""),"",S37-R37)</f>
        <v/>
      </c>
      <c r="U37" s="24" t="str">
        <f aca="false">IF(T37="","",IF(T37&lt;=0,"Yes","No"))</f>
        <v/>
      </c>
      <c r="V37" s="2"/>
    </row>
    <row r="38" customFormat="false" ht="14.25" hidden="false" customHeight="false" outlineLevel="0" collapsed="false">
      <c r="A38" s="18"/>
      <c r="B38" s="2"/>
      <c r="C38" s="2"/>
      <c r="D38" s="2"/>
      <c r="E38" s="2"/>
      <c r="F38" s="19"/>
      <c r="G38" s="2"/>
      <c r="H38" s="19"/>
      <c r="I38" s="2"/>
      <c r="J38" s="19"/>
      <c r="K38" s="2"/>
      <c r="L38" s="19"/>
      <c r="M38" s="2"/>
      <c r="N38" s="20" t="str">
        <f aca="false">IF(COUNT(F38,H38,J38,L38)&lt;4,"",ROUND(F38*Settings!$B$4+H38*Settings!$B$5+J38*Settings!$B$6+L38*Settings!$B$7,2))</f>
        <v/>
      </c>
      <c r="O38" s="21"/>
      <c r="P38" s="21"/>
      <c r="Q38" s="22" t="str">
        <f aca="false">IF(OR(O38="",P38="",O38=0),"",(P38-O38)/O38)</f>
        <v/>
      </c>
      <c r="R38" s="18"/>
      <c r="S38" s="18"/>
      <c r="T38" s="23" t="str">
        <f aca="false">IF(OR(R38="",S38=""),"",S38-R38)</f>
        <v/>
      </c>
      <c r="U38" s="24" t="str">
        <f aca="false">IF(T38="","",IF(T38&lt;=0,"Yes","No"))</f>
        <v/>
      </c>
      <c r="V38" s="2"/>
    </row>
    <row r="39" customFormat="false" ht="14.25" hidden="false" customHeight="false" outlineLevel="0" collapsed="false">
      <c r="A39" s="18"/>
      <c r="B39" s="2"/>
      <c r="C39" s="2"/>
      <c r="D39" s="2"/>
      <c r="E39" s="2"/>
      <c r="F39" s="19"/>
      <c r="G39" s="2"/>
      <c r="H39" s="19"/>
      <c r="I39" s="2"/>
      <c r="J39" s="19"/>
      <c r="K39" s="2"/>
      <c r="L39" s="19"/>
      <c r="M39" s="2"/>
      <c r="N39" s="20" t="str">
        <f aca="false">IF(COUNT(F39,H39,J39,L39)&lt;4,"",ROUND(F39*Settings!$B$4+H39*Settings!$B$5+J39*Settings!$B$6+L39*Settings!$B$7,2))</f>
        <v/>
      </c>
      <c r="O39" s="21"/>
      <c r="P39" s="21"/>
      <c r="Q39" s="22" t="str">
        <f aca="false">IF(OR(O39="",P39="",O39=0),"",(P39-O39)/O39)</f>
        <v/>
      </c>
      <c r="R39" s="18"/>
      <c r="S39" s="18"/>
      <c r="T39" s="23" t="str">
        <f aca="false">IF(OR(R39="",S39=""),"",S39-R39)</f>
        <v/>
      </c>
      <c r="U39" s="24" t="str">
        <f aca="false">IF(T39="","",IF(T39&lt;=0,"Yes","No"))</f>
        <v/>
      </c>
      <c r="V39" s="2"/>
    </row>
    <row r="40" customFormat="false" ht="14.25" hidden="false" customHeight="false" outlineLevel="0" collapsed="false">
      <c r="A40" s="18"/>
      <c r="B40" s="2"/>
      <c r="C40" s="2"/>
      <c r="D40" s="2"/>
      <c r="E40" s="2"/>
      <c r="F40" s="19"/>
      <c r="G40" s="2"/>
      <c r="H40" s="19"/>
      <c r="I40" s="2"/>
      <c r="J40" s="19"/>
      <c r="K40" s="2"/>
      <c r="L40" s="19"/>
      <c r="M40" s="2"/>
      <c r="N40" s="20" t="str">
        <f aca="false">IF(COUNT(F40,H40,J40,L40)&lt;4,"",ROUND(F40*Settings!$B$4+H40*Settings!$B$5+J40*Settings!$B$6+L40*Settings!$B$7,2))</f>
        <v/>
      </c>
      <c r="O40" s="21"/>
      <c r="P40" s="21"/>
      <c r="Q40" s="22" t="str">
        <f aca="false">IF(OR(O40="",P40="",O40=0),"",(P40-O40)/O40)</f>
        <v/>
      </c>
      <c r="R40" s="18"/>
      <c r="S40" s="18"/>
      <c r="T40" s="23" t="str">
        <f aca="false">IF(OR(R40="",S40=""),"",S40-R40)</f>
        <v/>
      </c>
      <c r="U40" s="24" t="str">
        <f aca="false">IF(T40="","",IF(T40&lt;=0,"Yes","No"))</f>
        <v/>
      </c>
      <c r="V40" s="2"/>
    </row>
    <row r="41" customFormat="false" ht="14.25" hidden="false" customHeight="false" outlineLevel="0" collapsed="false">
      <c r="A41" s="18"/>
      <c r="B41" s="2"/>
      <c r="C41" s="2"/>
      <c r="D41" s="2"/>
      <c r="E41" s="2"/>
      <c r="F41" s="19"/>
      <c r="G41" s="2"/>
      <c r="H41" s="19"/>
      <c r="I41" s="2"/>
      <c r="J41" s="19"/>
      <c r="K41" s="2"/>
      <c r="L41" s="19"/>
      <c r="M41" s="2"/>
      <c r="N41" s="20" t="str">
        <f aca="false">IF(COUNT(F41,H41,J41,L41)&lt;4,"",ROUND(F41*Settings!$B$4+H41*Settings!$B$5+J41*Settings!$B$6+L41*Settings!$B$7,2))</f>
        <v/>
      </c>
      <c r="O41" s="21"/>
      <c r="P41" s="21"/>
      <c r="Q41" s="22" t="str">
        <f aca="false">IF(OR(O41="",P41="",O41=0),"",(P41-O41)/O41)</f>
        <v/>
      </c>
      <c r="R41" s="18"/>
      <c r="S41" s="18"/>
      <c r="T41" s="23" t="str">
        <f aca="false">IF(OR(R41="",S41=""),"",S41-R41)</f>
        <v/>
      </c>
      <c r="U41" s="24" t="str">
        <f aca="false">IF(T41="","",IF(T41&lt;=0,"Yes","No"))</f>
        <v/>
      </c>
      <c r="V41" s="2"/>
    </row>
    <row r="42" customFormat="false" ht="14.25" hidden="false" customHeight="false" outlineLevel="0" collapsed="false">
      <c r="A42" s="18"/>
      <c r="B42" s="2"/>
      <c r="C42" s="2"/>
      <c r="D42" s="2"/>
      <c r="E42" s="2"/>
      <c r="F42" s="19"/>
      <c r="G42" s="2"/>
      <c r="H42" s="19"/>
      <c r="I42" s="2"/>
      <c r="J42" s="19"/>
      <c r="K42" s="2"/>
      <c r="L42" s="19"/>
      <c r="M42" s="2"/>
      <c r="N42" s="20" t="str">
        <f aca="false">IF(COUNT(F42,H42,J42,L42)&lt;4,"",ROUND(F42*Settings!$B$4+H42*Settings!$B$5+J42*Settings!$B$6+L42*Settings!$B$7,2))</f>
        <v/>
      </c>
      <c r="O42" s="21"/>
      <c r="P42" s="21"/>
      <c r="Q42" s="22" t="str">
        <f aca="false">IF(OR(O42="",P42="",O42=0),"",(P42-O42)/O42)</f>
        <v/>
      </c>
      <c r="R42" s="18"/>
      <c r="S42" s="18"/>
      <c r="T42" s="23" t="str">
        <f aca="false">IF(OR(R42="",S42=""),"",S42-R42)</f>
        <v/>
      </c>
      <c r="U42" s="24" t="str">
        <f aca="false">IF(T42="","",IF(T42&lt;=0,"Yes","No"))</f>
        <v/>
      </c>
      <c r="V42" s="2"/>
    </row>
    <row r="43" customFormat="false" ht="14.25" hidden="false" customHeight="false" outlineLevel="0" collapsed="false">
      <c r="A43" s="18"/>
      <c r="B43" s="2"/>
      <c r="C43" s="2"/>
      <c r="D43" s="2"/>
      <c r="E43" s="2"/>
      <c r="F43" s="19"/>
      <c r="G43" s="2"/>
      <c r="H43" s="19"/>
      <c r="I43" s="2"/>
      <c r="J43" s="19"/>
      <c r="K43" s="2"/>
      <c r="L43" s="19"/>
      <c r="M43" s="2"/>
      <c r="N43" s="20" t="str">
        <f aca="false">IF(COUNT(F43,H43,J43,L43)&lt;4,"",ROUND(F43*Settings!$B$4+H43*Settings!$B$5+J43*Settings!$B$6+L43*Settings!$B$7,2))</f>
        <v/>
      </c>
      <c r="O43" s="21"/>
      <c r="P43" s="21"/>
      <c r="Q43" s="22" t="str">
        <f aca="false">IF(OR(O43="",P43="",O43=0),"",(P43-O43)/O43)</f>
        <v/>
      </c>
      <c r="R43" s="18"/>
      <c r="S43" s="18"/>
      <c r="T43" s="23" t="str">
        <f aca="false">IF(OR(R43="",S43=""),"",S43-R43)</f>
        <v/>
      </c>
      <c r="U43" s="24" t="str">
        <f aca="false">IF(T43="","",IF(T43&lt;=0,"Yes","No"))</f>
        <v/>
      </c>
      <c r="V43" s="2"/>
    </row>
    <row r="44" customFormat="false" ht="14.25" hidden="false" customHeight="false" outlineLevel="0" collapsed="false">
      <c r="A44" s="18"/>
      <c r="B44" s="2"/>
      <c r="C44" s="2"/>
      <c r="D44" s="2"/>
      <c r="E44" s="2"/>
      <c r="F44" s="19"/>
      <c r="G44" s="2"/>
      <c r="H44" s="19"/>
      <c r="I44" s="2"/>
      <c r="J44" s="19"/>
      <c r="K44" s="2"/>
      <c r="L44" s="19"/>
      <c r="M44" s="2"/>
      <c r="N44" s="20" t="str">
        <f aca="false">IF(COUNT(F44,H44,J44,L44)&lt;4,"",ROUND(F44*Settings!$B$4+H44*Settings!$B$5+J44*Settings!$B$6+L44*Settings!$B$7,2))</f>
        <v/>
      </c>
      <c r="O44" s="21"/>
      <c r="P44" s="21"/>
      <c r="Q44" s="22" t="str">
        <f aca="false">IF(OR(O44="",P44="",O44=0),"",(P44-O44)/O44)</f>
        <v/>
      </c>
      <c r="R44" s="18"/>
      <c r="S44" s="18"/>
      <c r="T44" s="23" t="str">
        <f aca="false">IF(OR(R44="",S44=""),"",S44-R44)</f>
        <v/>
      </c>
      <c r="U44" s="24" t="str">
        <f aca="false">IF(T44="","",IF(T44&lt;=0,"Yes","No"))</f>
        <v/>
      </c>
      <c r="V44" s="2"/>
    </row>
    <row r="45" customFormat="false" ht="14.25" hidden="false" customHeight="false" outlineLevel="0" collapsed="false">
      <c r="A45" s="18"/>
      <c r="B45" s="2"/>
      <c r="C45" s="2"/>
      <c r="D45" s="2"/>
      <c r="E45" s="2"/>
      <c r="F45" s="19"/>
      <c r="G45" s="2"/>
      <c r="H45" s="19"/>
      <c r="I45" s="2"/>
      <c r="J45" s="19"/>
      <c r="K45" s="2"/>
      <c r="L45" s="19"/>
      <c r="M45" s="2"/>
      <c r="N45" s="20" t="str">
        <f aca="false">IF(COUNT(F45,H45,J45,L45)&lt;4,"",ROUND(F45*Settings!$B$4+H45*Settings!$B$5+J45*Settings!$B$6+L45*Settings!$B$7,2))</f>
        <v/>
      </c>
      <c r="O45" s="21"/>
      <c r="P45" s="21"/>
      <c r="Q45" s="22" t="str">
        <f aca="false">IF(OR(O45="",P45="",O45=0),"",(P45-O45)/O45)</f>
        <v/>
      </c>
      <c r="R45" s="18"/>
      <c r="S45" s="18"/>
      <c r="T45" s="23" t="str">
        <f aca="false">IF(OR(R45="",S45=""),"",S45-R45)</f>
        <v/>
      </c>
      <c r="U45" s="24" t="str">
        <f aca="false">IF(T45="","",IF(T45&lt;=0,"Yes","No"))</f>
        <v/>
      </c>
      <c r="V45" s="2"/>
    </row>
    <row r="46" customFormat="false" ht="14.25" hidden="false" customHeight="false" outlineLevel="0" collapsed="false">
      <c r="A46" s="18"/>
      <c r="B46" s="2"/>
      <c r="C46" s="2"/>
      <c r="D46" s="2"/>
      <c r="E46" s="2"/>
      <c r="F46" s="19"/>
      <c r="G46" s="2"/>
      <c r="H46" s="19"/>
      <c r="I46" s="2"/>
      <c r="J46" s="19"/>
      <c r="K46" s="2"/>
      <c r="L46" s="19"/>
      <c r="M46" s="2"/>
      <c r="N46" s="20" t="str">
        <f aca="false">IF(COUNT(F46,H46,J46,L46)&lt;4,"",ROUND(F46*Settings!$B$4+H46*Settings!$B$5+J46*Settings!$B$6+L46*Settings!$B$7,2))</f>
        <v/>
      </c>
      <c r="O46" s="21"/>
      <c r="P46" s="21"/>
      <c r="Q46" s="22" t="str">
        <f aca="false">IF(OR(O46="",P46="",O46=0),"",(P46-O46)/O46)</f>
        <v/>
      </c>
      <c r="R46" s="18"/>
      <c r="S46" s="18"/>
      <c r="T46" s="23" t="str">
        <f aca="false">IF(OR(R46="",S46=""),"",S46-R46)</f>
        <v/>
      </c>
      <c r="U46" s="24" t="str">
        <f aca="false">IF(T46="","",IF(T46&lt;=0,"Yes","No"))</f>
        <v/>
      </c>
      <c r="V46" s="2"/>
    </row>
    <row r="47" customFormat="false" ht="14.25" hidden="false" customHeight="false" outlineLevel="0" collapsed="false">
      <c r="A47" s="18"/>
      <c r="B47" s="2"/>
      <c r="C47" s="2"/>
      <c r="D47" s="2"/>
      <c r="E47" s="2"/>
      <c r="F47" s="19"/>
      <c r="G47" s="2"/>
      <c r="H47" s="19"/>
      <c r="I47" s="2"/>
      <c r="J47" s="19"/>
      <c r="K47" s="2"/>
      <c r="L47" s="19"/>
      <c r="M47" s="2"/>
      <c r="N47" s="20" t="str">
        <f aca="false">IF(COUNT(F47,H47,J47,L47)&lt;4,"",ROUND(F47*Settings!$B$4+H47*Settings!$B$5+J47*Settings!$B$6+L47*Settings!$B$7,2))</f>
        <v/>
      </c>
      <c r="O47" s="21"/>
      <c r="P47" s="21"/>
      <c r="Q47" s="22" t="str">
        <f aca="false">IF(OR(O47="",P47="",O47=0),"",(P47-O47)/O47)</f>
        <v/>
      </c>
      <c r="R47" s="18"/>
      <c r="S47" s="18"/>
      <c r="T47" s="23" t="str">
        <f aca="false">IF(OR(R47="",S47=""),"",S47-R47)</f>
        <v/>
      </c>
      <c r="U47" s="24" t="str">
        <f aca="false">IF(T47="","",IF(T47&lt;=0,"Yes","No"))</f>
        <v/>
      </c>
      <c r="V47" s="2"/>
    </row>
    <row r="48" customFormat="false" ht="14.25" hidden="false" customHeight="false" outlineLevel="0" collapsed="false">
      <c r="A48" s="18"/>
      <c r="B48" s="2"/>
      <c r="C48" s="2"/>
      <c r="D48" s="2"/>
      <c r="E48" s="2"/>
      <c r="F48" s="19"/>
      <c r="G48" s="2"/>
      <c r="H48" s="19"/>
      <c r="I48" s="2"/>
      <c r="J48" s="19"/>
      <c r="K48" s="2"/>
      <c r="L48" s="19"/>
      <c r="M48" s="2"/>
      <c r="N48" s="20" t="str">
        <f aca="false">IF(COUNT(F48,H48,J48,L48)&lt;4,"",ROUND(F48*Settings!$B$4+H48*Settings!$B$5+J48*Settings!$B$6+L48*Settings!$B$7,2))</f>
        <v/>
      </c>
      <c r="O48" s="21"/>
      <c r="P48" s="21"/>
      <c r="Q48" s="22" t="str">
        <f aca="false">IF(OR(O48="",P48="",O48=0),"",(P48-O48)/O48)</f>
        <v/>
      </c>
      <c r="R48" s="18"/>
      <c r="S48" s="18"/>
      <c r="T48" s="23" t="str">
        <f aca="false">IF(OR(R48="",S48=""),"",S48-R48)</f>
        <v/>
      </c>
      <c r="U48" s="24" t="str">
        <f aca="false">IF(T48="","",IF(T48&lt;=0,"Yes","No"))</f>
        <v/>
      </c>
      <c r="V48" s="2"/>
    </row>
    <row r="49" customFormat="false" ht="14.25" hidden="false" customHeight="false" outlineLevel="0" collapsed="false">
      <c r="A49" s="18"/>
      <c r="B49" s="2"/>
      <c r="C49" s="2"/>
      <c r="D49" s="2"/>
      <c r="E49" s="2"/>
      <c r="F49" s="19"/>
      <c r="G49" s="2"/>
      <c r="H49" s="19"/>
      <c r="I49" s="2"/>
      <c r="J49" s="19"/>
      <c r="K49" s="2"/>
      <c r="L49" s="19"/>
      <c r="M49" s="2"/>
      <c r="N49" s="20" t="str">
        <f aca="false">IF(COUNT(F49,H49,J49,L49)&lt;4,"",ROUND(F49*Settings!$B$4+H49*Settings!$B$5+J49*Settings!$B$6+L49*Settings!$B$7,2))</f>
        <v/>
      </c>
      <c r="O49" s="21"/>
      <c r="P49" s="21"/>
      <c r="Q49" s="22" t="str">
        <f aca="false">IF(OR(O49="",P49="",O49=0),"",(P49-O49)/O49)</f>
        <v/>
      </c>
      <c r="R49" s="18"/>
      <c r="S49" s="18"/>
      <c r="T49" s="23" t="str">
        <f aca="false">IF(OR(R49="",S49=""),"",S49-R49)</f>
        <v/>
      </c>
      <c r="U49" s="24" t="str">
        <f aca="false">IF(T49="","",IF(T49&lt;=0,"Yes","No"))</f>
        <v/>
      </c>
      <c r="V49" s="2"/>
    </row>
    <row r="50" customFormat="false" ht="14.25" hidden="false" customHeight="false" outlineLevel="0" collapsed="false">
      <c r="A50" s="18"/>
      <c r="B50" s="2"/>
      <c r="C50" s="2"/>
      <c r="D50" s="2"/>
      <c r="E50" s="2"/>
      <c r="F50" s="19"/>
      <c r="G50" s="2"/>
      <c r="H50" s="19"/>
      <c r="I50" s="2"/>
      <c r="J50" s="19"/>
      <c r="K50" s="2"/>
      <c r="L50" s="19"/>
      <c r="M50" s="2"/>
      <c r="N50" s="20" t="str">
        <f aca="false">IF(COUNT(F50,H50,J50,L50)&lt;4,"",ROUND(F50*Settings!$B$4+H50*Settings!$B$5+J50*Settings!$B$6+L50*Settings!$B$7,2))</f>
        <v/>
      </c>
      <c r="O50" s="21"/>
      <c r="P50" s="21"/>
      <c r="Q50" s="22" t="str">
        <f aca="false">IF(OR(O50="",P50="",O50=0),"",(P50-O50)/O50)</f>
        <v/>
      </c>
      <c r="R50" s="18"/>
      <c r="S50" s="18"/>
      <c r="T50" s="23" t="str">
        <f aca="false">IF(OR(R50="",S50=""),"",S50-R50)</f>
        <v/>
      </c>
      <c r="U50" s="24" t="str">
        <f aca="false">IF(T50="","",IF(T50&lt;=0,"Yes","No"))</f>
        <v/>
      </c>
      <c r="V50" s="2"/>
    </row>
    <row r="51" customFormat="false" ht="14.25" hidden="false" customHeight="false" outlineLevel="0" collapsed="false">
      <c r="A51" s="18"/>
      <c r="B51" s="2"/>
      <c r="C51" s="2"/>
      <c r="D51" s="2"/>
      <c r="E51" s="2"/>
      <c r="F51" s="19"/>
      <c r="G51" s="2"/>
      <c r="H51" s="19"/>
      <c r="I51" s="2"/>
      <c r="J51" s="19"/>
      <c r="K51" s="2"/>
      <c r="L51" s="19"/>
      <c r="M51" s="2"/>
      <c r="N51" s="20" t="str">
        <f aca="false">IF(COUNT(F51,H51,J51,L51)&lt;4,"",ROUND(F51*Settings!$B$4+H51*Settings!$B$5+J51*Settings!$B$6+L51*Settings!$B$7,2))</f>
        <v/>
      </c>
      <c r="O51" s="21"/>
      <c r="P51" s="21"/>
      <c r="Q51" s="22" t="str">
        <f aca="false">IF(OR(O51="",P51="",O51=0),"",(P51-O51)/O51)</f>
        <v/>
      </c>
      <c r="R51" s="18"/>
      <c r="S51" s="18"/>
      <c r="T51" s="23" t="str">
        <f aca="false">IF(OR(R51="",S51=""),"",S51-R51)</f>
        <v/>
      </c>
      <c r="U51" s="24" t="str">
        <f aca="false">IF(T51="","",IF(T51&lt;=0,"Yes","No"))</f>
        <v/>
      </c>
      <c r="V51" s="2"/>
    </row>
    <row r="52" customFormat="false" ht="14.25" hidden="false" customHeight="false" outlineLevel="0" collapsed="false">
      <c r="A52" s="18"/>
      <c r="B52" s="2"/>
      <c r="C52" s="2"/>
      <c r="D52" s="2"/>
      <c r="E52" s="2"/>
      <c r="F52" s="19"/>
      <c r="G52" s="2"/>
      <c r="H52" s="19"/>
      <c r="I52" s="2"/>
      <c r="J52" s="19"/>
      <c r="K52" s="2"/>
      <c r="L52" s="19"/>
      <c r="M52" s="2"/>
      <c r="N52" s="20" t="str">
        <f aca="false">IF(COUNT(F52,H52,J52,L52)&lt;4,"",ROUND(F52*Settings!$B$4+H52*Settings!$B$5+J52*Settings!$B$6+L52*Settings!$B$7,2))</f>
        <v/>
      </c>
      <c r="O52" s="21"/>
      <c r="P52" s="21"/>
      <c r="Q52" s="22" t="str">
        <f aca="false">IF(OR(O52="",P52="",O52=0),"",(P52-O52)/O52)</f>
        <v/>
      </c>
      <c r="R52" s="18"/>
      <c r="S52" s="18"/>
      <c r="T52" s="23" t="str">
        <f aca="false">IF(OR(R52="",S52=""),"",S52-R52)</f>
        <v/>
      </c>
      <c r="U52" s="24" t="str">
        <f aca="false">IF(T52="","",IF(T52&lt;=0,"Yes","No"))</f>
        <v/>
      </c>
      <c r="V52" s="2"/>
    </row>
    <row r="53" customFormat="false" ht="14.25" hidden="false" customHeight="false" outlineLevel="0" collapsed="false">
      <c r="A53" s="18"/>
      <c r="B53" s="2"/>
      <c r="C53" s="2"/>
      <c r="D53" s="2"/>
      <c r="E53" s="2"/>
      <c r="F53" s="19"/>
      <c r="G53" s="2"/>
      <c r="H53" s="19"/>
      <c r="I53" s="2"/>
      <c r="J53" s="19"/>
      <c r="K53" s="2"/>
      <c r="L53" s="19"/>
      <c r="M53" s="2"/>
      <c r="N53" s="20" t="str">
        <f aca="false">IF(COUNT(F53,H53,J53,L53)&lt;4,"",ROUND(F53*Settings!$B$4+H53*Settings!$B$5+J53*Settings!$B$6+L53*Settings!$B$7,2))</f>
        <v/>
      </c>
      <c r="O53" s="21"/>
      <c r="P53" s="21"/>
      <c r="Q53" s="22" t="str">
        <f aca="false">IF(OR(O53="",P53="",O53=0),"",(P53-O53)/O53)</f>
        <v/>
      </c>
      <c r="R53" s="18"/>
      <c r="S53" s="18"/>
      <c r="T53" s="23" t="str">
        <f aca="false">IF(OR(R53="",S53=""),"",S53-R53)</f>
        <v/>
      </c>
      <c r="U53" s="24" t="str">
        <f aca="false">IF(T53="","",IF(T53&lt;=0,"Yes","No"))</f>
        <v/>
      </c>
      <c r="V53" s="2"/>
    </row>
    <row r="54" customFormat="false" ht="14.25" hidden="false" customHeight="false" outlineLevel="0" collapsed="false">
      <c r="A54" s="18"/>
      <c r="B54" s="2"/>
      <c r="C54" s="2"/>
      <c r="D54" s="2"/>
      <c r="E54" s="2"/>
      <c r="F54" s="19"/>
      <c r="G54" s="2"/>
      <c r="H54" s="19"/>
      <c r="I54" s="2"/>
      <c r="J54" s="19"/>
      <c r="K54" s="2"/>
      <c r="L54" s="19"/>
      <c r="M54" s="2"/>
      <c r="N54" s="20" t="str">
        <f aca="false">IF(COUNT(F54,H54,J54,L54)&lt;4,"",ROUND(F54*Settings!$B$4+H54*Settings!$B$5+J54*Settings!$B$6+L54*Settings!$B$7,2))</f>
        <v/>
      </c>
      <c r="O54" s="21"/>
      <c r="P54" s="21"/>
      <c r="Q54" s="22" t="str">
        <f aca="false">IF(OR(O54="",P54="",O54=0),"",(P54-O54)/O54)</f>
        <v/>
      </c>
      <c r="R54" s="18"/>
      <c r="S54" s="18"/>
      <c r="T54" s="23" t="str">
        <f aca="false">IF(OR(R54="",S54=""),"",S54-R54)</f>
        <v/>
      </c>
      <c r="U54" s="24" t="str">
        <f aca="false">IF(T54="","",IF(T54&lt;=0,"Yes","No"))</f>
        <v/>
      </c>
      <c r="V54" s="2"/>
    </row>
    <row r="55" customFormat="false" ht="14.25" hidden="false" customHeight="false" outlineLevel="0" collapsed="false">
      <c r="A55" s="18"/>
      <c r="B55" s="2"/>
      <c r="C55" s="2"/>
      <c r="D55" s="2"/>
      <c r="E55" s="2"/>
      <c r="F55" s="19"/>
      <c r="G55" s="2"/>
      <c r="H55" s="19"/>
      <c r="I55" s="2"/>
      <c r="J55" s="19"/>
      <c r="K55" s="2"/>
      <c r="L55" s="19"/>
      <c r="M55" s="2"/>
      <c r="N55" s="20" t="str">
        <f aca="false">IF(COUNT(F55,H55,J55,L55)&lt;4,"",ROUND(F55*Settings!$B$4+H55*Settings!$B$5+J55*Settings!$B$6+L55*Settings!$B$7,2))</f>
        <v/>
      </c>
      <c r="O55" s="21"/>
      <c r="P55" s="21"/>
      <c r="Q55" s="22" t="str">
        <f aca="false">IF(OR(O55="",P55="",O55=0),"",(P55-O55)/O55)</f>
        <v/>
      </c>
      <c r="R55" s="18"/>
      <c r="S55" s="18"/>
      <c r="T55" s="23" t="str">
        <f aca="false">IF(OR(R55="",S55=""),"",S55-R55)</f>
        <v/>
      </c>
      <c r="U55" s="24" t="str">
        <f aca="false">IF(T55="","",IF(T55&lt;=0,"Yes","No"))</f>
        <v/>
      </c>
      <c r="V55" s="2"/>
    </row>
    <row r="56" customFormat="false" ht="14.25" hidden="false" customHeight="false" outlineLevel="0" collapsed="false">
      <c r="A56" s="18"/>
      <c r="B56" s="2"/>
      <c r="C56" s="2"/>
      <c r="D56" s="2"/>
      <c r="E56" s="2"/>
      <c r="F56" s="19"/>
      <c r="G56" s="2"/>
      <c r="H56" s="19"/>
      <c r="I56" s="2"/>
      <c r="J56" s="19"/>
      <c r="K56" s="2"/>
      <c r="L56" s="19"/>
      <c r="M56" s="2"/>
      <c r="N56" s="20" t="str">
        <f aca="false">IF(COUNT(F56,H56,J56,L56)&lt;4,"",ROUND(F56*Settings!$B$4+H56*Settings!$B$5+J56*Settings!$B$6+L56*Settings!$B$7,2))</f>
        <v/>
      </c>
      <c r="O56" s="21"/>
      <c r="P56" s="21"/>
      <c r="Q56" s="22" t="str">
        <f aca="false">IF(OR(O56="",P56="",O56=0),"",(P56-O56)/O56)</f>
        <v/>
      </c>
      <c r="R56" s="18"/>
      <c r="S56" s="18"/>
      <c r="T56" s="23" t="str">
        <f aca="false">IF(OR(R56="",S56=""),"",S56-R56)</f>
        <v/>
      </c>
      <c r="U56" s="24" t="str">
        <f aca="false">IF(T56="","",IF(T56&lt;=0,"Yes","No"))</f>
        <v/>
      </c>
      <c r="V56" s="2"/>
    </row>
    <row r="57" customFormat="false" ht="14.25" hidden="false" customHeight="false" outlineLevel="0" collapsed="false">
      <c r="A57" s="18"/>
      <c r="B57" s="2"/>
      <c r="C57" s="2"/>
      <c r="D57" s="2"/>
      <c r="E57" s="2"/>
      <c r="F57" s="19"/>
      <c r="G57" s="2"/>
      <c r="H57" s="19"/>
      <c r="I57" s="2"/>
      <c r="J57" s="19"/>
      <c r="K57" s="2"/>
      <c r="L57" s="19"/>
      <c r="M57" s="2"/>
      <c r="N57" s="20" t="str">
        <f aca="false">IF(COUNT(F57,H57,J57,L57)&lt;4,"",ROUND(F57*Settings!$B$4+H57*Settings!$B$5+J57*Settings!$B$6+L57*Settings!$B$7,2))</f>
        <v/>
      </c>
      <c r="O57" s="21"/>
      <c r="P57" s="21"/>
      <c r="Q57" s="22" t="str">
        <f aca="false">IF(OR(O57="",P57="",O57=0),"",(P57-O57)/O57)</f>
        <v/>
      </c>
      <c r="R57" s="18"/>
      <c r="S57" s="18"/>
      <c r="T57" s="23" t="str">
        <f aca="false">IF(OR(R57="",S57=""),"",S57-R57)</f>
        <v/>
      </c>
      <c r="U57" s="24" t="str">
        <f aca="false">IF(T57="","",IF(T57&lt;=0,"Yes","No"))</f>
        <v/>
      </c>
      <c r="V57" s="2"/>
    </row>
    <row r="58" customFormat="false" ht="14.25" hidden="false" customHeight="false" outlineLevel="0" collapsed="false">
      <c r="A58" s="18"/>
      <c r="B58" s="2"/>
      <c r="C58" s="2"/>
      <c r="D58" s="2"/>
      <c r="E58" s="2"/>
      <c r="F58" s="19"/>
      <c r="G58" s="2"/>
      <c r="H58" s="19"/>
      <c r="I58" s="2"/>
      <c r="J58" s="19"/>
      <c r="K58" s="2"/>
      <c r="L58" s="19"/>
      <c r="M58" s="2"/>
      <c r="N58" s="20" t="str">
        <f aca="false">IF(COUNT(F58,H58,J58,L58)&lt;4,"",ROUND(F58*Settings!$B$4+H58*Settings!$B$5+J58*Settings!$B$6+L58*Settings!$B$7,2))</f>
        <v/>
      </c>
      <c r="O58" s="21"/>
      <c r="P58" s="21"/>
      <c r="Q58" s="22" t="str">
        <f aca="false">IF(OR(O58="",P58="",O58=0),"",(P58-O58)/O58)</f>
        <v/>
      </c>
      <c r="R58" s="18"/>
      <c r="S58" s="18"/>
      <c r="T58" s="23" t="str">
        <f aca="false">IF(OR(R58="",S58=""),"",S58-R58)</f>
        <v/>
      </c>
      <c r="U58" s="24" t="str">
        <f aca="false">IF(T58="","",IF(T58&lt;=0,"Yes","No"))</f>
        <v/>
      </c>
      <c r="V58" s="2"/>
    </row>
    <row r="59" customFormat="false" ht="14.25" hidden="false" customHeight="false" outlineLevel="0" collapsed="false">
      <c r="A59" s="18"/>
      <c r="B59" s="2"/>
      <c r="C59" s="2"/>
      <c r="D59" s="2"/>
      <c r="E59" s="2"/>
      <c r="F59" s="19"/>
      <c r="G59" s="2"/>
      <c r="H59" s="19"/>
      <c r="I59" s="2"/>
      <c r="J59" s="19"/>
      <c r="K59" s="2"/>
      <c r="L59" s="19"/>
      <c r="M59" s="2"/>
      <c r="N59" s="20" t="str">
        <f aca="false">IF(COUNT(F59,H59,J59,L59)&lt;4,"",ROUND(F59*Settings!$B$4+H59*Settings!$B$5+J59*Settings!$B$6+L59*Settings!$B$7,2))</f>
        <v/>
      </c>
      <c r="O59" s="21"/>
      <c r="P59" s="21"/>
      <c r="Q59" s="22" t="str">
        <f aca="false">IF(OR(O59="",P59="",O59=0),"",(P59-O59)/O59)</f>
        <v/>
      </c>
      <c r="R59" s="18"/>
      <c r="S59" s="18"/>
      <c r="T59" s="23" t="str">
        <f aca="false">IF(OR(R59="",S59=""),"",S59-R59)</f>
        <v/>
      </c>
      <c r="U59" s="24" t="str">
        <f aca="false">IF(T59="","",IF(T59&lt;=0,"Yes","No"))</f>
        <v/>
      </c>
      <c r="V59" s="2"/>
    </row>
    <row r="60" customFormat="false" ht="14.25" hidden="false" customHeight="false" outlineLevel="0" collapsed="false">
      <c r="A60" s="18"/>
      <c r="B60" s="2"/>
      <c r="C60" s="2"/>
      <c r="D60" s="2"/>
      <c r="E60" s="2"/>
      <c r="F60" s="19"/>
      <c r="G60" s="2"/>
      <c r="H60" s="19"/>
      <c r="I60" s="2"/>
      <c r="J60" s="19"/>
      <c r="K60" s="2"/>
      <c r="L60" s="19"/>
      <c r="M60" s="2"/>
      <c r="N60" s="20" t="str">
        <f aca="false">IF(COUNT(F60,H60,J60,L60)&lt;4,"",ROUND(F60*Settings!$B$4+H60*Settings!$B$5+J60*Settings!$B$6+L60*Settings!$B$7,2))</f>
        <v/>
      </c>
      <c r="O60" s="21"/>
      <c r="P60" s="21"/>
      <c r="Q60" s="22" t="str">
        <f aca="false">IF(OR(O60="",P60="",O60=0),"",(P60-O60)/O60)</f>
        <v/>
      </c>
      <c r="R60" s="18"/>
      <c r="S60" s="18"/>
      <c r="T60" s="23" t="str">
        <f aca="false">IF(OR(R60="",S60=""),"",S60-R60)</f>
        <v/>
      </c>
      <c r="U60" s="24" t="str">
        <f aca="false">IF(T60="","",IF(T60&lt;=0,"Yes","No"))</f>
        <v/>
      </c>
      <c r="V60" s="2"/>
    </row>
    <row r="61" customFormat="false" ht="14.25" hidden="false" customHeight="false" outlineLevel="0" collapsed="false">
      <c r="A61" s="18"/>
      <c r="B61" s="2"/>
      <c r="C61" s="2"/>
      <c r="D61" s="2"/>
      <c r="E61" s="2"/>
      <c r="F61" s="19"/>
      <c r="G61" s="2"/>
      <c r="H61" s="19"/>
      <c r="I61" s="2"/>
      <c r="J61" s="19"/>
      <c r="K61" s="2"/>
      <c r="L61" s="19"/>
      <c r="M61" s="2"/>
      <c r="N61" s="20" t="str">
        <f aca="false">IF(COUNT(F61,H61,J61,L61)&lt;4,"",ROUND(F61*Settings!$B$4+H61*Settings!$B$5+J61*Settings!$B$6+L61*Settings!$B$7,2))</f>
        <v/>
      </c>
      <c r="O61" s="21"/>
      <c r="P61" s="21"/>
      <c r="Q61" s="22" t="str">
        <f aca="false">IF(OR(O61="",P61="",O61=0),"",(P61-O61)/O61)</f>
        <v/>
      </c>
      <c r="R61" s="18"/>
      <c r="S61" s="18"/>
      <c r="T61" s="23" t="str">
        <f aca="false">IF(OR(R61="",S61=""),"",S61-R61)</f>
        <v/>
      </c>
      <c r="U61" s="24" t="str">
        <f aca="false">IF(T61="","",IF(T61&lt;=0,"Yes","No"))</f>
        <v/>
      </c>
      <c r="V61" s="2"/>
    </row>
    <row r="62" customFormat="false" ht="14.25" hidden="false" customHeight="false" outlineLevel="0" collapsed="false">
      <c r="A62" s="18"/>
      <c r="B62" s="2"/>
      <c r="C62" s="2"/>
      <c r="D62" s="2"/>
      <c r="E62" s="2"/>
      <c r="F62" s="19"/>
      <c r="G62" s="2"/>
      <c r="H62" s="19"/>
      <c r="I62" s="2"/>
      <c r="J62" s="19"/>
      <c r="K62" s="2"/>
      <c r="L62" s="19"/>
      <c r="M62" s="2"/>
      <c r="N62" s="20" t="str">
        <f aca="false">IF(COUNT(F62,H62,J62,L62)&lt;4,"",ROUND(F62*Settings!$B$4+H62*Settings!$B$5+J62*Settings!$B$6+L62*Settings!$B$7,2))</f>
        <v/>
      </c>
      <c r="O62" s="21"/>
      <c r="P62" s="21"/>
      <c r="Q62" s="22" t="str">
        <f aca="false">IF(OR(O62="",P62="",O62=0),"",(P62-O62)/O62)</f>
        <v/>
      </c>
      <c r="R62" s="18"/>
      <c r="S62" s="18"/>
      <c r="T62" s="23" t="str">
        <f aca="false">IF(OR(R62="",S62=""),"",S62-R62)</f>
        <v/>
      </c>
      <c r="U62" s="24" t="str">
        <f aca="false">IF(T62="","",IF(T62&lt;=0,"Yes","No"))</f>
        <v/>
      </c>
      <c r="V62" s="2"/>
    </row>
    <row r="63" customFormat="false" ht="14.25" hidden="false" customHeight="false" outlineLevel="0" collapsed="false">
      <c r="A63" s="18"/>
      <c r="B63" s="2"/>
      <c r="C63" s="2"/>
      <c r="D63" s="2"/>
      <c r="E63" s="2"/>
      <c r="F63" s="19"/>
      <c r="G63" s="2"/>
      <c r="H63" s="19"/>
      <c r="I63" s="2"/>
      <c r="J63" s="19"/>
      <c r="K63" s="2"/>
      <c r="L63" s="19"/>
      <c r="M63" s="2"/>
      <c r="N63" s="20" t="str">
        <f aca="false">IF(COUNT(F63,H63,J63,L63)&lt;4,"",ROUND(F63*Settings!$B$4+H63*Settings!$B$5+J63*Settings!$B$6+L63*Settings!$B$7,2))</f>
        <v/>
      </c>
      <c r="O63" s="21"/>
      <c r="P63" s="21"/>
      <c r="Q63" s="22" t="str">
        <f aca="false">IF(OR(O63="",P63="",O63=0),"",(P63-O63)/O63)</f>
        <v/>
      </c>
      <c r="R63" s="18"/>
      <c r="S63" s="18"/>
      <c r="T63" s="23" t="str">
        <f aca="false">IF(OR(R63="",S63=""),"",S63-R63)</f>
        <v/>
      </c>
      <c r="U63" s="24" t="str">
        <f aca="false">IF(T63="","",IF(T63&lt;=0,"Yes","No"))</f>
        <v/>
      </c>
      <c r="V63" s="2"/>
    </row>
    <row r="64" customFormat="false" ht="14.25" hidden="false" customHeight="false" outlineLevel="0" collapsed="false">
      <c r="A64" s="18"/>
      <c r="B64" s="2"/>
      <c r="C64" s="2"/>
      <c r="D64" s="2"/>
      <c r="E64" s="2"/>
      <c r="F64" s="19"/>
      <c r="G64" s="2"/>
      <c r="H64" s="19"/>
      <c r="I64" s="2"/>
      <c r="J64" s="19"/>
      <c r="K64" s="2"/>
      <c r="L64" s="19"/>
      <c r="M64" s="2"/>
      <c r="N64" s="20" t="str">
        <f aca="false">IF(COUNT(F64,H64,J64,L64)&lt;4,"",ROUND(F64*Settings!$B$4+H64*Settings!$B$5+J64*Settings!$B$6+L64*Settings!$B$7,2))</f>
        <v/>
      </c>
      <c r="O64" s="21"/>
      <c r="P64" s="21"/>
      <c r="Q64" s="22" t="str">
        <f aca="false">IF(OR(O64="",P64="",O64=0),"",(P64-O64)/O64)</f>
        <v/>
      </c>
      <c r="R64" s="18"/>
      <c r="S64" s="18"/>
      <c r="T64" s="23" t="str">
        <f aca="false">IF(OR(R64="",S64=""),"",S64-R64)</f>
        <v/>
      </c>
      <c r="U64" s="24" t="str">
        <f aca="false">IF(T64="","",IF(T64&lt;=0,"Yes","No"))</f>
        <v/>
      </c>
      <c r="V64" s="2"/>
    </row>
    <row r="65" customFormat="false" ht="14.25" hidden="false" customHeight="false" outlineLevel="0" collapsed="false">
      <c r="A65" s="18"/>
      <c r="B65" s="2"/>
      <c r="C65" s="2"/>
      <c r="D65" s="2"/>
      <c r="E65" s="2"/>
      <c r="F65" s="19"/>
      <c r="G65" s="2"/>
      <c r="H65" s="19"/>
      <c r="I65" s="2"/>
      <c r="J65" s="19"/>
      <c r="K65" s="2"/>
      <c r="L65" s="19"/>
      <c r="M65" s="2"/>
      <c r="N65" s="20" t="str">
        <f aca="false">IF(COUNT(F65,H65,J65,L65)&lt;4,"",ROUND(F65*Settings!$B$4+H65*Settings!$B$5+J65*Settings!$B$6+L65*Settings!$B$7,2))</f>
        <v/>
      </c>
      <c r="O65" s="21"/>
      <c r="P65" s="21"/>
      <c r="Q65" s="22" t="str">
        <f aca="false">IF(OR(O65="",P65="",O65=0),"",(P65-O65)/O65)</f>
        <v/>
      </c>
      <c r="R65" s="18"/>
      <c r="S65" s="18"/>
      <c r="T65" s="23" t="str">
        <f aca="false">IF(OR(R65="",S65=""),"",S65-R65)</f>
        <v/>
      </c>
      <c r="U65" s="24" t="str">
        <f aca="false">IF(T65="","",IF(T65&lt;=0,"Yes","No"))</f>
        <v/>
      </c>
      <c r="V65" s="2"/>
    </row>
    <row r="66" customFormat="false" ht="14.25" hidden="false" customHeight="false" outlineLevel="0" collapsed="false">
      <c r="A66" s="18"/>
      <c r="B66" s="2"/>
      <c r="C66" s="2"/>
      <c r="D66" s="2"/>
      <c r="E66" s="2"/>
      <c r="F66" s="19"/>
      <c r="G66" s="2"/>
      <c r="H66" s="19"/>
      <c r="I66" s="2"/>
      <c r="J66" s="19"/>
      <c r="K66" s="2"/>
      <c r="L66" s="19"/>
      <c r="M66" s="2"/>
      <c r="N66" s="20" t="str">
        <f aca="false">IF(COUNT(F66,H66,J66,L66)&lt;4,"",ROUND(F66*Settings!$B$4+H66*Settings!$B$5+J66*Settings!$B$6+L66*Settings!$B$7,2))</f>
        <v/>
      </c>
      <c r="O66" s="21"/>
      <c r="P66" s="21"/>
      <c r="Q66" s="22" t="str">
        <f aca="false">IF(OR(O66="",P66="",O66=0),"",(P66-O66)/O66)</f>
        <v/>
      </c>
      <c r="R66" s="18"/>
      <c r="S66" s="18"/>
      <c r="T66" s="23" t="str">
        <f aca="false">IF(OR(R66="",S66=""),"",S66-R66)</f>
        <v/>
      </c>
      <c r="U66" s="24" t="str">
        <f aca="false">IF(T66="","",IF(T66&lt;=0,"Yes","No"))</f>
        <v/>
      </c>
      <c r="V66" s="2"/>
    </row>
    <row r="67" customFormat="false" ht="14.25" hidden="false" customHeight="false" outlineLevel="0" collapsed="false">
      <c r="A67" s="18"/>
      <c r="B67" s="2"/>
      <c r="C67" s="2"/>
      <c r="D67" s="2"/>
      <c r="E67" s="2"/>
      <c r="F67" s="19"/>
      <c r="G67" s="2"/>
      <c r="H67" s="19"/>
      <c r="I67" s="2"/>
      <c r="J67" s="19"/>
      <c r="K67" s="2"/>
      <c r="L67" s="19"/>
      <c r="M67" s="2"/>
      <c r="N67" s="20" t="str">
        <f aca="false">IF(COUNT(F67,H67,J67,L67)&lt;4,"",ROUND(F67*Settings!$B$4+H67*Settings!$B$5+J67*Settings!$B$6+L67*Settings!$B$7,2))</f>
        <v/>
      </c>
      <c r="O67" s="21"/>
      <c r="P67" s="21"/>
      <c r="Q67" s="22" t="str">
        <f aca="false">IF(OR(O67="",P67="",O67=0),"",(P67-O67)/O67)</f>
        <v/>
      </c>
      <c r="R67" s="18"/>
      <c r="S67" s="18"/>
      <c r="T67" s="23" t="str">
        <f aca="false">IF(OR(R67="",S67=""),"",S67-R67)</f>
        <v/>
      </c>
      <c r="U67" s="24" t="str">
        <f aca="false">IF(T67="","",IF(T67&lt;=0,"Yes","No"))</f>
        <v/>
      </c>
      <c r="V67" s="2"/>
    </row>
    <row r="68" customFormat="false" ht="14.25" hidden="false" customHeight="false" outlineLevel="0" collapsed="false">
      <c r="A68" s="18"/>
      <c r="B68" s="2"/>
      <c r="C68" s="2"/>
      <c r="D68" s="2"/>
      <c r="E68" s="2"/>
      <c r="F68" s="19"/>
      <c r="G68" s="2"/>
      <c r="H68" s="19"/>
      <c r="I68" s="2"/>
      <c r="J68" s="19"/>
      <c r="K68" s="2"/>
      <c r="L68" s="19"/>
      <c r="M68" s="2"/>
      <c r="N68" s="20" t="str">
        <f aca="false">IF(COUNT(F68,H68,J68,L68)&lt;4,"",ROUND(F68*Settings!$B$4+H68*Settings!$B$5+J68*Settings!$B$6+L68*Settings!$B$7,2))</f>
        <v/>
      </c>
      <c r="O68" s="21"/>
      <c r="P68" s="21"/>
      <c r="Q68" s="22" t="str">
        <f aca="false">IF(OR(O68="",P68="",O68=0),"",(P68-O68)/O68)</f>
        <v/>
      </c>
      <c r="R68" s="18"/>
      <c r="S68" s="18"/>
      <c r="T68" s="23" t="str">
        <f aca="false">IF(OR(R68="",S68=""),"",S68-R68)</f>
        <v/>
      </c>
      <c r="U68" s="24" t="str">
        <f aca="false">IF(T68="","",IF(T68&lt;=0,"Yes","No"))</f>
        <v/>
      </c>
      <c r="V68" s="2"/>
    </row>
    <row r="69" customFormat="false" ht="14.25" hidden="false" customHeight="false" outlineLevel="0" collapsed="false">
      <c r="A69" s="18"/>
      <c r="B69" s="2"/>
      <c r="C69" s="2"/>
      <c r="D69" s="2"/>
      <c r="E69" s="2"/>
      <c r="F69" s="19"/>
      <c r="G69" s="2"/>
      <c r="H69" s="19"/>
      <c r="I69" s="2"/>
      <c r="J69" s="19"/>
      <c r="K69" s="2"/>
      <c r="L69" s="19"/>
      <c r="M69" s="2"/>
      <c r="N69" s="20" t="str">
        <f aca="false">IF(COUNT(F69,H69,J69,L69)&lt;4,"",ROUND(F69*Settings!$B$4+H69*Settings!$B$5+J69*Settings!$B$6+L69*Settings!$B$7,2))</f>
        <v/>
      </c>
      <c r="O69" s="21"/>
      <c r="P69" s="21"/>
      <c r="Q69" s="22" t="str">
        <f aca="false">IF(OR(O69="",P69="",O69=0),"",(P69-O69)/O69)</f>
        <v/>
      </c>
      <c r="R69" s="18"/>
      <c r="S69" s="18"/>
      <c r="T69" s="23" t="str">
        <f aca="false">IF(OR(R69="",S69=""),"",S69-R69)</f>
        <v/>
      </c>
      <c r="U69" s="24" t="str">
        <f aca="false">IF(T69="","",IF(T69&lt;=0,"Yes","No"))</f>
        <v/>
      </c>
      <c r="V69" s="2"/>
    </row>
    <row r="70" customFormat="false" ht="14.25" hidden="false" customHeight="false" outlineLevel="0" collapsed="false">
      <c r="A70" s="18"/>
      <c r="B70" s="2"/>
      <c r="C70" s="2"/>
      <c r="D70" s="2"/>
      <c r="E70" s="2"/>
      <c r="F70" s="19"/>
      <c r="G70" s="2"/>
      <c r="H70" s="19"/>
      <c r="I70" s="2"/>
      <c r="J70" s="19"/>
      <c r="K70" s="2"/>
      <c r="L70" s="19"/>
      <c r="M70" s="2"/>
      <c r="N70" s="20" t="str">
        <f aca="false">IF(COUNT(F70,H70,J70,L70)&lt;4,"",ROUND(F70*Settings!$B$4+H70*Settings!$B$5+J70*Settings!$B$6+L70*Settings!$B$7,2))</f>
        <v/>
      </c>
      <c r="O70" s="21"/>
      <c r="P70" s="21"/>
      <c r="Q70" s="22" t="str">
        <f aca="false">IF(OR(O70="",P70="",O70=0),"",(P70-O70)/O70)</f>
        <v/>
      </c>
      <c r="R70" s="18"/>
      <c r="S70" s="18"/>
      <c r="T70" s="23" t="str">
        <f aca="false">IF(OR(R70="",S70=""),"",S70-R70)</f>
        <v/>
      </c>
      <c r="U70" s="24" t="str">
        <f aca="false">IF(T70="","",IF(T70&lt;=0,"Yes","No"))</f>
        <v/>
      </c>
      <c r="V70" s="2"/>
    </row>
    <row r="71" customFormat="false" ht="14.25" hidden="false" customHeight="false" outlineLevel="0" collapsed="false">
      <c r="A71" s="18"/>
      <c r="B71" s="2"/>
      <c r="C71" s="2"/>
      <c r="D71" s="2"/>
      <c r="E71" s="2"/>
      <c r="F71" s="19"/>
      <c r="G71" s="2"/>
      <c r="H71" s="19"/>
      <c r="I71" s="2"/>
      <c r="J71" s="19"/>
      <c r="K71" s="2"/>
      <c r="L71" s="19"/>
      <c r="M71" s="2"/>
      <c r="N71" s="20" t="str">
        <f aca="false">IF(COUNT(F71,H71,J71,L71)&lt;4,"",ROUND(F71*Settings!$B$4+H71*Settings!$B$5+J71*Settings!$B$6+L71*Settings!$B$7,2))</f>
        <v/>
      </c>
      <c r="O71" s="21"/>
      <c r="P71" s="21"/>
      <c r="Q71" s="22" t="str">
        <f aca="false">IF(OR(O71="",P71="",O71=0),"",(P71-O71)/O71)</f>
        <v/>
      </c>
      <c r="R71" s="18"/>
      <c r="S71" s="18"/>
      <c r="T71" s="23" t="str">
        <f aca="false">IF(OR(R71="",S71=""),"",S71-R71)</f>
        <v/>
      </c>
      <c r="U71" s="24" t="str">
        <f aca="false">IF(T71="","",IF(T71&lt;=0,"Yes","No"))</f>
        <v/>
      </c>
      <c r="V71" s="2"/>
    </row>
    <row r="72" customFormat="false" ht="14.25" hidden="false" customHeight="false" outlineLevel="0" collapsed="false">
      <c r="A72" s="18"/>
      <c r="B72" s="2"/>
      <c r="C72" s="2"/>
      <c r="D72" s="2"/>
      <c r="E72" s="2"/>
      <c r="F72" s="19"/>
      <c r="G72" s="2"/>
      <c r="H72" s="19"/>
      <c r="I72" s="2"/>
      <c r="J72" s="19"/>
      <c r="K72" s="2"/>
      <c r="L72" s="19"/>
      <c r="M72" s="2"/>
      <c r="N72" s="20" t="str">
        <f aca="false">IF(COUNT(F72,H72,J72,L72)&lt;4,"",ROUND(F72*Settings!$B$4+H72*Settings!$B$5+J72*Settings!$B$6+L72*Settings!$B$7,2))</f>
        <v/>
      </c>
      <c r="O72" s="21"/>
      <c r="P72" s="21"/>
      <c r="Q72" s="22" t="str">
        <f aca="false">IF(OR(O72="",P72="",O72=0),"",(P72-O72)/O72)</f>
        <v/>
      </c>
      <c r="R72" s="18"/>
      <c r="S72" s="18"/>
      <c r="T72" s="23" t="str">
        <f aca="false">IF(OR(R72="",S72=""),"",S72-R72)</f>
        <v/>
      </c>
      <c r="U72" s="24" t="str">
        <f aca="false">IF(T72="","",IF(T72&lt;=0,"Yes","No"))</f>
        <v/>
      </c>
      <c r="V72" s="2"/>
    </row>
    <row r="73" customFormat="false" ht="14.25" hidden="false" customHeight="false" outlineLevel="0" collapsed="false">
      <c r="A73" s="18"/>
      <c r="B73" s="2"/>
      <c r="C73" s="2"/>
      <c r="D73" s="2"/>
      <c r="E73" s="2"/>
      <c r="F73" s="19"/>
      <c r="G73" s="2"/>
      <c r="H73" s="19"/>
      <c r="I73" s="2"/>
      <c r="J73" s="19"/>
      <c r="K73" s="2"/>
      <c r="L73" s="19"/>
      <c r="M73" s="2"/>
      <c r="N73" s="20" t="str">
        <f aca="false">IF(COUNT(F73,H73,J73,L73)&lt;4,"",ROUND(F73*Settings!$B$4+H73*Settings!$B$5+J73*Settings!$B$6+L73*Settings!$B$7,2))</f>
        <v/>
      </c>
      <c r="O73" s="21"/>
      <c r="P73" s="21"/>
      <c r="Q73" s="22" t="str">
        <f aca="false">IF(OR(O73="",P73="",O73=0),"",(P73-O73)/O73)</f>
        <v/>
      </c>
      <c r="R73" s="18"/>
      <c r="S73" s="18"/>
      <c r="T73" s="23" t="str">
        <f aca="false">IF(OR(R73="",S73=""),"",S73-R73)</f>
        <v/>
      </c>
      <c r="U73" s="24" t="str">
        <f aca="false">IF(T73="","",IF(T73&lt;=0,"Yes","No"))</f>
        <v/>
      </c>
      <c r="V73" s="2"/>
    </row>
    <row r="74" customFormat="false" ht="14.25" hidden="false" customHeight="false" outlineLevel="0" collapsed="false">
      <c r="A74" s="18"/>
      <c r="B74" s="2"/>
      <c r="C74" s="2"/>
      <c r="D74" s="2"/>
      <c r="E74" s="2"/>
      <c r="F74" s="19"/>
      <c r="G74" s="2"/>
      <c r="H74" s="19"/>
      <c r="I74" s="2"/>
      <c r="J74" s="19"/>
      <c r="K74" s="2"/>
      <c r="L74" s="19"/>
      <c r="M74" s="2"/>
      <c r="N74" s="20" t="str">
        <f aca="false">IF(COUNT(F74,H74,J74,L74)&lt;4,"",ROUND(F74*Settings!$B$4+H74*Settings!$B$5+J74*Settings!$B$6+L74*Settings!$B$7,2))</f>
        <v/>
      </c>
      <c r="O74" s="21"/>
      <c r="P74" s="21"/>
      <c r="Q74" s="22" t="str">
        <f aca="false">IF(OR(O74="",P74="",O74=0),"",(P74-O74)/O74)</f>
        <v/>
      </c>
      <c r="R74" s="18"/>
      <c r="S74" s="18"/>
      <c r="T74" s="23" t="str">
        <f aca="false">IF(OR(R74="",S74=""),"",S74-R74)</f>
        <v/>
      </c>
      <c r="U74" s="24" t="str">
        <f aca="false">IF(T74="","",IF(T74&lt;=0,"Yes","No"))</f>
        <v/>
      </c>
      <c r="V74" s="2"/>
    </row>
    <row r="75" customFormat="false" ht="14.25" hidden="false" customHeight="false" outlineLevel="0" collapsed="false">
      <c r="A75" s="18"/>
      <c r="B75" s="2"/>
      <c r="C75" s="2"/>
      <c r="D75" s="2"/>
      <c r="E75" s="2"/>
      <c r="F75" s="19"/>
      <c r="G75" s="2"/>
      <c r="H75" s="19"/>
      <c r="I75" s="2"/>
      <c r="J75" s="19"/>
      <c r="K75" s="2"/>
      <c r="L75" s="19"/>
      <c r="M75" s="2"/>
      <c r="N75" s="20" t="str">
        <f aca="false">IF(COUNT(F75,H75,J75,L75)&lt;4,"",ROUND(F75*Settings!$B$4+H75*Settings!$B$5+J75*Settings!$B$6+L75*Settings!$B$7,2))</f>
        <v/>
      </c>
      <c r="O75" s="21"/>
      <c r="P75" s="21"/>
      <c r="Q75" s="22" t="str">
        <f aca="false">IF(OR(O75="",P75="",O75=0),"",(P75-O75)/O75)</f>
        <v/>
      </c>
      <c r="R75" s="18"/>
      <c r="S75" s="18"/>
      <c r="T75" s="23" t="str">
        <f aca="false">IF(OR(R75="",S75=""),"",S75-R75)</f>
        <v/>
      </c>
      <c r="U75" s="24" t="str">
        <f aca="false">IF(T75="","",IF(T75&lt;=0,"Yes","No"))</f>
        <v/>
      </c>
      <c r="V75" s="2"/>
    </row>
    <row r="76" customFormat="false" ht="14.25" hidden="false" customHeight="false" outlineLevel="0" collapsed="false">
      <c r="A76" s="18"/>
      <c r="B76" s="2"/>
      <c r="C76" s="2"/>
      <c r="D76" s="2"/>
      <c r="E76" s="2"/>
      <c r="F76" s="19"/>
      <c r="G76" s="2"/>
      <c r="H76" s="19"/>
      <c r="I76" s="2"/>
      <c r="J76" s="19"/>
      <c r="K76" s="2"/>
      <c r="L76" s="19"/>
      <c r="M76" s="2"/>
      <c r="N76" s="20" t="str">
        <f aca="false">IF(COUNT(F76,H76,J76,L76)&lt;4,"",ROUND(F76*Settings!$B$4+H76*Settings!$B$5+J76*Settings!$B$6+L76*Settings!$B$7,2))</f>
        <v/>
      </c>
      <c r="O76" s="21"/>
      <c r="P76" s="21"/>
      <c r="Q76" s="22" t="str">
        <f aca="false">IF(OR(O76="",P76="",O76=0),"",(P76-O76)/O76)</f>
        <v/>
      </c>
      <c r="R76" s="18"/>
      <c r="S76" s="18"/>
      <c r="T76" s="23" t="str">
        <f aca="false">IF(OR(R76="",S76=""),"",S76-R76)</f>
        <v/>
      </c>
      <c r="U76" s="24" t="str">
        <f aca="false">IF(T76="","",IF(T76&lt;=0,"Yes","No"))</f>
        <v/>
      </c>
      <c r="V76" s="2"/>
    </row>
    <row r="77" customFormat="false" ht="14.25" hidden="false" customHeight="false" outlineLevel="0" collapsed="false">
      <c r="A77" s="18"/>
      <c r="B77" s="2"/>
      <c r="C77" s="2"/>
      <c r="D77" s="2"/>
      <c r="E77" s="2"/>
      <c r="F77" s="19"/>
      <c r="G77" s="2"/>
      <c r="H77" s="19"/>
      <c r="I77" s="2"/>
      <c r="J77" s="19"/>
      <c r="K77" s="2"/>
      <c r="L77" s="19"/>
      <c r="M77" s="2"/>
      <c r="N77" s="20" t="str">
        <f aca="false">IF(COUNT(F77,H77,J77,L77)&lt;4,"",ROUND(F77*Settings!$B$4+H77*Settings!$B$5+J77*Settings!$B$6+L77*Settings!$B$7,2))</f>
        <v/>
      </c>
      <c r="O77" s="21"/>
      <c r="P77" s="21"/>
      <c r="Q77" s="22" t="str">
        <f aca="false">IF(OR(O77="",P77="",O77=0),"",(P77-O77)/O77)</f>
        <v/>
      </c>
      <c r="R77" s="18"/>
      <c r="S77" s="18"/>
      <c r="T77" s="23" t="str">
        <f aca="false">IF(OR(R77="",S77=""),"",S77-R77)</f>
        <v/>
      </c>
      <c r="U77" s="24" t="str">
        <f aca="false">IF(T77="","",IF(T77&lt;=0,"Yes","No"))</f>
        <v/>
      </c>
      <c r="V77" s="2"/>
    </row>
    <row r="78" customFormat="false" ht="14.25" hidden="false" customHeight="false" outlineLevel="0" collapsed="false">
      <c r="A78" s="18"/>
      <c r="B78" s="2"/>
      <c r="C78" s="2"/>
      <c r="D78" s="2"/>
      <c r="E78" s="2"/>
      <c r="F78" s="19"/>
      <c r="G78" s="2"/>
      <c r="H78" s="19"/>
      <c r="I78" s="2"/>
      <c r="J78" s="19"/>
      <c r="K78" s="2"/>
      <c r="L78" s="19"/>
      <c r="M78" s="2"/>
      <c r="N78" s="20" t="str">
        <f aca="false">IF(COUNT(F78,H78,J78,L78)&lt;4,"",ROUND(F78*Settings!$B$4+H78*Settings!$B$5+J78*Settings!$B$6+L78*Settings!$B$7,2))</f>
        <v/>
      </c>
      <c r="O78" s="21"/>
      <c r="P78" s="21"/>
      <c r="Q78" s="22" t="str">
        <f aca="false">IF(OR(O78="",P78="",O78=0),"",(P78-O78)/O78)</f>
        <v/>
      </c>
      <c r="R78" s="18"/>
      <c r="S78" s="18"/>
      <c r="T78" s="23" t="str">
        <f aca="false">IF(OR(R78="",S78=""),"",S78-R78)</f>
        <v/>
      </c>
      <c r="U78" s="24" t="str">
        <f aca="false">IF(T78="","",IF(T78&lt;=0,"Yes","No"))</f>
        <v/>
      </c>
      <c r="V78" s="2"/>
    </row>
    <row r="79" customFormat="false" ht="14.25" hidden="false" customHeight="false" outlineLevel="0" collapsed="false">
      <c r="A79" s="18"/>
      <c r="B79" s="2"/>
      <c r="C79" s="2"/>
      <c r="D79" s="2"/>
      <c r="E79" s="2"/>
      <c r="F79" s="19"/>
      <c r="G79" s="2"/>
      <c r="H79" s="19"/>
      <c r="I79" s="2"/>
      <c r="J79" s="19"/>
      <c r="K79" s="2"/>
      <c r="L79" s="19"/>
      <c r="M79" s="2"/>
      <c r="N79" s="20" t="str">
        <f aca="false">IF(COUNT(F79,H79,J79,L79)&lt;4,"",ROUND(F79*Settings!$B$4+H79*Settings!$B$5+J79*Settings!$B$6+L79*Settings!$B$7,2))</f>
        <v/>
      </c>
      <c r="O79" s="21"/>
      <c r="P79" s="21"/>
      <c r="Q79" s="22" t="str">
        <f aca="false">IF(OR(O79="",P79="",O79=0),"",(P79-O79)/O79)</f>
        <v/>
      </c>
      <c r="R79" s="18"/>
      <c r="S79" s="18"/>
      <c r="T79" s="23" t="str">
        <f aca="false">IF(OR(R79="",S79=""),"",S79-R79)</f>
        <v/>
      </c>
      <c r="U79" s="24" t="str">
        <f aca="false">IF(T79="","",IF(T79&lt;=0,"Yes","No"))</f>
        <v/>
      </c>
      <c r="V79" s="2"/>
    </row>
    <row r="80" customFormat="false" ht="14.25" hidden="false" customHeight="false" outlineLevel="0" collapsed="false">
      <c r="A80" s="18"/>
      <c r="B80" s="2"/>
      <c r="C80" s="2"/>
      <c r="D80" s="2"/>
      <c r="E80" s="2"/>
      <c r="F80" s="19"/>
      <c r="G80" s="2"/>
      <c r="H80" s="19"/>
      <c r="I80" s="2"/>
      <c r="J80" s="19"/>
      <c r="K80" s="2"/>
      <c r="L80" s="19"/>
      <c r="M80" s="2"/>
      <c r="N80" s="20" t="str">
        <f aca="false">IF(COUNT(F80,H80,J80,L80)&lt;4,"",ROUND(F80*Settings!$B$4+H80*Settings!$B$5+J80*Settings!$B$6+L80*Settings!$B$7,2))</f>
        <v/>
      </c>
      <c r="O80" s="21"/>
      <c r="P80" s="21"/>
      <c r="Q80" s="22" t="str">
        <f aca="false">IF(OR(O80="",P80="",O80=0),"",(P80-O80)/O80)</f>
        <v/>
      </c>
      <c r="R80" s="18"/>
      <c r="S80" s="18"/>
      <c r="T80" s="23" t="str">
        <f aca="false">IF(OR(R80="",S80=""),"",S80-R80)</f>
        <v/>
      </c>
      <c r="U80" s="24" t="str">
        <f aca="false">IF(T80="","",IF(T80&lt;=0,"Yes","No"))</f>
        <v/>
      </c>
      <c r="V80" s="2"/>
    </row>
    <row r="81" customFormat="false" ht="14.25" hidden="false" customHeight="false" outlineLevel="0" collapsed="false">
      <c r="A81" s="18"/>
      <c r="B81" s="2"/>
      <c r="C81" s="2"/>
      <c r="D81" s="2"/>
      <c r="E81" s="2"/>
      <c r="F81" s="19"/>
      <c r="G81" s="2"/>
      <c r="H81" s="19"/>
      <c r="I81" s="2"/>
      <c r="J81" s="19"/>
      <c r="K81" s="2"/>
      <c r="L81" s="19"/>
      <c r="M81" s="2"/>
      <c r="N81" s="20" t="str">
        <f aca="false">IF(COUNT(F81,H81,J81,L81)&lt;4,"",ROUND(F81*Settings!$B$4+H81*Settings!$B$5+J81*Settings!$B$6+L81*Settings!$B$7,2))</f>
        <v/>
      </c>
      <c r="O81" s="21"/>
      <c r="P81" s="21"/>
      <c r="Q81" s="22" t="str">
        <f aca="false">IF(OR(O81="",P81="",O81=0),"",(P81-O81)/O81)</f>
        <v/>
      </c>
      <c r="R81" s="18"/>
      <c r="S81" s="18"/>
      <c r="T81" s="23" t="str">
        <f aca="false">IF(OR(R81="",S81=""),"",S81-R81)</f>
        <v/>
      </c>
      <c r="U81" s="24" t="str">
        <f aca="false">IF(T81="","",IF(T81&lt;=0,"Yes","No"))</f>
        <v/>
      </c>
      <c r="V81" s="2"/>
    </row>
    <row r="82" customFormat="false" ht="14.25" hidden="false" customHeight="false" outlineLevel="0" collapsed="false">
      <c r="A82" s="18"/>
      <c r="B82" s="2"/>
      <c r="C82" s="2"/>
      <c r="D82" s="2"/>
      <c r="E82" s="2"/>
      <c r="F82" s="19"/>
      <c r="G82" s="2"/>
      <c r="H82" s="19"/>
      <c r="I82" s="2"/>
      <c r="J82" s="19"/>
      <c r="K82" s="2"/>
      <c r="L82" s="19"/>
      <c r="M82" s="2"/>
      <c r="N82" s="20" t="str">
        <f aca="false">IF(COUNT(F82,H82,J82,L82)&lt;4,"",ROUND(F82*Settings!$B$4+H82*Settings!$B$5+J82*Settings!$B$6+L82*Settings!$B$7,2))</f>
        <v/>
      </c>
      <c r="O82" s="21"/>
      <c r="P82" s="21"/>
      <c r="Q82" s="22" t="str">
        <f aca="false">IF(OR(O82="",P82="",O82=0),"",(P82-O82)/O82)</f>
        <v/>
      </c>
      <c r="R82" s="18"/>
      <c r="S82" s="18"/>
      <c r="T82" s="23" t="str">
        <f aca="false">IF(OR(R82="",S82=""),"",S82-R82)</f>
        <v/>
      </c>
      <c r="U82" s="24" t="str">
        <f aca="false">IF(T82="","",IF(T82&lt;=0,"Yes","No"))</f>
        <v/>
      </c>
      <c r="V82" s="2"/>
    </row>
    <row r="83" customFormat="false" ht="14.25" hidden="false" customHeight="false" outlineLevel="0" collapsed="false">
      <c r="A83" s="18"/>
      <c r="B83" s="2"/>
      <c r="C83" s="2"/>
      <c r="D83" s="2"/>
      <c r="E83" s="2"/>
      <c r="F83" s="19"/>
      <c r="G83" s="2"/>
      <c r="H83" s="19"/>
      <c r="I83" s="2"/>
      <c r="J83" s="19"/>
      <c r="K83" s="2"/>
      <c r="L83" s="19"/>
      <c r="M83" s="2"/>
      <c r="N83" s="20" t="str">
        <f aca="false">IF(COUNT(F83,H83,J83,L83)&lt;4,"",ROUND(F83*Settings!$B$4+H83*Settings!$B$5+J83*Settings!$B$6+L83*Settings!$B$7,2))</f>
        <v/>
      </c>
      <c r="O83" s="21"/>
      <c r="P83" s="21"/>
      <c r="Q83" s="22" t="str">
        <f aca="false">IF(OR(O83="",P83="",O83=0),"",(P83-O83)/O83)</f>
        <v/>
      </c>
      <c r="R83" s="18"/>
      <c r="S83" s="18"/>
      <c r="T83" s="23" t="str">
        <f aca="false">IF(OR(R83="",S83=""),"",S83-R83)</f>
        <v/>
      </c>
      <c r="U83" s="24" t="str">
        <f aca="false">IF(T83="","",IF(T83&lt;=0,"Yes","No"))</f>
        <v/>
      </c>
      <c r="V83" s="2"/>
    </row>
    <row r="84" customFormat="false" ht="14.25" hidden="false" customHeight="false" outlineLevel="0" collapsed="false">
      <c r="A84" s="18"/>
      <c r="B84" s="2"/>
      <c r="C84" s="2"/>
      <c r="D84" s="2"/>
      <c r="E84" s="2"/>
      <c r="F84" s="19"/>
      <c r="G84" s="2"/>
      <c r="H84" s="19"/>
      <c r="I84" s="2"/>
      <c r="J84" s="19"/>
      <c r="K84" s="2"/>
      <c r="L84" s="19"/>
      <c r="M84" s="2"/>
      <c r="N84" s="20" t="str">
        <f aca="false">IF(COUNT(F84,H84,J84,L84)&lt;4,"",ROUND(F84*Settings!$B$4+H84*Settings!$B$5+J84*Settings!$B$6+L84*Settings!$B$7,2))</f>
        <v/>
      </c>
      <c r="O84" s="21"/>
      <c r="P84" s="21"/>
      <c r="Q84" s="22" t="str">
        <f aca="false">IF(OR(O84="",P84="",O84=0),"",(P84-O84)/O84)</f>
        <v/>
      </c>
      <c r="R84" s="18"/>
      <c r="S84" s="18"/>
      <c r="T84" s="23" t="str">
        <f aca="false">IF(OR(R84="",S84=""),"",S84-R84)</f>
        <v/>
      </c>
      <c r="U84" s="24" t="str">
        <f aca="false">IF(T84="","",IF(T84&lt;=0,"Yes","No"))</f>
        <v/>
      </c>
      <c r="V84" s="2"/>
    </row>
    <row r="85" customFormat="false" ht="14.25" hidden="false" customHeight="false" outlineLevel="0" collapsed="false">
      <c r="A85" s="18"/>
      <c r="B85" s="2"/>
      <c r="C85" s="2"/>
      <c r="D85" s="2"/>
      <c r="E85" s="2"/>
      <c r="F85" s="19"/>
      <c r="G85" s="2"/>
      <c r="H85" s="19"/>
      <c r="I85" s="2"/>
      <c r="J85" s="19"/>
      <c r="K85" s="2"/>
      <c r="L85" s="19"/>
      <c r="M85" s="2"/>
      <c r="N85" s="20" t="str">
        <f aca="false">IF(COUNT(F85,H85,J85,L85)&lt;4,"",ROUND(F85*Settings!$B$4+H85*Settings!$B$5+J85*Settings!$B$6+L85*Settings!$B$7,2))</f>
        <v/>
      </c>
      <c r="O85" s="21"/>
      <c r="P85" s="21"/>
      <c r="Q85" s="22" t="str">
        <f aca="false">IF(OR(O85="",P85="",O85=0),"",(P85-O85)/O85)</f>
        <v/>
      </c>
      <c r="R85" s="18"/>
      <c r="S85" s="18"/>
      <c r="T85" s="23" t="str">
        <f aca="false">IF(OR(R85="",S85=""),"",S85-R85)</f>
        <v/>
      </c>
      <c r="U85" s="24" t="str">
        <f aca="false">IF(T85="","",IF(T85&lt;=0,"Yes","No"))</f>
        <v/>
      </c>
      <c r="V85" s="2"/>
    </row>
    <row r="86" customFormat="false" ht="14.25" hidden="false" customHeight="false" outlineLevel="0" collapsed="false">
      <c r="A86" s="18"/>
      <c r="B86" s="2"/>
      <c r="C86" s="2"/>
      <c r="D86" s="2"/>
      <c r="E86" s="2"/>
      <c r="F86" s="19"/>
      <c r="G86" s="2"/>
      <c r="H86" s="19"/>
      <c r="I86" s="2"/>
      <c r="J86" s="19"/>
      <c r="K86" s="2"/>
      <c r="L86" s="19"/>
      <c r="M86" s="2"/>
      <c r="N86" s="20" t="str">
        <f aca="false">IF(COUNT(F86,H86,J86,L86)&lt;4,"",ROUND(F86*Settings!$B$4+H86*Settings!$B$5+J86*Settings!$B$6+L86*Settings!$B$7,2))</f>
        <v/>
      </c>
      <c r="O86" s="21"/>
      <c r="P86" s="21"/>
      <c r="Q86" s="22" t="str">
        <f aca="false">IF(OR(O86="",P86="",O86=0),"",(P86-O86)/O86)</f>
        <v/>
      </c>
      <c r="R86" s="18"/>
      <c r="S86" s="18"/>
      <c r="T86" s="23" t="str">
        <f aca="false">IF(OR(R86="",S86=""),"",S86-R86)</f>
        <v/>
      </c>
      <c r="U86" s="24" t="str">
        <f aca="false">IF(T86="","",IF(T86&lt;=0,"Yes","No"))</f>
        <v/>
      </c>
      <c r="V86" s="2"/>
    </row>
    <row r="87" customFormat="false" ht="14.25" hidden="false" customHeight="false" outlineLevel="0" collapsed="false">
      <c r="A87" s="18"/>
      <c r="B87" s="2"/>
      <c r="C87" s="2"/>
      <c r="D87" s="2"/>
      <c r="E87" s="2"/>
      <c r="F87" s="19"/>
      <c r="G87" s="2"/>
      <c r="H87" s="19"/>
      <c r="I87" s="2"/>
      <c r="J87" s="19"/>
      <c r="K87" s="2"/>
      <c r="L87" s="19"/>
      <c r="M87" s="2"/>
      <c r="N87" s="20" t="str">
        <f aca="false">IF(COUNT(F87,H87,J87,L87)&lt;4,"",ROUND(F87*Settings!$B$4+H87*Settings!$B$5+J87*Settings!$B$6+L87*Settings!$B$7,2))</f>
        <v/>
      </c>
      <c r="O87" s="21"/>
      <c r="P87" s="21"/>
      <c r="Q87" s="22" t="str">
        <f aca="false">IF(OR(O87="",P87="",O87=0),"",(P87-O87)/O87)</f>
        <v/>
      </c>
      <c r="R87" s="18"/>
      <c r="S87" s="18"/>
      <c r="T87" s="23" t="str">
        <f aca="false">IF(OR(R87="",S87=""),"",S87-R87)</f>
        <v/>
      </c>
      <c r="U87" s="24" t="str">
        <f aca="false">IF(T87="","",IF(T87&lt;=0,"Yes","No"))</f>
        <v/>
      </c>
      <c r="V87" s="2"/>
    </row>
    <row r="88" customFormat="false" ht="14.25" hidden="false" customHeight="false" outlineLevel="0" collapsed="false">
      <c r="A88" s="18"/>
      <c r="B88" s="2"/>
      <c r="C88" s="2"/>
      <c r="D88" s="2"/>
      <c r="E88" s="2"/>
      <c r="F88" s="19"/>
      <c r="G88" s="2"/>
      <c r="H88" s="19"/>
      <c r="I88" s="2"/>
      <c r="J88" s="19"/>
      <c r="K88" s="2"/>
      <c r="L88" s="19"/>
      <c r="M88" s="2"/>
      <c r="N88" s="20" t="str">
        <f aca="false">IF(COUNT(F88,H88,J88,L88)&lt;4,"",ROUND(F88*Settings!$B$4+H88*Settings!$B$5+J88*Settings!$B$6+L88*Settings!$B$7,2))</f>
        <v/>
      </c>
      <c r="O88" s="21"/>
      <c r="P88" s="21"/>
      <c r="Q88" s="22" t="str">
        <f aca="false">IF(OR(O88="",P88="",O88=0),"",(P88-O88)/O88)</f>
        <v/>
      </c>
      <c r="R88" s="18"/>
      <c r="S88" s="18"/>
      <c r="T88" s="23" t="str">
        <f aca="false">IF(OR(R88="",S88=""),"",S88-R88)</f>
        <v/>
      </c>
      <c r="U88" s="24" t="str">
        <f aca="false">IF(T88="","",IF(T88&lt;=0,"Yes","No"))</f>
        <v/>
      </c>
      <c r="V88" s="2"/>
    </row>
    <row r="89" customFormat="false" ht="14.25" hidden="false" customHeight="false" outlineLevel="0" collapsed="false">
      <c r="A89" s="18"/>
      <c r="B89" s="2"/>
      <c r="C89" s="2"/>
      <c r="D89" s="2"/>
      <c r="E89" s="2"/>
      <c r="F89" s="19"/>
      <c r="G89" s="2"/>
      <c r="H89" s="19"/>
      <c r="I89" s="2"/>
      <c r="J89" s="19"/>
      <c r="K89" s="2"/>
      <c r="L89" s="19"/>
      <c r="M89" s="2"/>
      <c r="N89" s="20" t="str">
        <f aca="false">IF(COUNT(F89,H89,J89,L89)&lt;4,"",ROUND(F89*Settings!$B$4+H89*Settings!$B$5+J89*Settings!$B$6+L89*Settings!$B$7,2))</f>
        <v/>
      </c>
      <c r="O89" s="21"/>
      <c r="P89" s="21"/>
      <c r="Q89" s="22" t="str">
        <f aca="false">IF(OR(O89="",P89="",O89=0),"",(P89-O89)/O89)</f>
        <v/>
      </c>
      <c r="R89" s="18"/>
      <c r="S89" s="18"/>
      <c r="T89" s="23" t="str">
        <f aca="false">IF(OR(R89="",S89=""),"",S89-R89)</f>
        <v/>
      </c>
      <c r="U89" s="24" t="str">
        <f aca="false">IF(T89="","",IF(T89&lt;=0,"Yes","No"))</f>
        <v/>
      </c>
      <c r="V89" s="2"/>
    </row>
    <row r="90" customFormat="false" ht="14.25" hidden="false" customHeight="false" outlineLevel="0" collapsed="false">
      <c r="A90" s="18"/>
      <c r="B90" s="2"/>
      <c r="C90" s="2"/>
      <c r="D90" s="2"/>
      <c r="E90" s="2"/>
      <c r="F90" s="19"/>
      <c r="G90" s="2"/>
      <c r="H90" s="19"/>
      <c r="I90" s="2"/>
      <c r="J90" s="19"/>
      <c r="K90" s="2"/>
      <c r="L90" s="19"/>
      <c r="M90" s="2"/>
      <c r="N90" s="20" t="str">
        <f aca="false">IF(COUNT(F90,H90,J90,L90)&lt;4,"",ROUND(F90*Settings!$B$4+H90*Settings!$B$5+J90*Settings!$B$6+L90*Settings!$B$7,2))</f>
        <v/>
      </c>
      <c r="O90" s="21"/>
      <c r="P90" s="21"/>
      <c r="Q90" s="22" t="str">
        <f aca="false">IF(OR(O90="",P90="",O90=0),"",(P90-O90)/O90)</f>
        <v/>
      </c>
      <c r="R90" s="18"/>
      <c r="S90" s="18"/>
      <c r="T90" s="23" t="str">
        <f aca="false">IF(OR(R90="",S90=""),"",S90-R90)</f>
        <v/>
      </c>
      <c r="U90" s="24" t="str">
        <f aca="false">IF(T90="","",IF(T90&lt;=0,"Yes","No"))</f>
        <v/>
      </c>
      <c r="V90" s="2"/>
    </row>
    <row r="91" customFormat="false" ht="14.25" hidden="false" customHeight="false" outlineLevel="0" collapsed="false">
      <c r="A91" s="18"/>
      <c r="B91" s="2"/>
      <c r="C91" s="2"/>
      <c r="D91" s="2"/>
      <c r="E91" s="2"/>
      <c r="F91" s="19"/>
      <c r="G91" s="2"/>
      <c r="H91" s="19"/>
      <c r="I91" s="2"/>
      <c r="J91" s="19"/>
      <c r="K91" s="2"/>
      <c r="L91" s="19"/>
      <c r="M91" s="2"/>
      <c r="N91" s="20" t="str">
        <f aca="false">IF(COUNT(F91,H91,J91,L91)&lt;4,"",ROUND(F91*Settings!$B$4+H91*Settings!$B$5+J91*Settings!$B$6+L91*Settings!$B$7,2))</f>
        <v/>
      </c>
      <c r="O91" s="21"/>
      <c r="P91" s="21"/>
      <c r="Q91" s="22" t="str">
        <f aca="false">IF(OR(O91="",P91="",O91=0),"",(P91-O91)/O91)</f>
        <v/>
      </c>
      <c r="R91" s="18"/>
      <c r="S91" s="18"/>
      <c r="T91" s="23" t="str">
        <f aca="false">IF(OR(R91="",S91=""),"",S91-R91)</f>
        <v/>
      </c>
      <c r="U91" s="24" t="str">
        <f aca="false">IF(T91="","",IF(T91&lt;=0,"Yes","No"))</f>
        <v/>
      </c>
      <c r="V91" s="2"/>
    </row>
    <row r="92" customFormat="false" ht="14.25" hidden="false" customHeight="false" outlineLevel="0" collapsed="false">
      <c r="A92" s="18"/>
      <c r="B92" s="2"/>
      <c r="C92" s="2"/>
      <c r="D92" s="2"/>
      <c r="E92" s="2"/>
      <c r="F92" s="19"/>
      <c r="G92" s="2"/>
      <c r="H92" s="19"/>
      <c r="I92" s="2"/>
      <c r="J92" s="19"/>
      <c r="K92" s="2"/>
      <c r="L92" s="19"/>
      <c r="M92" s="2"/>
      <c r="N92" s="20" t="str">
        <f aca="false">IF(COUNT(F92,H92,J92,L92)&lt;4,"",ROUND(F92*Settings!$B$4+H92*Settings!$B$5+J92*Settings!$B$6+L92*Settings!$B$7,2))</f>
        <v/>
      </c>
      <c r="O92" s="21"/>
      <c r="P92" s="21"/>
      <c r="Q92" s="22" t="str">
        <f aca="false">IF(OR(O92="",P92="",O92=0),"",(P92-O92)/O92)</f>
        <v/>
      </c>
      <c r="R92" s="18"/>
      <c r="S92" s="18"/>
      <c r="T92" s="23" t="str">
        <f aca="false">IF(OR(R92="",S92=""),"",S92-R92)</f>
        <v/>
      </c>
      <c r="U92" s="24" t="str">
        <f aca="false">IF(T92="","",IF(T92&lt;=0,"Yes","No"))</f>
        <v/>
      </c>
      <c r="V92" s="2"/>
    </row>
    <row r="93" customFormat="false" ht="14.25" hidden="false" customHeight="false" outlineLevel="0" collapsed="false">
      <c r="A93" s="18"/>
      <c r="B93" s="2"/>
      <c r="C93" s="2"/>
      <c r="D93" s="2"/>
      <c r="E93" s="2"/>
      <c r="F93" s="19"/>
      <c r="G93" s="2"/>
      <c r="H93" s="19"/>
      <c r="I93" s="2"/>
      <c r="J93" s="19"/>
      <c r="K93" s="2"/>
      <c r="L93" s="19"/>
      <c r="M93" s="2"/>
      <c r="N93" s="20" t="str">
        <f aca="false">IF(COUNT(F93,H93,J93,L93)&lt;4,"",ROUND(F93*Settings!$B$4+H93*Settings!$B$5+J93*Settings!$B$6+L93*Settings!$B$7,2))</f>
        <v/>
      </c>
      <c r="O93" s="21"/>
      <c r="P93" s="21"/>
      <c r="Q93" s="22" t="str">
        <f aca="false">IF(OR(O93="",P93="",O93=0),"",(P93-O93)/O93)</f>
        <v/>
      </c>
      <c r="R93" s="18"/>
      <c r="S93" s="18"/>
      <c r="T93" s="23" t="str">
        <f aca="false">IF(OR(R93="",S93=""),"",S93-R93)</f>
        <v/>
      </c>
      <c r="U93" s="24" t="str">
        <f aca="false">IF(T93="","",IF(T93&lt;=0,"Yes","No"))</f>
        <v/>
      </c>
      <c r="V93" s="2"/>
    </row>
    <row r="94" customFormat="false" ht="14.25" hidden="false" customHeight="false" outlineLevel="0" collapsed="false">
      <c r="A94" s="18"/>
      <c r="B94" s="2"/>
      <c r="C94" s="2"/>
      <c r="D94" s="2"/>
      <c r="E94" s="2"/>
      <c r="F94" s="19"/>
      <c r="G94" s="2"/>
      <c r="H94" s="19"/>
      <c r="I94" s="2"/>
      <c r="J94" s="19"/>
      <c r="K94" s="2"/>
      <c r="L94" s="19"/>
      <c r="M94" s="2"/>
      <c r="N94" s="20" t="str">
        <f aca="false">IF(COUNT(F94,H94,J94,L94)&lt;4,"",ROUND(F94*Settings!$B$4+H94*Settings!$B$5+J94*Settings!$B$6+L94*Settings!$B$7,2))</f>
        <v/>
      </c>
      <c r="O94" s="21"/>
      <c r="P94" s="21"/>
      <c r="Q94" s="22" t="str">
        <f aca="false">IF(OR(O94="",P94="",O94=0),"",(P94-O94)/O94)</f>
        <v/>
      </c>
      <c r="R94" s="18"/>
      <c r="S94" s="18"/>
      <c r="T94" s="23" t="str">
        <f aca="false">IF(OR(R94="",S94=""),"",S94-R94)</f>
        <v/>
      </c>
      <c r="U94" s="24" t="str">
        <f aca="false">IF(T94="","",IF(T94&lt;=0,"Yes","No"))</f>
        <v/>
      </c>
      <c r="V94" s="2"/>
    </row>
    <row r="95" customFormat="false" ht="14.25" hidden="false" customHeight="false" outlineLevel="0" collapsed="false">
      <c r="A95" s="18"/>
      <c r="B95" s="2"/>
      <c r="C95" s="2"/>
      <c r="D95" s="2"/>
      <c r="E95" s="2"/>
      <c r="F95" s="19"/>
      <c r="G95" s="2"/>
      <c r="H95" s="19"/>
      <c r="I95" s="2"/>
      <c r="J95" s="19"/>
      <c r="K95" s="2"/>
      <c r="L95" s="19"/>
      <c r="M95" s="2"/>
      <c r="N95" s="20" t="str">
        <f aca="false">IF(COUNT(F95,H95,J95,L95)&lt;4,"",ROUND(F95*Settings!$B$4+H95*Settings!$B$5+J95*Settings!$B$6+L95*Settings!$B$7,2))</f>
        <v/>
      </c>
      <c r="O95" s="21"/>
      <c r="P95" s="21"/>
      <c r="Q95" s="22" t="str">
        <f aca="false">IF(OR(O95="",P95="",O95=0),"",(P95-O95)/O95)</f>
        <v/>
      </c>
      <c r="R95" s="18"/>
      <c r="S95" s="18"/>
      <c r="T95" s="23" t="str">
        <f aca="false">IF(OR(R95="",S95=""),"",S95-R95)</f>
        <v/>
      </c>
      <c r="U95" s="24" t="str">
        <f aca="false">IF(T95="","",IF(T95&lt;=0,"Yes","No"))</f>
        <v/>
      </c>
      <c r="V95" s="2"/>
    </row>
    <row r="96" customFormat="false" ht="14.25" hidden="false" customHeight="false" outlineLevel="0" collapsed="false">
      <c r="A96" s="18"/>
      <c r="B96" s="2"/>
      <c r="C96" s="2"/>
      <c r="D96" s="2"/>
      <c r="E96" s="2"/>
      <c r="F96" s="19"/>
      <c r="G96" s="2"/>
      <c r="H96" s="19"/>
      <c r="I96" s="2"/>
      <c r="J96" s="19"/>
      <c r="K96" s="2"/>
      <c r="L96" s="19"/>
      <c r="M96" s="2"/>
      <c r="N96" s="20" t="str">
        <f aca="false">IF(COUNT(F96,H96,J96,L96)&lt;4,"",ROUND(F96*Settings!$B$4+H96*Settings!$B$5+J96*Settings!$B$6+L96*Settings!$B$7,2))</f>
        <v/>
      </c>
      <c r="O96" s="21"/>
      <c r="P96" s="21"/>
      <c r="Q96" s="22" t="str">
        <f aca="false">IF(OR(O96="",P96="",O96=0),"",(P96-O96)/O96)</f>
        <v/>
      </c>
      <c r="R96" s="18"/>
      <c r="S96" s="18"/>
      <c r="T96" s="23" t="str">
        <f aca="false">IF(OR(R96="",S96=""),"",S96-R96)</f>
        <v/>
      </c>
      <c r="U96" s="24" t="str">
        <f aca="false">IF(T96="","",IF(T96&lt;=0,"Yes","No"))</f>
        <v/>
      </c>
      <c r="V96" s="2"/>
    </row>
    <row r="97" customFormat="false" ht="14.25" hidden="false" customHeight="false" outlineLevel="0" collapsed="false">
      <c r="A97" s="18"/>
      <c r="B97" s="2"/>
      <c r="C97" s="2"/>
      <c r="D97" s="2"/>
      <c r="E97" s="2"/>
      <c r="F97" s="19"/>
      <c r="G97" s="2"/>
      <c r="H97" s="19"/>
      <c r="I97" s="2"/>
      <c r="J97" s="19"/>
      <c r="K97" s="2"/>
      <c r="L97" s="19"/>
      <c r="M97" s="2"/>
      <c r="N97" s="20" t="str">
        <f aca="false">IF(COUNT(F97,H97,J97,L97)&lt;4,"",ROUND(F97*Settings!$B$4+H97*Settings!$B$5+J97*Settings!$B$6+L97*Settings!$B$7,2))</f>
        <v/>
      </c>
      <c r="O97" s="21"/>
      <c r="P97" s="21"/>
      <c r="Q97" s="22" t="str">
        <f aca="false">IF(OR(O97="",P97="",O97=0),"",(P97-O97)/O97)</f>
        <v/>
      </c>
      <c r="R97" s="18"/>
      <c r="S97" s="18"/>
      <c r="T97" s="23" t="str">
        <f aca="false">IF(OR(R97="",S97=""),"",S97-R97)</f>
        <v/>
      </c>
      <c r="U97" s="24" t="str">
        <f aca="false">IF(T97="","",IF(T97&lt;=0,"Yes","No"))</f>
        <v/>
      </c>
      <c r="V97" s="2"/>
    </row>
    <row r="98" customFormat="false" ht="14.25" hidden="false" customHeight="false" outlineLevel="0" collapsed="false">
      <c r="A98" s="18"/>
      <c r="B98" s="2"/>
      <c r="C98" s="2"/>
      <c r="D98" s="2"/>
      <c r="E98" s="2"/>
      <c r="F98" s="19"/>
      <c r="G98" s="2"/>
      <c r="H98" s="19"/>
      <c r="I98" s="2"/>
      <c r="J98" s="19"/>
      <c r="K98" s="2"/>
      <c r="L98" s="19"/>
      <c r="M98" s="2"/>
      <c r="N98" s="20" t="str">
        <f aca="false">IF(COUNT(F98,H98,J98,L98)&lt;4,"",ROUND(F98*Settings!$B$4+H98*Settings!$B$5+J98*Settings!$B$6+L98*Settings!$B$7,2))</f>
        <v/>
      </c>
      <c r="O98" s="21"/>
      <c r="P98" s="21"/>
      <c r="Q98" s="22" t="str">
        <f aca="false">IF(OR(O98="",P98="",O98=0),"",(P98-O98)/O98)</f>
        <v/>
      </c>
      <c r="R98" s="18"/>
      <c r="S98" s="18"/>
      <c r="T98" s="23" t="str">
        <f aca="false">IF(OR(R98="",S98=""),"",S98-R98)</f>
        <v/>
      </c>
      <c r="U98" s="24" t="str">
        <f aca="false">IF(T98="","",IF(T98&lt;=0,"Yes","No"))</f>
        <v/>
      </c>
      <c r="V98" s="2"/>
    </row>
    <row r="99" customFormat="false" ht="14.25" hidden="false" customHeight="false" outlineLevel="0" collapsed="false">
      <c r="A99" s="18"/>
      <c r="B99" s="2"/>
      <c r="C99" s="2"/>
      <c r="D99" s="2"/>
      <c r="E99" s="2"/>
      <c r="F99" s="19"/>
      <c r="G99" s="2"/>
      <c r="H99" s="19"/>
      <c r="I99" s="2"/>
      <c r="J99" s="19"/>
      <c r="K99" s="2"/>
      <c r="L99" s="19"/>
      <c r="M99" s="2"/>
      <c r="N99" s="20" t="str">
        <f aca="false">IF(COUNT(F99,H99,J99,L99)&lt;4,"",ROUND(F99*Settings!$B$4+H99*Settings!$B$5+J99*Settings!$B$6+L99*Settings!$B$7,2))</f>
        <v/>
      </c>
      <c r="O99" s="21"/>
      <c r="P99" s="21"/>
      <c r="Q99" s="22" t="str">
        <f aca="false">IF(OR(O99="",P99="",O99=0),"",(P99-O99)/O99)</f>
        <v/>
      </c>
      <c r="R99" s="18"/>
      <c r="S99" s="18"/>
      <c r="T99" s="23" t="str">
        <f aca="false">IF(OR(R99="",S99=""),"",S99-R99)</f>
        <v/>
      </c>
      <c r="U99" s="24" t="str">
        <f aca="false">IF(T99="","",IF(T99&lt;=0,"Yes","No"))</f>
        <v/>
      </c>
      <c r="V99" s="2"/>
    </row>
    <row r="100" customFormat="false" ht="14.25" hidden="false" customHeight="false" outlineLevel="0" collapsed="false">
      <c r="A100" s="18"/>
      <c r="B100" s="2"/>
      <c r="C100" s="2"/>
      <c r="D100" s="2"/>
      <c r="E100" s="2"/>
      <c r="F100" s="19"/>
      <c r="G100" s="2"/>
      <c r="H100" s="19"/>
      <c r="I100" s="2"/>
      <c r="J100" s="19"/>
      <c r="K100" s="2"/>
      <c r="L100" s="19"/>
      <c r="M100" s="2"/>
      <c r="N100" s="20" t="str">
        <f aca="false">IF(COUNT(F100,H100,J100,L100)&lt;4,"",ROUND(F100*Settings!$B$4+H100*Settings!$B$5+J100*Settings!$B$6+L100*Settings!$B$7,2))</f>
        <v/>
      </c>
      <c r="O100" s="21"/>
      <c r="P100" s="21"/>
      <c r="Q100" s="22" t="str">
        <f aca="false">IF(OR(O100="",P100="",O100=0),"",(P100-O100)/O100)</f>
        <v/>
      </c>
      <c r="R100" s="18"/>
      <c r="S100" s="18"/>
      <c r="T100" s="23" t="str">
        <f aca="false">IF(OR(R100="",S100=""),"",S100-R100)</f>
        <v/>
      </c>
      <c r="U100" s="24" t="str">
        <f aca="false">IF(T100="","",IF(T100&lt;=0,"Yes","No"))</f>
        <v/>
      </c>
      <c r="V100" s="2"/>
    </row>
    <row r="101" customFormat="false" ht="14.25" hidden="false" customHeight="false" outlineLevel="0" collapsed="false">
      <c r="A101" s="18"/>
      <c r="B101" s="2"/>
      <c r="C101" s="2"/>
      <c r="D101" s="2"/>
      <c r="E101" s="2"/>
      <c r="F101" s="19"/>
      <c r="G101" s="2"/>
      <c r="H101" s="19"/>
      <c r="I101" s="2"/>
      <c r="J101" s="19"/>
      <c r="K101" s="2"/>
      <c r="L101" s="19"/>
      <c r="M101" s="2"/>
      <c r="N101" s="20" t="str">
        <f aca="false">IF(COUNT(F101,H101,J101,L101)&lt;4,"",ROUND(F101*Settings!$B$4+H101*Settings!$B$5+J101*Settings!$B$6+L101*Settings!$B$7,2))</f>
        <v/>
      </c>
      <c r="O101" s="21"/>
      <c r="P101" s="21"/>
      <c r="Q101" s="22" t="str">
        <f aca="false">IF(OR(O101="",P101="",O101=0),"",(P101-O101)/O101)</f>
        <v/>
      </c>
      <c r="R101" s="18"/>
      <c r="S101" s="18"/>
      <c r="T101" s="23" t="str">
        <f aca="false">IF(OR(R101="",S101=""),"",S101-R101)</f>
        <v/>
      </c>
      <c r="U101" s="24" t="str">
        <f aca="false">IF(T101="","",IF(T101&lt;=0,"Yes","No"))</f>
        <v/>
      </c>
      <c r="V101" s="2"/>
    </row>
    <row r="102" customFormat="false" ht="14.25" hidden="false" customHeight="false" outlineLevel="0" collapsed="false">
      <c r="A102" s="18"/>
      <c r="B102" s="2"/>
      <c r="C102" s="2"/>
      <c r="D102" s="2"/>
      <c r="E102" s="2"/>
      <c r="F102" s="19"/>
      <c r="G102" s="2"/>
      <c r="H102" s="19"/>
      <c r="I102" s="2"/>
      <c r="J102" s="19"/>
      <c r="K102" s="2"/>
      <c r="L102" s="19"/>
      <c r="M102" s="2"/>
      <c r="N102" s="20" t="str">
        <f aca="false">IF(COUNT(F102,H102,J102,L102)&lt;4,"",ROUND(F102*Settings!$B$4+H102*Settings!$B$5+J102*Settings!$B$6+L102*Settings!$B$7,2))</f>
        <v/>
      </c>
      <c r="O102" s="21"/>
      <c r="P102" s="21"/>
      <c r="Q102" s="22" t="str">
        <f aca="false">IF(OR(O102="",P102="",O102=0),"",(P102-O102)/O102)</f>
        <v/>
      </c>
      <c r="R102" s="18"/>
      <c r="S102" s="18"/>
      <c r="T102" s="23" t="str">
        <f aca="false">IF(OR(R102="",S102=""),"",S102-R102)</f>
        <v/>
      </c>
      <c r="U102" s="24" t="str">
        <f aca="false">IF(T102="","",IF(T102&lt;=0,"Yes","No"))</f>
        <v/>
      </c>
      <c r="V102" s="2"/>
    </row>
    <row r="103" customFormat="false" ht="14.25" hidden="false" customHeight="false" outlineLevel="0" collapsed="false">
      <c r="A103" s="18"/>
      <c r="B103" s="2"/>
      <c r="C103" s="2"/>
      <c r="D103" s="2"/>
      <c r="E103" s="2"/>
      <c r="F103" s="19"/>
      <c r="G103" s="2"/>
      <c r="H103" s="19"/>
      <c r="I103" s="2"/>
      <c r="J103" s="19"/>
      <c r="K103" s="2"/>
      <c r="L103" s="19"/>
      <c r="M103" s="2"/>
      <c r="N103" s="20" t="str">
        <f aca="false">IF(COUNT(F103,H103,J103,L103)&lt;4,"",ROUND(F103*Settings!$B$4+H103*Settings!$B$5+J103*Settings!$B$6+L103*Settings!$B$7,2))</f>
        <v/>
      </c>
      <c r="O103" s="21"/>
      <c r="P103" s="21"/>
      <c r="Q103" s="22" t="str">
        <f aca="false">IF(OR(O103="",P103="",O103=0),"",(P103-O103)/O103)</f>
        <v/>
      </c>
      <c r="R103" s="18"/>
      <c r="S103" s="18"/>
      <c r="T103" s="23" t="str">
        <f aca="false">IF(OR(R103="",S103=""),"",S103-R103)</f>
        <v/>
      </c>
      <c r="U103" s="24" t="str">
        <f aca="false">IF(T103="","",IF(T103&lt;=0,"Yes","No"))</f>
        <v/>
      </c>
      <c r="V103" s="2"/>
    </row>
    <row r="104" customFormat="false" ht="14.25" hidden="false" customHeight="false" outlineLevel="0" collapsed="false">
      <c r="A104" s="18"/>
      <c r="B104" s="2"/>
      <c r="C104" s="2"/>
      <c r="D104" s="2"/>
      <c r="E104" s="2"/>
      <c r="F104" s="19"/>
      <c r="G104" s="2"/>
      <c r="H104" s="19"/>
      <c r="I104" s="2"/>
      <c r="J104" s="19"/>
      <c r="K104" s="2"/>
      <c r="L104" s="19"/>
      <c r="M104" s="2"/>
      <c r="N104" s="20" t="str">
        <f aca="false">IF(COUNT(F104,H104,J104,L104)&lt;4,"",ROUND(F104*Settings!$B$4+H104*Settings!$B$5+J104*Settings!$B$6+L104*Settings!$B$7,2))</f>
        <v/>
      </c>
      <c r="O104" s="21"/>
      <c r="P104" s="21"/>
      <c r="Q104" s="22" t="str">
        <f aca="false">IF(OR(O104="",P104="",O104=0),"",(P104-O104)/O104)</f>
        <v/>
      </c>
      <c r="R104" s="18"/>
      <c r="S104" s="18"/>
      <c r="T104" s="23" t="str">
        <f aca="false">IF(OR(R104="",S104=""),"",S104-R104)</f>
        <v/>
      </c>
      <c r="U104" s="24" t="str">
        <f aca="false">IF(T104="","",IF(T104&lt;=0,"Yes","No"))</f>
        <v/>
      </c>
      <c r="V104" s="2"/>
    </row>
    <row r="105" customFormat="false" ht="14.25" hidden="false" customHeight="false" outlineLevel="0" collapsed="false">
      <c r="A105" s="18"/>
      <c r="B105" s="2"/>
      <c r="C105" s="2"/>
      <c r="D105" s="2"/>
      <c r="E105" s="2"/>
      <c r="F105" s="19"/>
      <c r="G105" s="2"/>
      <c r="H105" s="19"/>
      <c r="I105" s="2"/>
      <c r="J105" s="19"/>
      <c r="K105" s="2"/>
      <c r="L105" s="19"/>
      <c r="M105" s="2"/>
      <c r="N105" s="20" t="str">
        <f aca="false">IF(COUNT(F105,H105,J105,L105)&lt;4,"",ROUND(F105*Settings!$B$4+H105*Settings!$B$5+J105*Settings!$B$6+L105*Settings!$B$7,2))</f>
        <v/>
      </c>
      <c r="O105" s="21"/>
      <c r="P105" s="21"/>
      <c r="Q105" s="22" t="str">
        <f aca="false">IF(OR(O105="",P105="",O105=0),"",(P105-O105)/O105)</f>
        <v/>
      </c>
      <c r="R105" s="18"/>
      <c r="S105" s="18"/>
      <c r="T105" s="23" t="str">
        <f aca="false">IF(OR(R105="",S105=""),"",S105-R105)</f>
        <v/>
      </c>
      <c r="U105" s="24" t="str">
        <f aca="false">IF(T105="","",IF(T105&lt;=0,"Yes","No"))</f>
        <v/>
      </c>
      <c r="V105" s="2"/>
    </row>
    <row r="106" customFormat="false" ht="14.25" hidden="false" customHeight="false" outlineLevel="0" collapsed="false">
      <c r="A106" s="18"/>
      <c r="B106" s="2"/>
      <c r="C106" s="2"/>
      <c r="D106" s="2"/>
      <c r="E106" s="2"/>
      <c r="F106" s="19"/>
      <c r="G106" s="2"/>
      <c r="H106" s="19"/>
      <c r="I106" s="2"/>
      <c r="J106" s="19"/>
      <c r="K106" s="2"/>
      <c r="L106" s="19"/>
      <c r="M106" s="2"/>
      <c r="N106" s="20" t="str">
        <f aca="false">IF(COUNT(F106,H106,J106,L106)&lt;4,"",ROUND(F106*Settings!$B$4+H106*Settings!$B$5+J106*Settings!$B$6+L106*Settings!$B$7,2))</f>
        <v/>
      </c>
      <c r="O106" s="21"/>
      <c r="P106" s="21"/>
      <c r="Q106" s="22" t="str">
        <f aca="false">IF(OR(O106="",P106="",O106=0),"",(P106-O106)/O106)</f>
        <v/>
      </c>
      <c r="R106" s="18"/>
      <c r="S106" s="18"/>
      <c r="T106" s="23" t="str">
        <f aca="false">IF(OR(R106="",S106=""),"",S106-R106)</f>
        <v/>
      </c>
      <c r="U106" s="24" t="str">
        <f aca="false">IF(T106="","",IF(T106&lt;=0,"Yes","No"))</f>
        <v/>
      </c>
      <c r="V106" s="2"/>
    </row>
    <row r="107" customFormat="false" ht="14.25" hidden="false" customHeight="false" outlineLevel="0" collapsed="false">
      <c r="A107" s="18"/>
      <c r="B107" s="2"/>
      <c r="C107" s="2"/>
      <c r="D107" s="2"/>
      <c r="E107" s="2"/>
      <c r="F107" s="19"/>
      <c r="G107" s="2"/>
      <c r="H107" s="19"/>
      <c r="I107" s="2"/>
      <c r="J107" s="19"/>
      <c r="K107" s="2"/>
      <c r="L107" s="19"/>
      <c r="M107" s="2"/>
      <c r="N107" s="20" t="str">
        <f aca="false">IF(COUNT(F107,H107,J107,L107)&lt;4,"",ROUND(F107*Settings!$B$4+H107*Settings!$B$5+J107*Settings!$B$6+L107*Settings!$B$7,2))</f>
        <v/>
      </c>
      <c r="O107" s="21"/>
      <c r="P107" s="21"/>
      <c r="Q107" s="22" t="str">
        <f aca="false">IF(OR(O107="",P107="",O107=0),"",(P107-O107)/O107)</f>
        <v/>
      </c>
      <c r="R107" s="18"/>
      <c r="S107" s="18"/>
      <c r="T107" s="23" t="str">
        <f aca="false">IF(OR(R107="",S107=""),"",S107-R107)</f>
        <v/>
      </c>
      <c r="U107" s="24" t="str">
        <f aca="false">IF(T107="","",IF(T107&lt;=0,"Yes","No"))</f>
        <v/>
      </c>
      <c r="V107" s="2"/>
    </row>
    <row r="108" customFormat="false" ht="14.25" hidden="false" customHeight="false" outlineLevel="0" collapsed="false">
      <c r="A108" s="18"/>
      <c r="B108" s="2"/>
      <c r="C108" s="2"/>
      <c r="D108" s="2"/>
      <c r="E108" s="2"/>
      <c r="F108" s="19"/>
      <c r="G108" s="2"/>
      <c r="H108" s="19"/>
      <c r="I108" s="2"/>
      <c r="J108" s="19"/>
      <c r="K108" s="2"/>
      <c r="L108" s="19"/>
      <c r="M108" s="2"/>
      <c r="N108" s="20" t="str">
        <f aca="false">IF(COUNT(F108,H108,J108,L108)&lt;4,"",ROUND(F108*Settings!$B$4+H108*Settings!$B$5+J108*Settings!$B$6+L108*Settings!$B$7,2))</f>
        <v/>
      </c>
      <c r="O108" s="21"/>
      <c r="P108" s="21"/>
      <c r="Q108" s="22" t="str">
        <f aca="false">IF(OR(O108="",P108="",O108=0),"",(P108-O108)/O108)</f>
        <v/>
      </c>
      <c r="R108" s="18"/>
      <c r="S108" s="18"/>
      <c r="T108" s="23" t="str">
        <f aca="false">IF(OR(R108="",S108=""),"",S108-R108)</f>
        <v/>
      </c>
      <c r="U108" s="24" t="str">
        <f aca="false">IF(T108="","",IF(T108&lt;=0,"Yes","No"))</f>
        <v/>
      </c>
      <c r="V108" s="2"/>
    </row>
    <row r="109" customFormat="false" ht="14.25" hidden="false" customHeight="false" outlineLevel="0" collapsed="false">
      <c r="A109" s="18"/>
      <c r="B109" s="2"/>
      <c r="C109" s="2"/>
      <c r="D109" s="2"/>
      <c r="E109" s="2"/>
      <c r="F109" s="19"/>
      <c r="G109" s="2"/>
      <c r="H109" s="19"/>
      <c r="I109" s="2"/>
      <c r="J109" s="19"/>
      <c r="K109" s="2"/>
      <c r="L109" s="19"/>
      <c r="M109" s="2"/>
      <c r="N109" s="20" t="str">
        <f aca="false">IF(COUNT(F109,H109,J109,L109)&lt;4,"",ROUND(F109*Settings!$B$4+H109*Settings!$B$5+J109*Settings!$B$6+L109*Settings!$B$7,2))</f>
        <v/>
      </c>
      <c r="O109" s="21"/>
      <c r="P109" s="21"/>
      <c r="Q109" s="22" t="str">
        <f aca="false">IF(OR(O109="",P109="",O109=0),"",(P109-O109)/O109)</f>
        <v/>
      </c>
      <c r="R109" s="18"/>
      <c r="S109" s="18"/>
      <c r="T109" s="23" t="str">
        <f aca="false">IF(OR(R109="",S109=""),"",S109-R109)</f>
        <v/>
      </c>
      <c r="U109" s="24" t="str">
        <f aca="false">IF(T109="","",IF(T109&lt;=0,"Yes","No"))</f>
        <v/>
      </c>
      <c r="V109" s="2"/>
    </row>
    <row r="110" customFormat="false" ht="14.25" hidden="false" customHeight="false" outlineLevel="0" collapsed="false">
      <c r="A110" s="18"/>
      <c r="B110" s="2"/>
      <c r="C110" s="2"/>
      <c r="D110" s="2"/>
      <c r="E110" s="2"/>
      <c r="F110" s="19"/>
      <c r="G110" s="2"/>
      <c r="H110" s="19"/>
      <c r="I110" s="2"/>
      <c r="J110" s="19"/>
      <c r="K110" s="2"/>
      <c r="L110" s="19"/>
      <c r="M110" s="2"/>
      <c r="N110" s="20" t="str">
        <f aca="false">IF(COUNT(F110,H110,J110,L110)&lt;4,"",ROUND(F110*Settings!$B$4+H110*Settings!$B$5+J110*Settings!$B$6+L110*Settings!$B$7,2))</f>
        <v/>
      </c>
      <c r="O110" s="21"/>
      <c r="P110" s="21"/>
      <c r="Q110" s="22" t="str">
        <f aca="false">IF(OR(O110="",P110="",O110=0),"",(P110-O110)/O110)</f>
        <v/>
      </c>
      <c r="R110" s="18"/>
      <c r="S110" s="18"/>
      <c r="T110" s="23" t="str">
        <f aca="false">IF(OR(R110="",S110=""),"",S110-R110)</f>
        <v/>
      </c>
      <c r="U110" s="24" t="str">
        <f aca="false">IF(T110="","",IF(T110&lt;=0,"Yes","No"))</f>
        <v/>
      </c>
      <c r="V110" s="2"/>
    </row>
    <row r="111" customFormat="false" ht="14.25" hidden="false" customHeight="false" outlineLevel="0" collapsed="false">
      <c r="A111" s="18"/>
      <c r="B111" s="2"/>
      <c r="C111" s="2"/>
      <c r="D111" s="2"/>
      <c r="E111" s="2"/>
      <c r="F111" s="19"/>
      <c r="G111" s="2"/>
      <c r="H111" s="19"/>
      <c r="I111" s="2"/>
      <c r="J111" s="19"/>
      <c r="K111" s="2"/>
      <c r="L111" s="19"/>
      <c r="M111" s="2"/>
      <c r="N111" s="20" t="str">
        <f aca="false">IF(COUNT(F111,H111,J111,L111)&lt;4,"",ROUND(F111*Settings!$B$4+H111*Settings!$B$5+J111*Settings!$B$6+L111*Settings!$B$7,2))</f>
        <v/>
      </c>
      <c r="O111" s="21"/>
      <c r="P111" s="21"/>
      <c r="Q111" s="22" t="str">
        <f aca="false">IF(OR(O111="",P111="",O111=0),"",(P111-O111)/O111)</f>
        <v/>
      </c>
      <c r="R111" s="18"/>
      <c r="S111" s="18"/>
      <c r="T111" s="23" t="str">
        <f aca="false">IF(OR(R111="",S111=""),"",S111-R111)</f>
        <v/>
      </c>
      <c r="U111" s="24" t="str">
        <f aca="false">IF(T111="","",IF(T111&lt;=0,"Yes","No"))</f>
        <v/>
      </c>
      <c r="V111" s="2"/>
    </row>
    <row r="112" customFormat="false" ht="14.25" hidden="false" customHeight="false" outlineLevel="0" collapsed="false">
      <c r="A112" s="18"/>
      <c r="B112" s="2"/>
      <c r="C112" s="2"/>
      <c r="D112" s="2"/>
      <c r="E112" s="2"/>
      <c r="F112" s="19"/>
      <c r="G112" s="2"/>
      <c r="H112" s="19"/>
      <c r="I112" s="2"/>
      <c r="J112" s="19"/>
      <c r="K112" s="2"/>
      <c r="L112" s="19"/>
      <c r="M112" s="2"/>
      <c r="N112" s="20" t="str">
        <f aca="false">IF(COUNT(F112,H112,J112,L112)&lt;4,"",ROUND(F112*Settings!$B$4+H112*Settings!$B$5+J112*Settings!$B$6+L112*Settings!$B$7,2))</f>
        <v/>
      </c>
      <c r="O112" s="21"/>
      <c r="P112" s="21"/>
      <c r="Q112" s="22" t="str">
        <f aca="false">IF(OR(O112="",P112="",O112=0),"",(P112-O112)/O112)</f>
        <v/>
      </c>
      <c r="R112" s="18"/>
      <c r="S112" s="18"/>
      <c r="T112" s="23" t="str">
        <f aca="false">IF(OR(R112="",S112=""),"",S112-R112)</f>
        <v/>
      </c>
      <c r="U112" s="24" t="str">
        <f aca="false">IF(T112="","",IF(T112&lt;=0,"Yes","No"))</f>
        <v/>
      </c>
      <c r="V112" s="2"/>
    </row>
    <row r="113" customFormat="false" ht="14.25" hidden="false" customHeight="false" outlineLevel="0" collapsed="false">
      <c r="A113" s="18"/>
      <c r="B113" s="2"/>
      <c r="C113" s="2"/>
      <c r="D113" s="2"/>
      <c r="E113" s="2"/>
      <c r="F113" s="19"/>
      <c r="G113" s="2"/>
      <c r="H113" s="19"/>
      <c r="I113" s="2"/>
      <c r="J113" s="19"/>
      <c r="K113" s="2"/>
      <c r="L113" s="19"/>
      <c r="M113" s="2"/>
      <c r="N113" s="20" t="str">
        <f aca="false">IF(COUNT(F113,H113,J113,L113)&lt;4,"",ROUND(F113*Settings!$B$4+H113*Settings!$B$5+J113*Settings!$B$6+L113*Settings!$B$7,2))</f>
        <v/>
      </c>
      <c r="O113" s="21"/>
      <c r="P113" s="21"/>
      <c r="Q113" s="22" t="str">
        <f aca="false">IF(OR(O113="",P113="",O113=0),"",(P113-O113)/O113)</f>
        <v/>
      </c>
      <c r="R113" s="18"/>
      <c r="S113" s="18"/>
      <c r="T113" s="23" t="str">
        <f aca="false">IF(OR(R113="",S113=""),"",S113-R113)</f>
        <v/>
      </c>
      <c r="U113" s="24" t="str">
        <f aca="false">IF(T113="","",IF(T113&lt;=0,"Yes","No"))</f>
        <v/>
      </c>
      <c r="V113" s="2"/>
    </row>
    <row r="114" customFormat="false" ht="14.25" hidden="false" customHeight="false" outlineLevel="0" collapsed="false">
      <c r="A114" s="18"/>
      <c r="B114" s="2"/>
      <c r="C114" s="2"/>
      <c r="D114" s="2"/>
      <c r="E114" s="2"/>
      <c r="F114" s="19"/>
      <c r="G114" s="2"/>
      <c r="H114" s="19"/>
      <c r="I114" s="2"/>
      <c r="J114" s="19"/>
      <c r="K114" s="2"/>
      <c r="L114" s="19"/>
      <c r="M114" s="2"/>
      <c r="N114" s="20" t="str">
        <f aca="false">IF(COUNT(F114,H114,J114,L114)&lt;4,"",ROUND(F114*Settings!$B$4+H114*Settings!$B$5+J114*Settings!$B$6+L114*Settings!$B$7,2))</f>
        <v/>
      </c>
      <c r="O114" s="21"/>
      <c r="P114" s="21"/>
      <c r="Q114" s="22" t="str">
        <f aca="false">IF(OR(O114="",P114="",O114=0),"",(P114-O114)/O114)</f>
        <v/>
      </c>
      <c r="R114" s="18"/>
      <c r="S114" s="18"/>
      <c r="T114" s="23" t="str">
        <f aca="false">IF(OR(R114="",S114=""),"",S114-R114)</f>
        <v/>
      </c>
      <c r="U114" s="24" t="str">
        <f aca="false">IF(T114="","",IF(T114&lt;=0,"Yes","No"))</f>
        <v/>
      </c>
      <c r="V114" s="2"/>
    </row>
    <row r="115" customFormat="false" ht="14.25" hidden="false" customHeight="false" outlineLevel="0" collapsed="false">
      <c r="A115" s="18"/>
      <c r="B115" s="2"/>
      <c r="C115" s="2"/>
      <c r="D115" s="2"/>
      <c r="E115" s="2"/>
      <c r="F115" s="19"/>
      <c r="G115" s="2"/>
      <c r="H115" s="19"/>
      <c r="I115" s="2"/>
      <c r="J115" s="19"/>
      <c r="K115" s="2"/>
      <c r="L115" s="19"/>
      <c r="M115" s="2"/>
      <c r="N115" s="20" t="str">
        <f aca="false">IF(COUNT(F115,H115,J115,L115)&lt;4,"",ROUND(F115*Settings!$B$4+H115*Settings!$B$5+J115*Settings!$B$6+L115*Settings!$B$7,2))</f>
        <v/>
      </c>
      <c r="O115" s="21"/>
      <c r="P115" s="21"/>
      <c r="Q115" s="22" t="str">
        <f aca="false">IF(OR(O115="",P115="",O115=0),"",(P115-O115)/O115)</f>
        <v/>
      </c>
      <c r="R115" s="18"/>
      <c r="S115" s="18"/>
      <c r="T115" s="23" t="str">
        <f aca="false">IF(OR(R115="",S115=""),"",S115-R115)</f>
        <v/>
      </c>
      <c r="U115" s="24" t="str">
        <f aca="false">IF(T115="","",IF(T115&lt;=0,"Yes","No"))</f>
        <v/>
      </c>
      <c r="V115" s="2"/>
    </row>
    <row r="116" customFormat="false" ht="14.25" hidden="false" customHeight="false" outlineLevel="0" collapsed="false">
      <c r="A116" s="18"/>
      <c r="B116" s="2"/>
      <c r="C116" s="2"/>
      <c r="D116" s="2"/>
      <c r="E116" s="2"/>
      <c r="F116" s="19"/>
      <c r="G116" s="2"/>
      <c r="H116" s="19"/>
      <c r="I116" s="2"/>
      <c r="J116" s="19"/>
      <c r="K116" s="2"/>
      <c r="L116" s="19"/>
      <c r="M116" s="2"/>
      <c r="N116" s="20" t="str">
        <f aca="false">IF(COUNT(F116,H116,J116,L116)&lt;4,"",ROUND(F116*Settings!$B$4+H116*Settings!$B$5+J116*Settings!$B$6+L116*Settings!$B$7,2))</f>
        <v/>
      </c>
      <c r="O116" s="21"/>
      <c r="P116" s="21"/>
      <c r="Q116" s="22" t="str">
        <f aca="false">IF(OR(O116="",P116="",O116=0),"",(P116-O116)/O116)</f>
        <v/>
      </c>
      <c r="R116" s="18"/>
      <c r="S116" s="18"/>
      <c r="T116" s="23" t="str">
        <f aca="false">IF(OR(R116="",S116=""),"",S116-R116)</f>
        <v/>
      </c>
      <c r="U116" s="24" t="str">
        <f aca="false">IF(T116="","",IF(T116&lt;=0,"Yes","No"))</f>
        <v/>
      </c>
      <c r="V116" s="2"/>
    </row>
    <row r="117" customFormat="false" ht="14.25" hidden="false" customHeight="false" outlineLevel="0" collapsed="false">
      <c r="A117" s="18"/>
      <c r="B117" s="2"/>
      <c r="C117" s="2"/>
      <c r="D117" s="2"/>
      <c r="E117" s="2"/>
      <c r="F117" s="19"/>
      <c r="G117" s="2"/>
      <c r="H117" s="19"/>
      <c r="I117" s="2"/>
      <c r="J117" s="19"/>
      <c r="K117" s="2"/>
      <c r="L117" s="19"/>
      <c r="M117" s="2"/>
      <c r="N117" s="20" t="str">
        <f aca="false">IF(COUNT(F117,H117,J117,L117)&lt;4,"",ROUND(F117*Settings!$B$4+H117*Settings!$B$5+J117*Settings!$B$6+L117*Settings!$B$7,2))</f>
        <v/>
      </c>
      <c r="O117" s="21"/>
      <c r="P117" s="21"/>
      <c r="Q117" s="22" t="str">
        <f aca="false">IF(OR(O117="",P117="",O117=0),"",(P117-O117)/O117)</f>
        <v/>
      </c>
      <c r="R117" s="18"/>
      <c r="S117" s="18"/>
      <c r="T117" s="23" t="str">
        <f aca="false">IF(OR(R117="",S117=""),"",S117-R117)</f>
        <v/>
      </c>
      <c r="U117" s="24" t="str">
        <f aca="false">IF(T117="","",IF(T117&lt;=0,"Yes","No"))</f>
        <v/>
      </c>
      <c r="V117" s="2"/>
    </row>
    <row r="118" customFormat="false" ht="14.25" hidden="false" customHeight="false" outlineLevel="0" collapsed="false">
      <c r="A118" s="18"/>
      <c r="B118" s="2"/>
      <c r="C118" s="2"/>
      <c r="D118" s="2"/>
      <c r="E118" s="2"/>
      <c r="F118" s="19"/>
      <c r="G118" s="2"/>
      <c r="H118" s="19"/>
      <c r="I118" s="2"/>
      <c r="J118" s="19"/>
      <c r="K118" s="2"/>
      <c r="L118" s="19"/>
      <c r="M118" s="2"/>
      <c r="N118" s="20" t="str">
        <f aca="false">IF(COUNT(F118,H118,J118,L118)&lt;4,"",ROUND(F118*Settings!$B$4+H118*Settings!$B$5+J118*Settings!$B$6+L118*Settings!$B$7,2))</f>
        <v/>
      </c>
      <c r="O118" s="21"/>
      <c r="P118" s="21"/>
      <c r="Q118" s="22" t="str">
        <f aca="false">IF(OR(O118="",P118="",O118=0),"",(P118-O118)/O118)</f>
        <v/>
      </c>
      <c r="R118" s="18"/>
      <c r="S118" s="18"/>
      <c r="T118" s="23" t="str">
        <f aca="false">IF(OR(R118="",S118=""),"",S118-R118)</f>
        <v/>
      </c>
      <c r="U118" s="24" t="str">
        <f aca="false">IF(T118="","",IF(T118&lt;=0,"Yes","No"))</f>
        <v/>
      </c>
      <c r="V118" s="2"/>
    </row>
    <row r="119" customFormat="false" ht="14.25" hidden="false" customHeight="false" outlineLevel="0" collapsed="false">
      <c r="A119" s="18"/>
      <c r="B119" s="2"/>
      <c r="C119" s="2"/>
      <c r="D119" s="2"/>
      <c r="E119" s="2"/>
      <c r="F119" s="19"/>
      <c r="G119" s="2"/>
      <c r="H119" s="19"/>
      <c r="I119" s="2"/>
      <c r="J119" s="19"/>
      <c r="K119" s="2"/>
      <c r="L119" s="19"/>
      <c r="M119" s="2"/>
      <c r="N119" s="20" t="str">
        <f aca="false">IF(COUNT(F119,H119,J119,L119)&lt;4,"",ROUND(F119*Settings!$B$4+H119*Settings!$B$5+J119*Settings!$B$6+L119*Settings!$B$7,2))</f>
        <v/>
      </c>
      <c r="O119" s="21"/>
      <c r="P119" s="21"/>
      <c r="Q119" s="22" t="str">
        <f aca="false">IF(OR(O119="",P119="",O119=0),"",(P119-O119)/O119)</f>
        <v/>
      </c>
      <c r="R119" s="18"/>
      <c r="S119" s="18"/>
      <c r="T119" s="23" t="str">
        <f aca="false">IF(OR(R119="",S119=""),"",S119-R119)</f>
        <v/>
      </c>
      <c r="U119" s="24" t="str">
        <f aca="false">IF(T119="","",IF(T119&lt;=0,"Yes","No"))</f>
        <v/>
      </c>
      <c r="V119" s="2"/>
    </row>
    <row r="120" customFormat="false" ht="14.25" hidden="false" customHeight="false" outlineLevel="0" collapsed="false">
      <c r="A120" s="18"/>
      <c r="B120" s="2"/>
      <c r="C120" s="2"/>
      <c r="D120" s="2"/>
      <c r="E120" s="2"/>
      <c r="F120" s="19"/>
      <c r="G120" s="2"/>
      <c r="H120" s="19"/>
      <c r="I120" s="2"/>
      <c r="J120" s="19"/>
      <c r="K120" s="2"/>
      <c r="L120" s="19"/>
      <c r="M120" s="2"/>
      <c r="N120" s="20" t="str">
        <f aca="false">IF(COUNT(F120,H120,J120,L120)&lt;4,"",ROUND(F120*Settings!$B$4+H120*Settings!$B$5+J120*Settings!$B$6+L120*Settings!$B$7,2))</f>
        <v/>
      </c>
      <c r="O120" s="21"/>
      <c r="P120" s="21"/>
      <c r="Q120" s="22" t="str">
        <f aca="false">IF(OR(O120="",P120="",O120=0),"",(P120-O120)/O120)</f>
        <v/>
      </c>
      <c r="R120" s="18"/>
      <c r="S120" s="18"/>
      <c r="T120" s="23" t="str">
        <f aca="false">IF(OR(R120="",S120=""),"",S120-R120)</f>
        <v/>
      </c>
      <c r="U120" s="24" t="str">
        <f aca="false">IF(T120="","",IF(T120&lt;=0,"Yes","No"))</f>
        <v/>
      </c>
      <c r="V120" s="2"/>
    </row>
    <row r="121" customFormat="false" ht="14.25" hidden="false" customHeight="false" outlineLevel="0" collapsed="false">
      <c r="A121" s="18"/>
      <c r="B121" s="2"/>
      <c r="C121" s="2"/>
      <c r="D121" s="2"/>
      <c r="E121" s="2"/>
      <c r="F121" s="19"/>
      <c r="G121" s="2"/>
      <c r="H121" s="19"/>
      <c r="I121" s="2"/>
      <c r="J121" s="19"/>
      <c r="K121" s="2"/>
      <c r="L121" s="19"/>
      <c r="M121" s="2"/>
      <c r="N121" s="20" t="str">
        <f aca="false">IF(COUNT(F121,H121,J121,L121)&lt;4,"",ROUND(F121*Settings!$B$4+H121*Settings!$B$5+J121*Settings!$B$6+L121*Settings!$B$7,2))</f>
        <v/>
      </c>
      <c r="O121" s="21"/>
      <c r="P121" s="21"/>
      <c r="Q121" s="22" t="str">
        <f aca="false">IF(OR(O121="",P121="",O121=0),"",(P121-O121)/O121)</f>
        <v/>
      </c>
      <c r="R121" s="18"/>
      <c r="S121" s="18"/>
      <c r="T121" s="23" t="str">
        <f aca="false">IF(OR(R121="",S121=""),"",S121-R121)</f>
        <v/>
      </c>
      <c r="U121" s="24" t="str">
        <f aca="false">IF(T121="","",IF(T121&lt;=0,"Yes","No"))</f>
        <v/>
      </c>
      <c r="V121" s="2"/>
    </row>
    <row r="122" customFormat="false" ht="14.25" hidden="false" customHeight="false" outlineLevel="0" collapsed="false">
      <c r="A122" s="18"/>
      <c r="B122" s="2"/>
      <c r="C122" s="2"/>
      <c r="D122" s="2"/>
      <c r="E122" s="2"/>
      <c r="F122" s="19"/>
      <c r="G122" s="2"/>
      <c r="H122" s="19"/>
      <c r="I122" s="2"/>
      <c r="J122" s="19"/>
      <c r="K122" s="2"/>
      <c r="L122" s="19"/>
      <c r="M122" s="2"/>
      <c r="N122" s="20" t="str">
        <f aca="false">IF(COUNT(F122,H122,J122,L122)&lt;4,"",ROUND(F122*Settings!$B$4+H122*Settings!$B$5+J122*Settings!$B$6+L122*Settings!$B$7,2))</f>
        <v/>
      </c>
      <c r="O122" s="21"/>
      <c r="P122" s="21"/>
      <c r="Q122" s="22" t="str">
        <f aca="false">IF(OR(O122="",P122="",O122=0),"",(P122-O122)/O122)</f>
        <v/>
      </c>
      <c r="R122" s="18"/>
      <c r="S122" s="18"/>
      <c r="T122" s="23" t="str">
        <f aca="false">IF(OR(R122="",S122=""),"",S122-R122)</f>
        <v/>
      </c>
      <c r="U122" s="24" t="str">
        <f aca="false">IF(T122="","",IF(T122&lt;=0,"Yes","No"))</f>
        <v/>
      </c>
      <c r="V122" s="2"/>
    </row>
    <row r="123" customFormat="false" ht="14.25" hidden="false" customHeight="false" outlineLevel="0" collapsed="false">
      <c r="A123" s="18"/>
      <c r="B123" s="2"/>
      <c r="C123" s="2"/>
      <c r="D123" s="2"/>
      <c r="E123" s="2"/>
      <c r="F123" s="19"/>
      <c r="G123" s="2"/>
      <c r="H123" s="19"/>
      <c r="I123" s="2"/>
      <c r="J123" s="19"/>
      <c r="K123" s="2"/>
      <c r="L123" s="19"/>
      <c r="M123" s="2"/>
      <c r="N123" s="20" t="str">
        <f aca="false">IF(COUNT(F123,H123,J123,L123)&lt;4,"",ROUND(F123*Settings!$B$4+H123*Settings!$B$5+J123*Settings!$B$6+L123*Settings!$B$7,2))</f>
        <v/>
      </c>
      <c r="O123" s="21"/>
      <c r="P123" s="21"/>
      <c r="Q123" s="22" t="str">
        <f aca="false">IF(OR(O123="",P123="",O123=0),"",(P123-O123)/O123)</f>
        <v/>
      </c>
      <c r="R123" s="18"/>
      <c r="S123" s="18"/>
      <c r="T123" s="23" t="str">
        <f aca="false">IF(OR(R123="",S123=""),"",S123-R123)</f>
        <v/>
      </c>
      <c r="U123" s="24" t="str">
        <f aca="false">IF(T123="","",IF(T123&lt;=0,"Yes","No"))</f>
        <v/>
      </c>
      <c r="V123" s="2"/>
    </row>
    <row r="124" customFormat="false" ht="14.25" hidden="false" customHeight="false" outlineLevel="0" collapsed="false">
      <c r="A124" s="18"/>
      <c r="B124" s="2"/>
      <c r="C124" s="2"/>
      <c r="D124" s="2"/>
      <c r="E124" s="2"/>
      <c r="F124" s="19"/>
      <c r="G124" s="2"/>
      <c r="H124" s="19"/>
      <c r="I124" s="2"/>
      <c r="J124" s="19"/>
      <c r="K124" s="2"/>
      <c r="L124" s="19"/>
      <c r="M124" s="2"/>
      <c r="N124" s="20" t="str">
        <f aca="false">IF(COUNT(F124,H124,J124,L124)&lt;4,"",ROUND(F124*Settings!$B$4+H124*Settings!$B$5+J124*Settings!$B$6+L124*Settings!$B$7,2))</f>
        <v/>
      </c>
      <c r="O124" s="21"/>
      <c r="P124" s="21"/>
      <c r="Q124" s="22" t="str">
        <f aca="false">IF(OR(O124="",P124="",O124=0),"",(P124-O124)/O124)</f>
        <v/>
      </c>
      <c r="R124" s="18"/>
      <c r="S124" s="18"/>
      <c r="T124" s="23" t="str">
        <f aca="false">IF(OR(R124="",S124=""),"",S124-R124)</f>
        <v/>
      </c>
      <c r="U124" s="24" t="str">
        <f aca="false">IF(T124="","",IF(T124&lt;=0,"Yes","No"))</f>
        <v/>
      </c>
      <c r="V124" s="2"/>
    </row>
    <row r="125" customFormat="false" ht="14.25" hidden="false" customHeight="false" outlineLevel="0" collapsed="false">
      <c r="A125" s="18"/>
      <c r="B125" s="2"/>
      <c r="C125" s="2"/>
      <c r="D125" s="2"/>
      <c r="E125" s="2"/>
      <c r="F125" s="19"/>
      <c r="G125" s="2"/>
      <c r="H125" s="19"/>
      <c r="I125" s="2"/>
      <c r="J125" s="19"/>
      <c r="K125" s="2"/>
      <c r="L125" s="19"/>
      <c r="M125" s="2"/>
      <c r="N125" s="20" t="str">
        <f aca="false">IF(COUNT(F125,H125,J125,L125)&lt;4,"",ROUND(F125*Settings!$B$4+H125*Settings!$B$5+J125*Settings!$B$6+L125*Settings!$B$7,2))</f>
        <v/>
      </c>
      <c r="O125" s="21"/>
      <c r="P125" s="21"/>
      <c r="Q125" s="22" t="str">
        <f aca="false">IF(OR(O125="",P125="",O125=0),"",(P125-O125)/O125)</f>
        <v/>
      </c>
      <c r="R125" s="18"/>
      <c r="S125" s="18"/>
      <c r="T125" s="23" t="str">
        <f aca="false">IF(OR(R125="",S125=""),"",S125-R125)</f>
        <v/>
      </c>
      <c r="U125" s="24" t="str">
        <f aca="false">IF(T125="","",IF(T125&lt;=0,"Yes","No"))</f>
        <v/>
      </c>
      <c r="V125" s="2"/>
    </row>
    <row r="126" customFormat="false" ht="14.25" hidden="false" customHeight="false" outlineLevel="0" collapsed="false">
      <c r="A126" s="18"/>
      <c r="B126" s="2"/>
      <c r="C126" s="2"/>
      <c r="D126" s="2"/>
      <c r="E126" s="2"/>
      <c r="F126" s="19"/>
      <c r="G126" s="2"/>
      <c r="H126" s="19"/>
      <c r="I126" s="2"/>
      <c r="J126" s="19"/>
      <c r="K126" s="2"/>
      <c r="L126" s="19"/>
      <c r="M126" s="2"/>
      <c r="N126" s="20" t="str">
        <f aca="false">IF(COUNT(F126,H126,J126,L126)&lt;4,"",ROUND(F126*Settings!$B$4+H126*Settings!$B$5+J126*Settings!$B$6+L126*Settings!$B$7,2))</f>
        <v/>
      </c>
      <c r="O126" s="21"/>
      <c r="P126" s="21"/>
      <c r="Q126" s="22" t="str">
        <f aca="false">IF(OR(O126="",P126="",O126=0),"",(P126-O126)/O126)</f>
        <v/>
      </c>
      <c r="R126" s="18"/>
      <c r="S126" s="18"/>
      <c r="T126" s="23" t="str">
        <f aca="false">IF(OR(R126="",S126=""),"",S126-R126)</f>
        <v/>
      </c>
      <c r="U126" s="24" t="str">
        <f aca="false">IF(T126="","",IF(T126&lt;=0,"Yes","No"))</f>
        <v/>
      </c>
      <c r="V126" s="2"/>
    </row>
    <row r="127" customFormat="false" ht="14.25" hidden="false" customHeight="false" outlineLevel="0" collapsed="false">
      <c r="A127" s="18"/>
      <c r="B127" s="2"/>
      <c r="C127" s="2"/>
      <c r="D127" s="2"/>
      <c r="E127" s="2"/>
      <c r="F127" s="19"/>
      <c r="G127" s="2"/>
      <c r="H127" s="19"/>
      <c r="I127" s="2"/>
      <c r="J127" s="19"/>
      <c r="K127" s="2"/>
      <c r="L127" s="19"/>
      <c r="M127" s="2"/>
      <c r="N127" s="20" t="str">
        <f aca="false">IF(COUNT(F127,H127,J127,L127)&lt;4,"",ROUND(F127*Settings!$B$4+H127*Settings!$B$5+J127*Settings!$B$6+L127*Settings!$B$7,2))</f>
        <v/>
      </c>
      <c r="O127" s="21"/>
      <c r="P127" s="21"/>
      <c r="Q127" s="22" t="str">
        <f aca="false">IF(OR(O127="",P127="",O127=0),"",(P127-O127)/O127)</f>
        <v/>
      </c>
      <c r="R127" s="18"/>
      <c r="S127" s="18"/>
      <c r="T127" s="23" t="str">
        <f aca="false">IF(OR(R127="",S127=""),"",S127-R127)</f>
        <v/>
      </c>
      <c r="U127" s="24" t="str">
        <f aca="false">IF(T127="","",IF(T127&lt;=0,"Yes","No"))</f>
        <v/>
      </c>
      <c r="V127" s="2"/>
    </row>
    <row r="128" customFormat="false" ht="14.25" hidden="false" customHeight="false" outlineLevel="0" collapsed="false">
      <c r="A128" s="18"/>
      <c r="B128" s="2"/>
      <c r="C128" s="2"/>
      <c r="D128" s="2"/>
      <c r="E128" s="2"/>
      <c r="F128" s="19"/>
      <c r="G128" s="2"/>
      <c r="H128" s="19"/>
      <c r="I128" s="2"/>
      <c r="J128" s="19"/>
      <c r="K128" s="2"/>
      <c r="L128" s="19"/>
      <c r="M128" s="2"/>
      <c r="N128" s="20" t="str">
        <f aca="false">IF(COUNT(F128,H128,J128,L128)&lt;4,"",ROUND(F128*Settings!$B$4+H128*Settings!$B$5+J128*Settings!$B$6+L128*Settings!$B$7,2))</f>
        <v/>
      </c>
      <c r="O128" s="21"/>
      <c r="P128" s="21"/>
      <c r="Q128" s="22" t="str">
        <f aca="false">IF(OR(O128="",P128="",O128=0),"",(P128-O128)/O128)</f>
        <v/>
      </c>
      <c r="R128" s="18"/>
      <c r="S128" s="18"/>
      <c r="T128" s="23" t="str">
        <f aca="false">IF(OR(R128="",S128=""),"",S128-R128)</f>
        <v/>
      </c>
      <c r="U128" s="24" t="str">
        <f aca="false">IF(T128="","",IF(T128&lt;=0,"Yes","No"))</f>
        <v/>
      </c>
      <c r="V128" s="2"/>
    </row>
    <row r="129" customFormat="false" ht="14.25" hidden="false" customHeight="false" outlineLevel="0" collapsed="false">
      <c r="A129" s="18"/>
      <c r="B129" s="2"/>
      <c r="C129" s="2"/>
      <c r="D129" s="2"/>
      <c r="E129" s="2"/>
      <c r="F129" s="19"/>
      <c r="G129" s="2"/>
      <c r="H129" s="19"/>
      <c r="I129" s="2"/>
      <c r="J129" s="19"/>
      <c r="K129" s="2"/>
      <c r="L129" s="19"/>
      <c r="M129" s="2"/>
      <c r="N129" s="20" t="str">
        <f aca="false">IF(COUNT(F129,H129,J129,L129)&lt;4,"",ROUND(F129*Settings!$B$4+H129*Settings!$B$5+J129*Settings!$B$6+L129*Settings!$B$7,2))</f>
        <v/>
      </c>
      <c r="O129" s="21"/>
      <c r="P129" s="21"/>
      <c r="Q129" s="22" t="str">
        <f aca="false">IF(OR(O129="",P129="",O129=0),"",(P129-O129)/O129)</f>
        <v/>
      </c>
      <c r="R129" s="18"/>
      <c r="S129" s="18"/>
      <c r="T129" s="23" t="str">
        <f aca="false">IF(OR(R129="",S129=""),"",S129-R129)</f>
        <v/>
      </c>
      <c r="U129" s="24" t="str">
        <f aca="false">IF(T129="","",IF(T129&lt;=0,"Yes","No"))</f>
        <v/>
      </c>
      <c r="V129" s="2"/>
    </row>
    <row r="130" customFormat="false" ht="14.25" hidden="false" customHeight="false" outlineLevel="0" collapsed="false">
      <c r="A130" s="18"/>
      <c r="B130" s="2"/>
      <c r="C130" s="2"/>
      <c r="D130" s="2"/>
      <c r="E130" s="2"/>
      <c r="F130" s="19"/>
      <c r="G130" s="2"/>
      <c r="H130" s="19"/>
      <c r="I130" s="2"/>
      <c r="J130" s="19"/>
      <c r="K130" s="2"/>
      <c r="L130" s="19"/>
      <c r="M130" s="2"/>
      <c r="N130" s="20" t="str">
        <f aca="false">IF(COUNT(F130,H130,J130,L130)&lt;4,"",ROUND(F130*Settings!$B$4+H130*Settings!$B$5+J130*Settings!$B$6+L130*Settings!$B$7,2))</f>
        <v/>
      </c>
      <c r="O130" s="21"/>
      <c r="P130" s="21"/>
      <c r="Q130" s="22" t="str">
        <f aca="false">IF(OR(O130="",P130="",O130=0),"",(P130-O130)/O130)</f>
        <v/>
      </c>
      <c r="R130" s="18"/>
      <c r="S130" s="18"/>
      <c r="T130" s="23" t="str">
        <f aca="false">IF(OR(R130="",S130=""),"",S130-R130)</f>
        <v/>
      </c>
      <c r="U130" s="24" t="str">
        <f aca="false">IF(T130="","",IF(T130&lt;=0,"Yes","No"))</f>
        <v/>
      </c>
      <c r="V130" s="2"/>
    </row>
    <row r="131" customFormat="false" ht="14.25" hidden="false" customHeight="false" outlineLevel="0" collapsed="false">
      <c r="A131" s="18"/>
      <c r="B131" s="2"/>
      <c r="C131" s="2"/>
      <c r="D131" s="2"/>
      <c r="E131" s="2"/>
      <c r="F131" s="19"/>
      <c r="G131" s="2"/>
      <c r="H131" s="19"/>
      <c r="I131" s="2"/>
      <c r="J131" s="19"/>
      <c r="K131" s="2"/>
      <c r="L131" s="19"/>
      <c r="M131" s="2"/>
      <c r="N131" s="20" t="str">
        <f aca="false">IF(COUNT(F131,H131,J131,L131)&lt;4,"",ROUND(F131*Settings!$B$4+H131*Settings!$B$5+J131*Settings!$B$6+L131*Settings!$B$7,2))</f>
        <v/>
      </c>
      <c r="O131" s="21"/>
      <c r="P131" s="21"/>
      <c r="Q131" s="22" t="str">
        <f aca="false">IF(OR(O131="",P131="",O131=0),"",(P131-O131)/O131)</f>
        <v/>
      </c>
      <c r="R131" s="18"/>
      <c r="S131" s="18"/>
      <c r="T131" s="23" t="str">
        <f aca="false">IF(OR(R131="",S131=""),"",S131-R131)</f>
        <v/>
      </c>
      <c r="U131" s="24" t="str">
        <f aca="false">IF(T131="","",IF(T131&lt;=0,"Yes","No"))</f>
        <v/>
      </c>
      <c r="V131" s="2"/>
    </row>
    <row r="132" customFormat="false" ht="14.25" hidden="false" customHeight="false" outlineLevel="0" collapsed="false">
      <c r="A132" s="18"/>
      <c r="B132" s="2"/>
      <c r="C132" s="2"/>
      <c r="D132" s="2"/>
      <c r="E132" s="2"/>
      <c r="F132" s="19"/>
      <c r="G132" s="2"/>
      <c r="H132" s="19"/>
      <c r="I132" s="2"/>
      <c r="J132" s="19"/>
      <c r="K132" s="2"/>
      <c r="L132" s="19"/>
      <c r="M132" s="2"/>
      <c r="N132" s="20" t="str">
        <f aca="false">IF(COUNT(F132,H132,J132,L132)&lt;4,"",ROUND(F132*Settings!$B$4+H132*Settings!$B$5+J132*Settings!$B$6+L132*Settings!$B$7,2))</f>
        <v/>
      </c>
      <c r="O132" s="21"/>
      <c r="P132" s="21"/>
      <c r="Q132" s="22" t="str">
        <f aca="false">IF(OR(O132="",P132="",O132=0),"",(P132-O132)/O132)</f>
        <v/>
      </c>
      <c r="R132" s="18"/>
      <c r="S132" s="18"/>
      <c r="T132" s="23" t="str">
        <f aca="false">IF(OR(R132="",S132=""),"",S132-R132)</f>
        <v/>
      </c>
      <c r="U132" s="24" t="str">
        <f aca="false">IF(T132="","",IF(T132&lt;=0,"Yes","No"))</f>
        <v/>
      </c>
      <c r="V132" s="2"/>
    </row>
    <row r="133" customFormat="false" ht="14.25" hidden="false" customHeight="false" outlineLevel="0" collapsed="false">
      <c r="A133" s="18"/>
      <c r="B133" s="2"/>
      <c r="C133" s="2"/>
      <c r="D133" s="2"/>
      <c r="E133" s="2"/>
      <c r="F133" s="19"/>
      <c r="G133" s="2"/>
      <c r="H133" s="19"/>
      <c r="I133" s="2"/>
      <c r="J133" s="19"/>
      <c r="K133" s="2"/>
      <c r="L133" s="19"/>
      <c r="M133" s="2"/>
      <c r="N133" s="20" t="str">
        <f aca="false">IF(COUNT(F133,H133,J133,L133)&lt;4,"",ROUND(F133*Settings!$B$4+H133*Settings!$B$5+J133*Settings!$B$6+L133*Settings!$B$7,2))</f>
        <v/>
      </c>
      <c r="O133" s="21"/>
      <c r="P133" s="21"/>
      <c r="Q133" s="22" t="str">
        <f aca="false">IF(OR(O133="",P133="",O133=0),"",(P133-O133)/O133)</f>
        <v/>
      </c>
      <c r="R133" s="18"/>
      <c r="S133" s="18"/>
      <c r="T133" s="23" t="str">
        <f aca="false">IF(OR(R133="",S133=""),"",S133-R133)</f>
        <v/>
      </c>
      <c r="U133" s="24" t="str">
        <f aca="false">IF(T133="","",IF(T133&lt;=0,"Yes","No"))</f>
        <v/>
      </c>
      <c r="V133" s="2"/>
    </row>
    <row r="134" customFormat="false" ht="14.25" hidden="false" customHeight="false" outlineLevel="0" collapsed="false">
      <c r="A134" s="18"/>
      <c r="B134" s="2"/>
      <c r="C134" s="2"/>
      <c r="D134" s="2"/>
      <c r="E134" s="2"/>
      <c r="F134" s="19"/>
      <c r="G134" s="2"/>
      <c r="H134" s="19"/>
      <c r="I134" s="2"/>
      <c r="J134" s="19"/>
      <c r="K134" s="2"/>
      <c r="L134" s="19"/>
      <c r="M134" s="2"/>
      <c r="N134" s="20" t="str">
        <f aca="false">IF(COUNT(F134,H134,J134,L134)&lt;4,"",ROUND(F134*Settings!$B$4+H134*Settings!$B$5+J134*Settings!$B$6+L134*Settings!$B$7,2))</f>
        <v/>
      </c>
      <c r="O134" s="21"/>
      <c r="P134" s="21"/>
      <c r="Q134" s="22" t="str">
        <f aca="false">IF(OR(O134="",P134="",O134=0),"",(P134-O134)/O134)</f>
        <v/>
      </c>
      <c r="R134" s="18"/>
      <c r="S134" s="18"/>
      <c r="T134" s="23" t="str">
        <f aca="false">IF(OR(R134="",S134=""),"",S134-R134)</f>
        <v/>
      </c>
      <c r="U134" s="24" t="str">
        <f aca="false">IF(T134="","",IF(T134&lt;=0,"Yes","No"))</f>
        <v/>
      </c>
      <c r="V134" s="2"/>
    </row>
    <row r="135" customFormat="false" ht="14.25" hidden="false" customHeight="false" outlineLevel="0" collapsed="false">
      <c r="A135" s="18"/>
      <c r="B135" s="2"/>
      <c r="C135" s="2"/>
      <c r="D135" s="2"/>
      <c r="E135" s="2"/>
      <c r="F135" s="19"/>
      <c r="G135" s="2"/>
      <c r="H135" s="19"/>
      <c r="I135" s="2"/>
      <c r="J135" s="19"/>
      <c r="K135" s="2"/>
      <c r="L135" s="19"/>
      <c r="M135" s="2"/>
      <c r="N135" s="20" t="str">
        <f aca="false">IF(COUNT(F135,H135,J135,L135)&lt;4,"",ROUND(F135*Settings!$B$4+H135*Settings!$B$5+J135*Settings!$B$6+L135*Settings!$B$7,2))</f>
        <v/>
      </c>
      <c r="O135" s="21"/>
      <c r="P135" s="21"/>
      <c r="Q135" s="22" t="str">
        <f aca="false">IF(OR(O135="",P135="",O135=0),"",(P135-O135)/O135)</f>
        <v/>
      </c>
      <c r="R135" s="18"/>
      <c r="S135" s="18"/>
      <c r="T135" s="23" t="str">
        <f aca="false">IF(OR(R135="",S135=""),"",S135-R135)</f>
        <v/>
      </c>
      <c r="U135" s="24" t="str">
        <f aca="false">IF(T135="","",IF(T135&lt;=0,"Yes","No"))</f>
        <v/>
      </c>
      <c r="V135" s="2"/>
    </row>
    <row r="136" customFormat="false" ht="14.25" hidden="false" customHeight="false" outlineLevel="0" collapsed="false">
      <c r="A136" s="18"/>
      <c r="B136" s="2"/>
      <c r="C136" s="2"/>
      <c r="D136" s="2"/>
      <c r="E136" s="2"/>
      <c r="F136" s="19"/>
      <c r="G136" s="2"/>
      <c r="H136" s="19"/>
      <c r="I136" s="2"/>
      <c r="J136" s="19"/>
      <c r="K136" s="2"/>
      <c r="L136" s="19"/>
      <c r="M136" s="2"/>
      <c r="N136" s="20" t="str">
        <f aca="false">IF(COUNT(F136,H136,J136,L136)&lt;4,"",ROUND(F136*Settings!$B$4+H136*Settings!$B$5+J136*Settings!$B$6+L136*Settings!$B$7,2))</f>
        <v/>
      </c>
      <c r="O136" s="21"/>
      <c r="P136" s="21"/>
      <c r="Q136" s="22" t="str">
        <f aca="false">IF(OR(O136="",P136="",O136=0),"",(P136-O136)/O136)</f>
        <v/>
      </c>
      <c r="R136" s="18"/>
      <c r="S136" s="18"/>
      <c r="T136" s="23" t="str">
        <f aca="false">IF(OR(R136="",S136=""),"",S136-R136)</f>
        <v/>
      </c>
      <c r="U136" s="24" t="str">
        <f aca="false">IF(T136="","",IF(T136&lt;=0,"Yes","No"))</f>
        <v/>
      </c>
      <c r="V136" s="2"/>
    </row>
    <row r="137" customFormat="false" ht="14.25" hidden="false" customHeight="false" outlineLevel="0" collapsed="false">
      <c r="A137" s="18"/>
      <c r="B137" s="2"/>
      <c r="C137" s="2"/>
      <c r="D137" s="2"/>
      <c r="E137" s="2"/>
      <c r="F137" s="19"/>
      <c r="G137" s="2"/>
      <c r="H137" s="19"/>
      <c r="I137" s="2"/>
      <c r="J137" s="19"/>
      <c r="K137" s="2"/>
      <c r="L137" s="19"/>
      <c r="M137" s="2"/>
      <c r="N137" s="20" t="str">
        <f aca="false">IF(COUNT(F137,H137,J137,L137)&lt;4,"",ROUND(F137*Settings!$B$4+H137*Settings!$B$5+J137*Settings!$B$6+L137*Settings!$B$7,2))</f>
        <v/>
      </c>
      <c r="O137" s="21"/>
      <c r="P137" s="21"/>
      <c r="Q137" s="22" t="str">
        <f aca="false">IF(OR(O137="",P137="",O137=0),"",(P137-O137)/O137)</f>
        <v/>
      </c>
      <c r="R137" s="18"/>
      <c r="S137" s="18"/>
      <c r="T137" s="23" t="str">
        <f aca="false">IF(OR(R137="",S137=""),"",S137-R137)</f>
        <v/>
      </c>
      <c r="U137" s="24" t="str">
        <f aca="false">IF(T137="","",IF(T137&lt;=0,"Yes","No"))</f>
        <v/>
      </c>
      <c r="V137" s="2"/>
    </row>
    <row r="138" customFormat="false" ht="14.25" hidden="false" customHeight="false" outlineLevel="0" collapsed="false">
      <c r="A138" s="18"/>
      <c r="B138" s="2"/>
      <c r="C138" s="2"/>
      <c r="D138" s="2"/>
      <c r="E138" s="2"/>
      <c r="F138" s="19"/>
      <c r="G138" s="2"/>
      <c r="H138" s="19"/>
      <c r="I138" s="2"/>
      <c r="J138" s="19"/>
      <c r="K138" s="2"/>
      <c r="L138" s="19"/>
      <c r="M138" s="2"/>
      <c r="N138" s="20" t="str">
        <f aca="false">IF(COUNT(F138,H138,J138,L138)&lt;4,"",ROUND(F138*Settings!$B$4+H138*Settings!$B$5+J138*Settings!$B$6+L138*Settings!$B$7,2))</f>
        <v/>
      </c>
      <c r="O138" s="21"/>
      <c r="P138" s="21"/>
      <c r="Q138" s="22" t="str">
        <f aca="false">IF(OR(O138="",P138="",O138=0),"",(P138-O138)/O138)</f>
        <v/>
      </c>
      <c r="R138" s="18"/>
      <c r="S138" s="18"/>
      <c r="T138" s="23" t="str">
        <f aca="false">IF(OR(R138="",S138=""),"",S138-R138)</f>
        <v/>
      </c>
      <c r="U138" s="24" t="str">
        <f aca="false">IF(T138="","",IF(T138&lt;=0,"Yes","No"))</f>
        <v/>
      </c>
      <c r="V138" s="2"/>
    </row>
    <row r="139" customFormat="false" ht="14.25" hidden="false" customHeight="false" outlineLevel="0" collapsed="false">
      <c r="A139" s="18"/>
      <c r="B139" s="2"/>
      <c r="C139" s="2"/>
      <c r="D139" s="2"/>
      <c r="E139" s="2"/>
      <c r="F139" s="19"/>
      <c r="G139" s="2"/>
      <c r="H139" s="19"/>
      <c r="I139" s="2"/>
      <c r="J139" s="19"/>
      <c r="K139" s="2"/>
      <c r="L139" s="19"/>
      <c r="M139" s="2"/>
      <c r="N139" s="20" t="str">
        <f aca="false">IF(COUNT(F139,H139,J139,L139)&lt;4,"",ROUND(F139*Settings!$B$4+H139*Settings!$B$5+J139*Settings!$B$6+L139*Settings!$B$7,2))</f>
        <v/>
      </c>
      <c r="O139" s="21"/>
      <c r="P139" s="21"/>
      <c r="Q139" s="22" t="str">
        <f aca="false">IF(OR(O139="",P139="",O139=0),"",(P139-O139)/O139)</f>
        <v/>
      </c>
      <c r="R139" s="18"/>
      <c r="S139" s="18"/>
      <c r="T139" s="23" t="str">
        <f aca="false">IF(OR(R139="",S139=""),"",S139-R139)</f>
        <v/>
      </c>
      <c r="U139" s="24" t="str">
        <f aca="false">IF(T139="","",IF(T139&lt;=0,"Yes","No"))</f>
        <v/>
      </c>
      <c r="V139" s="2"/>
    </row>
    <row r="140" customFormat="false" ht="14.25" hidden="false" customHeight="false" outlineLevel="0" collapsed="false">
      <c r="A140" s="18"/>
      <c r="B140" s="2"/>
      <c r="C140" s="2"/>
      <c r="D140" s="2"/>
      <c r="E140" s="2"/>
      <c r="F140" s="19"/>
      <c r="G140" s="2"/>
      <c r="H140" s="19"/>
      <c r="I140" s="2"/>
      <c r="J140" s="19"/>
      <c r="K140" s="2"/>
      <c r="L140" s="19"/>
      <c r="M140" s="2"/>
      <c r="N140" s="20" t="str">
        <f aca="false">IF(COUNT(F140,H140,J140,L140)&lt;4,"",ROUND(F140*Settings!$B$4+H140*Settings!$B$5+J140*Settings!$B$6+L140*Settings!$B$7,2))</f>
        <v/>
      </c>
      <c r="O140" s="21"/>
      <c r="P140" s="21"/>
      <c r="Q140" s="22" t="str">
        <f aca="false">IF(OR(O140="",P140="",O140=0),"",(P140-O140)/O140)</f>
        <v/>
      </c>
      <c r="R140" s="18"/>
      <c r="S140" s="18"/>
      <c r="T140" s="23" t="str">
        <f aca="false">IF(OR(R140="",S140=""),"",S140-R140)</f>
        <v/>
      </c>
      <c r="U140" s="24" t="str">
        <f aca="false">IF(T140="","",IF(T140&lt;=0,"Yes","No"))</f>
        <v/>
      </c>
      <c r="V140" s="2"/>
    </row>
    <row r="141" customFormat="false" ht="14.25" hidden="false" customHeight="false" outlineLevel="0" collapsed="false">
      <c r="A141" s="18"/>
      <c r="B141" s="2"/>
      <c r="C141" s="2"/>
      <c r="D141" s="2"/>
      <c r="E141" s="2"/>
      <c r="F141" s="19"/>
      <c r="G141" s="2"/>
      <c r="H141" s="19"/>
      <c r="I141" s="2"/>
      <c r="J141" s="19"/>
      <c r="K141" s="2"/>
      <c r="L141" s="19"/>
      <c r="M141" s="2"/>
      <c r="N141" s="20" t="str">
        <f aca="false">IF(COUNT(F141,H141,J141,L141)&lt;4,"",ROUND(F141*Settings!$B$4+H141*Settings!$B$5+J141*Settings!$B$6+L141*Settings!$B$7,2))</f>
        <v/>
      </c>
      <c r="O141" s="21"/>
      <c r="P141" s="21"/>
      <c r="Q141" s="22" t="str">
        <f aca="false">IF(OR(O141="",P141="",O141=0),"",(P141-O141)/O141)</f>
        <v/>
      </c>
      <c r="R141" s="18"/>
      <c r="S141" s="18"/>
      <c r="T141" s="23" t="str">
        <f aca="false">IF(OR(R141="",S141=""),"",S141-R141)</f>
        <v/>
      </c>
      <c r="U141" s="24" t="str">
        <f aca="false">IF(T141="","",IF(T141&lt;=0,"Yes","No"))</f>
        <v/>
      </c>
      <c r="V141" s="2"/>
    </row>
    <row r="142" customFormat="false" ht="14.25" hidden="false" customHeight="false" outlineLevel="0" collapsed="false">
      <c r="A142" s="18"/>
      <c r="B142" s="2"/>
      <c r="C142" s="2"/>
      <c r="D142" s="2"/>
      <c r="E142" s="2"/>
      <c r="F142" s="19"/>
      <c r="G142" s="2"/>
      <c r="H142" s="19"/>
      <c r="I142" s="2"/>
      <c r="J142" s="19"/>
      <c r="K142" s="2"/>
      <c r="L142" s="19"/>
      <c r="M142" s="2"/>
      <c r="N142" s="20" t="str">
        <f aca="false">IF(COUNT(F142,H142,J142,L142)&lt;4,"",ROUND(F142*Settings!$B$4+H142*Settings!$B$5+J142*Settings!$B$6+L142*Settings!$B$7,2))</f>
        <v/>
      </c>
      <c r="O142" s="21"/>
      <c r="P142" s="21"/>
      <c r="Q142" s="22" t="str">
        <f aca="false">IF(OR(O142="",P142="",O142=0),"",(P142-O142)/O142)</f>
        <v/>
      </c>
      <c r="R142" s="18"/>
      <c r="S142" s="18"/>
      <c r="T142" s="23" t="str">
        <f aca="false">IF(OR(R142="",S142=""),"",S142-R142)</f>
        <v/>
      </c>
      <c r="U142" s="24" t="str">
        <f aca="false">IF(T142="","",IF(T142&lt;=0,"Yes","No"))</f>
        <v/>
      </c>
      <c r="V142" s="2"/>
    </row>
    <row r="143" customFormat="false" ht="14.25" hidden="false" customHeight="false" outlineLevel="0" collapsed="false">
      <c r="A143" s="18"/>
      <c r="B143" s="2"/>
      <c r="C143" s="2"/>
      <c r="D143" s="2"/>
      <c r="E143" s="2"/>
      <c r="F143" s="19"/>
      <c r="G143" s="2"/>
      <c r="H143" s="19"/>
      <c r="I143" s="2"/>
      <c r="J143" s="19"/>
      <c r="K143" s="2"/>
      <c r="L143" s="19"/>
      <c r="M143" s="2"/>
      <c r="N143" s="20" t="str">
        <f aca="false">IF(COUNT(F143,H143,J143,L143)&lt;4,"",ROUND(F143*Settings!$B$4+H143*Settings!$B$5+J143*Settings!$B$6+L143*Settings!$B$7,2))</f>
        <v/>
      </c>
      <c r="O143" s="21"/>
      <c r="P143" s="21"/>
      <c r="Q143" s="22" t="str">
        <f aca="false">IF(OR(O143="",P143="",O143=0),"",(P143-O143)/O143)</f>
        <v/>
      </c>
      <c r="R143" s="18"/>
      <c r="S143" s="18"/>
      <c r="T143" s="23" t="str">
        <f aca="false">IF(OR(R143="",S143=""),"",S143-R143)</f>
        <v/>
      </c>
      <c r="U143" s="24" t="str">
        <f aca="false">IF(T143="","",IF(T143&lt;=0,"Yes","No"))</f>
        <v/>
      </c>
      <c r="V143" s="2"/>
    </row>
    <row r="144" customFormat="false" ht="14.25" hidden="false" customHeight="false" outlineLevel="0" collapsed="false">
      <c r="A144" s="18"/>
      <c r="B144" s="2"/>
      <c r="C144" s="2"/>
      <c r="D144" s="2"/>
      <c r="E144" s="2"/>
      <c r="F144" s="19"/>
      <c r="G144" s="2"/>
      <c r="H144" s="19"/>
      <c r="I144" s="2"/>
      <c r="J144" s="19"/>
      <c r="K144" s="2"/>
      <c r="L144" s="19"/>
      <c r="M144" s="2"/>
      <c r="N144" s="20" t="str">
        <f aca="false">IF(COUNT(F144,H144,J144,L144)&lt;4,"",ROUND(F144*Settings!$B$4+H144*Settings!$B$5+J144*Settings!$B$6+L144*Settings!$B$7,2))</f>
        <v/>
      </c>
      <c r="O144" s="21"/>
      <c r="P144" s="21"/>
      <c r="Q144" s="22" t="str">
        <f aca="false">IF(OR(O144="",P144="",O144=0),"",(P144-O144)/O144)</f>
        <v/>
      </c>
      <c r="R144" s="18"/>
      <c r="S144" s="18"/>
      <c r="T144" s="23" t="str">
        <f aca="false">IF(OR(R144="",S144=""),"",S144-R144)</f>
        <v/>
      </c>
      <c r="U144" s="24" t="str">
        <f aca="false">IF(T144="","",IF(T144&lt;=0,"Yes","No"))</f>
        <v/>
      </c>
      <c r="V144" s="2"/>
    </row>
    <row r="145" customFormat="false" ht="14.25" hidden="false" customHeight="false" outlineLevel="0" collapsed="false">
      <c r="A145" s="18"/>
      <c r="B145" s="2"/>
      <c r="C145" s="2"/>
      <c r="D145" s="2"/>
      <c r="E145" s="2"/>
      <c r="F145" s="19"/>
      <c r="G145" s="2"/>
      <c r="H145" s="19"/>
      <c r="I145" s="2"/>
      <c r="J145" s="19"/>
      <c r="K145" s="2"/>
      <c r="L145" s="19"/>
      <c r="M145" s="2"/>
      <c r="N145" s="20" t="str">
        <f aca="false">IF(COUNT(F145,H145,J145,L145)&lt;4,"",ROUND(F145*Settings!$B$4+H145*Settings!$B$5+J145*Settings!$B$6+L145*Settings!$B$7,2))</f>
        <v/>
      </c>
      <c r="O145" s="21"/>
      <c r="P145" s="21"/>
      <c r="Q145" s="22" t="str">
        <f aca="false">IF(OR(O145="",P145="",O145=0),"",(P145-O145)/O145)</f>
        <v/>
      </c>
      <c r="R145" s="18"/>
      <c r="S145" s="18"/>
      <c r="T145" s="23" t="str">
        <f aca="false">IF(OR(R145="",S145=""),"",S145-R145)</f>
        <v/>
      </c>
      <c r="U145" s="24" t="str">
        <f aca="false">IF(T145="","",IF(T145&lt;=0,"Yes","No"))</f>
        <v/>
      </c>
      <c r="V145" s="2"/>
    </row>
    <row r="146" customFormat="false" ht="14.25" hidden="false" customHeight="false" outlineLevel="0" collapsed="false">
      <c r="A146" s="18"/>
      <c r="B146" s="2"/>
      <c r="C146" s="2"/>
      <c r="D146" s="2"/>
      <c r="E146" s="2"/>
      <c r="F146" s="19"/>
      <c r="G146" s="2"/>
      <c r="H146" s="19"/>
      <c r="I146" s="2"/>
      <c r="J146" s="19"/>
      <c r="K146" s="2"/>
      <c r="L146" s="19"/>
      <c r="M146" s="2"/>
      <c r="N146" s="20" t="str">
        <f aca="false">IF(COUNT(F146,H146,J146,L146)&lt;4,"",ROUND(F146*Settings!$B$4+H146*Settings!$B$5+J146*Settings!$B$6+L146*Settings!$B$7,2))</f>
        <v/>
      </c>
      <c r="O146" s="21"/>
      <c r="P146" s="21"/>
      <c r="Q146" s="22" t="str">
        <f aca="false">IF(OR(O146="",P146="",O146=0),"",(P146-O146)/O146)</f>
        <v/>
      </c>
      <c r="R146" s="18"/>
      <c r="S146" s="18"/>
      <c r="T146" s="23" t="str">
        <f aca="false">IF(OR(R146="",S146=""),"",S146-R146)</f>
        <v/>
      </c>
      <c r="U146" s="24" t="str">
        <f aca="false">IF(T146="","",IF(T146&lt;=0,"Yes","No"))</f>
        <v/>
      </c>
      <c r="V146" s="2"/>
    </row>
    <row r="147" customFormat="false" ht="14.25" hidden="false" customHeight="false" outlineLevel="0" collapsed="false">
      <c r="A147" s="18"/>
      <c r="B147" s="2"/>
      <c r="C147" s="2"/>
      <c r="D147" s="2"/>
      <c r="E147" s="2"/>
      <c r="F147" s="19"/>
      <c r="G147" s="2"/>
      <c r="H147" s="19"/>
      <c r="I147" s="2"/>
      <c r="J147" s="19"/>
      <c r="K147" s="2"/>
      <c r="L147" s="19"/>
      <c r="M147" s="2"/>
      <c r="N147" s="20" t="str">
        <f aca="false">IF(COUNT(F147,H147,J147,L147)&lt;4,"",ROUND(F147*Settings!$B$4+H147*Settings!$B$5+J147*Settings!$B$6+L147*Settings!$B$7,2))</f>
        <v/>
      </c>
      <c r="O147" s="21"/>
      <c r="P147" s="21"/>
      <c r="Q147" s="22" t="str">
        <f aca="false">IF(OR(O147="",P147="",O147=0),"",(P147-O147)/O147)</f>
        <v/>
      </c>
      <c r="R147" s="18"/>
      <c r="S147" s="18"/>
      <c r="T147" s="23" t="str">
        <f aca="false">IF(OR(R147="",S147=""),"",S147-R147)</f>
        <v/>
      </c>
      <c r="U147" s="24" t="str">
        <f aca="false">IF(T147="","",IF(T147&lt;=0,"Yes","No"))</f>
        <v/>
      </c>
      <c r="V147" s="2"/>
    </row>
    <row r="148" customFormat="false" ht="14.25" hidden="false" customHeight="false" outlineLevel="0" collapsed="false">
      <c r="A148" s="18"/>
      <c r="B148" s="2"/>
      <c r="C148" s="2"/>
      <c r="D148" s="2"/>
      <c r="E148" s="2"/>
      <c r="F148" s="19"/>
      <c r="G148" s="2"/>
      <c r="H148" s="19"/>
      <c r="I148" s="2"/>
      <c r="J148" s="19"/>
      <c r="K148" s="2"/>
      <c r="L148" s="19"/>
      <c r="M148" s="2"/>
      <c r="N148" s="20" t="str">
        <f aca="false">IF(COUNT(F148,H148,J148,L148)&lt;4,"",ROUND(F148*Settings!$B$4+H148*Settings!$B$5+J148*Settings!$B$6+L148*Settings!$B$7,2))</f>
        <v/>
      </c>
      <c r="O148" s="21"/>
      <c r="P148" s="21"/>
      <c r="Q148" s="22" t="str">
        <f aca="false">IF(OR(O148="",P148="",O148=0),"",(P148-O148)/O148)</f>
        <v/>
      </c>
      <c r="R148" s="18"/>
      <c r="S148" s="18"/>
      <c r="T148" s="23" t="str">
        <f aca="false">IF(OR(R148="",S148=""),"",S148-R148)</f>
        <v/>
      </c>
      <c r="U148" s="24" t="str">
        <f aca="false">IF(T148="","",IF(T148&lt;=0,"Yes","No"))</f>
        <v/>
      </c>
      <c r="V148" s="2"/>
    </row>
    <row r="149" customFormat="false" ht="14.25" hidden="false" customHeight="false" outlineLevel="0" collapsed="false">
      <c r="A149" s="18"/>
      <c r="B149" s="2"/>
      <c r="C149" s="2"/>
      <c r="D149" s="2"/>
      <c r="E149" s="2"/>
      <c r="F149" s="19"/>
      <c r="G149" s="2"/>
      <c r="H149" s="19"/>
      <c r="I149" s="2"/>
      <c r="J149" s="19"/>
      <c r="K149" s="2"/>
      <c r="L149" s="19"/>
      <c r="M149" s="2"/>
      <c r="N149" s="20" t="str">
        <f aca="false">IF(COUNT(F149,H149,J149,L149)&lt;4,"",ROUND(F149*Settings!$B$4+H149*Settings!$B$5+J149*Settings!$B$6+L149*Settings!$B$7,2))</f>
        <v/>
      </c>
      <c r="O149" s="21"/>
      <c r="P149" s="21"/>
      <c r="Q149" s="22" t="str">
        <f aca="false">IF(OR(O149="",P149="",O149=0),"",(P149-O149)/O149)</f>
        <v/>
      </c>
      <c r="R149" s="18"/>
      <c r="S149" s="18"/>
      <c r="T149" s="23" t="str">
        <f aca="false">IF(OR(R149="",S149=""),"",S149-R149)</f>
        <v/>
      </c>
      <c r="U149" s="24" t="str">
        <f aca="false">IF(T149="","",IF(T149&lt;=0,"Yes","No"))</f>
        <v/>
      </c>
      <c r="V149" s="2"/>
    </row>
    <row r="150" customFormat="false" ht="14.25" hidden="false" customHeight="false" outlineLevel="0" collapsed="false">
      <c r="A150" s="18"/>
      <c r="B150" s="2"/>
      <c r="C150" s="2"/>
      <c r="D150" s="2"/>
      <c r="E150" s="2"/>
      <c r="F150" s="19"/>
      <c r="G150" s="2"/>
      <c r="H150" s="19"/>
      <c r="I150" s="2"/>
      <c r="J150" s="19"/>
      <c r="K150" s="2"/>
      <c r="L150" s="19"/>
      <c r="M150" s="2"/>
      <c r="N150" s="20" t="str">
        <f aca="false">IF(COUNT(F150,H150,J150,L150)&lt;4,"",ROUND(F150*Settings!$B$4+H150*Settings!$B$5+J150*Settings!$B$6+L150*Settings!$B$7,2))</f>
        <v/>
      </c>
      <c r="O150" s="21"/>
      <c r="P150" s="21"/>
      <c r="Q150" s="22" t="str">
        <f aca="false">IF(OR(O150="",P150="",O150=0),"",(P150-O150)/O150)</f>
        <v/>
      </c>
      <c r="R150" s="18"/>
      <c r="S150" s="18"/>
      <c r="T150" s="23" t="str">
        <f aca="false">IF(OR(R150="",S150=""),"",S150-R150)</f>
        <v/>
      </c>
      <c r="U150" s="24" t="str">
        <f aca="false">IF(T150="","",IF(T150&lt;=0,"Yes","No"))</f>
        <v/>
      </c>
      <c r="V150" s="2"/>
    </row>
    <row r="151" customFormat="false" ht="14.25" hidden="false" customHeight="false" outlineLevel="0" collapsed="false">
      <c r="A151" s="18"/>
      <c r="B151" s="2"/>
      <c r="C151" s="2"/>
      <c r="D151" s="2"/>
      <c r="E151" s="2"/>
      <c r="F151" s="19"/>
      <c r="G151" s="2"/>
      <c r="H151" s="19"/>
      <c r="I151" s="2"/>
      <c r="J151" s="19"/>
      <c r="K151" s="2"/>
      <c r="L151" s="19"/>
      <c r="M151" s="2"/>
      <c r="N151" s="20" t="str">
        <f aca="false">IF(COUNT(F151,H151,J151,L151)&lt;4,"",ROUND(F151*Settings!$B$4+H151*Settings!$B$5+J151*Settings!$B$6+L151*Settings!$B$7,2))</f>
        <v/>
      </c>
      <c r="O151" s="21"/>
      <c r="P151" s="21"/>
      <c r="Q151" s="22" t="str">
        <f aca="false">IF(OR(O151="",P151="",O151=0),"",(P151-O151)/O151)</f>
        <v/>
      </c>
      <c r="R151" s="18"/>
      <c r="S151" s="18"/>
      <c r="T151" s="23" t="str">
        <f aca="false">IF(OR(R151="",S151=""),"",S151-R151)</f>
        <v/>
      </c>
      <c r="U151" s="24" t="str">
        <f aca="false">IF(T151="","",IF(T151&lt;=0,"Yes","No"))</f>
        <v/>
      </c>
      <c r="V151" s="2"/>
    </row>
    <row r="152" customFormat="false" ht="14.25" hidden="false" customHeight="false" outlineLevel="0" collapsed="false">
      <c r="A152" s="18"/>
      <c r="B152" s="2"/>
      <c r="C152" s="2"/>
      <c r="D152" s="2"/>
      <c r="E152" s="2"/>
      <c r="F152" s="19"/>
      <c r="G152" s="2"/>
      <c r="H152" s="19"/>
      <c r="I152" s="2"/>
      <c r="J152" s="19"/>
      <c r="K152" s="2"/>
      <c r="L152" s="19"/>
      <c r="M152" s="2"/>
      <c r="N152" s="20" t="str">
        <f aca="false">IF(COUNT(F152,H152,J152,L152)&lt;4,"",ROUND(F152*Settings!$B$4+H152*Settings!$B$5+J152*Settings!$B$6+L152*Settings!$B$7,2))</f>
        <v/>
      </c>
      <c r="O152" s="21"/>
      <c r="P152" s="21"/>
      <c r="Q152" s="22" t="str">
        <f aca="false">IF(OR(O152="",P152="",O152=0),"",(P152-O152)/O152)</f>
        <v/>
      </c>
      <c r="R152" s="18"/>
      <c r="S152" s="18"/>
      <c r="T152" s="23" t="str">
        <f aca="false">IF(OR(R152="",S152=""),"",S152-R152)</f>
        <v/>
      </c>
      <c r="U152" s="24" t="str">
        <f aca="false">IF(T152="","",IF(T152&lt;=0,"Yes","No"))</f>
        <v/>
      </c>
      <c r="V152" s="2"/>
    </row>
    <row r="153" customFormat="false" ht="14.25" hidden="false" customHeight="false" outlineLevel="0" collapsed="false">
      <c r="A153" s="18"/>
      <c r="B153" s="2"/>
      <c r="C153" s="2"/>
      <c r="D153" s="2"/>
      <c r="E153" s="2"/>
      <c r="F153" s="19"/>
      <c r="G153" s="2"/>
      <c r="H153" s="19"/>
      <c r="I153" s="2"/>
      <c r="J153" s="19"/>
      <c r="K153" s="2"/>
      <c r="L153" s="19"/>
      <c r="M153" s="2"/>
      <c r="N153" s="20" t="str">
        <f aca="false">IF(COUNT(F153,H153,J153,L153)&lt;4,"",ROUND(F153*Settings!$B$4+H153*Settings!$B$5+J153*Settings!$B$6+L153*Settings!$B$7,2))</f>
        <v/>
      </c>
      <c r="O153" s="21"/>
      <c r="P153" s="21"/>
      <c r="Q153" s="22" t="str">
        <f aca="false">IF(OR(O153="",P153="",O153=0),"",(P153-O153)/O153)</f>
        <v/>
      </c>
      <c r="R153" s="18"/>
      <c r="S153" s="18"/>
      <c r="T153" s="23" t="str">
        <f aca="false">IF(OR(R153="",S153=""),"",S153-R153)</f>
        <v/>
      </c>
      <c r="U153" s="24" t="str">
        <f aca="false">IF(T153="","",IF(T153&lt;=0,"Yes","No"))</f>
        <v/>
      </c>
      <c r="V153" s="2"/>
    </row>
    <row r="154" customFormat="false" ht="14.25" hidden="false" customHeight="false" outlineLevel="0" collapsed="false">
      <c r="A154" s="18"/>
      <c r="B154" s="2"/>
      <c r="C154" s="2"/>
      <c r="D154" s="2"/>
      <c r="E154" s="2"/>
      <c r="F154" s="19"/>
      <c r="G154" s="2"/>
      <c r="H154" s="19"/>
      <c r="I154" s="2"/>
      <c r="J154" s="19"/>
      <c r="K154" s="2"/>
      <c r="L154" s="19"/>
      <c r="M154" s="2"/>
      <c r="N154" s="20" t="str">
        <f aca="false">IF(COUNT(F154,H154,J154,L154)&lt;4,"",ROUND(F154*Settings!$B$4+H154*Settings!$B$5+J154*Settings!$B$6+L154*Settings!$B$7,2))</f>
        <v/>
      </c>
      <c r="O154" s="21"/>
      <c r="P154" s="21"/>
      <c r="Q154" s="22" t="str">
        <f aca="false">IF(OR(O154="",P154="",O154=0),"",(P154-O154)/O154)</f>
        <v/>
      </c>
      <c r="R154" s="18"/>
      <c r="S154" s="18"/>
      <c r="T154" s="23" t="str">
        <f aca="false">IF(OR(R154="",S154=""),"",S154-R154)</f>
        <v/>
      </c>
      <c r="U154" s="24" t="str">
        <f aca="false">IF(T154="","",IF(T154&lt;=0,"Yes","No"))</f>
        <v/>
      </c>
      <c r="V154" s="2"/>
    </row>
    <row r="155" customFormat="false" ht="14.25" hidden="false" customHeight="false" outlineLevel="0" collapsed="false">
      <c r="A155" s="18"/>
      <c r="B155" s="2"/>
      <c r="C155" s="2"/>
      <c r="D155" s="2"/>
      <c r="E155" s="2"/>
      <c r="F155" s="19"/>
      <c r="G155" s="2"/>
      <c r="H155" s="19"/>
      <c r="I155" s="2"/>
      <c r="J155" s="19"/>
      <c r="K155" s="2"/>
      <c r="L155" s="19"/>
      <c r="M155" s="2"/>
      <c r="N155" s="20" t="str">
        <f aca="false">IF(COUNT(F155,H155,J155,L155)&lt;4,"",ROUND(F155*Settings!$B$4+H155*Settings!$B$5+J155*Settings!$B$6+L155*Settings!$B$7,2))</f>
        <v/>
      </c>
      <c r="O155" s="21"/>
      <c r="P155" s="21"/>
      <c r="Q155" s="22" t="str">
        <f aca="false">IF(OR(O155="",P155="",O155=0),"",(P155-O155)/O155)</f>
        <v/>
      </c>
      <c r="R155" s="18"/>
      <c r="S155" s="18"/>
      <c r="T155" s="23" t="str">
        <f aca="false">IF(OR(R155="",S155=""),"",S155-R155)</f>
        <v/>
      </c>
      <c r="U155" s="24" t="str">
        <f aca="false">IF(T155="","",IF(T155&lt;=0,"Yes","No"))</f>
        <v/>
      </c>
      <c r="V155" s="2"/>
    </row>
    <row r="156" customFormat="false" ht="14.25" hidden="false" customHeight="false" outlineLevel="0" collapsed="false">
      <c r="A156" s="18"/>
      <c r="B156" s="2"/>
      <c r="C156" s="2"/>
      <c r="D156" s="2"/>
      <c r="E156" s="2"/>
      <c r="F156" s="19"/>
      <c r="G156" s="2"/>
      <c r="H156" s="19"/>
      <c r="I156" s="2"/>
      <c r="J156" s="19"/>
      <c r="K156" s="2"/>
      <c r="L156" s="19"/>
      <c r="M156" s="2"/>
      <c r="N156" s="20" t="str">
        <f aca="false">IF(COUNT(F156,H156,J156,L156)&lt;4,"",ROUND(F156*Settings!$B$4+H156*Settings!$B$5+J156*Settings!$B$6+L156*Settings!$B$7,2))</f>
        <v/>
      </c>
      <c r="O156" s="21"/>
      <c r="P156" s="21"/>
      <c r="Q156" s="22" t="str">
        <f aca="false">IF(OR(O156="",P156="",O156=0),"",(P156-O156)/O156)</f>
        <v/>
      </c>
      <c r="R156" s="18"/>
      <c r="S156" s="18"/>
      <c r="T156" s="23" t="str">
        <f aca="false">IF(OR(R156="",S156=""),"",S156-R156)</f>
        <v/>
      </c>
      <c r="U156" s="24" t="str">
        <f aca="false">IF(T156="","",IF(T156&lt;=0,"Yes","No"))</f>
        <v/>
      </c>
      <c r="V156" s="2"/>
    </row>
    <row r="157" customFormat="false" ht="14.25" hidden="false" customHeight="false" outlineLevel="0" collapsed="false">
      <c r="A157" s="18"/>
      <c r="B157" s="2"/>
      <c r="C157" s="2"/>
      <c r="D157" s="2"/>
      <c r="E157" s="2"/>
      <c r="F157" s="19"/>
      <c r="G157" s="2"/>
      <c r="H157" s="19"/>
      <c r="I157" s="2"/>
      <c r="J157" s="19"/>
      <c r="K157" s="2"/>
      <c r="L157" s="19"/>
      <c r="M157" s="2"/>
      <c r="N157" s="20" t="str">
        <f aca="false">IF(COUNT(F157,H157,J157,L157)&lt;4,"",ROUND(F157*Settings!$B$4+H157*Settings!$B$5+J157*Settings!$B$6+L157*Settings!$B$7,2))</f>
        <v/>
      </c>
      <c r="O157" s="21"/>
      <c r="P157" s="21"/>
      <c r="Q157" s="22" t="str">
        <f aca="false">IF(OR(O157="",P157="",O157=0),"",(P157-O157)/O157)</f>
        <v/>
      </c>
      <c r="R157" s="18"/>
      <c r="S157" s="18"/>
      <c r="T157" s="23" t="str">
        <f aca="false">IF(OR(R157="",S157=""),"",S157-R157)</f>
        <v/>
      </c>
      <c r="U157" s="24" t="str">
        <f aca="false">IF(T157="","",IF(T157&lt;=0,"Yes","No"))</f>
        <v/>
      </c>
      <c r="V157" s="2"/>
    </row>
    <row r="158" customFormat="false" ht="14.25" hidden="false" customHeight="false" outlineLevel="0" collapsed="false">
      <c r="A158" s="18"/>
      <c r="B158" s="2"/>
      <c r="C158" s="2"/>
      <c r="D158" s="2"/>
      <c r="E158" s="2"/>
      <c r="F158" s="19"/>
      <c r="G158" s="2"/>
      <c r="H158" s="19"/>
      <c r="I158" s="2"/>
      <c r="J158" s="19"/>
      <c r="K158" s="2"/>
      <c r="L158" s="19"/>
      <c r="M158" s="2"/>
      <c r="N158" s="20" t="str">
        <f aca="false">IF(COUNT(F158,H158,J158,L158)&lt;4,"",ROUND(F158*Settings!$B$4+H158*Settings!$B$5+J158*Settings!$B$6+L158*Settings!$B$7,2))</f>
        <v/>
      </c>
      <c r="O158" s="21"/>
      <c r="P158" s="21"/>
      <c r="Q158" s="22" t="str">
        <f aca="false">IF(OR(O158="",P158="",O158=0),"",(P158-O158)/O158)</f>
        <v/>
      </c>
      <c r="R158" s="18"/>
      <c r="S158" s="18"/>
      <c r="T158" s="23" t="str">
        <f aca="false">IF(OR(R158="",S158=""),"",S158-R158)</f>
        <v/>
      </c>
      <c r="U158" s="24" t="str">
        <f aca="false">IF(T158="","",IF(T158&lt;=0,"Yes","No"))</f>
        <v/>
      </c>
      <c r="V158" s="2"/>
    </row>
    <row r="159" customFormat="false" ht="14.25" hidden="false" customHeight="false" outlineLevel="0" collapsed="false">
      <c r="A159" s="18"/>
      <c r="B159" s="2"/>
      <c r="C159" s="2"/>
      <c r="D159" s="2"/>
      <c r="E159" s="2"/>
      <c r="F159" s="19"/>
      <c r="G159" s="2"/>
      <c r="H159" s="19"/>
      <c r="I159" s="2"/>
      <c r="J159" s="19"/>
      <c r="K159" s="2"/>
      <c r="L159" s="19"/>
      <c r="M159" s="2"/>
      <c r="N159" s="20" t="str">
        <f aca="false">IF(COUNT(F159,H159,J159,L159)&lt;4,"",ROUND(F159*Settings!$B$4+H159*Settings!$B$5+J159*Settings!$B$6+L159*Settings!$B$7,2))</f>
        <v/>
      </c>
      <c r="O159" s="21"/>
      <c r="P159" s="21"/>
      <c r="Q159" s="22" t="str">
        <f aca="false">IF(OR(O159="",P159="",O159=0),"",(P159-O159)/O159)</f>
        <v/>
      </c>
      <c r="R159" s="18"/>
      <c r="S159" s="18"/>
      <c r="T159" s="23" t="str">
        <f aca="false">IF(OR(R159="",S159=""),"",S159-R159)</f>
        <v/>
      </c>
      <c r="U159" s="24" t="str">
        <f aca="false">IF(T159="","",IF(T159&lt;=0,"Yes","No"))</f>
        <v/>
      </c>
      <c r="V159" s="2"/>
    </row>
    <row r="160" customFormat="false" ht="14.25" hidden="false" customHeight="false" outlineLevel="0" collapsed="false">
      <c r="A160" s="18"/>
      <c r="B160" s="2"/>
      <c r="C160" s="2"/>
      <c r="D160" s="2"/>
      <c r="E160" s="2"/>
      <c r="F160" s="19"/>
      <c r="G160" s="2"/>
      <c r="H160" s="19"/>
      <c r="I160" s="2"/>
      <c r="J160" s="19"/>
      <c r="K160" s="2"/>
      <c r="L160" s="19"/>
      <c r="M160" s="2"/>
      <c r="N160" s="20" t="str">
        <f aca="false">IF(COUNT(F160,H160,J160,L160)&lt;4,"",ROUND(F160*Settings!$B$4+H160*Settings!$B$5+J160*Settings!$B$6+L160*Settings!$B$7,2))</f>
        <v/>
      </c>
      <c r="O160" s="21"/>
      <c r="P160" s="21"/>
      <c r="Q160" s="22" t="str">
        <f aca="false">IF(OR(O160="",P160="",O160=0),"",(P160-O160)/O160)</f>
        <v/>
      </c>
      <c r="R160" s="18"/>
      <c r="S160" s="18"/>
      <c r="T160" s="23" t="str">
        <f aca="false">IF(OR(R160="",S160=""),"",S160-R160)</f>
        <v/>
      </c>
      <c r="U160" s="24" t="str">
        <f aca="false">IF(T160="","",IF(T160&lt;=0,"Yes","No"))</f>
        <v/>
      </c>
      <c r="V160" s="2"/>
    </row>
    <row r="161" customFormat="false" ht="14.25" hidden="false" customHeight="false" outlineLevel="0" collapsed="false">
      <c r="A161" s="18"/>
      <c r="B161" s="2"/>
      <c r="C161" s="2"/>
      <c r="D161" s="2"/>
      <c r="E161" s="2"/>
      <c r="F161" s="19"/>
      <c r="G161" s="2"/>
      <c r="H161" s="19"/>
      <c r="I161" s="2"/>
      <c r="J161" s="19"/>
      <c r="K161" s="2"/>
      <c r="L161" s="19"/>
      <c r="M161" s="2"/>
      <c r="N161" s="20" t="str">
        <f aca="false">IF(COUNT(F161,H161,J161,L161)&lt;4,"",ROUND(F161*Settings!$B$4+H161*Settings!$B$5+J161*Settings!$B$6+L161*Settings!$B$7,2))</f>
        <v/>
      </c>
      <c r="O161" s="21"/>
      <c r="P161" s="21"/>
      <c r="Q161" s="22" t="str">
        <f aca="false">IF(OR(O161="",P161="",O161=0),"",(P161-O161)/O161)</f>
        <v/>
      </c>
      <c r="R161" s="18"/>
      <c r="S161" s="18"/>
      <c r="T161" s="23" t="str">
        <f aca="false">IF(OR(R161="",S161=""),"",S161-R161)</f>
        <v/>
      </c>
      <c r="U161" s="24" t="str">
        <f aca="false">IF(T161="","",IF(T161&lt;=0,"Yes","No"))</f>
        <v/>
      </c>
      <c r="V161" s="2"/>
    </row>
    <row r="162" customFormat="false" ht="14.25" hidden="false" customHeight="false" outlineLevel="0" collapsed="false">
      <c r="A162" s="18"/>
      <c r="B162" s="2"/>
      <c r="C162" s="2"/>
      <c r="D162" s="2"/>
      <c r="E162" s="2"/>
      <c r="F162" s="19"/>
      <c r="G162" s="2"/>
      <c r="H162" s="19"/>
      <c r="I162" s="2"/>
      <c r="J162" s="19"/>
      <c r="K162" s="2"/>
      <c r="L162" s="19"/>
      <c r="M162" s="2"/>
      <c r="N162" s="20" t="str">
        <f aca="false">IF(COUNT(F162,H162,J162,L162)&lt;4,"",ROUND(F162*Settings!$B$4+H162*Settings!$B$5+J162*Settings!$B$6+L162*Settings!$B$7,2))</f>
        <v/>
      </c>
      <c r="O162" s="21"/>
      <c r="P162" s="21"/>
      <c r="Q162" s="22" t="str">
        <f aca="false">IF(OR(O162="",P162="",O162=0),"",(P162-O162)/O162)</f>
        <v/>
      </c>
      <c r="R162" s="18"/>
      <c r="S162" s="18"/>
      <c r="T162" s="23" t="str">
        <f aca="false">IF(OR(R162="",S162=""),"",S162-R162)</f>
        <v/>
      </c>
      <c r="U162" s="24" t="str">
        <f aca="false">IF(T162="","",IF(T162&lt;=0,"Yes","No"))</f>
        <v/>
      </c>
      <c r="V162" s="2"/>
    </row>
    <row r="163" customFormat="false" ht="14.25" hidden="false" customHeight="false" outlineLevel="0" collapsed="false">
      <c r="A163" s="18"/>
      <c r="B163" s="2"/>
      <c r="C163" s="2"/>
      <c r="D163" s="2"/>
      <c r="E163" s="2"/>
      <c r="F163" s="19"/>
      <c r="G163" s="2"/>
      <c r="H163" s="19"/>
      <c r="I163" s="2"/>
      <c r="J163" s="19"/>
      <c r="K163" s="2"/>
      <c r="L163" s="19"/>
      <c r="M163" s="2"/>
      <c r="N163" s="20" t="str">
        <f aca="false">IF(COUNT(F163,H163,J163,L163)&lt;4,"",ROUND(F163*Settings!$B$4+H163*Settings!$B$5+J163*Settings!$B$6+L163*Settings!$B$7,2))</f>
        <v/>
      </c>
      <c r="O163" s="21"/>
      <c r="P163" s="21"/>
      <c r="Q163" s="22" t="str">
        <f aca="false">IF(OR(O163="",P163="",O163=0),"",(P163-O163)/O163)</f>
        <v/>
      </c>
      <c r="R163" s="18"/>
      <c r="S163" s="18"/>
      <c r="T163" s="23" t="str">
        <f aca="false">IF(OR(R163="",S163=""),"",S163-R163)</f>
        <v/>
      </c>
      <c r="U163" s="24" t="str">
        <f aca="false">IF(T163="","",IF(T163&lt;=0,"Yes","No"))</f>
        <v/>
      </c>
      <c r="V163" s="2"/>
    </row>
    <row r="164" customFormat="false" ht="14.25" hidden="false" customHeight="false" outlineLevel="0" collapsed="false">
      <c r="A164" s="18"/>
      <c r="B164" s="2"/>
      <c r="C164" s="2"/>
      <c r="D164" s="2"/>
      <c r="E164" s="2"/>
      <c r="F164" s="19"/>
      <c r="G164" s="2"/>
      <c r="H164" s="19"/>
      <c r="I164" s="2"/>
      <c r="J164" s="19"/>
      <c r="K164" s="2"/>
      <c r="L164" s="19"/>
      <c r="M164" s="2"/>
      <c r="N164" s="20" t="str">
        <f aca="false">IF(COUNT(F164,H164,J164,L164)&lt;4,"",ROUND(F164*Settings!$B$4+H164*Settings!$B$5+J164*Settings!$B$6+L164*Settings!$B$7,2))</f>
        <v/>
      </c>
      <c r="O164" s="21"/>
      <c r="P164" s="21"/>
      <c r="Q164" s="22" t="str">
        <f aca="false">IF(OR(O164="",P164="",O164=0),"",(P164-O164)/O164)</f>
        <v/>
      </c>
      <c r="R164" s="18"/>
      <c r="S164" s="18"/>
      <c r="T164" s="23" t="str">
        <f aca="false">IF(OR(R164="",S164=""),"",S164-R164)</f>
        <v/>
      </c>
      <c r="U164" s="24" t="str">
        <f aca="false">IF(T164="","",IF(T164&lt;=0,"Yes","No"))</f>
        <v/>
      </c>
      <c r="V164" s="2"/>
    </row>
    <row r="165" customFormat="false" ht="14.25" hidden="false" customHeight="false" outlineLevel="0" collapsed="false">
      <c r="A165" s="18"/>
      <c r="B165" s="2"/>
      <c r="C165" s="2"/>
      <c r="D165" s="2"/>
      <c r="E165" s="2"/>
      <c r="F165" s="19"/>
      <c r="G165" s="2"/>
      <c r="H165" s="19"/>
      <c r="I165" s="2"/>
      <c r="J165" s="19"/>
      <c r="K165" s="2"/>
      <c r="L165" s="19"/>
      <c r="M165" s="2"/>
      <c r="N165" s="20" t="str">
        <f aca="false">IF(COUNT(F165,H165,J165,L165)&lt;4,"",ROUND(F165*Settings!$B$4+H165*Settings!$B$5+J165*Settings!$B$6+L165*Settings!$B$7,2))</f>
        <v/>
      </c>
      <c r="O165" s="21"/>
      <c r="P165" s="21"/>
      <c r="Q165" s="22" t="str">
        <f aca="false">IF(OR(O165="",P165="",O165=0),"",(P165-O165)/O165)</f>
        <v/>
      </c>
      <c r="R165" s="18"/>
      <c r="S165" s="18"/>
      <c r="T165" s="23" t="str">
        <f aca="false">IF(OR(R165="",S165=""),"",S165-R165)</f>
        <v/>
      </c>
      <c r="U165" s="24" t="str">
        <f aca="false">IF(T165="","",IF(T165&lt;=0,"Yes","No"))</f>
        <v/>
      </c>
      <c r="V165" s="2"/>
    </row>
    <row r="166" customFormat="false" ht="14.25" hidden="false" customHeight="false" outlineLevel="0" collapsed="false">
      <c r="A166" s="18"/>
      <c r="B166" s="2"/>
      <c r="C166" s="2"/>
      <c r="D166" s="2"/>
      <c r="E166" s="2"/>
      <c r="F166" s="19"/>
      <c r="G166" s="2"/>
      <c r="H166" s="19"/>
      <c r="I166" s="2"/>
      <c r="J166" s="19"/>
      <c r="K166" s="2"/>
      <c r="L166" s="19"/>
      <c r="M166" s="2"/>
      <c r="N166" s="20" t="str">
        <f aca="false">IF(COUNT(F166,H166,J166,L166)&lt;4,"",ROUND(F166*Settings!$B$4+H166*Settings!$B$5+J166*Settings!$B$6+L166*Settings!$B$7,2))</f>
        <v/>
      </c>
      <c r="O166" s="21"/>
      <c r="P166" s="21"/>
      <c r="Q166" s="22" t="str">
        <f aca="false">IF(OR(O166="",P166="",O166=0),"",(P166-O166)/O166)</f>
        <v/>
      </c>
      <c r="R166" s="18"/>
      <c r="S166" s="18"/>
      <c r="T166" s="23" t="str">
        <f aca="false">IF(OR(R166="",S166=""),"",S166-R166)</f>
        <v/>
      </c>
      <c r="U166" s="24" t="str">
        <f aca="false">IF(T166="","",IF(T166&lt;=0,"Yes","No"))</f>
        <v/>
      </c>
      <c r="V166" s="2"/>
    </row>
    <row r="167" customFormat="false" ht="14.25" hidden="false" customHeight="false" outlineLevel="0" collapsed="false">
      <c r="A167" s="18"/>
      <c r="B167" s="2"/>
      <c r="C167" s="2"/>
      <c r="D167" s="2"/>
      <c r="E167" s="2"/>
      <c r="F167" s="19"/>
      <c r="G167" s="2"/>
      <c r="H167" s="19"/>
      <c r="I167" s="2"/>
      <c r="J167" s="19"/>
      <c r="K167" s="2"/>
      <c r="L167" s="19"/>
      <c r="M167" s="2"/>
      <c r="N167" s="20" t="str">
        <f aca="false">IF(COUNT(F167,H167,J167,L167)&lt;4,"",ROUND(F167*Settings!$B$4+H167*Settings!$B$5+J167*Settings!$B$6+L167*Settings!$B$7,2))</f>
        <v/>
      </c>
      <c r="O167" s="21"/>
      <c r="P167" s="21"/>
      <c r="Q167" s="22" t="str">
        <f aca="false">IF(OR(O167="",P167="",O167=0),"",(P167-O167)/O167)</f>
        <v/>
      </c>
      <c r="R167" s="18"/>
      <c r="S167" s="18"/>
      <c r="T167" s="23" t="str">
        <f aca="false">IF(OR(R167="",S167=""),"",S167-R167)</f>
        <v/>
      </c>
      <c r="U167" s="24" t="str">
        <f aca="false">IF(T167="","",IF(T167&lt;=0,"Yes","No"))</f>
        <v/>
      </c>
      <c r="V167" s="2"/>
    </row>
    <row r="168" customFormat="false" ht="14.25" hidden="false" customHeight="false" outlineLevel="0" collapsed="false">
      <c r="A168" s="18"/>
      <c r="B168" s="2"/>
      <c r="C168" s="2"/>
      <c r="D168" s="2"/>
      <c r="E168" s="2"/>
      <c r="F168" s="19"/>
      <c r="G168" s="2"/>
      <c r="H168" s="19"/>
      <c r="I168" s="2"/>
      <c r="J168" s="19"/>
      <c r="K168" s="2"/>
      <c r="L168" s="19"/>
      <c r="M168" s="2"/>
      <c r="N168" s="20" t="str">
        <f aca="false">IF(COUNT(F168,H168,J168,L168)&lt;4,"",ROUND(F168*Settings!$B$4+H168*Settings!$B$5+J168*Settings!$B$6+L168*Settings!$B$7,2))</f>
        <v/>
      </c>
      <c r="O168" s="21"/>
      <c r="P168" s="21"/>
      <c r="Q168" s="22" t="str">
        <f aca="false">IF(OR(O168="",P168="",O168=0),"",(P168-O168)/O168)</f>
        <v/>
      </c>
      <c r="R168" s="18"/>
      <c r="S168" s="18"/>
      <c r="T168" s="23" t="str">
        <f aca="false">IF(OR(R168="",S168=""),"",S168-R168)</f>
        <v/>
      </c>
      <c r="U168" s="24" t="str">
        <f aca="false">IF(T168="","",IF(T168&lt;=0,"Yes","No"))</f>
        <v/>
      </c>
      <c r="V168" s="2"/>
    </row>
    <row r="169" customFormat="false" ht="14.25" hidden="false" customHeight="false" outlineLevel="0" collapsed="false">
      <c r="A169" s="18"/>
      <c r="B169" s="2"/>
      <c r="C169" s="2"/>
      <c r="D169" s="2"/>
      <c r="E169" s="2"/>
      <c r="F169" s="19"/>
      <c r="G169" s="2"/>
      <c r="H169" s="19"/>
      <c r="I169" s="2"/>
      <c r="J169" s="19"/>
      <c r="K169" s="2"/>
      <c r="L169" s="19"/>
      <c r="M169" s="2"/>
      <c r="N169" s="20" t="str">
        <f aca="false">IF(COUNT(F169,H169,J169,L169)&lt;4,"",ROUND(F169*Settings!$B$4+H169*Settings!$B$5+J169*Settings!$B$6+L169*Settings!$B$7,2))</f>
        <v/>
      </c>
      <c r="O169" s="21"/>
      <c r="P169" s="21"/>
      <c r="Q169" s="22" t="str">
        <f aca="false">IF(OR(O169="",P169="",O169=0),"",(P169-O169)/O169)</f>
        <v/>
      </c>
      <c r="R169" s="18"/>
      <c r="S169" s="18"/>
      <c r="T169" s="23" t="str">
        <f aca="false">IF(OR(R169="",S169=""),"",S169-R169)</f>
        <v/>
      </c>
      <c r="U169" s="24" t="str">
        <f aca="false">IF(T169="","",IF(T169&lt;=0,"Yes","No"))</f>
        <v/>
      </c>
      <c r="V169" s="2"/>
    </row>
    <row r="170" customFormat="false" ht="14.25" hidden="false" customHeight="false" outlineLevel="0" collapsed="false">
      <c r="A170" s="18"/>
      <c r="B170" s="2"/>
      <c r="C170" s="2"/>
      <c r="D170" s="2"/>
      <c r="E170" s="2"/>
      <c r="F170" s="19"/>
      <c r="G170" s="2"/>
      <c r="H170" s="19"/>
      <c r="I170" s="2"/>
      <c r="J170" s="19"/>
      <c r="K170" s="2"/>
      <c r="L170" s="19"/>
      <c r="M170" s="2"/>
      <c r="N170" s="20" t="str">
        <f aca="false">IF(COUNT(F170,H170,J170,L170)&lt;4,"",ROUND(F170*Settings!$B$4+H170*Settings!$B$5+J170*Settings!$B$6+L170*Settings!$B$7,2))</f>
        <v/>
      </c>
      <c r="O170" s="21"/>
      <c r="P170" s="21"/>
      <c r="Q170" s="22" t="str">
        <f aca="false">IF(OR(O170="",P170="",O170=0),"",(P170-O170)/O170)</f>
        <v/>
      </c>
      <c r="R170" s="18"/>
      <c r="S170" s="18"/>
      <c r="T170" s="23" t="str">
        <f aca="false">IF(OR(R170="",S170=""),"",S170-R170)</f>
        <v/>
      </c>
      <c r="U170" s="24" t="str">
        <f aca="false">IF(T170="","",IF(T170&lt;=0,"Yes","No"))</f>
        <v/>
      </c>
      <c r="V170" s="2"/>
    </row>
    <row r="171" customFormat="false" ht="14.25" hidden="false" customHeight="false" outlineLevel="0" collapsed="false">
      <c r="A171" s="18"/>
      <c r="B171" s="2"/>
      <c r="C171" s="2"/>
      <c r="D171" s="2"/>
      <c r="E171" s="2"/>
      <c r="F171" s="19"/>
      <c r="G171" s="2"/>
      <c r="H171" s="19"/>
      <c r="I171" s="2"/>
      <c r="J171" s="19"/>
      <c r="K171" s="2"/>
      <c r="L171" s="19"/>
      <c r="M171" s="2"/>
      <c r="N171" s="20" t="str">
        <f aca="false">IF(COUNT(F171,H171,J171,L171)&lt;4,"",ROUND(F171*Settings!$B$4+H171*Settings!$B$5+J171*Settings!$B$6+L171*Settings!$B$7,2))</f>
        <v/>
      </c>
      <c r="O171" s="21"/>
      <c r="P171" s="21"/>
      <c r="Q171" s="22" t="str">
        <f aca="false">IF(OR(O171="",P171="",O171=0),"",(P171-O171)/O171)</f>
        <v/>
      </c>
      <c r="R171" s="18"/>
      <c r="S171" s="18"/>
      <c r="T171" s="23" t="str">
        <f aca="false">IF(OR(R171="",S171=""),"",S171-R171)</f>
        <v/>
      </c>
      <c r="U171" s="24" t="str">
        <f aca="false">IF(T171="","",IF(T171&lt;=0,"Yes","No"))</f>
        <v/>
      </c>
      <c r="V171" s="2"/>
    </row>
    <row r="172" customFormat="false" ht="14.25" hidden="false" customHeight="false" outlineLevel="0" collapsed="false">
      <c r="A172" s="18"/>
      <c r="B172" s="2"/>
      <c r="C172" s="2"/>
      <c r="D172" s="2"/>
      <c r="E172" s="2"/>
      <c r="F172" s="19"/>
      <c r="G172" s="2"/>
      <c r="H172" s="19"/>
      <c r="I172" s="2"/>
      <c r="J172" s="19"/>
      <c r="K172" s="2"/>
      <c r="L172" s="19"/>
      <c r="M172" s="2"/>
      <c r="N172" s="20" t="str">
        <f aca="false">IF(COUNT(F172,H172,J172,L172)&lt;4,"",ROUND(F172*Settings!$B$4+H172*Settings!$B$5+J172*Settings!$B$6+L172*Settings!$B$7,2))</f>
        <v/>
      </c>
      <c r="O172" s="21"/>
      <c r="P172" s="21"/>
      <c r="Q172" s="22" t="str">
        <f aca="false">IF(OR(O172="",P172="",O172=0),"",(P172-O172)/O172)</f>
        <v/>
      </c>
      <c r="R172" s="18"/>
      <c r="S172" s="18"/>
      <c r="T172" s="23" t="str">
        <f aca="false">IF(OR(R172="",S172=""),"",S172-R172)</f>
        <v/>
      </c>
      <c r="U172" s="24" t="str">
        <f aca="false">IF(T172="","",IF(T172&lt;=0,"Yes","No"))</f>
        <v/>
      </c>
      <c r="V172" s="2"/>
    </row>
    <row r="173" customFormat="false" ht="14.25" hidden="false" customHeight="false" outlineLevel="0" collapsed="false">
      <c r="A173" s="18"/>
      <c r="B173" s="2"/>
      <c r="C173" s="2"/>
      <c r="D173" s="2"/>
      <c r="E173" s="2"/>
      <c r="F173" s="19"/>
      <c r="G173" s="2"/>
      <c r="H173" s="19"/>
      <c r="I173" s="2"/>
      <c r="J173" s="19"/>
      <c r="K173" s="2"/>
      <c r="L173" s="19"/>
      <c r="M173" s="2"/>
      <c r="N173" s="20" t="str">
        <f aca="false">IF(COUNT(F173,H173,J173,L173)&lt;4,"",ROUND(F173*Settings!$B$4+H173*Settings!$B$5+J173*Settings!$B$6+L173*Settings!$B$7,2))</f>
        <v/>
      </c>
      <c r="O173" s="21"/>
      <c r="P173" s="21"/>
      <c r="Q173" s="22" t="str">
        <f aca="false">IF(OR(O173="",P173="",O173=0),"",(P173-O173)/O173)</f>
        <v/>
      </c>
      <c r="R173" s="18"/>
      <c r="S173" s="18"/>
      <c r="T173" s="23" t="str">
        <f aca="false">IF(OR(R173="",S173=""),"",S173-R173)</f>
        <v/>
      </c>
      <c r="U173" s="24" t="str">
        <f aca="false">IF(T173="","",IF(T173&lt;=0,"Yes","No"))</f>
        <v/>
      </c>
      <c r="V173" s="2"/>
    </row>
    <row r="174" customFormat="false" ht="14.25" hidden="false" customHeight="false" outlineLevel="0" collapsed="false">
      <c r="A174" s="18"/>
      <c r="B174" s="2"/>
      <c r="C174" s="2"/>
      <c r="D174" s="2"/>
      <c r="E174" s="2"/>
      <c r="F174" s="19"/>
      <c r="G174" s="2"/>
      <c r="H174" s="19"/>
      <c r="I174" s="2"/>
      <c r="J174" s="19"/>
      <c r="K174" s="2"/>
      <c r="L174" s="19"/>
      <c r="M174" s="2"/>
      <c r="N174" s="20" t="str">
        <f aca="false">IF(COUNT(F174,H174,J174,L174)&lt;4,"",ROUND(F174*Settings!$B$4+H174*Settings!$B$5+J174*Settings!$B$6+L174*Settings!$B$7,2))</f>
        <v/>
      </c>
      <c r="O174" s="21"/>
      <c r="P174" s="21"/>
      <c r="Q174" s="22" t="str">
        <f aca="false">IF(OR(O174="",P174="",O174=0),"",(P174-O174)/O174)</f>
        <v/>
      </c>
      <c r="R174" s="18"/>
      <c r="S174" s="18"/>
      <c r="T174" s="23" t="str">
        <f aca="false">IF(OR(R174="",S174=""),"",S174-R174)</f>
        <v/>
      </c>
      <c r="U174" s="24" t="str">
        <f aca="false">IF(T174="","",IF(T174&lt;=0,"Yes","No"))</f>
        <v/>
      </c>
      <c r="V174" s="2"/>
    </row>
    <row r="175" customFormat="false" ht="14.25" hidden="false" customHeight="false" outlineLevel="0" collapsed="false">
      <c r="A175" s="18"/>
      <c r="B175" s="2"/>
      <c r="C175" s="2"/>
      <c r="D175" s="2"/>
      <c r="E175" s="2"/>
      <c r="F175" s="19"/>
      <c r="G175" s="2"/>
      <c r="H175" s="19"/>
      <c r="I175" s="2"/>
      <c r="J175" s="19"/>
      <c r="K175" s="2"/>
      <c r="L175" s="19"/>
      <c r="M175" s="2"/>
      <c r="N175" s="20" t="str">
        <f aca="false">IF(COUNT(F175,H175,J175,L175)&lt;4,"",ROUND(F175*Settings!$B$4+H175*Settings!$B$5+J175*Settings!$B$6+L175*Settings!$B$7,2))</f>
        <v/>
      </c>
      <c r="O175" s="21"/>
      <c r="P175" s="21"/>
      <c r="Q175" s="22" t="str">
        <f aca="false">IF(OR(O175="",P175="",O175=0),"",(P175-O175)/O175)</f>
        <v/>
      </c>
      <c r="R175" s="18"/>
      <c r="S175" s="18"/>
      <c r="T175" s="23" t="str">
        <f aca="false">IF(OR(R175="",S175=""),"",S175-R175)</f>
        <v/>
      </c>
      <c r="U175" s="24" t="str">
        <f aca="false">IF(T175="","",IF(T175&lt;=0,"Yes","No"))</f>
        <v/>
      </c>
      <c r="V175" s="2"/>
    </row>
    <row r="176" customFormat="false" ht="14.25" hidden="false" customHeight="false" outlineLevel="0" collapsed="false">
      <c r="A176" s="18"/>
      <c r="B176" s="2"/>
      <c r="C176" s="2"/>
      <c r="D176" s="2"/>
      <c r="E176" s="2"/>
      <c r="F176" s="19"/>
      <c r="G176" s="2"/>
      <c r="H176" s="19"/>
      <c r="I176" s="2"/>
      <c r="J176" s="19"/>
      <c r="K176" s="2"/>
      <c r="L176" s="19"/>
      <c r="M176" s="2"/>
      <c r="N176" s="20" t="str">
        <f aca="false">IF(COUNT(F176,H176,J176,L176)&lt;4,"",ROUND(F176*Settings!$B$4+H176*Settings!$B$5+J176*Settings!$B$6+L176*Settings!$B$7,2))</f>
        <v/>
      </c>
      <c r="O176" s="21"/>
      <c r="P176" s="21"/>
      <c r="Q176" s="22" t="str">
        <f aca="false">IF(OR(O176="",P176="",O176=0),"",(P176-O176)/O176)</f>
        <v/>
      </c>
      <c r="R176" s="18"/>
      <c r="S176" s="18"/>
      <c r="T176" s="23" t="str">
        <f aca="false">IF(OR(R176="",S176=""),"",S176-R176)</f>
        <v/>
      </c>
      <c r="U176" s="24" t="str">
        <f aca="false">IF(T176="","",IF(T176&lt;=0,"Yes","No"))</f>
        <v/>
      </c>
      <c r="V176" s="2"/>
    </row>
    <row r="177" customFormat="false" ht="14.25" hidden="false" customHeight="false" outlineLevel="0" collapsed="false">
      <c r="A177" s="18"/>
      <c r="B177" s="2"/>
      <c r="C177" s="2"/>
      <c r="D177" s="2"/>
      <c r="E177" s="2"/>
      <c r="F177" s="19"/>
      <c r="G177" s="2"/>
      <c r="H177" s="19"/>
      <c r="I177" s="2"/>
      <c r="J177" s="19"/>
      <c r="K177" s="2"/>
      <c r="L177" s="19"/>
      <c r="M177" s="2"/>
      <c r="N177" s="20" t="str">
        <f aca="false">IF(COUNT(F177,H177,J177,L177)&lt;4,"",ROUND(F177*Settings!$B$4+H177*Settings!$B$5+J177*Settings!$B$6+L177*Settings!$B$7,2))</f>
        <v/>
      </c>
      <c r="O177" s="21"/>
      <c r="P177" s="21"/>
      <c r="Q177" s="22" t="str">
        <f aca="false">IF(OR(O177="",P177="",O177=0),"",(P177-O177)/O177)</f>
        <v/>
      </c>
      <c r="R177" s="18"/>
      <c r="S177" s="18"/>
      <c r="T177" s="23" t="str">
        <f aca="false">IF(OR(R177="",S177=""),"",S177-R177)</f>
        <v/>
      </c>
      <c r="U177" s="24" t="str">
        <f aca="false">IF(T177="","",IF(T177&lt;=0,"Yes","No"))</f>
        <v/>
      </c>
      <c r="V177" s="2"/>
    </row>
    <row r="178" customFormat="false" ht="14.25" hidden="false" customHeight="false" outlineLevel="0" collapsed="false">
      <c r="A178" s="18"/>
      <c r="B178" s="2"/>
      <c r="C178" s="2"/>
      <c r="D178" s="2"/>
      <c r="E178" s="2"/>
      <c r="F178" s="19"/>
      <c r="G178" s="2"/>
      <c r="H178" s="19"/>
      <c r="I178" s="2"/>
      <c r="J178" s="19"/>
      <c r="K178" s="2"/>
      <c r="L178" s="19"/>
      <c r="M178" s="2"/>
      <c r="N178" s="20" t="str">
        <f aca="false">IF(COUNT(F178,H178,J178,L178)&lt;4,"",ROUND(F178*Settings!$B$4+H178*Settings!$B$5+J178*Settings!$B$6+L178*Settings!$B$7,2))</f>
        <v/>
      </c>
      <c r="O178" s="21"/>
      <c r="P178" s="21"/>
      <c r="Q178" s="22" t="str">
        <f aca="false">IF(OR(O178="",P178="",O178=0),"",(P178-O178)/O178)</f>
        <v/>
      </c>
      <c r="R178" s="18"/>
      <c r="S178" s="18"/>
      <c r="T178" s="23" t="str">
        <f aca="false">IF(OR(R178="",S178=""),"",S178-R178)</f>
        <v/>
      </c>
      <c r="U178" s="24" t="str">
        <f aca="false">IF(T178="","",IF(T178&lt;=0,"Yes","No"))</f>
        <v/>
      </c>
      <c r="V178" s="2"/>
    </row>
    <row r="179" customFormat="false" ht="14.25" hidden="false" customHeight="false" outlineLevel="0" collapsed="false">
      <c r="A179" s="18"/>
      <c r="B179" s="2"/>
      <c r="C179" s="2"/>
      <c r="D179" s="2"/>
      <c r="E179" s="2"/>
      <c r="F179" s="19"/>
      <c r="G179" s="2"/>
      <c r="H179" s="19"/>
      <c r="I179" s="2"/>
      <c r="J179" s="19"/>
      <c r="K179" s="2"/>
      <c r="L179" s="19"/>
      <c r="M179" s="2"/>
      <c r="N179" s="20" t="str">
        <f aca="false">IF(COUNT(F179,H179,J179,L179)&lt;4,"",ROUND(F179*Settings!$B$4+H179*Settings!$B$5+J179*Settings!$B$6+L179*Settings!$B$7,2))</f>
        <v/>
      </c>
      <c r="O179" s="21"/>
      <c r="P179" s="21"/>
      <c r="Q179" s="22" t="str">
        <f aca="false">IF(OR(O179="",P179="",O179=0),"",(P179-O179)/O179)</f>
        <v/>
      </c>
      <c r="R179" s="18"/>
      <c r="S179" s="18"/>
      <c r="T179" s="23" t="str">
        <f aca="false">IF(OR(R179="",S179=""),"",S179-R179)</f>
        <v/>
      </c>
      <c r="U179" s="24" t="str">
        <f aca="false">IF(T179="","",IF(T179&lt;=0,"Yes","No"))</f>
        <v/>
      </c>
      <c r="V179" s="2"/>
    </row>
    <row r="180" customFormat="false" ht="14.25" hidden="false" customHeight="false" outlineLevel="0" collapsed="false">
      <c r="A180" s="18"/>
      <c r="B180" s="2"/>
      <c r="C180" s="2"/>
      <c r="D180" s="2"/>
      <c r="E180" s="2"/>
      <c r="F180" s="19"/>
      <c r="G180" s="2"/>
      <c r="H180" s="19"/>
      <c r="I180" s="2"/>
      <c r="J180" s="19"/>
      <c r="K180" s="2"/>
      <c r="L180" s="19"/>
      <c r="M180" s="2"/>
      <c r="N180" s="20" t="str">
        <f aca="false">IF(COUNT(F180,H180,J180,L180)&lt;4,"",ROUND(F180*Settings!$B$4+H180*Settings!$B$5+J180*Settings!$B$6+L180*Settings!$B$7,2))</f>
        <v/>
      </c>
      <c r="O180" s="21"/>
      <c r="P180" s="21"/>
      <c r="Q180" s="22" t="str">
        <f aca="false">IF(OR(O180="",P180="",O180=0),"",(P180-O180)/O180)</f>
        <v/>
      </c>
      <c r="R180" s="18"/>
      <c r="S180" s="18"/>
      <c r="T180" s="23" t="str">
        <f aca="false">IF(OR(R180="",S180=""),"",S180-R180)</f>
        <v/>
      </c>
      <c r="U180" s="24" t="str">
        <f aca="false">IF(T180="","",IF(T180&lt;=0,"Yes","No"))</f>
        <v/>
      </c>
      <c r="V180" s="2"/>
    </row>
    <row r="181" customFormat="false" ht="14.25" hidden="false" customHeight="false" outlineLevel="0" collapsed="false">
      <c r="A181" s="18"/>
      <c r="B181" s="2"/>
      <c r="C181" s="2"/>
      <c r="D181" s="2"/>
      <c r="E181" s="2"/>
      <c r="F181" s="19"/>
      <c r="G181" s="2"/>
      <c r="H181" s="19"/>
      <c r="I181" s="2"/>
      <c r="J181" s="19"/>
      <c r="K181" s="2"/>
      <c r="L181" s="19"/>
      <c r="M181" s="2"/>
      <c r="N181" s="20" t="str">
        <f aca="false">IF(COUNT(F181,H181,J181,L181)&lt;4,"",ROUND(F181*Settings!$B$4+H181*Settings!$B$5+J181*Settings!$B$6+L181*Settings!$B$7,2))</f>
        <v/>
      </c>
      <c r="O181" s="21"/>
      <c r="P181" s="21"/>
      <c r="Q181" s="22" t="str">
        <f aca="false">IF(OR(O181="",P181="",O181=0),"",(P181-O181)/O181)</f>
        <v/>
      </c>
      <c r="R181" s="18"/>
      <c r="S181" s="18"/>
      <c r="T181" s="23" t="str">
        <f aca="false">IF(OR(R181="",S181=""),"",S181-R181)</f>
        <v/>
      </c>
      <c r="U181" s="24" t="str">
        <f aca="false">IF(T181="","",IF(T181&lt;=0,"Yes","No"))</f>
        <v/>
      </c>
      <c r="V181" s="2"/>
    </row>
    <row r="182" customFormat="false" ht="14.25" hidden="false" customHeight="false" outlineLevel="0" collapsed="false">
      <c r="A182" s="18"/>
      <c r="B182" s="2"/>
      <c r="C182" s="2"/>
      <c r="D182" s="2"/>
      <c r="E182" s="2"/>
      <c r="F182" s="19"/>
      <c r="G182" s="2"/>
      <c r="H182" s="19"/>
      <c r="I182" s="2"/>
      <c r="J182" s="19"/>
      <c r="K182" s="2"/>
      <c r="L182" s="19"/>
      <c r="M182" s="2"/>
      <c r="N182" s="20" t="str">
        <f aca="false">IF(COUNT(F182,H182,J182,L182)&lt;4,"",ROUND(F182*Settings!$B$4+H182*Settings!$B$5+J182*Settings!$B$6+L182*Settings!$B$7,2))</f>
        <v/>
      </c>
      <c r="O182" s="21"/>
      <c r="P182" s="21"/>
      <c r="Q182" s="22" t="str">
        <f aca="false">IF(OR(O182="",P182="",O182=0),"",(P182-O182)/O182)</f>
        <v/>
      </c>
      <c r="R182" s="18"/>
      <c r="S182" s="18"/>
      <c r="T182" s="23" t="str">
        <f aca="false">IF(OR(R182="",S182=""),"",S182-R182)</f>
        <v/>
      </c>
      <c r="U182" s="24" t="str">
        <f aca="false">IF(T182="","",IF(T182&lt;=0,"Yes","No"))</f>
        <v/>
      </c>
      <c r="V182" s="2"/>
    </row>
    <row r="183" customFormat="false" ht="14.25" hidden="false" customHeight="false" outlineLevel="0" collapsed="false">
      <c r="A183" s="18"/>
      <c r="B183" s="2"/>
      <c r="C183" s="2"/>
      <c r="D183" s="2"/>
      <c r="E183" s="2"/>
      <c r="F183" s="19"/>
      <c r="G183" s="2"/>
      <c r="H183" s="19"/>
      <c r="I183" s="2"/>
      <c r="J183" s="19"/>
      <c r="K183" s="2"/>
      <c r="L183" s="19"/>
      <c r="M183" s="2"/>
      <c r="N183" s="20" t="str">
        <f aca="false">IF(COUNT(F183,H183,J183,L183)&lt;4,"",ROUND(F183*Settings!$B$4+H183*Settings!$B$5+J183*Settings!$B$6+L183*Settings!$B$7,2))</f>
        <v/>
      </c>
      <c r="O183" s="21"/>
      <c r="P183" s="21"/>
      <c r="Q183" s="22" t="str">
        <f aca="false">IF(OR(O183="",P183="",O183=0),"",(P183-O183)/O183)</f>
        <v/>
      </c>
      <c r="R183" s="18"/>
      <c r="S183" s="18"/>
      <c r="T183" s="23" t="str">
        <f aca="false">IF(OR(R183="",S183=""),"",S183-R183)</f>
        <v/>
      </c>
      <c r="U183" s="24" t="str">
        <f aca="false">IF(T183="","",IF(T183&lt;=0,"Yes","No"))</f>
        <v/>
      </c>
      <c r="V183" s="2"/>
    </row>
    <row r="184" customFormat="false" ht="14.25" hidden="false" customHeight="false" outlineLevel="0" collapsed="false">
      <c r="A184" s="18"/>
      <c r="B184" s="2"/>
      <c r="C184" s="2"/>
      <c r="D184" s="2"/>
      <c r="E184" s="2"/>
      <c r="F184" s="19"/>
      <c r="G184" s="2"/>
      <c r="H184" s="19"/>
      <c r="I184" s="2"/>
      <c r="J184" s="19"/>
      <c r="K184" s="2"/>
      <c r="L184" s="19"/>
      <c r="M184" s="2"/>
      <c r="N184" s="20" t="str">
        <f aca="false">IF(COUNT(F184,H184,J184,L184)&lt;4,"",ROUND(F184*Settings!$B$4+H184*Settings!$B$5+J184*Settings!$B$6+L184*Settings!$B$7,2))</f>
        <v/>
      </c>
      <c r="O184" s="21"/>
      <c r="P184" s="21"/>
      <c r="Q184" s="22" t="str">
        <f aca="false">IF(OR(O184="",P184="",O184=0),"",(P184-O184)/O184)</f>
        <v/>
      </c>
      <c r="R184" s="18"/>
      <c r="S184" s="18"/>
      <c r="T184" s="23" t="str">
        <f aca="false">IF(OR(R184="",S184=""),"",S184-R184)</f>
        <v/>
      </c>
      <c r="U184" s="24" t="str">
        <f aca="false">IF(T184="","",IF(T184&lt;=0,"Yes","No"))</f>
        <v/>
      </c>
      <c r="V184" s="2"/>
    </row>
    <row r="185" customFormat="false" ht="14.25" hidden="false" customHeight="false" outlineLevel="0" collapsed="false">
      <c r="A185" s="18"/>
      <c r="B185" s="2"/>
      <c r="C185" s="2"/>
      <c r="D185" s="2"/>
      <c r="E185" s="2"/>
      <c r="F185" s="19"/>
      <c r="G185" s="2"/>
      <c r="H185" s="19"/>
      <c r="I185" s="2"/>
      <c r="J185" s="19"/>
      <c r="K185" s="2"/>
      <c r="L185" s="19"/>
      <c r="M185" s="2"/>
      <c r="N185" s="20" t="str">
        <f aca="false">IF(COUNT(F185,H185,J185,L185)&lt;4,"",ROUND(F185*Settings!$B$4+H185*Settings!$B$5+J185*Settings!$B$6+L185*Settings!$B$7,2))</f>
        <v/>
      </c>
      <c r="O185" s="21"/>
      <c r="P185" s="21"/>
      <c r="Q185" s="22" t="str">
        <f aca="false">IF(OR(O185="",P185="",O185=0),"",(P185-O185)/O185)</f>
        <v/>
      </c>
      <c r="R185" s="18"/>
      <c r="S185" s="18"/>
      <c r="T185" s="23" t="str">
        <f aca="false">IF(OR(R185="",S185=""),"",S185-R185)</f>
        <v/>
      </c>
      <c r="U185" s="24" t="str">
        <f aca="false">IF(T185="","",IF(T185&lt;=0,"Yes","No"))</f>
        <v/>
      </c>
      <c r="V185" s="2"/>
    </row>
    <row r="186" customFormat="false" ht="14.25" hidden="false" customHeight="false" outlineLevel="0" collapsed="false">
      <c r="A186" s="18"/>
      <c r="B186" s="2"/>
      <c r="C186" s="2"/>
      <c r="D186" s="2"/>
      <c r="E186" s="2"/>
      <c r="F186" s="19"/>
      <c r="G186" s="2"/>
      <c r="H186" s="19"/>
      <c r="I186" s="2"/>
      <c r="J186" s="19"/>
      <c r="K186" s="2"/>
      <c r="L186" s="19"/>
      <c r="M186" s="2"/>
      <c r="N186" s="20" t="str">
        <f aca="false">IF(COUNT(F186,H186,J186,L186)&lt;4,"",ROUND(F186*Settings!$B$4+H186*Settings!$B$5+J186*Settings!$B$6+L186*Settings!$B$7,2))</f>
        <v/>
      </c>
      <c r="O186" s="21"/>
      <c r="P186" s="21"/>
      <c r="Q186" s="22" t="str">
        <f aca="false">IF(OR(O186="",P186="",O186=0),"",(P186-O186)/O186)</f>
        <v/>
      </c>
      <c r="R186" s="18"/>
      <c r="S186" s="18"/>
      <c r="T186" s="23" t="str">
        <f aca="false">IF(OR(R186="",S186=""),"",S186-R186)</f>
        <v/>
      </c>
      <c r="U186" s="24" t="str">
        <f aca="false">IF(T186="","",IF(T186&lt;=0,"Yes","No"))</f>
        <v/>
      </c>
      <c r="V186" s="2"/>
    </row>
    <row r="187" customFormat="false" ht="14.25" hidden="false" customHeight="false" outlineLevel="0" collapsed="false">
      <c r="A187" s="18"/>
      <c r="B187" s="2"/>
      <c r="C187" s="2"/>
      <c r="D187" s="2"/>
      <c r="E187" s="2"/>
      <c r="F187" s="19"/>
      <c r="G187" s="2"/>
      <c r="H187" s="19"/>
      <c r="I187" s="2"/>
      <c r="J187" s="19"/>
      <c r="K187" s="2"/>
      <c r="L187" s="19"/>
      <c r="M187" s="2"/>
      <c r="N187" s="20" t="str">
        <f aca="false">IF(COUNT(F187,H187,J187,L187)&lt;4,"",ROUND(F187*Settings!$B$4+H187*Settings!$B$5+J187*Settings!$B$6+L187*Settings!$B$7,2))</f>
        <v/>
      </c>
      <c r="O187" s="21"/>
      <c r="P187" s="21"/>
      <c r="Q187" s="22" t="str">
        <f aca="false">IF(OR(O187="",P187="",O187=0),"",(P187-O187)/O187)</f>
        <v/>
      </c>
      <c r="R187" s="18"/>
      <c r="S187" s="18"/>
      <c r="T187" s="23" t="str">
        <f aca="false">IF(OR(R187="",S187=""),"",S187-R187)</f>
        <v/>
      </c>
      <c r="U187" s="24" t="str">
        <f aca="false">IF(T187="","",IF(T187&lt;=0,"Yes","No"))</f>
        <v/>
      </c>
      <c r="V187" s="2"/>
    </row>
    <row r="188" customFormat="false" ht="14.25" hidden="false" customHeight="false" outlineLevel="0" collapsed="false">
      <c r="A188" s="18"/>
      <c r="B188" s="2"/>
      <c r="C188" s="2"/>
      <c r="D188" s="2"/>
      <c r="E188" s="2"/>
      <c r="F188" s="19"/>
      <c r="G188" s="2"/>
      <c r="H188" s="19"/>
      <c r="I188" s="2"/>
      <c r="J188" s="19"/>
      <c r="K188" s="2"/>
      <c r="L188" s="19"/>
      <c r="M188" s="2"/>
      <c r="N188" s="20" t="str">
        <f aca="false">IF(COUNT(F188,H188,J188,L188)&lt;4,"",ROUND(F188*Settings!$B$4+H188*Settings!$B$5+J188*Settings!$B$6+L188*Settings!$B$7,2))</f>
        <v/>
      </c>
      <c r="O188" s="21"/>
      <c r="P188" s="21"/>
      <c r="Q188" s="22" t="str">
        <f aca="false">IF(OR(O188="",P188="",O188=0),"",(P188-O188)/O188)</f>
        <v/>
      </c>
      <c r="R188" s="18"/>
      <c r="S188" s="18"/>
      <c r="T188" s="23" t="str">
        <f aca="false">IF(OR(R188="",S188=""),"",S188-R188)</f>
        <v/>
      </c>
      <c r="U188" s="24" t="str">
        <f aca="false">IF(T188="","",IF(T188&lt;=0,"Yes","No"))</f>
        <v/>
      </c>
      <c r="V188" s="2"/>
    </row>
    <row r="189" customFormat="false" ht="14.25" hidden="false" customHeight="false" outlineLevel="0" collapsed="false">
      <c r="A189" s="18"/>
      <c r="B189" s="2"/>
      <c r="C189" s="2"/>
      <c r="D189" s="2"/>
      <c r="E189" s="2"/>
      <c r="F189" s="19"/>
      <c r="G189" s="2"/>
      <c r="H189" s="19"/>
      <c r="I189" s="2"/>
      <c r="J189" s="19"/>
      <c r="K189" s="2"/>
      <c r="L189" s="19"/>
      <c r="M189" s="2"/>
      <c r="N189" s="20" t="str">
        <f aca="false">IF(COUNT(F189,H189,J189,L189)&lt;4,"",ROUND(F189*Settings!$B$4+H189*Settings!$B$5+J189*Settings!$B$6+L189*Settings!$B$7,2))</f>
        <v/>
      </c>
      <c r="O189" s="21"/>
      <c r="P189" s="21"/>
      <c r="Q189" s="22" t="str">
        <f aca="false">IF(OR(O189="",P189="",O189=0),"",(P189-O189)/O189)</f>
        <v/>
      </c>
      <c r="R189" s="18"/>
      <c r="S189" s="18"/>
      <c r="T189" s="23" t="str">
        <f aca="false">IF(OR(R189="",S189=""),"",S189-R189)</f>
        <v/>
      </c>
      <c r="U189" s="24" t="str">
        <f aca="false">IF(T189="","",IF(T189&lt;=0,"Yes","No"))</f>
        <v/>
      </c>
      <c r="V189" s="2"/>
    </row>
    <row r="190" customFormat="false" ht="14.25" hidden="false" customHeight="false" outlineLevel="0" collapsed="false">
      <c r="A190" s="18"/>
      <c r="B190" s="2"/>
      <c r="C190" s="2"/>
      <c r="D190" s="2"/>
      <c r="E190" s="2"/>
      <c r="F190" s="19"/>
      <c r="G190" s="2"/>
      <c r="H190" s="19"/>
      <c r="I190" s="2"/>
      <c r="J190" s="19"/>
      <c r="K190" s="2"/>
      <c r="L190" s="19"/>
      <c r="M190" s="2"/>
      <c r="N190" s="20" t="str">
        <f aca="false">IF(COUNT(F190,H190,J190,L190)&lt;4,"",ROUND(F190*Settings!$B$4+H190*Settings!$B$5+J190*Settings!$B$6+L190*Settings!$B$7,2))</f>
        <v/>
      </c>
      <c r="O190" s="21"/>
      <c r="P190" s="21"/>
      <c r="Q190" s="22" t="str">
        <f aca="false">IF(OR(O190="",P190="",O190=0),"",(P190-O190)/O190)</f>
        <v/>
      </c>
      <c r="R190" s="18"/>
      <c r="S190" s="18"/>
      <c r="T190" s="23" t="str">
        <f aca="false">IF(OR(R190="",S190=""),"",S190-R190)</f>
        <v/>
      </c>
      <c r="U190" s="24" t="str">
        <f aca="false">IF(T190="","",IF(T190&lt;=0,"Yes","No"))</f>
        <v/>
      </c>
      <c r="V190" s="2"/>
    </row>
    <row r="191" customFormat="false" ht="14.25" hidden="false" customHeight="false" outlineLevel="0" collapsed="false">
      <c r="A191" s="18"/>
      <c r="B191" s="2"/>
      <c r="C191" s="2"/>
      <c r="D191" s="2"/>
      <c r="E191" s="2"/>
      <c r="F191" s="19"/>
      <c r="G191" s="2"/>
      <c r="H191" s="19"/>
      <c r="I191" s="2"/>
      <c r="J191" s="19"/>
      <c r="K191" s="2"/>
      <c r="L191" s="19"/>
      <c r="M191" s="2"/>
      <c r="N191" s="20" t="str">
        <f aca="false">IF(COUNT(F191,H191,J191,L191)&lt;4,"",ROUND(F191*Settings!$B$4+H191*Settings!$B$5+J191*Settings!$B$6+L191*Settings!$B$7,2))</f>
        <v/>
      </c>
      <c r="O191" s="21"/>
      <c r="P191" s="21"/>
      <c r="Q191" s="22" t="str">
        <f aca="false">IF(OR(O191="",P191="",O191=0),"",(P191-O191)/O191)</f>
        <v/>
      </c>
      <c r="R191" s="18"/>
      <c r="S191" s="18"/>
      <c r="T191" s="23" t="str">
        <f aca="false">IF(OR(R191="",S191=""),"",S191-R191)</f>
        <v/>
      </c>
      <c r="U191" s="24" t="str">
        <f aca="false">IF(T191="","",IF(T191&lt;=0,"Yes","No"))</f>
        <v/>
      </c>
      <c r="V191" s="2"/>
    </row>
    <row r="192" customFormat="false" ht="14.25" hidden="false" customHeight="false" outlineLevel="0" collapsed="false">
      <c r="A192" s="18"/>
      <c r="B192" s="2"/>
      <c r="C192" s="2"/>
      <c r="D192" s="2"/>
      <c r="E192" s="2"/>
      <c r="F192" s="19"/>
      <c r="G192" s="2"/>
      <c r="H192" s="19"/>
      <c r="I192" s="2"/>
      <c r="J192" s="19"/>
      <c r="K192" s="2"/>
      <c r="L192" s="19"/>
      <c r="M192" s="2"/>
      <c r="N192" s="20" t="str">
        <f aca="false">IF(COUNT(F192,H192,J192,L192)&lt;4,"",ROUND(F192*Settings!$B$4+H192*Settings!$B$5+J192*Settings!$B$6+L192*Settings!$B$7,2))</f>
        <v/>
      </c>
      <c r="O192" s="21"/>
      <c r="P192" s="21"/>
      <c r="Q192" s="22" t="str">
        <f aca="false">IF(OR(O192="",P192="",O192=0),"",(P192-O192)/O192)</f>
        <v/>
      </c>
      <c r="R192" s="18"/>
      <c r="S192" s="18"/>
      <c r="T192" s="23" t="str">
        <f aca="false">IF(OR(R192="",S192=""),"",S192-R192)</f>
        <v/>
      </c>
      <c r="U192" s="24" t="str">
        <f aca="false">IF(T192="","",IF(T192&lt;=0,"Yes","No"))</f>
        <v/>
      </c>
      <c r="V192" s="2"/>
    </row>
    <row r="193" customFormat="false" ht="14.25" hidden="false" customHeight="false" outlineLevel="0" collapsed="false">
      <c r="A193" s="18"/>
      <c r="B193" s="2"/>
      <c r="C193" s="2"/>
      <c r="D193" s="2"/>
      <c r="E193" s="2"/>
      <c r="F193" s="19"/>
      <c r="G193" s="2"/>
      <c r="H193" s="19"/>
      <c r="I193" s="2"/>
      <c r="J193" s="19"/>
      <c r="K193" s="2"/>
      <c r="L193" s="19"/>
      <c r="M193" s="2"/>
      <c r="N193" s="20" t="str">
        <f aca="false">IF(COUNT(F193,H193,J193,L193)&lt;4,"",ROUND(F193*Settings!$B$4+H193*Settings!$B$5+J193*Settings!$B$6+L193*Settings!$B$7,2))</f>
        <v/>
      </c>
      <c r="O193" s="21"/>
      <c r="P193" s="21"/>
      <c r="Q193" s="22" t="str">
        <f aca="false">IF(OR(O193="",P193="",O193=0),"",(P193-O193)/O193)</f>
        <v/>
      </c>
      <c r="R193" s="18"/>
      <c r="S193" s="18"/>
      <c r="T193" s="23" t="str">
        <f aca="false">IF(OR(R193="",S193=""),"",S193-R193)</f>
        <v/>
      </c>
      <c r="U193" s="24" t="str">
        <f aca="false">IF(T193="","",IF(T193&lt;=0,"Yes","No"))</f>
        <v/>
      </c>
      <c r="V193" s="2"/>
    </row>
    <row r="194" customFormat="false" ht="14.25" hidden="false" customHeight="false" outlineLevel="0" collapsed="false">
      <c r="A194" s="18"/>
      <c r="B194" s="2"/>
      <c r="C194" s="2"/>
      <c r="D194" s="2"/>
      <c r="E194" s="2"/>
      <c r="F194" s="19"/>
      <c r="G194" s="2"/>
      <c r="H194" s="19"/>
      <c r="I194" s="2"/>
      <c r="J194" s="19"/>
      <c r="K194" s="2"/>
      <c r="L194" s="19"/>
      <c r="M194" s="2"/>
      <c r="N194" s="20" t="str">
        <f aca="false">IF(COUNT(F194,H194,J194,L194)&lt;4,"",ROUND(F194*Settings!$B$4+H194*Settings!$B$5+J194*Settings!$B$6+L194*Settings!$B$7,2))</f>
        <v/>
      </c>
      <c r="O194" s="21"/>
      <c r="P194" s="21"/>
      <c r="Q194" s="22" t="str">
        <f aca="false">IF(OR(O194="",P194="",O194=0),"",(P194-O194)/O194)</f>
        <v/>
      </c>
      <c r="R194" s="18"/>
      <c r="S194" s="18"/>
      <c r="T194" s="23" t="str">
        <f aca="false">IF(OR(R194="",S194=""),"",S194-R194)</f>
        <v/>
      </c>
      <c r="U194" s="24" t="str">
        <f aca="false">IF(T194="","",IF(T194&lt;=0,"Yes","No"))</f>
        <v/>
      </c>
      <c r="V194" s="2"/>
    </row>
    <row r="195" customFormat="false" ht="14.25" hidden="false" customHeight="false" outlineLevel="0" collapsed="false">
      <c r="A195" s="18"/>
      <c r="B195" s="2"/>
      <c r="C195" s="2"/>
      <c r="D195" s="2"/>
      <c r="E195" s="2"/>
      <c r="F195" s="19"/>
      <c r="G195" s="2"/>
      <c r="H195" s="19"/>
      <c r="I195" s="2"/>
      <c r="J195" s="19"/>
      <c r="K195" s="2"/>
      <c r="L195" s="19"/>
      <c r="M195" s="2"/>
      <c r="N195" s="20" t="str">
        <f aca="false">IF(COUNT(F195,H195,J195,L195)&lt;4,"",ROUND(F195*Settings!$B$4+H195*Settings!$B$5+J195*Settings!$B$6+L195*Settings!$B$7,2))</f>
        <v/>
      </c>
      <c r="O195" s="21"/>
      <c r="P195" s="21"/>
      <c r="Q195" s="22" t="str">
        <f aca="false">IF(OR(O195="",P195="",O195=0),"",(P195-O195)/O195)</f>
        <v/>
      </c>
      <c r="R195" s="18"/>
      <c r="S195" s="18"/>
      <c r="T195" s="23" t="str">
        <f aca="false">IF(OR(R195="",S195=""),"",S195-R195)</f>
        <v/>
      </c>
      <c r="U195" s="24" t="str">
        <f aca="false">IF(T195="","",IF(T195&lt;=0,"Yes","No"))</f>
        <v/>
      </c>
      <c r="V195" s="2"/>
    </row>
    <row r="196" customFormat="false" ht="14.25" hidden="false" customHeight="false" outlineLevel="0" collapsed="false">
      <c r="A196" s="18"/>
      <c r="B196" s="2"/>
      <c r="C196" s="2"/>
      <c r="D196" s="2"/>
      <c r="E196" s="2"/>
      <c r="F196" s="19"/>
      <c r="G196" s="2"/>
      <c r="H196" s="19"/>
      <c r="I196" s="2"/>
      <c r="J196" s="19"/>
      <c r="K196" s="2"/>
      <c r="L196" s="19"/>
      <c r="M196" s="2"/>
      <c r="N196" s="20" t="str">
        <f aca="false">IF(COUNT(F196,H196,J196,L196)&lt;4,"",ROUND(F196*Settings!$B$4+H196*Settings!$B$5+J196*Settings!$B$6+L196*Settings!$B$7,2))</f>
        <v/>
      </c>
      <c r="O196" s="21"/>
      <c r="P196" s="21"/>
      <c r="Q196" s="22" t="str">
        <f aca="false">IF(OR(O196="",P196="",O196=0),"",(P196-O196)/O196)</f>
        <v/>
      </c>
      <c r="R196" s="18"/>
      <c r="S196" s="18"/>
      <c r="T196" s="23" t="str">
        <f aca="false">IF(OR(R196="",S196=""),"",S196-R196)</f>
        <v/>
      </c>
      <c r="U196" s="24" t="str">
        <f aca="false">IF(T196="","",IF(T196&lt;=0,"Yes","No"))</f>
        <v/>
      </c>
      <c r="V196" s="2"/>
    </row>
    <row r="197" customFormat="false" ht="14.25" hidden="false" customHeight="false" outlineLevel="0" collapsed="false">
      <c r="A197" s="18"/>
      <c r="B197" s="2"/>
      <c r="C197" s="2"/>
      <c r="D197" s="2"/>
      <c r="E197" s="2"/>
      <c r="F197" s="19"/>
      <c r="G197" s="2"/>
      <c r="H197" s="19"/>
      <c r="I197" s="2"/>
      <c r="J197" s="19"/>
      <c r="K197" s="2"/>
      <c r="L197" s="19"/>
      <c r="M197" s="2"/>
      <c r="N197" s="20" t="str">
        <f aca="false">IF(COUNT(F197,H197,J197,L197)&lt;4,"",ROUND(F197*Settings!$B$4+H197*Settings!$B$5+J197*Settings!$B$6+L197*Settings!$B$7,2))</f>
        <v/>
      </c>
      <c r="O197" s="21"/>
      <c r="P197" s="21"/>
      <c r="Q197" s="22" t="str">
        <f aca="false">IF(OR(O197="",P197="",O197=0),"",(P197-O197)/O197)</f>
        <v/>
      </c>
      <c r="R197" s="18"/>
      <c r="S197" s="18"/>
      <c r="T197" s="23" t="str">
        <f aca="false">IF(OR(R197="",S197=""),"",S197-R197)</f>
        <v/>
      </c>
      <c r="U197" s="24" t="str">
        <f aca="false">IF(T197="","",IF(T197&lt;=0,"Yes","No"))</f>
        <v/>
      </c>
      <c r="V197" s="2"/>
    </row>
    <row r="198" customFormat="false" ht="14.25" hidden="false" customHeight="false" outlineLevel="0" collapsed="false">
      <c r="A198" s="18"/>
      <c r="B198" s="2"/>
      <c r="C198" s="2"/>
      <c r="D198" s="2"/>
      <c r="E198" s="2"/>
      <c r="F198" s="19"/>
      <c r="G198" s="2"/>
      <c r="H198" s="19"/>
      <c r="I198" s="2"/>
      <c r="J198" s="19"/>
      <c r="K198" s="2"/>
      <c r="L198" s="19"/>
      <c r="M198" s="2"/>
      <c r="N198" s="20" t="str">
        <f aca="false">IF(COUNT(F198,H198,J198,L198)&lt;4,"",ROUND(F198*Settings!$B$4+H198*Settings!$B$5+J198*Settings!$B$6+L198*Settings!$B$7,2))</f>
        <v/>
      </c>
      <c r="O198" s="21"/>
      <c r="P198" s="21"/>
      <c r="Q198" s="22" t="str">
        <f aca="false">IF(OR(O198="",P198="",O198=0),"",(P198-O198)/O198)</f>
        <v/>
      </c>
      <c r="R198" s="18"/>
      <c r="S198" s="18"/>
      <c r="T198" s="23" t="str">
        <f aca="false">IF(OR(R198="",S198=""),"",S198-R198)</f>
        <v/>
      </c>
      <c r="U198" s="24" t="str">
        <f aca="false">IF(T198="","",IF(T198&lt;=0,"Yes","No"))</f>
        <v/>
      </c>
      <c r="V198" s="2"/>
    </row>
    <row r="199" customFormat="false" ht="14.25" hidden="false" customHeight="false" outlineLevel="0" collapsed="false">
      <c r="A199" s="18"/>
      <c r="B199" s="2"/>
      <c r="C199" s="2"/>
      <c r="D199" s="2"/>
      <c r="E199" s="2"/>
      <c r="F199" s="19"/>
      <c r="G199" s="2"/>
      <c r="H199" s="19"/>
      <c r="I199" s="2"/>
      <c r="J199" s="19"/>
      <c r="K199" s="2"/>
      <c r="L199" s="19"/>
      <c r="M199" s="2"/>
      <c r="N199" s="20" t="str">
        <f aca="false">IF(COUNT(F199,H199,J199,L199)&lt;4,"",ROUND(F199*Settings!$B$4+H199*Settings!$B$5+J199*Settings!$B$6+L199*Settings!$B$7,2))</f>
        <v/>
      </c>
      <c r="O199" s="21"/>
      <c r="P199" s="21"/>
      <c r="Q199" s="22" t="str">
        <f aca="false">IF(OR(O199="",P199="",O199=0),"",(P199-O199)/O199)</f>
        <v/>
      </c>
      <c r="R199" s="18"/>
      <c r="S199" s="18"/>
      <c r="T199" s="23" t="str">
        <f aca="false">IF(OR(R199="",S199=""),"",S199-R199)</f>
        <v/>
      </c>
      <c r="U199" s="24" t="str">
        <f aca="false">IF(T199="","",IF(T199&lt;=0,"Yes","No"))</f>
        <v/>
      </c>
      <c r="V199" s="2"/>
    </row>
    <row r="200" customFormat="false" ht="14.25" hidden="false" customHeight="false" outlineLevel="0" collapsed="false">
      <c r="A200" s="18"/>
      <c r="B200" s="2"/>
      <c r="C200" s="2"/>
      <c r="D200" s="2"/>
      <c r="E200" s="2"/>
      <c r="F200" s="19"/>
      <c r="G200" s="2"/>
      <c r="H200" s="19"/>
      <c r="I200" s="2"/>
      <c r="J200" s="19"/>
      <c r="K200" s="2"/>
      <c r="L200" s="19"/>
      <c r="M200" s="2"/>
      <c r="N200" s="20" t="str">
        <f aca="false">IF(COUNT(F200,H200,J200,L200)&lt;4,"",ROUND(F200*Settings!$B$4+H200*Settings!$B$5+J200*Settings!$B$6+L200*Settings!$B$7,2))</f>
        <v/>
      </c>
      <c r="O200" s="21"/>
      <c r="P200" s="21"/>
      <c r="Q200" s="22" t="str">
        <f aca="false">IF(OR(O200="",P200="",O200=0),"",(P200-O200)/O200)</f>
        <v/>
      </c>
      <c r="R200" s="18"/>
      <c r="S200" s="18"/>
      <c r="T200" s="23" t="str">
        <f aca="false">IF(OR(R200="",S200=""),"",S200-R200)</f>
        <v/>
      </c>
      <c r="U200" s="24" t="str">
        <f aca="false">IF(T200="","",IF(T200&lt;=0,"Yes","No"))</f>
        <v/>
      </c>
      <c r="V200" s="2"/>
    </row>
    <row r="201" customFormat="false" ht="14.25" hidden="false" customHeight="false" outlineLevel="0" collapsed="false">
      <c r="A201" s="18"/>
      <c r="B201" s="2"/>
      <c r="C201" s="2"/>
      <c r="D201" s="2"/>
      <c r="E201" s="2"/>
      <c r="F201" s="19"/>
      <c r="G201" s="2"/>
      <c r="H201" s="19"/>
      <c r="I201" s="2"/>
      <c r="J201" s="19"/>
      <c r="K201" s="2"/>
      <c r="L201" s="19"/>
      <c r="M201" s="2"/>
      <c r="N201" s="20" t="str">
        <f aca="false">IF(COUNT(F201,H201,J201,L201)&lt;4,"",ROUND(F201*Settings!$B$4+H201*Settings!$B$5+J201*Settings!$B$6+L201*Settings!$B$7,2))</f>
        <v/>
      </c>
      <c r="O201" s="21"/>
      <c r="P201" s="21"/>
      <c r="Q201" s="22" t="str">
        <f aca="false">IF(OR(O201="",P201="",O201=0),"",(P201-O201)/O201)</f>
        <v/>
      </c>
      <c r="R201" s="18"/>
      <c r="S201" s="18"/>
      <c r="T201" s="23" t="str">
        <f aca="false">IF(OR(R201="",S201=""),"",S201-R201)</f>
        <v/>
      </c>
      <c r="U201" s="24" t="str">
        <f aca="false">IF(T201="","",IF(T201&lt;=0,"Yes","No"))</f>
        <v/>
      </c>
      <c r="V201" s="2"/>
    </row>
    <row r="202" customFormat="false" ht="14.25" hidden="false" customHeight="false" outlineLevel="0" collapsed="false">
      <c r="A202" s="18"/>
      <c r="B202" s="2"/>
      <c r="C202" s="2"/>
      <c r="D202" s="2"/>
      <c r="E202" s="2"/>
      <c r="F202" s="19"/>
      <c r="G202" s="2"/>
      <c r="H202" s="19"/>
      <c r="I202" s="2"/>
      <c r="J202" s="19"/>
      <c r="K202" s="2"/>
      <c r="L202" s="19"/>
      <c r="M202" s="2"/>
      <c r="N202" s="20" t="str">
        <f aca="false">IF(COUNT(F202,H202,J202,L202)&lt;4,"",ROUND(F202*Settings!$B$4+H202*Settings!$B$5+J202*Settings!$B$6+L202*Settings!$B$7,2))</f>
        <v/>
      </c>
      <c r="O202" s="21"/>
      <c r="P202" s="21"/>
      <c r="Q202" s="22" t="str">
        <f aca="false">IF(OR(O202="",P202="",O202=0),"",(P202-O202)/O202)</f>
        <v/>
      </c>
      <c r="R202" s="18"/>
      <c r="S202" s="18"/>
      <c r="T202" s="23" t="str">
        <f aca="false">IF(OR(R202="",S202=""),"",S202-R202)</f>
        <v/>
      </c>
      <c r="U202" s="24" t="str">
        <f aca="false">IF(T202="","",IF(T202&lt;=0,"Yes","No"))</f>
        <v/>
      </c>
      <c r="V202" s="2"/>
    </row>
    <row r="203" customFormat="false" ht="14.25" hidden="false" customHeight="false" outlineLevel="0" collapsed="false">
      <c r="A203" s="18"/>
      <c r="B203" s="2"/>
      <c r="C203" s="2"/>
      <c r="D203" s="2"/>
      <c r="E203" s="2"/>
      <c r="F203" s="19"/>
      <c r="G203" s="2"/>
      <c r="H203" s="19"/>
      <c r="I203" s="2"/>
      <c r="J203" s="19"/>
      <c r="K203" s="2"/>
      <c r="L203" s="19"/>
      <c r="M203" s="2"/>
      <c r="N203" s="20" t="str">
        <f aca="false">IF(COUNT(F203,H203,J203,L203)&lt;4,"",ROUND(F203*Settings!$B$4+H203*Settings!$B$5+J203*Settings!$B$6+L203*Settings!$B$7,2))</f>
        <v/>
      </c>
      <c r="O203" s="21"/>
      <c r="P203" s="21"/>
      <c r="Q203" s="22" t="str">
        <f aca="false">IF(OR(O203="",P203="",O203=0),"",(P203-O203)/O203)</f>
        <v/>
      </c>
      <c r="R203" s="18"/>
      <c r="S203" s="18"/>
      <c r="T203" s="23" t="str">
        <f aca="false">IF(OR(R203="",S203=""),"",S203-R203)</f>
        <v/>
      </c>
      <c r="U203" s="24" t="str">
        <f aca="false">IF(T203="","",IF(T203&lt;=0,"Yes","No"))</f>
        <v/>
      </c>
      <c r="V203" s="2"/>
    </row>
    <row r="204" customFormat="false" ht="14.25" hidden="false" customHeight="false" outlineLevel="0" collapsed="false">
      <c r="A204" s="18"/>
      <c r="B204" s="2"/>
      <c r="C204" s="2"/>
      <c r="D204" s="2"/>
      <c r="E204" s="2"/>
      <c r="F204" s="19"/>
      <c r="G204" s="2"/>
      <c r="H204" s="19"/>
      <c r="I204" s="2"/>
      <c r="J204" s="19"/>
      <c r="K204" s="2"/>
      <c r="L204" s="19"/>
      <c r="M204" s="2"/>
      <c r="N204" s="20" t="str">
        <f aca="false">IF(COUNT(F204,H204,J204,L204)&lt;4,"",ROUND(F204*Settings!$B$4+H204*Settings!$B$5+J204*Settings!$B$6+L204*Settings!$B$7,2))</f>
        <v/>
      </c>
      <c r="O204" s="21"/>
      <c r="P204" s="21"/>
      <c r="Q204" s="22" t="str">
        <f aca="false">IF(OR(O204="",P204="",O204=0),"",(P204-O204)/O204)</f>
        <v/>
      </c>
      <c r="R204" s="18"/>
      <c r="S204" s="18"/>
      <c r="T204" s="23" t="str">
        <f aca="false">IF(OR(R204="",S204=""),"",S204-R204)</f>
        <v/>
      </c>
      <c r="U204" s="24" t="str">
        <f aca="false">IF(T204="","",IF(T204&lt;=0,"Yes","No"))</f>
        <v/>
      </c>
      <c r="V204" s="2"/>
    </row>
  </sheetData>
  <autoFilter ref="A3:V204"/>
  <mergeCells count="4">
    <mergeCell ref="A2:E2"/>
    <mergeCell ref="F2:N2"/>
    <mergeCell ref="O2:Q2"/>
    <mergeCell ref="R2:U2"/>
  </mergeCells>
  <conditionalFormatting sqref="F4:F204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H4:H204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J4:J204">
    <cfRule type="colorScale" priority="4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L4:L204">
    <cfRule type="colorScale" priority="5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N4:N204">
    <cfRule type="colorScale" priority="6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Q4:Q204">
    <cfRule type="colorScale" priority="7">
      <colorScale>
        <cfvo type="num" val="-0.2"/>
        <cfvo type="num" val="0"/>
        <cfvo type="num" val="0.2"/>
        <color rgb="FF63BE7B"/>
        <color rgb="FFFFFFFF"/>
        <color rgb="FFF8696B"/>
      </colorScale>
    </cfRule>
  </conditionalFormatting>
  <conditionalFormatting sqref="U4:U204">
    <cfRule type="cellIs" priority="8" operator="equal" aboveAverage="0" equalAverage="0" bottom="0" percent="0" rank="0" text="" dxfId="10">
      <formula>"No"</formula>
    </cfRule>
    <cfRule type="cellIs" priority="9" operator="equal" aboveAverage="0" equalAverage="0" bottom="0" percent="0" rank="0" text="" dxfId="11">
      <formula>"Yes"</formula>
    </cfRule>
  </conditionalFormatting>
  <dataValidations count="3">
    <dataValidation allowBlank="true" error="Scores go from 1 (poor) to 5 (excellent). See the Rubric tab." errorStyle="stop" errorTitle="Score must be 1–5" operator="between" showDropDown="false" showErrorMessage="false" showInputMessage="false" sqref="F4:F204 H4:H204 J4:J204 L4:L204" type="list">
      <formula1>"1,2,3,4,5"</formula1>
      <formula2>0</formula2>
    </dataValidation>
    <dataValidation allowBlank="true" error="Pick a supplier from the Suppliers tab (or add it there first)." errorStyle="stop" errorTitle="Unknown supplier" operator="between" showDropDown="false" showErrorMessage="false" showInputMessage="false" sqref="C4:C204" type="list">
      <formula1>ScorecardSuppliers</formula1>
      <formula2>0</formula2>
    </dataValidation>
    <dataValidation allowBlank="true" error="Pick a process from the list in Settings (or add it there first)." errorStyle="stop" errorTitle="Unknown process" operator="between" showDropDown="false" showErrorMessage="false" showInputMessage="false" sqref="D4:D204" type="list">
      <formula1>ScorecardProcesses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L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ColWidth="8.6640625" defaultRowHeight="14.2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2" min="11" style="0" width="14"/>
  </cols>
  <sheetData>
    <row r="1" customFormat="false" ht="17.25" hidden="false" customHeight="true" outlineLevel="0" collapsed="false">
      <c r="A1" s="5" t="s">
        <v>61</v>
      </c>
    </row>
    <row r="2" customFormat="false" ht="14.25" hidden="false" customHeight="false" outlineLevel="0" collapsed="false">
      <c r="A2" s="6" t="s">
        <v>62</v>
      </c>
    </row>
    <row r="3" customFormat="false" ht="14.25" hidden="false" customHeight="false" outlineLevel="0" collapsed="false">
      <c r="A3" s="25" t="s">
        <v>63</v>
      </c>
    </row>
    <row r="4" customFormat="false" ht="25.5" hidden="false" customHeight="true" outlineLevel="0" collapsed="false">
      <c r="A4" s="9" t="s">
        <v>27</v>
      </c>
      <c r="B4" s="9" t="s">
        <v>64</v>
      </c>
      <c r="C4" s="9" t="s">
        <v>65</v>
      </c>
      <c r="D4" s="9" t="s">
        <v>66</v>
      </c>
      <c r="E4" s="9" t="s">
        <v>67</v>
      </c>
      <c r="F4" s="9" t="s">
        <v>68</v>
      </c>
      <c r="G4" s="9" t="s">
        <v>69</v>
      </c>
      <c r="H4" s="9" t="s">
        <v>70</v>
      </c>
      <c r="I4" s="9" t="s">
        <v>71</v>
      </c>
      <c r="J4" s="9" t="s">
        <v>72</v>
      </c>
    </row>
    <row r="5" customFormat="false" ht="14.25" hidden="false" customHeight="false" outlineLevel="0" collapsed="false">
      <c r="A5" s="26" t="str">
        <f aca="false">IF(Suppliers!A3="","",Suppliers!A3)</f>
        <v>Fictiv</v>
      </c>
      <c r="B5" s="27" t="n">
        <f aca="false">IF($A5="","",COUNTIFS('Score Log'!$C$4:$C$204,$A5))</f>
        <v>2</v>
      </c>
      <c r="C5" s="28" t="n">
        <f aca="false">IF($A5="","",IFERROR(ROUND(AVERAGEIFS('Score Log'!$F$4:$F$204,'Score Log'!$C$4:$C$204,$A5),2),"–"))</f>
        <v>4</v>
      </c>
      <c r="D5" s="28" t="n">
        <f aca="false">IF($A5="","",IFERROR(ROUND(AVERAGEIFS('Score Log'!$H$4:$H$204,'Score Log'!$C$4:$C$204,$A5),2),"–"))</f>
        <v>5</v>
      </c>
      <c r="E5" s="28" t="n">
        <f aca="false">IF($A5="","",IFERROR(ROUND(AVERAGEIFS('Score Log'!$J$4:$J$204,'Score Log'!$C$4:$C$204,$A5),2),"–"))</f>
        <v>4</v>
      </c>
      <c r="F5" s="28" t="n">
        <f aca="false">IF($A5="","",IFERROR(ROUND(AVERAGEIFS('Score Log'!$L$4:$L$204,'Score Log'!$C$4:$C$204,$A5),2),"–"))</f>
        <v>5</v>
      </c>
      <c r="G5" s="28" t="n">
        <f aca="false">IF($A5="","",IFERROR(ROUND(AVERAGEIFS('Score Log'!$N$4:$N$204,'Score Log'!$C$4:$C$204,$A5),2),"–"))</f>
        <v>4.5</v>
      </c>
      <c r="H5" s="29" t="n">
        <f aca="false">IF($A5="","",IFERROR(COUNTIFS('Score Log'!$C$4:$C$204,$A5,'Score Log'!$U$4:$U$204,"Yes")/(COUNTIFS('Score Log'!$C$4:$C$204,$A5,'Score Log'!$U$4:$U$204,"Yes")+COUNTIFS('Score Log'!$C$4:$C$204,$A5,'Score Log'!$U$4:$U$204,"No")),"–"))</f>
        <v>1</v>
      </c>
      <c r="I5" s="30" t="n">
        <f aca="false">IF($A5="","",IFERROR(AVERAGEIFS('Score Log'!$Q$4:$Q$204,'Score Log'!$C$4:$C$204,$A5),"–"))</f>
        <v>-0.662922494519272</v>
      </c>
      <c r="J5" s="31" t="n">
        <f aca="false">IF($A5="","",IF($B5=0,"–",_xlfn.MAXIFS('Score Log'!$A$4:$A$204,'Score Log'!$C$4:$C$204,$A5)))</f>
        <v>46174</v>
      </c>
    </row>
    <row r="6" customFormat="false" ht="14.25" hidden="false" customHeight="false" outlineLevel="0" collapsed="false">
      <c r="A6" s="26" t="str">
        <f aca="false">IF(Suppliers!A4="","",Suppliers!A4)</f>
        <v>Advanced Plastiform</v>
      </c>
      <c r="B6" s="27" t="n">
        <f aca="false">IF($A6="","",COUNTIFS('Score Log'!$C$4:$C$204,$A6))</f>
        <v>1</v>
      </c>
      <c r="C6" s="28" t="str">
        <f aca="false">IF($A6="","",IFERROR(ROUND(AVERAGEIFS('Score Log'!$F$4:$F$204,'Score Log'!$C$4:$C$204,$A6),2),"–"))</f>
        <v>–</v>
      </c>
      <c r="D6" s="28" t="str">
        <f aca="false">IF($A6="","",IFERROR(ROUND(AVERAGEIFS('Score Log'!$H$4:$H$204,'Score Log'!$C$4:$C$204,$A6),2),"–"))</f>
        <v>–</v>
      </c>
      <c r="E6" s="28" t="str">
        <f aca="false">IF($A6="","",IFERROR(ROUND(AVERAGEIFS('Score Log'!$J$4:$J$204,'Score Log'!$C$4:$C$204,$A6),2),"–"))</f>
        <v>–</v>
      </c>
      <c r="F6" s="28" t="str">
        <f aca="false">IF($A6="","",IFERROR(ROUND(AVERAGEIFS('Score Log'!$L$4:$L$204,'Score Log'!$C$4:$C$204,$A6),2),"–"))</f>
        <v>–</v>
      </c>
      <c r="G6" s="28" t="str">
        <f aca="false">IF($A6="","",IFERROR(ROUND(AVERAGEIFS('Score Log'!$N$4:$N$204,'Score Log'!$C$4:$C$204,$A6),2),"–"))</f>
        <v>–</v>
      </c>
      <c r="H6" s="29" t="str">
        <f aca="false">IF($A6="","",IFERROR(COUNTIFS('Score Log'!$C$4:$C$204,$A6,'Score Log'!$U$4:$U$204,"Yes")/(COUNTIFS('Score Log'!$C$4:$C$204,$A6,'Score Log'!$U$4:$U$204,"Yes")+COUNTIFS('Score Log'!$C$4:$C$204,$A6,'Score Log'!$U$4:$U$204,"No")),"–"))</f>
        <v>–</v>
      </c>
      <c r="I6" s="30" t="str">
        <f aca="false">IF($A6="","",IFERROR(AVERAGEIFS('Score Log'!$Q$4:$Q$204,'Score Log'!$C$4:$C$204,$A6),"–"))</f>
        <v>–</v>
      </c>
      <c r="J6" s="31" t="n">
        <f aca="false">IF($A6="","",IF($B6=0,"–",_xlfn.MAXIFS('Score Log'!$A$4:$A$204,'Score Log'!$C$4:$C$204,$A6)))</f>
        <v>46027</v>
      </c>
    </row>
    <row r="7" customFormat="false" ht="14.25" hidden="false" customHeight="false" outlineLevel="0" collapsed="false">
      <c r="A7" s="26" t="str">
        <f aca="false">IF(Suppliers!A5="","",Suppliers!A5)</f>
        <v/>
      </c>
      <c r="B7" s="27" t="str">
        <f aca="false">IF($A7="","",COUNTIFS('Score Log'!$C$4:$C$204,$A7))</f>
        <v/>
      </c>
      <c r="C7" s="28" t="str">
        <f aca="false">IF($A7="","",IFERROR(ROUND(AVERAGEIFS('Score Log'!$F$4:$F$204,'Score Log'!$C$4:$C$204,$A7),2),"–"))</f>
        <v/>
      </c>
      <c r="D7" s="28" t="str">
        <f aca="false">IF($A7="","",IFERROR(ROUND(AVERAGEIFS('Score Log'!$H$4:$H$204,'Score Log'!$C$4:$C$204,$A7),2),"–"))</f>
        <v/>
      </c>
      <c r="E7" s="28" t="str">
        <f aca="false">IF($A7="","",IFERROR(ROUND(AVERAGEIFS('Score Log'!$J$4:$J$204,'Score Log'!$C$4:$C$204,$A7),2),"–"))</f>
        <v/>
      </c>
      <c r="F7" s="28" t="str">
        <f aca="false">IF($A7="","",IFERROR(ROUND(AVERAGEIFS('Score Log'!$L$4:$L$204,'Score Log'!$C$4:$C$204,$A7),2),"–"))</f>
        <v/>
      </c>
      <c r="G7" s="28" t="str">
        <f aca="false">IF($A7="","",IFERROR(ROUND(AVERAGEIFS('Score Log'!$N$4:$N$204,'Score Log'!$C$4:$C$204,$A7),2),"–"))</f>
        <v/>
      </c>
      <c r="H7" s="29" t="str">
        <f aca="false">IF($A7="","",IFERROR(COUNTIFS('Score Log'!$C$4:$C$204,$A7,'Score Log'!$U$4:$U$204,"Yes")/(COUNTIFS('Score Log'!$C$4:$C$204,$A7,'Score Log'!$U$4:$U$204,"Yes")+COUNTIFS('Score Log'!$C$4:$C$204,$A7,'Score Log'!$U$4:$U$204,"No")),"–"))</f>
        <v/>
      </c>
      <c r="I7" s="30" t="str">
        <f aca="false">IF($A7="","",IFERROR(AVERAGEIFS('Score Log'!$Q$4:$Q$204,'Score Log'!$C$4:$C$204,$A7),"–"))</f>
        <v/>
      </c>
      <c r="J7" s="31" t="str">
        <f aca="false">IF($A7="","",IF($B7=0,"–",_xlfn.MAXIFS('Score Log'!$A$4:$A$204,'Score Log'!$C$4:$C$204,$A7)))</f>
        <v/>
      </c>
    </row>
    <row r="8" customFormat="false" ht="14.25" hidden="false" customHeight="false" outlineLevel="0" collapsed="false">
      <c r="A8" s="26" t="str">
        <f aca="false">IF(Suppliers!A6="","",Suppliers!A6)</f>
        <v/>
      </c>
      <c r="B8" s="27" t="str">
        <f aca="false">IF($A8="","",COUNTIFS('Score Log'!$C$4:$C$204,$A8))</f>
        <v/>
      </c>
      <c r="C8" s="28" t="str">
        <f aca="false">IF($A8="","",IFERROR(ROUND(AVERAGEIFS('Score Log'!$F$4:$F$204,'Score Log'!$C$4:$C$204,$A8),2),"–"))</f>
        <v/>
      </c>
      <c r="D8" s="28" t="str">
        <f aca="false">IF($A8="","",IFERROR(ROUND(AVERAGEIFS('Score Log'!$H$4:$H$204,'Score Log'!$C$4:$C$204,$A8),2),"–"))</f>
        <v/>
      </c>
      <c r="E8" s="28" t="str">
        <f aca="false">IF($A8="","",IFERROR(ROUND(AVERAGEIFS('Score Log'!$J$4:$J$204,'Score Log'!$C$4:$C$204,$A8),2),"–"))</f>
        <v/>
      </c>
      <c r="F8" s="28" t="str">
        <f aca="false">IF($A8="","",IFERROR(ROUND(AVERAGEIFS('Score Log'!$L$4:$L$204,'Score Log'!$C$4:$C$204,$A8),2),"–"))</f>
        <v/>
      </c>
      <c r="G8" s="28" t="str">
        <f aca="false">IF($A8="","",IFERROR(ROUND(AVERAGEIFS('Score Log'!$N$4:$N$204,'Score Log'!$C$4:$C$204,$A8),2),"–"))</f>
        <v/>
      </c>
      <c r="H8" s="29" t="str">
        <f aca="false">IF($A8="","",IFERROR(COUNTIFS('Score Log'!$C$4:$C$204,$A8,'Score Log'!$U$4:$U$204,"Yes")/(COUNTIFS('Score Log'!$C$4:$C$204,$A8,'Score Log'!$U$4:$U$204,"Yes")+COUNTIFS('Score Log'!$C$4:$C$204,$A8,'Score Log'!$U$4:$U$204,"No")),"–"))</f>
        <v/>
      </c>
      <c r="I8" s="30" t="str">
        <f aca="false">IF($A8="","",IFERROR(AVERAGEIFS('Score Log'!$Q$4:$Q$204,'Score Log'!$C$4:$C$204,$A8),"–"))</f>
        <v/>
      </c>
      <c r="J8" s="31" t="str">
        <f aca="false">IF($A8="","",IF($B8=0,"–",_xlfn.MAXIFS('Score Log'!$A$4:$A$204,'Score Log'!$C$4:$C$204,$A8)))</f>
        <v/>
      </c>
    </row>
    <row r="9" customFormat="false" ht="14.25" hidden="false" customHeight="false" outlineLevel="0" collapsed="false">
      <c r="A9" s="26" t="str">
        <f aca="false">IF(Suppliers!A7="","",Suppliers!A7)</f>
        <v/>
      </c>
      <c r="B9" s="27" t="str">
        <f aca="false">IF($A9="","",COUNTIFS('Score Log'!$C$4:$C$204,$A9))</f>
        <v/>
      </c>
      <c r="C9" s="28" t="str">
        <f aca="false">IF($A9="","",IFERROR(ROUND(AVERAGEIFS('Score Log'!$F$4:$F$204,'Score Log'!$C$4:$C$204,$A9),2),"–"))</f>
        <v/>
      </c>
      <c r="D9" s="28" t="str">
        <f aca="false">IF($A9="","",IFERROR(ROUND(AVERAGEIFS('Score Log'!$H$4:$H$204,'Score Log'!$C$4:$C$204,$A9),2),"–"))</f>
        <v/>
      </c>
      <c r="E9" s="28" t="str">
        <f aca="false">IF($A9="","",IFERROR(ROUND(AVERAGEIFS('Score Log'!$J$4:$J$204,'Score Log'!$C$4:$C$204,$A9),2),"–"))</f>
        <v/>
      </c>
      <c r="F9" s="28" t="str">
        <f aca="false">IF($A9="","",IFERROR(ROUND(AVERAGEIFS('Score Log'!$L$4:$L$204,'Score Log'!$C$4:$C$204,$A9),2),"–"))</f>
        <v/>
      </c>
      <c r="G9" s="28" t="str">
        <f aca="false">IF($A9="","",IFERROR(ROUND(AVERAGEIFS('Score Log'!$N$4:$N$204,'Score Log'!$C$4:$C$204,$A9),2),"–"))</f>
        <v/>
      </c>
      <c r="H9" s="29" t="str">
        <f aca="false">IF($A9="","",IFERROR(COUNTIFS('Score Log'!$C$4:$C$204,$A9,'Score Log'!$U$4:$U$204,"Yes")/(COUNTIFS('Score Log'!$C$4:$C$204,$A9,'Score Log'!$U$4:$U$204,"Yes")+COUNTIFS('Score Log'!$C$4:$C$204,$A9,'Score Log'!$U$4:$U$204,"No")),"–"))</f>
        <v/>
      </c>
      <c r="I9" s="30" t="str">
        <f aca="false">IF($A9="","",IFERROR(AVERAGEIFS('Score Log'!$Q$4:$Q$204,'Score Log'!$C$4:$C$204,$A9),"–"))</f>
        <v/>
      </c>
      <c r="J9" s="31" t="str">
        <f aca="false">IF($A9="","",IF($B9=0,"–",_xlfn.MAXIFS('Score Log'!$A$4:$A$204,'Score Log'!$C$4:$C$204,$A9)))</f>
        <v/>
      </c>
    </row>
    <row r="10" customFormat="false" ht="14.25" hidden="false" customHeight="false" outlineLevel="0" collapsed="false">
      <c r="A10" s="26" t="str">
        <f aca="false">IF(Suppliers!A8="","",Suppliers!A8)</f>
        <v/>
      </c>
      <c r="B10" s="27" t="str">
        <f aca="false">IF($A10="","",COUNTIFS('Score Log'!$C$4:$C$204,$A10))</f>
        <v/>
      </c>
      <c r="C10" s="28" t="str">
        <f aca="false">IF($A10="","",IFERROR(ROUND(AVERAGEIFS('Score Log'!$F$4:$F$204,'Score Log'!$C$4:$C$204,$A10),2),"–"))</f>
        <v/>
      </c>
      <c r="D10" s="28" t="str">
        <f aca="false">IF($A10="","",IFERROR(ROUND(AVERAGEIFS('Score Log'!$H$4:$H$204,'Score Log'!$C$4:$C$204,$A10),2),"–"))</f>
        <v/>
      </c>
      <c r="E10" s="28" t="str">
        <f aca="false">IF($A10="","",IFERROR(ROUND(AVERAGEIFS('Score Log'!$J$4:$J$204,'Score Log'!$C$4:$C$204,$A10),2),"–"))</f>
        <v/>
      </c>
      <c r="F10" s="28" t="str">
        <f aca="false">IF($A10="","",IFERROR(ROUND(AVERAGEIFS('Score Log'!$L$4:$L$204,'Score Log'!$C$4:$C$204,$A10),2),"–"))</f>
        <v/>
      </c>
      <c r="G10" s="28" t="str">
        <f aca="false">IF($A10="","",IFERROR(ROUND(AVERAGEIFS('Score Log'!$N$4:$N$204,'Score Log'!$C$4:$C$204,$A10),2),"–"))</f>
        <v/>
      </c>
      <c r="H10" s="29" t="str">
        <f aca="false">IF($A10="","",IFERROR(COUNTIFS('Score Log'!$C$4:$C$204,$A10,'Score Log'!$U$4:$U$204,"Yes")/(COUNTIFS('Score Log'!$C$4:$C$204,$A10,'Score Log'!$U$4:$U$204,"Yes")+COUNTIFS('Score Log'!$C$4:$C$204,$A10,'Score Log'!$U$4:$U$204,"No")),"–"))</f>
        <v/>
      </c>
      <c r="I10" s="30" t="str">
        <f aca="false">IF($A10="","",IFERROR(AVERAGEIFS('Score Log'!$Q$4:$Q$204,'Score Log'!$C$4:$C$204,$A10),"–"))</f>
        <v/>
      </c>
      <c r="J10" s="31" t="str">
        <f aca="false">IF($A10="","",IF($B10=0,"–",_xlfn.MAXIFS('Score Log'!$A$4:$A$204,'Score Log'!$C$4:$C$204,$A10)))</f>
        <v/>
      </c>
    </row>
    <row r="11" customFormat="false" ht="14.25" hidden="false" customHeight="false" outlineLevel="0" collapsed="false">
      <c r="A11" s="26" t="str">
        <f aca="false">IF(Suppliers!A9="","",Suppliers!A9)</f>
        <v/>
      </c>
      <c r="B11" s="27" t="str">
        <f aca="false">IF($A11="","",COUNTIFS('Score Log'!$C$4:$C$204,$A11))</f>
        <v/>
      </c>
      <c r="C11" s="28" t="str">
        <f aca="false">IF($A11="","",IFERROR(ROUND(AVERAGEIFS('Score Log'!$F$4:$F$204,'Score Log'!$C$4:$C$204,$A11),2),"–"))</f>
        <v/>
      </c>
      <c r="D11" s="28" t="str">
        <f aca="false">IF($A11="","",IFERROR(ROUND(AVERAGEIFS('Score Log'!$H$4:$H$204,'Score Log'!$C$4:$C$204,$A11),2),"–"))</f>
        <v/>
      </c>
      <c r="E11" s="28" t="str">
        <f aca="false">IF($A11="","",IFERROR(ROUND(AVERAGEIFS('Score Log'!$J$4:$J$204,'Score Log'!$C$4:$C$204,$A11),2),"–"))</f>
        <v/>
      </c>
      <c r="F11" s="28" t="str">
        <f aca="false">IF($A11="","",IFERROR(ROUND(AVERAGEIFS('Score Log'!$L$4:$L$204,'Score Log'!$C$4:$C$204,$A11),2),"–"))</f>
        <v/>
      </c>
      <c r="G11" s="28" t="str">
        <f aca="false">IF($A11="","",IFERROR(ROUND(AVERAGEIFS('Score Log'!$N$4:$N$204,'Score Log'!$C$4:$C$204,$A11),2),"–"))</f>
        <v/>
      </c>
      <c r="H11" s="29" t="str">
        <f aca="false">IF($A11="","",IFERROR(COUNTIFS('Score Log'!$C$4:$C$204,$A11,'Score Log'!$U$4:$U$204,"Yes")/(COUNTIFS('Score Log'!$C$4:$C$204,$A11,'Score Log'!$U$4:$U$204,"Yes")+COUNTIFS('Score Log'!$C$4:$C$204,$A11,'Score Log'!$U$4:$U$204,"No")),"–"))</f>
        <v/>
      </c>
      <c r="I11" s="30" t="str">
        <f aca="false">IF($A11="","",IFERROR(AVERAGEIFS('Score Log'!$Q$4:$Q$204,'Score Log'!$C$4:$C$204,$A11),"–"))</f>
        <v/>
      </c>
      <c r="J11" s="31" t="str">
        <f aca="false">IF($A11="","",IF($B11=0,"–",_xlfn.MAXIFS('Score Log'!$A$4:$A$204,'Score Log'!$C$4:$C$204,$A11)))</f>
        <v/>
      </c>
    </row>
    <row r="12" customFormat="false" ht="14.25" hidden="false" customHeight="false" outlineLevel="0" collapsed="false">
      <c r="A12" s="26" t="str">
        <f aca="false">IF(Suppliers!A10="","",Suppliers!A10)</f>
        <v/>
      </c>
      <c r="B12" s="27" t="str">
        <f aca="false">IF($A12="","",COUNTIFS('Score Log'!$C$4:$C$204,$A12))</f>
        <v/>
      </c>
      <c r="C12" s="28" t="str">
        <f aca="false">IF($A12="","",IFERROR(ROUND(AVERAGEIFS('Score Log'!$F$4:$F$204,'Score Log'!$C$4:$C$204,$A12),2),"–"))</f>
        <v/>
      </c>
      <c r="D12" s="28" t="str">
        <f aca="false">IF($A12="","",IFERROR(ROUND(AVERAGEIFS('Score Log'!$H$4:$H$204,'Score Log'!$C$4:$C$204,$A12),2),"–"))</f>
        <v/>
      </c>
      <c r="E12" s="28" t="str">
        <f aca="false">IF($A12="","",IFERROR(ROUND(AVERAGEIFS('Score Log'!$J$4:$J$204,'Score Log'!$C$4:$C$204,$A12),2),"–"))</f>
        <v/>
      </c>
      <c r="F12" s="28" t="str">
        <f aca="false">IF($A12="","",IFERROR(ROUND(AVERAGEIFS('Score Log'!$L$4:$L$204,'Score Log'!$C$4:$C$204,$A12),2),"–"))</f>
        <v/>
      </c>
      <c r="G12" s="28" t="str">
        <f aca="false">IF($A12="","",IFERROR(ROUND(AVERAGEIFS('Score Log'!$N$4:$N$204,'Score Log'!$C$4:$C$204,$A12),2),"–"))</f>
        <v/>
      </c>
      <c r="H12" s="29" t="str">
        <f aca="false">IF($A12="","",IFERROR(COUNTIFS('Score Log'!$C$4:$C$204,$A12,'Score Log'!$U$4:$U$204,"Yes")/(COUNTIFS('Score Log'!$C$4:$C$204,$A12,'Score Log'!$U$4:$U$204,"Yes")+COUNTIFS('Score Log'!$C$4:$C$204,$A12,'Score Log'!$U$4:$U$204,"No")),"–"))</f>
        <v/>
      </c>
      <c r="I12" s="30" t="str">
        <f aca="false">IF($A12="","",IFERROR(AVERAGEIFS('Score Log'!$Q$4:$Q$204,'Score Log'!$C$4:$C$204,$A12),"–"))</f>
        <v/>
      </c>
      <c r="J12" s="31" t="str">
        <f aca="false">IF($A12="","",IF($B12=0,"–",_xlfn.MAXIFS('Score Log'!$A$4:$A$204,'Score Log'!$C$4:$C$204,$A12)))</f>
        <v/>
      </c>
    </row>
    <row r="13" customFormat="false" ht="14.25" hidden="false" customHeight="false" outlineLevel="0" collapsed="false">
      <c r="A13" s="26" t="str">
        <f aca="false">IF(Suppliers!A11="","",Suppliers!A11)</f>
        <v/>
      </c>
      <c r="B13" s="27" t="str">
        <f aca="false">IF($A13="","",COUNTIFS('Score Log'!$C$4:$C$204,$A13))</f>
        <v/>
      </c>
      <c r="C13" s="28" t="str">
        <f aca="false">IF($A13="","",IFERROR(ROUND(AVERAGEIFS('Score Log'!$F$4:$F$204,'Score Log'!$C$4:$C$204,$A13),2),"–"))</f>
        <v/>
      </c>
      <c r="D13" s="28" t="str">
        <f aca="false">IF($A13="","",IFERROR(ROUND(AVERAGEIFS('Score Log'!$H$4:$H$204,'Score Log'!$C$4:$C$204,$A13),2),"–"))</f>
        <v/>
      </c>
      <c r="E13" s="28" t="str">
        <f aca="false">IF($A13="","",IFERROR(ROUND(AVERAGEIFS('Score Log'!$J$4:$J$204,'Score Log'!$C$4:$C$204,$A13),2),"–"))</f>
        <v/>
      </c>
      <c r="F13" s="28" t="str">
        <f aca="false">IF($A13="","",IFERROR(ROUND(AVERAGEIFS('Score Log'!$L$4:$L$204,'Score Log'!$C$4:$C$204,$A13),2),"–"))</f>
        <v/>
      </c>
      <c r="G13" s="28" t="str">
        <f aca="false">IF($A13="","",IFERROR(ROUND(AVERAGEIFS('Score Log'!$N$4:$N$204,'Score Log'!$C$4:$C$204,$A13),2),"–"))</f>
        <v/>
      </c>
      <c r="H13" s="29" t="str">
        <f aca="false">IF($A13="","",IFERROR(COUNTIFS('Score Log'!$C$4:$C$204,$A13,'Score Log'!$U$4:$U$204,"Yes")/(COUNTIFS('Score Log'!$C$4:$C$204,$A13,'Score Log'!$U$4:$U$204,"Yes")+COUNTIFS('Score Log'!$C$4:$C$204,$A13,'Score Log'!$U$4:$U$204,"No")),"–"))</f>
        <v/>
      </c>
      <c r="I13" s="30" t="str">
        <f aca="false">IF($A13="","",IFERROR(AVERAGEIFS('Score Log'!$Q$4:$Q$204,'Score Log'!$C$4:$C$204,$A13),"–"))</f>
        <v/>
      </c>
      <c r="J13" s="31" t="str">
        <f aca="false">IF($A13="","",IF($B13=0,"–",_xlfn.MAXIFS('Score Log'!$A$4:$A$204,'Score Log'!$C$4:$C$204,$A13)))</f>
        <v/>
      </c>
    </row>
    <row r="14" customFormat="false" ht="14.25" hidden="false" customHeight="false" outlineLevel="0" collapsed="false">
      <c r="A14" s="26" t="str">
        <f aca="false">IF(Suppliers!A12="","",Suppliers!A12)</f>
        <v/>
      </c>
      <c r="B14" s="27" t="str">
        <f aca="false">IF($A14="","",COUNTIFS('Score Log'!$C$4:$C$204,$A14))</f>
        <v/>
      </c>
      <c r="C14" s="28" t="str">
        <f aca="false">IF($A14="","",IFERROR(ROUND(AVERAGEIFS('Score Log'!$F$4:$F$204,'Score Log'!$C$4:$C$204,$A14),2),"–"))</f>
        <v/>
      </c>
      <c r="D14" s="28" t="str">
        <f aca="false">IF($A14="","",IFERROR(ROUND(AVERAGEIFS('Score Log'!$H$4:$H$204,'Score Log'!$C$4:$C$204,$A14),2),"–"))</f>
        <v/>
      </c>
      <c r="E14" s="28" t="str">
        <f aca="false">IF($A14="","",IFERROR(ROUND(AVERAGEIFS('Score Log'!$J$4:$J$204,'Score Log'!$C$4:$C$204,$A14),2),"–"))</f>
        <v/>
      </c>
      <c r="F14" s="28" t="str">
        <f aca="false">IF($A14="","",IFERROR(ROUND(AVERAGEIFS('Score Log'!$L$4:$L$204,'Score Log'!$C$4:$C$204,$A14),2),"–"))</f>
        <v/>
      </c>
      <c r="G14" s="28" t="str">
        <f aca="false">IF($A14="","",IFERROR(ROUND(AVERAGEIFS('Score Log'!$N$4:$N$204,'Score Log'!$C$4:$C$204,$A14),2),"–"))</f>
        <v/>
      </c>
      <c r="H14" s="29" t="str">
        <f aca="false">IF($A14="","",IFERROR(COUNTIFS('Score Log'!$C$4:$C$204,$A14,'Score Log'!$U$4:$U$204,"Yes")/(COUNTIFS('Score Log'!$C$4:$C$204,$A14,'Score Log'!$U$4:$U$204,"Yes")+COUNTIFS('Score Log'!$C$4:$C$204,$A14,'Score Log'!$U$4:$U$204,"No")),"–"))</f>
        <v/>
      </c>
      <c r="I14" s="30" t="str">
        <f aca="false">IF($A14="","",IFERROR(AVERAGEIFS('Score Log'!$Q$4:$Q$204,'Score Log'!$C$4:$C$204,$A14),"–"))</f>
        <v/>
      </c>
      <c r="J14" s="31" t="str">
        <f aca="false">IF($A14="","",IF($B14=0,"–",_xlfn.MAXIFS('Score Log'!$A$4:$A$204,'Score Log'!$C$4:$C$204,$A14)))</f>
        <v/>
      </c>
    </row>
    <row r="15" customFormat="false" ht="14.25" hidden="false" customHeight="false" outlineLevel="0" collapsed="false">
      <c r="A15" s="26" t="str">
        <f aca="false">IF(Suppliers!A13="","",Suppliers!A13)</f>
        <v/>
      </c>
      <c r="B15" s="27" t="str">
        <f aca="false">IF($A15="","",COUNTIFS('Score Log'!$C$4:$C$204,$A15))</f>
        <v/>
      </c>
      <c r="C15" s="28" t="str">
        <f aca="false">IF($A15="","",IFERROR(ROUND(AVERAGEIFS('Score Log'!$F$4:$F$204,'Score Log'!$C$4:$C$204,$A15),2),"–"))</f>
        <v/>
      </c>
      <c r="D15" s="28" t="str">
        <f aca="false">IF($A15="","",IFERROR(ROUND(AVERAGEIFS('Score Log'!$H$4:$H$204,'Score Log'!$C$4:$C$204,$A15),2),"–"))</f>
        <v/>
      </c>
      <c r="E15" s="28" t="str">
        <f aca="false">IF($A15="","",IFERROR(ROUND(AVERAGEIFS('Score Log'!$J$4:$J$204,'Score Log'!$C$4:$C$204,$A15),2),"–"))</f>
        <v/>
      </c>
      <c r="F15" s="28" t="str">
        <f aca="false">IF($A15="","",IFERROR(ROUND(AVERAGEIFS('Score Log'!$L$4:$L$204,'Score Log'!$C$4:$C$204,$A15),2),"–"))</f>
        <v/>
      </c>
      <c r="G15" s="28" t="str">
        <f aca="false">IF($A15="","",IFERROR(ROUND(AVERAGEIFS('Score Log'!$N$4:$N$204,'Score Log'!$C$4:$C$204,$A15),2),"–"))</f>
        <v/>
      </c>
      <c r="H15" s="29" t="str">
        <f aca="false">IF($A15="","",IFERROR(COUNTIFS('Score Log'!$C$4:$C$204,$A15,'Score Log'!$U$4:$U$204,"Yes")/(COUNTIFS('Score Log'!$C$4:$C$204,$A15,'Score Log'!$U$4:$U$204,"Yes")+COUNTIFS('Score Log'!$C$4:$C$204,$A15,'Score Log'!$U$4:$U$204,"No")),"–"))</f>
        <v/>
      </c>
      <c r="I15" s="30" t="str">
        <f aca="false">IF($A15="","",IFERROR(AVERAGEIFS('Score Log'!$Q$4:$Q$204,'Score Log'!$C$4:$C$204,$A15),"–"))</f>
        <v/>
      </c>
      <c r="J15" s="31" t="str">
        <f aca="false">IF($A15="","",IF($B15=0,"–",_xlfn.MAXIFS('Score Log'!$A$4:$A$204,'Score Log'!$C$4:$C$204,$A15)))</f>
        <v/>
      </c>
    </row>
    <row r="16" customFormat="false" ht="14.25" hidden="false" customHeight="false" outlineLevel="0" collapsed="false">
      <c r="A16" s="26" t="str">
        <f aca="false">IF(Suppliers!A14="","",Suppliers!A14)</f>
        <v/>
      </c>
      <c r="B16" s="27" t="str">
        <f aca="false">IF($A16="","",COUNTIFS('Score Log'!$C$4:$C$204,$A16))</f>
        <v/>
      </c>
      <c r="C16" s="28" t="str">
        <f aca="false">IF($A16="","",IFERROR(ROUND(AVERAGEIFS('Score Log'!$F$4:$F$204,'Score Log'!$C$4:$C$204,$A16),2),"–"))</f>
        <v/>
      </c>
      <c r="D16" s="28" t="str">
        <f aca="false">IF($A16="","",IFERROR(ROUND(AVERAGEIFS('Score Log'!$H$4:$H$204,'Score Log'!$C$4:$C$204,$A16),2),"–"))</f>
        <v/>
      </c>
      <c r="E16" s="28" t="str">
        <f aca="false">IF($A16="","",IFERROR(ROUND(AVERAGEIFS('Score Log'!$J$4:$J$204,'Score Log'!$C$4:$C$204,$A16),2),"–"))</f>
        <v/>
      </c>
      <c r="F16" s="28" t="str">
        <f aca="false">IF($A16="","",IFERROR(ROUND(AVERAGEIFS('Score Log'!$L$4:$L$204,'Score Log'!$C$4:$C$204,$A16),2),"–"))</f>
        <v/>
      </c>
      <c r="G16" s="28" t="str">
        <f aca="false">IF($A16="","",IFERROR(ROUND(AVERAGEIFS('Score Log'!$N$4:$N$204,'Score Log'!$C$4:$C$204,$A16),2),"–"))</f>
        <v/>
      </c>
      <c r="H16" s="29" t="str">
        <f aca="false">IF($A16="","",IFERROR(COUNTIFS('Score Log'!$C$4:$C$204,$A16,'Score Log'!$U$4:$U$204,"Yes")/(COUNTIFS('Score Log'!$C$4:$C$204,$A16,'Score Log'!$U$4:$U$204,"Yes")+COUNTIFS('Score Log'!$C$4:$C$204,$A16,'Score Log'!$U$4:$U$204,"No")),"–"))</f>
        <v/>
      </c>
      <c r="I16" s="30" t="str">
        <f aca="false">IF($A16="","",IFERROR(AVERAGEIFS('Score Log'!$Q$4:$Q$204,'Score Log'!$C$4:$C$204,$A16),"–"))</f>
        <v/>
      </c>
      <c r="J16" s="31" t="str">
        <f aca="false">IF($A16="","",IF($B16=0,"–",_xlfn.MAXIFS('Score Log'!$A$4:$A$204,'Score Log'!$C$4:$C$204,$A16)))</f>
        <v/>
      </c>
    </row>
    <row r="17" customFormat="false" ht="14.25" hidden="false" customHeight="false" outlineLevel="0" collapsed="false">
      <c r="A17" s="26" t="str">
        <f aca="false">IF(Suppliers!A15="","",Suppliers!A15)</f>
        <v/>
      </c>
      <c r="B17" s="27" t="str">
        <f aca="false">IF($A17="","",COUNTIFS('Score Log'!$C$4:$C$204,$A17))</f>
        <v/>
      </c>
      <c r="C17" s="28" t="str">
        <f aca="false">IF($A17="","",IFERROR(ROUND(AVERAGEIFS('Score Log'!$F$4:$F$204,'Score Log'!$C$4:$C$204,$A17),2),"–"))</f>
        <v/>
      </c>
      <c r="D17" s="28" t="str">
        <f aca="false">IF($A17="","",IFERROR(ROUND(AVERAGEIFS('Score Log'!$H$4:$H$204,'Score Log'!$C$4:$C$204,$A17),2),"–"))</f>
        <v/>
      </c>
      <c r="E17" s="28" t="str">
        <f aca="false">IF($A17="","",IFERROR(ROUND(AVERAGEIFS('Score Log'!$J$4:$J$204,'Score Log'!$C$4:$C$204,$A17),2),"–"))</f>
        <v/>
      </c>
      <c r="F17" s="28" t="str">
        <f aca="false">IF($A17="","",IFERROR(ROUND(AVERAGEIFS('Score Log'!$L$4:$L$204,'Score Log'!$C$4:$C$204,$A17),2),"–"))</f>
        <v/>
      </c>
      <c r="G17" s="28" t="str">
        <f aca="false">IF($A17="","",IFERROR(ROUND(AVERAGEIFS('Score Log'!$N$4:$N$204,'Score Log'!$C$4:$C$204,$A17),2),"–"))</f>
        <v/>
      </c>
      <c r="H17" s="29" t="str">
        <f aca="false">IF($A17="","",IFERROR(COUNTIFS('Score Log'!$C$4:$C$204,$A17,'Score Log'!$U$4:$U$204,"Yes")/(COUNTIFS('Score Log'!$C$4:$C$204,$A17,'Score Log'!$U$4:$U$204,"Yes")+COUNTIFS('Score Log'!$C$4:$C$204,$A17,'Score Log'!$U$4:$U$204,"No")),"–"))</f>
        <v/>
      </c>
      <c r="I17" s="30" t="str">
        <f aca="false">IF($A17="","",IFERROR(AVERAGEIFS('Score Log'!$Q$4:$Q$204,'Score Log'!$C$4:$C$204,$A17),"–"))</f>
        <v/>
      </c>
      <c r="J17" s="31" t="str">
        <f aca="false">IF($A17="","",IF($B17=0,"–",_xlfn.MAXIFS('Score Log'!$A$4:$A$204,'Score Log'!$C$4:$C$204,$A17)))</f>
        <v/>
      </c>
    </row>
    <row r="18" customFormat="false" ht="14.25" hidden="false" customHeight="false" outlineLevel="0" collapsed="false">
      <c r="A18" s="26" t="str">
        <f aca="false">IF(Suppliers!A16="","",Suppliers!A16)</f>
        <v/>
      </c>
      <c r="B18" s="27" t="str">
        <f aca="false">IF($A18="","",COUNTIFS('Score Log'!$C$4:$C$204,$A18))</f>
        <v/>
      </c>
      <c r="C18" s="28" t="str">
        <f aca="false">IF($A18="","",IFERROR(ROUND(AVERAGEIFS('Score Log'!$F$4:$F$204,'Score Log'!$C$4:$C$204,$A18),2),"–"))</f>
        <v/>
      </c>
      <c r="D18" s="28" t="str">
        <f aca="false">IF($A18="","",IFERROR(ROUND(AVERAGEIFS('Score Log'!$H$4:$H$204,'Score Log'!$C$4:$C$204,$A18),2),"–"))</f>
        <v/>
      </c>
      <c r="E18" s="28" t="str">
        <f aca="false">IF($A18="","",IFERROR(ROUND(AVERAGEIFS('Score Log'!$J$4:$J$204,'Score Log'!$C$4:$C$204,$A18),2),"–"))</f>
        <v/>
      </c>
      <c r="F18" s="28" t="str">
        <f aca="false">IF($A18="","",IFERROR(ROUND(AVERAGEIFS('Score Log'!$L$4:$L$204,'Score Log'!$C$4:$C$204,$A18),2),"–"))</f>
        <v/>
      </c>
      <c r="G18" s="28" t="str">
        <f aca="false">IF($A18="","",IFERROR(ROUND(AVERAGEIFS('Score Log'!$N$4:$N$204,'Score Log'!$C$4:$C$204,$A18),2),"–"))</f>
        <v/>
      </c>
      <c r="H18" s="29" t="str">
        <f aca="false">IF($A18="","",IFERROR(COUNTIFS('Score Log'!$C$4:$C$204,$A18,'Score Log'!$U$4:$U$204,"Yes")/(COUNTIFS('Score Log'!$C$4:$C$204,$A18,'Score Log'!$U$4:$U$204,"Yes")+COUNTIFS('Score Log'!$C$4:$C$204,$A18,'Score Log'!$U$4:$U$204,"No")),"–"))</f>
        <v/>
      </c>
      <c r="I18" s="30" t="str">
        <f aca="false">IF($A18="","",IFERROR(AVERAGEIFS('Score Log'!$Q$4:$Q$204,'Score Log'!$C$4:$C$204,$A18),"–"))</f>
        <v/>
      </c>
      <c r="J18" s="31" t="str">
        <f aca="false">IF($A18="","",IF($B18=0,"–",_xlfn.MAXIFS('Score Log'!$A$4:$A$204,'Score Log'!$C$4:$C$204,$A18)))</f>
        <v/>
      </c>
    </row>
    <row r="19" customFormat="false" ht="14.25" hidden="false" customHeight="false" outlineLevel="0" collapsed="false">
      <c r="A19" s="26" t="str">
        <f aca="false">IF(Suppliers!A17="","",Suppliers!A17)</f>
        <v/>
      </c>
      <c r="B19" s="27" t="str">
        <f aca="false">IF($A19="","",COUNTIFS('Score Log'!$C$4:$C$204,$A19))</f>
        <v/>
      </c>
      <c r="C19" s="28" t="str">
        <f aca="false">IF($A19="","",IFERROR(ROUND(AVERAGEIFS('Score Log'!$F$4:$F$204,'Score Log'!$C$4:$C$204,$A19),2),"–"))</f>
        <v/>
      </c>
      <c r="D19" s="28" t="str">
        <f aca="false">IF($A19="","",IFERROR(ROUND(AVERAGEIFS('Score Log'!$H$4:$H$204,'Score Log'!$C$4:$C$204,$A19),2),"–"))</f>
        <v/>
      </c>
      <c r="E19" s="28" t="str">
        <f aca="false">IF($A19="","",IFERROR(ROUND(AVERAGEIFS('Score Log'!$J$4:$J$204,'Score Log'!$C$4:$C$204,$A19),2),"–"))</f>
        <v/>
      </c>
      <c r="F19" s="28" t="str">
        <f aca="false">IF($A19="","",IFERROR(ROUND(AVERAGEIFS('Score Log'!$L$4:$L$204,'Score Log'!$C$4:$C$204,$A19),2),"–"))</f>
        <v/>
      </c>
      <c r="G19" s="28" t="str">
        <f aca="false">IF($A19="","",IFERROR(ROUND(AVERAGEIFS('Score Log'!$N$4:$N$204,'Score Log'!$C$4:$C$204,$A19),2),"–"))</f>
        <v/>
      </c>
      <c r="H19" s="29" t="str">
        <f aca="false">IF($A19="","",IFERROR(COUNTIFS('Score Log'!$C$4:$C$204,$A19,'Score Log'!$U$4:$U$204,"Yes")/(COUNTIFS('Score Log'!$C$4:$C$204,$A19,'Score Log'!$U$4:$U$204,"Yes")+COUNTIFS('Score Log'!$C$4:$C$204,$A19,'Score Log'!$U$4:$U$204,"No")),"–"))</f>
        <v/>
      </c>
      <c r="I19" s="30" t="str">
        <f aca="false">IF($A19="","",IFERROR(AVERAGEIFS('Score Log'!$Q$4:$Q$204,'Score Log'!$C$4:$C$204,$A19),"–"))</f>
        <v/>
      </c>
      <c r="J19" s="31" t="str">
        <f aca="false">IF($A19="","",IF($B19=0,"–",_xlfn.MAXIFS('Score Log'!$A$4:$A$204,'Score Log'!$C$4:$C$204,$A19)))</f>
        <v/>
      </c>
    </row>
    <row r="20" customFormat="false" ht="14.25" hidden="false" customHeight="false" outlineLevel="0" collapsed="false">
      <c r="A20" s="26" t="str">
        <f aca="false">IF(Suppliers!A18="","",Suppliers!A18)</f>
        <v/>
      </c>
      <c r="B20" s="27" t="str">
        <f aca="false">IF($A20="","",COUNTIFS('Score Log'!$C$4:$C$204,$A20))</f>
        <v/>
      </c>
      <c r="C20" s="28" t="str">
        <f aca="false">IF($A20="","",IFERROR(ROUND(AVERAGEIFS('Score Log'!$F$4:$F$204,'Score Log'!$C$4:$C$204,$A20),2),"–"))</f>
        <v/>
      </c>
      <c r="D20" s="28" t="str">
        <f aca="false">IF($A20="","",IFERROR(ROUND(AVERAGEIFS('Score Log'!$H$4:$H$204,'Score Log'!$C$4:$C$204,$A20),2),"–"))</f>
        <v/>
      </c>
      <c r="E20" s="28" t="str">
        <f aca="false">IF($A20="","",IFERROR(ROUND(AVERAGEIFS('Score Log'!$J$4:$J$204,'Score Log'!$C$4:$C$204,$A20),2),"–"))</f>
        <v/>
      </c>
      <c r="F20" s="28" t="str">
        <f aca="false">IF($A20="","",IFERROR(ROUND(AVERAGEIFS('Score Log'!$L$4:$L$204,'Score Log'!$C$4:$C$204,$A20),2),"–"))</f>
        <v/>
      </c>
      <c r="G20" s="28" t="str">
        <f aca="false">IF($A20="","",IFERROR(ROUND(AVERAGEIFS('Score Log'!$N$4:$N$204,'Score Log'!$C$4:$C$204,$A20),2),"–"))</f>
        <v/>
      </c>
      <c r="H20" s="29" t="str">
        <f aca="false">IF($A20="","",IFERROR(COUNTIFS('Score Log'!$C$4:$C$204,$A20,'Score Log'!$U$4:$U$204,"Yes")/(COUNTIFS('Score Log'!$C$4:$C$204,$A20,'Score Log'!$U$4:$U$204,"Yes")+COUNTIFS('Score Log'!$C$4:$C$204,$A20,'Score Log'!$U$4:$U$204,"No")),"–"))</f>
        <v/>
      </c>
      <c r="I20" s="30" t="str">
        <f aca="false">IF($A20="","",IFERROR(AVERAGEIFS('Score Log'!$Q$4:$Q$204,'Score Log'!$C$4:$C$204,$A20),"–"))</f>
        <v/>
      </c>
      <c r="J20" s="31" t="str">
        <f aca="false">IF($A20="","",IF($B20=0,"–",_xlfn.MAXIFS('Score Log'!$A$4:$A$204,'Score Log'!$C$4:$C$204,$A20)))</f>
        <v/>
      </c>
    </row>
    <row r="21" customFormat="false" ht="14.25" hidden="false" customHeight="false" outlineLevel="0" collapsed="false">
      <c r="A21" s="26" t="str">
        <f aca="false">IF(Suppliers!A19="","",Suppliers!A19)</f>
        <v/>
      </c>
      <c r="B21" s="27" t="str">
        <f aca="false">IF($A21="","",COUNTIFS('Score Log'!$C$4:$C$204,$A21))</f>
        <v/>
      </c>
      <c r="C21" s="28" t="str">
        <f aca="false">IF($A21="","",IFERROR(ROUND(AVERAGEIFS('Score Log'!$F$4:$F$204,'Score Log'!$C$4:$C$204,$A21),2),"–"))</f>
        <v/>
      </c>
      <c r="D21" s="28" t="str">
        <f aca="false">IF($A21="","",IFERROR(ROUND(AVERAGEIFS('Score Log'!$H$4:$H$204,'Score Log'!$C$4:$C$204,$A21),2),"–"))</f>
        <v/>
      </c>
      <c r="E21" s="28" t="str">
        <f aca="false">IF($A21="","",IFERROR(ROUND(AVERAGEIFS('Score Log'!$J$4:$J$204,'Score Log'!$C$4:$C$204,$A21),2),"–"))</f>
        <v/>
      </c>
      <c r="F21" s="28" t="str">
        <f aca="false">IF($A21="","",IFERROR(ROUND(AVERAGEIFS('Score Log'!$L$4:$L$204,'Score Log'!$C$4:$C$204,$A21),2),"–"))</f>
        <v/>
      </c>
      <c r="G21" s="28" t="str">
        <f aca="false">IF($A21="","",IFERROR(ROUND(AVERAGEIFS('Score Log'!$N$4:$N$204,'Score Log'!$C$4:$C$204,$A21),2),"–"))</f>
        <v/>
      </c>
      <c r="H21" s="29" t="str">
        <f aca="false">IF($A21="","",IFERROR(COUNTIFS('Score Log'!$C$4:$C$204,$A21,'Score Log'!$U$4:$U$204,"Yes")/(COUNTIFS('Score Log'!$C$4:$C$204,$A21,'Score Log'!$U$4:$U$204,"Yes")+COUNTIFS('Score Log'!$C$4:$C$204,$A21,'Score Log'!$U$4:$U$204,"No")),"–"))</f>
        <v/>
      </c>
      <c r="I21" s="30" t="str">
        <f aca="false">IF($A21="","",IFERROR(AVERAGEIFS('Score Log'!$Q$4:$Q$204,'Score Log'!$C$4:$C$204,$A21),"–"))</f>
        <v/>
      </c>
      <c r="J21" s="31" t="str">
        <f aca="false">IF($A21="","",IF($B21=0,"–",_xlfn.MAXIFS('Score Log'!$A$4:$A$204,'Score Log'!$C$4:$C$204,$A21)))</f>
        <v/>
      </c>
    </row>
    <row r="22" customFormat="false" ht="14.25" hidden="false" customHeight="false" outlineLevel="0" collapsed="false">
      <c r="A22" s="26" t="str">
        <f aca="false">IF(Suppliers!A20="","",Suppliers!A20)</f>
        <v/>
      </c>
      <c r="B22" s="27" t="str">
        <f aca="false">IF($A22="","",COUNTIFS('Score Log'!$C$4:$C$204,$A22))</f>
        <v/>
      </c>
      <c r="C22" s="28" t="str">
        <f aca="false">IF($A22="","",IFERROR(ROUND(AVERAGEIFS('Score Log'!$F$4:$F$204,'Score Log'!$C$4:$C$204,$A22),2),"–"))</f>
        <v/>
      </c>
      <c r="D22" s="28" t="str">
        <f aca="false">IF($A22="","",IFERROR(ROUND(AVERAGEIFS('Score Log'!$H$4:$H$204,'Score Log'!$C$4:$C$204,$A22),2),"–"))</f>
        <v/>
      </c>
      <c r="E22" s="28" t="str">
        <f aca="false">IF($A22="","",IFERROR(ROUND(AVERAGEIFS('Score Log'!$J$4:$J$204,'Score Log'!$C$4:$C$204,$A22),2),"–"))</f>
        <v/>
      </c>
      <c r="F22" s="28" t="str">
        <f aca="false">IF($A22="","",IFERROR(ROUND(AVERAGEIFS('Score Log'!$L$4:$L$204,'Score Log'!$C$4:$C$204,$A22),2),"–"))</f>
        <v/>
      </c>
      <c r="G22" s="28" t="str">
        <f aca="false">IF($A22="","",IFERROR(ROUND(AVERAGEIFS('Score Log'!$N$4:$N$204,'Score Log'!$C$4:$C$204,$A22),2),"–"))</f>
        <v/>
      </c>
      <c r="H22" s="29" t="str">
        <f aca="false">IF($A22="","",IFERROR(COUNTIFS('Score Log'!$C$4:$C$204,$A22,'Score Log'!$U$4:$U$204,"Yes")/(COUNTIFS('Score Log'!$C$4:$C$204,$A22,'Score Log'!$U$4:$U$204,"Yes")+COUNTIFS('Score Log'!$C$4:$C$204,$A22,'Score Log'!$U$4:$U$204,"No")),"–"))</f>
        <v/>
      </c>
      <c r="I22" s="30" t="str">
        <f aca="false">IF($A22="","",IFERROR(AVERAGEIFS('Score Log'!$Q$4:$Q$204,'Score Log'!$C$4:$C$204,$A22),"–"))</f>
        <v/>
      </c>
      <c r="J22" s="31" t="str">
        <f aca="false">IF($A22="","",IF($B22=0,"–",_xlfn.MAXIFS('Score Log'!$A$4:$A$204,'Score Log'!$C$4:$C$204,$A22)))</f>
        <v/>
      </c>
    </row>
    <row r="23" customFormat="false" ht="14.25" hidden="false" customHeight="false" outlineLevel="0" collapsed="false">
      <c r="A23" s="26" t="str">
        <f aca="false">IF(Suppliers!A21="","",Suppliers!A21)</f>
        <v/>
      </c>
      <c r="B23" s="27" t="str">
        <f aca="false">IF($A23="","",COUNTIFS('Score Log'!$C$4:$C$204,$A23))</f>
        <v/>
      </c>
      <c r="C23" s="28" t="str">
        <f aca="false">IF($A23="","",IFERROR(ROUND(AVERAGEIFS('Score Log'!$F$4:$F$204,'Score Log'!$C$4:$C$204,$A23),2),"–"))</f>
        <v/>
      </c>
      <c r="D23" s="28" t="str">
        <f aca="false">IF($A23="","",IFERROR(ROUND(AVERAGEIFS('Score Log'!$H$4:$H$204,'Score Log'!$C$4:$C$204,$A23),2),"–"))</f>
        <v/>
      </c>
      <c r="E23" s="28" t="str">
        <f aca="false">IF($A23="","",IFERROR(ROUND(AVERAGEIFS('Score Log'!$J$4:$J$204,'Score Log'!$C$4:$C$204,$A23),2),"–"))</f>
        <v/>
      </c>
      <c r="F23" s="28" t="str">
        <f aca="false">IF($A23="","",IFERROR(ROUND(AVERAGEIFS('Score Log'!$L$4:$L$204,'Score Log'!$C$4:$C$204,$A23),2),"–"))</f>
        <v/>
      </c>
      <c r="G23" s="28" t="str">
        <f aca="false">IF($A23="","",IFERROR(ROUND(AVERAGEIFS('Score Log'!$N$4:$N$204,'Score Log'!$C$4:$C$204,$A23),2),"–"))</f>
        <v/>
      </c>
      <c r="H23" s="29" t="str">
        <f aca="false">IF($A23="","",IFERROR(COUNTIFS('Score Log'!$C$4:$C$204,$A23,'Score Log'!$U$4:$U$204,"Yes")/(COUNTIFS('Score Log'!$C$4:$C$204,$A23,'Score Log'!$U$4:$U$204,"Yes")+COUNTIFS('Score Log'!$C$4:$C$204,$A23,'Score Log'!$U$4:$U$204,"No")),"–"))</f>
        <v/>
      </c>
      <c r="I23" s="30" t="str">
        <f aca="false">IF($A23="","",IFERROR(AVERAGEIFS('Score Log'!$Q$4:$Q$204,'Score Log'!$C$4:$C$204,$A23),"–"))</f>
        <v/>
      </c>
      <c r="J23" s="31" t="str">
        <f aca="false">IF($A23="","",IF($B23=0,"–",_xlfn.MAXIFS('Score Log'!$A$4:$A$204,'Score Log'!$C$4:$C$204,$A23)))</f>
        <v/>
      </c>
    </row>
    <row r="24" customFormat="false" ht="14.25" hidden="false" customHeight="false" outlineLevel="0" collapsed="false">
      <c r="A24" s="26" t="str">
        <f aca="false">IF(Suppliers!A22="","",Suppliers!A22)</f>
        <v/>
      </c>
      <c r="B24" s="27" t="str">
        <f aca="false">IF($A24="","",COUNTIFS('Score Log'!$C$4:$C$204,$A24))</f>
        <v/>
      </c>
      <c r="C24" s="28" t="str">
        <f aca="false">IF($A24="","",IFERROR(ROUND(AVERAGEIFS('Score Log'!$F$4:$F$204,'Score Log'!$C$4:$C$204,$A24),2),"–"))</f>
        <v/>
      </c>
      <c r="D24" s="28" t="str">
        <f aca="false">IF($A24="","",IFERROR(ROUND(AVERAGEIFS('Score Log'!$H$4:$H$204,'Score Log'!$C$4:$C$204,$A24),2),"–"))</f>
        <v/>
      </c>
      <c r="E24" s="28" t="str">
        <f aca="false">IF($A24="","",IFERROR(ROUND(AVERAGEIFS('Score Log'!$J$4:$J$204,'Score Log'!$C$4:$C$204,$A24),2),"–"))</f>
        <v/>
      </c>
      <c r="F24" s="28" t="str">
        <f aca="false">IF($A24="","",IFERROR(ROUND(AVERAGEIFS('Score Log'!$L$4:$L$204,'Score Log'!$C$4:$C$204,$A24),2),"–"))</f>
        <v/>
      </c>
      <c r="G24" s="28" t="str">
        <f aca="false">IF($A24="","",IFERROR(ROUND(AVERAGEIFS('Score Log'!$N$4:$N$204,'Score Log'!$C$4:$C$204,$A24),2),"–"))</f>
        <v/>
      </c>
      <c r="H24" s="29" t="str">
        <f aca="false">IF($A24="","",IFERROR(COUNTIFS('Score Log'!$C$4:$C$204,$A24,'Score Log'!$U$4:$U$204,"Yes")/(COUNTIFS('Score Log'!$C$4:$C$204,$A24,'Score Log'!$U$4:$U$204,"Yes")+COUNTIFS('Score Log'!$C$4:$C$204,$A24,'Score Log'!$U$4:$U$204,"No")),"–"))</f>
        <v/>
      </c>
      <c r="I24" s="30" t="str">
        <f aca="false">IF($A24="","",IFERROR(AVERAGEIFS('Score Log'!$Q$4:$Q$204,'Score Log'!$C$4:$C$204,$A24),"–"))</f>
        <v/>
      </c>
      <c r="J24" s="31" t="str">
        <f aca="false">IF($A24="","",IF($B24=0,"–",_xlfn.MAXIFS('Score Log'!$A$4:$A$204,'Score Log'!$C$4:$C$204,$A24)))</f>
        <v/>
      </c>
    </row>
    <row r="25" customFormat="false" ht="14.25" hidden="false" customHeight="false" outlineLevel="0" collapsed="false">
      <c r="A25" s="26" t="str">
        <f aca="false">IF(Suppliers!A23="","",Suppliers!A23)</f>
        <v/>
      </c>
      <c r="B25" s="27" t="str">
        <f aca="false">IF($A25="","",COUNTIFS('Score Log'!$C$4:$C$204,$A25))</f>
        <v/>
      </c>
      <c r="C25" s="28" t="str">
        <f aca="false">IF($A25="","",IFERROR(ROUND(AVERAGEIFS('Score Log'!$F$4:$F$204,'Score Log'!$C$4:$C$204,$A25),2),"–"))</f>
        <v/>
      </c>
      <c r="D25" s="28" t="str">
        <f aca="false">IF($A25="","",IFERROR(ROUND(AVERAGEIFS('Score Log'!$H$4:$H$204,'Score Log'!$C$4:$C$204,$A25),2),"–"))</f>
        <v/>
      </c>
      <c r="E25" s="28" t="str">
        <f aca="false">IF($A25="","",IFERROR(ROUND(AVERAGEIFS('Score Log'!$J$4:$J$204,'Score Log'!$C$4:$C$204,$A25),2),"–"))</f>
        <v/>
      </c>
      <c r="F25" s="28" t="str">
        <f aca="false">IF($A25="","",IFERROR(ROUND(AVERAGEIFS('Score Log'!$L$4:$L$204,'Score Log'!$C$4:$C$204,$A25),2),"–"))</f>
        <v/>
      </c>
      <c r="G25" s="28" t="str">
        <f aca="false">IF($A25="","",IFERROR(ROUND(AVERAGEIFS('Score Log'!$N$4:$N$204,'Score Log'!$C$4:$C$204,$A25),2),"–"))</f>
        <v/>
      </c>
      <c r="H25" s="29" t="str">
        <f aca="false">IF($A25="","",IFERROR(COUNTIFS('Score Log'!$C$4:$C$204,$A25,'Score Log'!$U$4:$U$204,"Yes")/(COUNTIFS('Score Log'!$C$4:$C$204,$A25,'Score Log'!$U$4:$U$204,"Yes")+COUNTIFS('Score Log'!$C$4:$C$204,$A25,'Score Log'!$U$4:$U$204,"No")),"–"))</f>
        <v/>
      </c>
      <c r="I25" s="30" t="str">
        <f aca="false">IF($A25="","",IFERROR(AVERAGEIFS('Score Log'!$Q$4:$Q$204,'Score Log'!$C$4:$C$204,$A25),"–"))</f>
        <v/>
      </c>
      <c r="J25" s="31" t="str">
        <f aca="false">IF($A25="","",IF($B25=0,"–",_xlfn.MAXIFS('Score Log'!$A$4:$A$204,'Score Log'!$C$4:$C$204,$A25)))</f>
        <v/>
      </c>
    </row>
    <row r="26" customFormat="false" ht="14.25" hidden="false" customHeight="false" outlineLevel="0" collapsed="false">
      <c r="A26" s="26" t="str">
        <f aca="false">IF(Suppliers!A24="","",Suppliers!A24)</f>
        <v/>
      </c>
      <c r="B26" s="27" t="str">
        <f aca="false">IF($A26="","",COUNTIFS('Score Log'!$C$4:$C$204,$A26))</f>
        <v/>
      </c>
      <c r="C26" s="28" t="str">
        <f aca="false">IF($A26="","",IFERROR(ROUND(AVERAGEIFS('Score Log'!$F$4:$F$204,'Score Log'!$C$4:$C$204,$A26),2),"–"))</f>
        <v/>
      </c>
      <c r="D26" s="28" t="str">
        <f aca="false">IF($A26="","",IFERROR(ROUND(AVERAGEIFS('Score Log'!$H$4:$H$204,'Score Log'!$C$4:$C$204,$A26),2),"–"))</f>
        <v/>
      </c>
      <c r="E26" s="28" t="str">
        <f aca="false">IF($A26="","",IFERROR(ROUND(AVERAGEIFS('Score Log'!$J$4:$J$204,'Score Log'!$C$4:$C$204,$A26),2),"–"))</f>
        <v/>
      </c>
      <c r="F26" s="28" t="str">
        <f aca="false">IF($A26="","",IFERROR(ROUND(AVERAGEIFS('Score Log'!$L$4:$L$204,'Score Log'!$C$4:$C$204,$A26),2),"–"))</f>
        <v/>
      </c>
      <c r="G26" s="28" t="str">
        <f aca="false">IF($A26="","",IFERROR(ROUND(AVERAGEIFS('Score Log'!$N$4:$N$204,'Score Log'!$C$4:$C$204,$A26),2),"–"))</f>
        <v/>
      </c>
      <c r="H26" s="29" t="str">
        <f aca="false">IF($A26="","",IFERROR(COUNTIFS('Score Log'!$C$4:$C$204,$A26,'Score Log'!$U$4:$U$204,"Yes")/(COUNTIFS('Score Log'!$C$4:$C$204,$A26,'Score Log'!$U$4:$U$204,"Yes")+COUNTIFS('Score Log'!$C$4:$C$204,$A26,'Score Log'!$U$4:$U$204,"No")),"–"))</f>
        <v/>
      </c>
      <c r="I26" s="30" t="str">
        <f aca="false">IF($A26="","",IFERROR(AVERAGEIFS('Score Log'!$Q$4:$Q$204,'Score Log'!$C$4:$C$204,$A26),"–"))</f>
        <v/>
      </c>
      <c r="J26" s="31" t="str">
        <f aca="false">IF($A26="","",IF($B26=0,"–",_xlfn.MAXIFS('Score Log'!$A$4:$A$204,'Score Log'!$C$4:$C$204,$A26)))</f>
        <v/>
      </c>
    </row>
    <row r="27" customFormat="false" ht="14.25" hidden="false" customHeight="false" outlineLevel="0" collapsed="false">
      <c r="A27" s="26" t="str">
        <f aca="false">IF(Suppliers!A25="","",Suppliers!A25)</f>
        <v/>
      </c>
      <c r="B27" s="27" t="str">
        <f aca="false">IF($A27="","",COUNTIFS('Score Log'!$C$4:$C$204,$A27))</f>
        <v/>
      </c>
      <c r="C27" s="28" t="str">
        <f aca="false">IF($A27="","",IFERROR(ROUND(AVERAGEIFS('Score Log'!$F$4:$F$204,'Score Log'!$C$4:$C$204,$A27),2),"–"))</f>
        <v/>
      </c>
      <c r="D27" s="28" t="str">
        <f aca="false">IF($A27="","",IFERROR(ROUND(AVERAGEIFS('Score Log'!$H$4:$H$204,'Score Log'!$C$4:$C$204,$A27),2),"–"))</f>
        <v/>
      </c>
      <c r="E27" s="28" t="str">
        <f aca="false">IF($A27="","",IFERROR(ROUND(AVERAGEIFS('Score Log'!$J$4:$J$204,'Score Log'!$C$4:$C$204,$A27),2),"–"))</f>
        <v/>
      </c>
      <c r="F27" s="28" t="str">
        <f aca="false">IF($A27="","",IFERROR(ROUND(AVERAGEIFS('Score Log'!$L$4:$L$204,'Score Log'!$C$4:$C$204,$A27),2),"–"))</f>
        <v/>
      </c>
      <c r="G27" s="28" t="str">
        <f aca="false">IF($A27="","",IFERROR(ROUND(AVERAGEIFS('Score Log'!$N$4:$N$204,'Score Log'!$C$4:$C$204,$A27),2),"–"))</f>
        <v/>
      </c>
      <c r="H27" s="29" t="str">
        <f aca="false">IF($A27="","",IFERROR(COUNTIFS('Score Log'!$C$4:$C$204,$A27,'Score Log'!$U$4:$U$204,"Yes")/(COUNTIFS('Score Log'!$C$4:$C$204,$A27,'Score Log'!$U$4:$U$204,"Yes")+COUNTIFS('Score Log'!$C$4:$C$204,$A27,'Score Log'!$U$4:$U$204,"No")),"–"))</f>
        <v/>
      </c>
      <c r="I27" s="30" t="str">
        <f aca="false">IF($A27="","",IFERROR(AVERAGEIFS('Score Log'!$Q$4:$Q$204,'Score Log'!$C$4:$C$204,$A27),"–"))</f>
        <v/>
      </c>
      <c r="J27" s="31" t="str">
        <f aca="false">IF($A27="","",IF($B27=0,"–",_xlfn.MAXIFS('Score Log'!$A$4:$A$204,'Score Log'!$C$4:$C$204,$A27)))</f>
        <v/>
      </c>
    </row>
    <row r="28" customFormat="false" ht="14.25" hidden="false" customHeight="false" outlineLevel="0" collapsed="false">
      <c r="A28" s="26" t="str">
        <f aca="false">IF(Suppliers!A26="","",Suppliers!A26)</f>
        <v/>
      </c>
      <c r="B28" s="27" t="str">
        <f aca="false">IF($A28="","",COUNTIFS('Score Log'!$C$4:$C$204,$A28))</f>
        <v/>
      </c>
      <c r="C28" s="28" t="str">
        <f aca="false">IF($A28="","",IFERROR(ROUND(AVERAGEIFS('Score Log'!$F$4:$F$204,'Score Log'!$C$4:$C$204,$A28),2),"–"))</f>
        <v/>
      </c>
      <c r="D28" s="28" t="str">
        <f aca="false">IF($A28="","",IFERROR(ROUND(AVERAGEIFS('Score Log'!$H$4:$H$204,'Score Log'!$C$4:$C$204,$A28),2),"–"))</f>
        <v/>
      </c>
      <c r="E28" s="28" t="str">
        <f aca="false">IF($A28="","",IFERROR(ROUND(AVERAGEIFS('Score Log'!$J$4:$J$204,'Score Log'!$C$4:$C$204,$A28),2),"–"))</f>
        <v/>
      </c>
      <c r="F28" s="28" t="str">
        <f aca="false">IF($A28="","",IFERROR(ROUND(AVERAGEIFS('Score Log'!$L$4:$L$204,'Score Log'!$C$4:$C$204,$A28),2),"–"))</f>
        <v/>
      </c>
      <c r="G28" s="28" t="str">
        <f aca="false">IF($A28="","",IFERROR(ROUND(AVERAGEIFS('Score Log'!$N$4:$N$204,'Score Log'!$C$4:$C$204,$A28),2),"–"))</f>
        <v/>
      </c>
      <c r="H28" s="29" t="str">
        <f aca="false">IF($A28="","",IFERROR(COUNTIFS('Score Log'!$C$4:$C$204,$A28,'Score Log'!$U$4:$U$204,"Yes")/(COUNTIFS('Score Log'!$C$4:$C$204,$A28,'Score Log'!$U$4:$U$204,"Yes")+COUNTIFS('Score Log'!$C$4:$C$204,$A28,'Score Log'!$U$4:$U$204,"No")),"–"))</f>
        <v/>
      </c>
      <c r="I28" s="30" t="str">
        <f aca="false">IF($A28="","",IFERROR(AVERAGEIFS('Score Log'!$Q$4:$Q$204,'Score Log'!$C$4:$C$204,$A28),"–"))</f>
        <v/>
      </c>
      <c r="J28" s="31" t="str">
        <f aca="false">IF($A28="","",IF($B28=0,"–",_xlfn.MAXIFS('Score Log'!$A$4:$A$204,'Score Log'!$C$4:$C$204,$A28)))</f>
        <v/>
      </c>
    </row>
    <row r="29" customFormat="false" ht="14.25" hidden="false" customHeight="false" outlineLevel="0" collapsed="false">
      <c r="A29" s="26" t="str">
        <f aca="false">IF(Suppliers!A27="","",Suppliers!A27)</f>
        <v/>
      </c>
      <c r="B29" s="27" t="str">
        <f aca="false">IF($A29="","",COUNTIFS('Score Log'!$C$4:$C$204,$A29))</f>
        <v/>
      </c>
      <c r="C29" s="28" t="str">
        <f aca="false">IF($A29="","",IFERROR(ROUND(AVERAGEIFS('Score Log'!$F$4:$F$204,'Score Log'!$C$4:$C$204,$A29),2),"–"))</f>
        <v/>
      </c>
      <c r="D29" s="28" t="str">
        <f aca="false">IF($A29="","",IFERROR(ROUND(AVERAGEIFS('Score Log'!$H$4:$H$204,'Score Log'!$C$4:$C$204,$A29),2),"–"))</f>
        <v/>
      </c>
      <c r="E29" s="28" t="str">
        <f aca="false">IF($A29="","",IFERROR(ROUND(AVERAGEIFS('Score Log'!$J$4:$J$204,'Score Log'!$C$4:$C$204,$A29),2),"–"))</f>
        <v/>
      </c>
      <c r="F29" s="28" t="str">
        <f aca="false">IF($A29="","",IFERROR(ROUND(AVERAGEIFS('Score Log'!$L$4:$L$204,'Score Log'!$C$4:$C$204,$A29),2),"–"))</f>
        <v/>
      </c>
      <c r="G29" s="28" t="str">
        <f aca="false">IF($A29="","",IFERROR(ROUND(AVERAGEIFS('Score Log'!$N$4:$N$204,'Score Log'!$C$4:$C$204,$A29),2),"–"))</f>
        <v/>
      </c>
      <c r="H29" s="29" t="str">
        <f aca="false">IF($A29="","",IFERROR(COUNTIFS('Score Log'!$C$4:$C$204,$A29,'Score Log'!$U$4:$U$204,"Yes")/(COUNTIFS('Score Log'!$C$4:$C$204,$A29,'Score Log'!$U$4:$U$204,"Yes")+COUNTIFS('Score Log'!$C$4:$C$204,$A29,'Score Log'!$U$4:$U$204,"No")),"–"))</f>
        <v/>
      </c>
      <c r="I29" s="30" t="str">
        <f aca="false">IF($A29="","",IFERROR(AVERAGEIFS('Score Log'!$Q$4:$Q$204,'Score Log'!$C$4:$C$204,$A29),"–"))</f>
        <v/>
      </c>
      <c r="J29" s="31" t="str">
        <f aca="false">IF($A29="","",IF($B29=0,"–",_xlfn.MAXIFS('Score Log'!$A$4:$A$204,'Score Log'!$C$4:$C$204,$A29)))</f>
        <v/>
      </c>
    </row>
    <row r="30" customFormat="false" ht="14.25" hidden="false" customHeight="false" outlineLevel="0" collapsed="false">
      <c r="A30" s="26" t="str">
        <f aca="false">IF(Suppliers!A28="","",Suppliers!A28)</f>
        <v/>
      </c>
      <c r="B30" s="27" t="str">
        <f aca="false">IF($A30="","",COUNTIFS('Score Log'!$C$4:$C$204,$A30))</f>
        <v/>
      </c>
      <c r="C30" s="28" t="str">
        <f aca="false">IF($A30="","",IFERROR(ROUND(AVERAGEIFS('Score Log'!$F$4:$F$204,'Score Log'!$C$4:$C$204,$A30),2),"–"))</f>
        <v/>
      </c>
      <c r="D30" s="28" t="str">
        <f aca="false">IF($A30="","",IFERROR(ROUND(AVERAGEIFS('Score Log'!$H$4:$H$204,'Score Log'!$C$4:$C$204,$A30),2),"–"))</f>
        <v/>
      </c>
      <c r="E30" s="28" t="str">
        <f aca="false">IF($A30="","",IFERROR(ROUND(AVERAGEIFS('Score Log'!$J$4:$J$204,'Score Log'!$C$4:$C$204,$A30),2),"–"))</f>
        <v/>
      </c>
      <c r="F30" s="28" t="str">
        <f aca="false">IF($A30="","",IFERROR(ROUND(AVERAGEIFS('Score Log'!$L$4:$L$204,'Score Log'!$C$4:$C$204,$A30),2),"–"))</f>
        <v/>
      </c>
      <c r="G30" s="28" t="str">
        <f aca="false">IF($A30="","",IFERROR(ROUND(AVERAGEIFS('Score Log'!$N$4:$N$204,'Score Log'!$C$4:$C$204,$A30),2),"–"))</f>
        <v/>
      </c>
      <c r="H30" s="29" t="str">
        <f aca="false">IF($A30="","",IFERROR(COUNTIFS('Score Log'!$C$4:$C$204,$A30,'Score Log'!$U$4:$U$204,"Yes")/(COUNTIFS('Score Log'!$C$4:$C$204,$A30,'Score Log'!$U$4:$U$204,"Yes")+COUNTIFS('Score Log'!$C$4:$C$204,$A30,'Score Log'!$U$4:$U$204,"No")),"–"))</f>
        <v/>
      </c>
      <c r="I30" s="30" t="str">
        <f aca="false">IF($A30="","",IFERROR(AVERAGEIFS('Score Log'!$Q$4:$Q$204,'Score Log'!$C$4:$C$204,$A30),"–"))</f>
        <v/>
      </c>
      <c r="J30" s="31" t="str">
        <f aca="false">IF($A30="","",IF($B30=0,"–",_xlfn.MAXIFS('Score Log'!$A$4:$A$204,'Score Log'!$C$4:$C$204,$A30)))</f>
        <v/>
      </c>
    </row>
    <row r="31" customFormat="false" ht="14.25" hidden="false" customHeight="false" outlineLevel="0" collapsed="false">
      <c r="A31" s="26" t="str">
        <f aca="false">IF(Suppliers!A29="","",Suppliers!A29)</f>
        <v/>
      </c>
      <c r="B31" s="27" t="str">
        <f aca="false">IF($A31="","",COUNTIFS('Score Log'!$C$4:$C$204,$A31))</f>
        <v/>
      </c>
      <c r="C31" s="28" t="str">
        <f aca="false">IF($A31="","",IFERROR(ROUND(AVERAGEIFS('Score Log'!$F$4:$F$204,'Score Log'!$C$4:$C$204,$A31),2),"–"))</f>
        <v/>
      </c>
      <c r="D31" s="28" t="str">
        <f aca="false">IF($A31="","",IFERROR(ROUND(AVERAGEIFS('Score Log'!$H$4:$H$204,'Score Log'!$C$4:$C$204,$A31),2),"–"))</f>
        <v/>
      </c>
      <c r="E31" s="28" t="str">
        <f aca="false">IF($A31="","",IFERROR(ROUND(AVERAGEIFS('Score Log'!$J$4:$J$204,'Score Log'!$C$4:$C$204,$A31),2),"–"))</f>
        <v/>
      </c>
      <c r="F31" s="28" t="str">
        <f aca="false">IF($A31="","",IFERROR(ROUND(AVERAGEIFS('Score Log'!$L$4:$L$204,'Score Log'!$C$4:$C$204,$A31),2),"–"))</f>
        <v/>
      </c>
      <c r="G31" s="28" t="str">
        <f aca="false">IF($A31="","",IFERROR(ROUND(AVERAGEIFS('Score Log'!$N$4:$N$204,'Score Log'!$C$4:$C$204,$A31),2),"–"))</f>
        <v/>
      </c>
      <c r="H31" s="29" t="str">
        <f aca="false">IF($A31="","",IFERROR(COUNTIFS('Score Log'!$C$4:$C$204,$A31,'Score Log'!$U$4:$U$204,"Yes")/(COUNTIFS('Score Log'!$C$4:$C$204,$A31,'Score Log'!$U$4:$U$204,"Yes")+COUNTIFS('Score Log'!$C$4:$C$204,$A31,'Score Log'!$U$4:$U$204,"No")),"–"))</f>
        <v/>
      </c>
      <c r="I31" s="30" t="str">
        <f aca="false">IF($A31="","",IFERROR(AVERAGEIFS('Score Log'!$Q$4:$Q$204,'Score Log'!$C$4:$C$204,$A31),"–"))</f>
        <v/>
      </c>
      <c r="J31" s="31" t="str">
        <f aca="false">IF($A31="","",IF($B31=0,"–",_xlfn.MAXIFS('Score Log'!$A$4:$A$204,'Score Log'!$C$4:$C$204,$A31)))</f>
        <v/>
      </c>
    </row>
    <row r="32" customFormat="false" ht="14.25" hidden="false" customHeight="false" outlineLevel="0" collapsed="false">
      <c r="A32" s="26" t="str">
        <f aca="false">IF(Suppliers!A30="","",Suppliers!A30)</f>
        <v/>
      </c>
      <c r="B32" s="27" t="str">
        <f aca="false">IF($A32="","",COUNTIFS('Score Log'!$C$4:$C$204,$A32))</f>
        <v/>
      </c>
      <c r="C32" s="28" t="str">
        <f aca="false">IF($A32="","",IFERROR(ROUND(AVERAGEIFS('Score Log'!$F$4:$F$204,'Score Log'!$C$4:$C$204,$A32),2),"–"))</f>
        <v/>
      </c>
      <c r="D32" s="28" t="str">
        <f aca="false">IF($A32="","",IFERROR(ROUND(AVERAGEIFS('Score Log'!$H$4:$H$204,'Score Log'!$C$4:$C$204,$A32),2),"–"))</f>
        <v/>
      </c>
      <c r="E32" s="28" t="str">
        <f aca="false">IF($A32="","",IFERROR(ROUND(AVERAGEIFS('Score Log'!$J$4:$J$204,'Score Log'!$C$4:$C$204,$A32),2),"–"))</f>
        <v/>
      </c>
      <c r="F32" s="28" t="str">
        <f aca="false">IF($A32="","",IFERROR(ROUND(AVERAGEIFS('Score Log'!$L$4:$L$204,'Score Log'!$C$4:$C$204,$A32),2),"–"))</f>
        <v/>
      </c>
      <c r="G32" s="28" t="str">
        <f aca="false">IF($A32="","",IFERROR(ROUND(AVERAGEIFS('Score Log'!$N$4:$N$204,'Score Log'!$C$4:$C$204,$A32),2),"–"))</f>
        <v/>
      </c>
      <c r="H32" s="29" t="str">
        <f aca="false">IF($A32="","",IFERROR(COUNTIFS('Score Log'!$C$4:$C$204,$A32,'Score Log'!$U$4:$U$204,"Yes")/(COUNTIFS('Score Log'!$C$4:$C$204,$A32,'Score Log'!$U$4:$U$204,"Yes")+COUNTIFS('Score Log'!$C$4:$C$204,$A32,'Score Log'!$U$4:$U$204,"No")),"–"))</f>
        <v/>
      </c>
      <c r="I32" s="30" t="str">
        <f aca="false">IF($A32="","",IFERROR(AVERAGEIFS('Score Log'!$Q$4:$Q$204,'Score Log'!$C$4:$C$204,$A32),"–"))</f>
        <v/>
      </c>
      <c r="J32" s="31" t="str">
        <f aca="false">IF($A32="","",IF($B32=0,"–",_xlfn.MAXIFS('Score Log'!$A$4:$A$204,'Score Log'!$C$4:$C$204,$A32)))</f>
        <v/>
      </c>
    </row>
    <row r="33" customFormat="false" ht="14.25" hidden="false" customHeight="false" outlineLevel="0" collapsed="false">
      <c r="A33" s="26" t="str">
        <f aca="false">IF(Suppliers!A31="","",Suppliers!A31)</f>
        <v/>
      </c>
      <c r="B33" s="27" t="str">
        <f aca="false">IF($A33="","",COUNTIFS('Score Log'!$C$4:$C$204,$A33))</f>
        <v/>
      </c>
      <c r="C33" s="28" t="str">
        <f aca="false">IF($A33="","",IFERROR(ROUND(AVERAGEIFS('Score Log'!$F$4:$F$204,'Score Log'!$C$4:$C$204,$A33),2),"–"))</f>
        <v/>
      </c>
      <c r="D33" s="28" t="str">
        <f aca="false">IF($A33="","",IFERROR(ROUND(AVERAGEIFS('Score Log'!$H$4:$H$204,'Score Log'!$C$4:$C$204,$A33),2),"–"))</f>
        <v/>
      </c>
      <c r="E33" s="28" t="str">
        <f aca="false">IF($A33="","",IFERROR(ROUND(AVERAGEIFS('Score Log'!$J$4:$J$204,'Score Log'!$C$4:$C$204,$A33),2),"–"))</f>
        <v/>
      </c>
      <c r="F33" s="28" t="str">
        <f aca="false">IF($A33="","",IFERROR(ROUND(AVERAGEIFS('Score Log'!$L$4:$L$204,'Score Log'!$C$4:$C$204,$A33),2),"–"))</f>
        <v/>
      </c>
      <c r="G33" s="28" t="str">
        <f aca="false">IF($A33="","",IFERROR(ROUND(AVERAGEIFS('Score Log'!$N$4:$N$204,'Score Log'!$C$4:$C$204,$A33),2),"–"))</f>
        <v/>
      </c>
      <c r="H33" s="29" t="str">
        <f aca="false">IF($A33="","",IFERROR(COUNTIFS('Score Log'!$C$4:$C$204,$A33,'Score Log'!$U$4:$U$204,"Yes")/(COUNTIFS('Score Log'!$C$4:$C$204,$A33,'Score Log'!$U$4:$U$204,"Yes")+COUNTIFS('Score Log'!$C$4:$C$204,$A33,'Score Log'!$U$4:$U$204,"No")),"–"))</f>
        <v/>
      </c>
      <c r="I33" s="30" t="str">
        <f aca="false">IF($A33="","",IFERROR(AVERAGEIFS('Score Log'!$Q$4:$Q$204,'Score Log'!$C$4:$C$204,$A33),"–"))</f>
        <v/>
      </c>
      <c r="J33" s="31" t="str">
        <f aca="false">IF($A33="","",IF($B33=0,"–",_xlfn.MAXIFS('Score Log'!$A$4:$A$204,'Score Log'!$C$4:$C$204,$A33)))</f>
        <v/>
      </c>
    </row>
    <row r="34" customFormat="false" ht="14.25" hidden="false" customHeight="false" outlineLevel="0" collapsed="false">
      <c r="A34" s="26" t="str">
        <f aca="false">IF(Suppliers!A32="","",Suppliers!A32)</f>
        <v/>
      </c>
      <c r="B34" s="27" t="str">
        <f aca="false">IF($A34="","",COUNTIFS('Score Log'!$C$4:$C$204,$A34))</f>
        <v/>
      </c>
      <c r="C34" s="28" t="str">
        <f aca="false">IF($A34="","",IFERROR(ROUND(AVERAGEIFS('Score Log'!$F$4:$F$204,'Score Log'!$C$4:$C$204,$A34),2),"–"))</f>
        <v/>
      </c>
      <c r="D34" s="28" t="str">
        <f aca="false">IF($A34="","",IFERROR(ROUND(AVERAGEIFS('Score Log'!$H$4:$H$204,'Score Log'!$C$4:$C$204,$A34),2),"–"))</f>
        <v/>
      </c>
      <c r="E34" s="28" t="str">
        <f aca="false">IF($A34="","",IFERROR(ROUND(AVERAGEIFS('Score Log'!$J$4:$J$204,'Score Log'!$C$4:$C$204,$A34),2),"–"))</f>
        <v/>
      </c>
      <c r="F34" s="28" t="str">
        <f aca="false">IF($A34="","",IFERROR(ROUND(AVERAGEIFS('Score Log'!$L$4:$L$204,'Score Log'!$C$4:$C$204,$A34),2),"–"))</f>
        <v/>
      </c>
      <c r="G34" s="28" t="str">
        <f aca="false">IF($A34="","",IFERROR(ROUND(AVERAGEIFS('Score Log'!$N$4:$N$204,'Score Log'!$C$4:$C$204,$A34),2),"–"))</f>
        <v/>
      </c>
      <c r="H34" s="29" t="str">
        <f aca="false">IF($A34="","",IFERROR(COUNTIFS('Score Log'!$C$4:$C$204,$A34,'Score Log'!$U$4:$U$204,"Yes")/(COUNTIFS('Score Log'!$C$4:$C$204,$A34,'Score Log'!$U$4:$U$204,"Yes")+COUNTIFS('Score Log'!$C$4:$C$204,$A34,'Score Log'!$U$4:$U$204,"No")),"–"))</f>
        <v/>
      </c>
      <c r="I34" s="30" t="str">
        <f aca="false">IF($A34="","",IFERROR(AVERAGEIFS('Score Log'!$Q$4:$Q$204,'Score Log'!$C$4:$C$204,$A34),"–"))</f>
        <v/>
      </c>
      <c r="J34" s="31" t="str">
        <f aca="false">IF($A34="","",IF($B34=0,"–",_xlfn.MAXIFS('Score Log'!$A$4:$A$204,'Score Log'!$C$4:$C$204,$A34)))</f>
        <v/>
      </c>
    </row>
    <row r="38" customFormat="false" ht="14.25" hidden="false" customHeight="false" outlineLevel="0" collapsed="false">
      <c r="A38" s="25" t="s">
        <v>73</v>
      </c>
    </row>
    <row r="39" customFormat="false" ht="14.25" hidden="false" customHeight="false" outlineLevel="0" collapsed="false">
      <c r="A39" s="6" t="s">
        <v>74</v>
      </c>
    </row>
    <row r="41" customFormat="false" ht="25.5" hidden="false" customHeight="true" outlineLevel="0" collapsed="false">
      <c r="A41" s="9" t="s">
        <v>28</v>
      </c>
      <c r="B41" s="9" t="s">
        <v>64</v>
      </c>
      <c r="C41" s="9" t="str">
        <f aca="false">IF(A5="","",A5)</f>
        <v>Fictiv</v>
      </c>
      <c r="D41" s="9" t="str">
        <f aca="false">IF(A6="","",A6)</f>
        <v>Advanced Plastiform</v>
      </c>
      <c r="E41" s="9" t="str">
        <f aca="false">IF(A7="","",A7)</f>
        <v/>
      </c>
      <c r="F41" s="9" t="str">
        <f aca="false">IF(A8="","",A8)</f>
        <v/>
      </c>
      <c r="G41" s="9" t="str">
        <f aca="false">IF(A9="","",A9)</f>
        <v/>
      </c>
      <c r="H41" s="9" t="str">
        <f aca="false">IF(A10="","",A10)</f>
        <v/>
      </c>
      <c r="I41" s="9" t="str">
        <f aca="false">IF(A11="","",A11)</f>
        <v/>
      </c>
      <c r="J41" s="9" t="str">
        <f aca="false">IF(A12="","",A12)</f>
        <v/>
      </c>
      <c r="K41" s="9" t="str">
        <f aca="false">IF(A13="","",A13)</f>
        <v/>
      </c>
      <c r="L41" s="9" t="str">
        <f aca="false">IF(A14="","",A14)</f>
        <v/>
      </c>
    </row>
    <row r="42" customFormat="false" ht="14.25" hidden="false" customHeight="false" outlineLevel="0" collapsed="false">
      <c r="A42" s="26" t="str">
        <f aca="false">IF(Settings!D4="","",Settings!D4)</f>
        <v>Thermoforming</v>
      </c>
      <c r="B42" s="27" t="n">
        <f aca="false">IF($A42="","",COUNTIFS('Score Log'!$D$4:$D$204,$A42))</f>
        <v>1</v>
      </c>
      <c r="C42" s="28" t="str">
        <f aca="false">IF(OR(C$41="",$A42=""),"",IFERROR(ROUND(AVERAGEIFS('Score Log'!$N$4:$N$204,'Score Log'!$C$4:$C$204,C$41,'Score Log'!$D$4:$D$204,$A42),2),""))</f>
        <v/>
      </c>
      <c r="D42" s="28" t="str">
        <f aca="false">IF(OR(D$41="",$A42=""),"",IFERROR(ROUND(AVERAGEIFS('Score Log'!$N$4:$N$204,'Score Log'!$C$4:$C$204,D$41,'Score Log'!$D$4:$D$204,$A42),2),""))</f>
        <v/>
      </c>
      <c r="E42" s="28" t="str">
        <f aca="false">IF(OR(E$41="",$A42=""),"",IFERROR(ROUND(AVERAGEIFS('Score Log'!$N$4:$N$204,'Score Log'!$C$4:$C$204,E$41,'Score Log'!$D$4:$D$204,$A42),2),""))</f>
        <v/>
      </c>
      <c r="F42" s="28" t="str">
        <f aca="false">IF(OR(F$41="",$A42=""),"",IFERROR(ROUND(AVERAGEIFS('Score Log'!$N$4:$N$204,'Score Log'!$C$4:$C$204,F$41,'Score Log'!$D$4:$D$204,$A42),2),""))</f>
        <v/>
      </c>
      <c r="G42" s="28" t="str">
        <f aca="false">IF(OR(G$41="",$A42=""),"",IFERROR(ROUND(AVERAGEIFS('Score Log'!$N$4:$N$204,'Score Log'!$C$4:$C$204,G$41,'Score Log'!$D$4:$D$204,$A42),2),""))</f>
        <v/>
      </c>
      <c r="H42" s="28" t="str">
        <f aca="false">IF(OR(H$41="",$A42=""),"",IFERROR(ROUND(AVERAGEIFS('Score Log'!$N$4:$N$204,'Score Log'!$C$4:$C$204,H$41,'Score Log'!$D$4:$D$204,$A42),2),""))</f>
        <v/>
      </c>
      <c r="I42" s="28" t="str">
        <f aca="false">IF(OR(I$41="",$A42=""),"",IFERROR(ROUND(AVERAGEIFS('Score Log'!$N$4:$N$204,'Score Log'!$C$4:$C$204,I$41,'Score Log'!$D$4:$D$204,$A42),2),""))</f>
        <v/>
      </c>
      <c r="J42" s="28" t="str">
        <f aca="false">IF(OR(J$41="",$A42=""),"",IFERROR(ROUND(AVERAGEIFS('Score Log'!$N$4:$N$204,'Score Log'!$C$4:$C$204,J$41,'Score Log'!$D$4:$D$204,$A42),2),""))</f>
        <v/>
      </c>
      <c r="K42" s="28" t="str">
        <f aca="false">IF(OR(K$41="",$A42=""),"",IFERROR(ROUND(AVERAGEIFS('Score Log'!$N$4:$N$204,'Score Log'!$C$4:$C$204,K$41,'Score Log'!$D$4:$D$204,$A42),2),""))</f>
        <v/>
      </c>
      <c r="L42" s="28" t="str">
        <f aca="false">IF(OR(L$41="",$A42=""),"",IFERROR(ROUND(AVERAGEIFS('Score Log'!$N$4:$N$204,'Score Log'!$C$4:$C$204,L$41,'Score Log'!$D$4:$D$204,$A42),2),""))</f>
        <v/>
      </c>
    </row>
    <row r="43" customFormat="false" ht="14.25" hidden="false" customHeight="false" outlineLevel="0" collapsed="false">
      <c r="A43" s="26" t="str">
        <f aca="false">IF(Settings!D5="","",Settings!D5)</f>
        <v>Injection molding</v>
      </c>
      <c r="B43" s="27" t="n">
        <f aca="false">IF($A43="","",COUNTIFS('Score Log'!$D$4:$D$204,$A43))</f>
        <v>2</v>
      </c>
      <c r="C43" s="28" t="n">
        <f aca="false">IF(OR(C$41="",$A43=""),"",IFERROR(ROUND(AVERAGEIFS('Score Log'!$N$4:$N$204,'Score Log'!$C$4:$C$204,C$41,'Score Log'!$D$4:$D$204,$A43),2),""))</f>
        <v>4.5</v>
      </c>
      <c r="D43" s="28" t="str">
        <f aca="false">IF(OR(D$41="",$A43=""),"",IFERROR(ROUND(AVERAGEIFS('Score Log'!$N$4:$N$204,'Score Log'!$C$4:$C$204,D$41,'Score Log'!$D$4:$D$204,$A43),2),""))</f>
        <v/>
      </c>
      <c r="E43" s="28" t="str">
        <f aca="false">IF(OR(E$41="",$A43=""),"",IFERROR(ROUND(AVERAGEIFS('Score Log'!$N$4:$N$204,'Score Log'!$C$4:$C$204,E$41,'Score Log'!$D$4:$D$204,$A43),2),""))</f>
        <v/>
      </c>
      <c r="F43" s="28" t="str">
        <f aca="false">IF(OR(F$41="",$A43=""),"",IFERROR(ROUND(AVERAGEIFS('Score Log'!$N$4:$N$204,'Score Log'!$C$4:$C$204,F$41,'Score Log'!$D$4:$D$204,$A43),2),""))</f>
        <v/>
      </c>
      <c r="G43" s="28" t="str">
        <f aca="false">IF(OR(G$41="",$A43=""),"",IFERROR(ROUND(AVERAGEIFS('Score Log'!$N$4:$N$204,'Score Log'!$C$4:$C$204,G$41,'Score Log'!$D$4:$D$204,$A43),2),""))</f>
        <v/>
      </c>
      <c r="H43" s="28" t="str">
        <f aca="false">IF(OR(H$41="",$A43=""),"",IFERROR(ROUND(AVERAGEIFS('Score Log'!$N$4:$N$204,'Score Log'!$C$4:$C$204,H$41,'Score Log'!$D$4:$D$204,$A43),2),""))</f>
        <v/>
      </c>
      <c r="I43" s="28" t="str">
        <f aca="false">IF(OR(I$41="",$A43=""),"",IFERROR(ROUND(AVERAGEIFS('Score Log'!$N$4:$N$204,'Score Log'!$C$4:$C$204,I$41,'Score Log'!$D$4:$D$204,$A43),2),""))</f>
        <v/>
      </c>
      <c r="J43" s="28" t="str">
        <f aca="false">IF(OR(J$41="",$A43=""),"",IFERROR(ROUND(AVERAGEIFS('Score Log'!$N$4:$N$204,'Score Log'!$C$4:$C$204,J$41,'Score Log'!$D$4:$D$204,$A43),2),""))</f>
        <v/>
      </c>
      <c r="K43" s="28" t="str">
        <f aca="false">IF(OR(K$41="",$A43=""),"",IFERROR(ROUND(AVERAGEIFS('Score Log'!$N$4:$N$204,'Score Log'!$C$4:$C$204,K$41,'Score Log'!$D$4:$D$204,$A43),2),""))</f>
        <v/>
      </c>
      <c r="L43" s="28" t="str">
        <f aca="false">IF(OR(L$41="",$A43=""),"",IFERROR(ROUND(AVERAGEIFS('Score Log'!$N$4:$N$204,'Score Log'!$C$4:$C$204,L$41,'Score Log'!$D$4:$D$204,$A43),2),""))</f>
        <v/>
      </c>
    </row>
    <row r="44" customFormat="false" ht="14.25" hidden="false" customHeight="false" outlineLevel="0" collapsed="false">
      <c r="A44" s="26" t="str">
        <f aca="false">IF(Settings!D6="","",Settings!D6)</f>
        <v>3D printing (FDM)</v>
      </c>
      <c r="B44" s="27" t="n">
        <f aca="false">IF($A44="","",COUNTIFS('Score Log'!$D$4:$D$204,$A44))</f>
        <v>0</v>
      </c>
      <c r="C44" s="28" t="str">
        <f aca="false">IF(OR(C$41="",$A44=""),"",IFERROR(ROUND(AVERAGEIFS('Score Log'!$N$4:$N$204,'Score Log'!$C$4:$C$204,C$41,'Score Log'!$D$4:$D$204,$A44),2),""))</f>
        <v/>
      </c>
      <c r="D44" s="28" t="str">
        <f aca="false">IF(OR(D$41="",$A44=""),"",IFERROR(ROUND(AVERAGEIFS('Score Log'!$N$4:$N$204,'Score Log'!$C$4:$C$204,D$41,'Score Log'!$D$4:$D$204,$A44),2),""))</f>
        <v/>
      </c>
      <c r="E44" s="28" t="str">
        <f aca="false">IF(OR(E$41="",$A44=""),"",IFERROR(ROUND(AVERAGEIFS('Score Log'!$N$4:$N$204,'Score Log'!$C$4:$C$204,E$41,'Score Log'!$D$4:$D$204,$A44),2),""))</f>
        <v/>
      </c>
      <c r="F44" s="28" t="str">
        <f aca="false">IF(OR(F$41="",$A44=""),"",IFERROR(ROUND(AVERAGEIFS('Score Log'!$N$4:$N$204,'Score Log'!$C$4:$C$204,F$41,'Score Log'!$D$4:$D$204,$A44),2),""))</f>
        <v/>
      </c>
      <c r="G44" s="28" t="str">
        <f aca="false">IF(OR(G$41="",$A44=""),"",IFERROR(ROUND(AVERAGEIFS('Score Log'!$N$4:$N$204,'Score Log'!$C$4:$C$204,G$41,'Score Log'!$D$4:$D$204,$A44),2),""))</f>
        <v/>
      </c>
      <c r="H44" s="28" t="str">
        <f aca="false">IF(OR(H$41="",$A44=""),"",IFERROR(ROUND(AVERAGEIFS('Score Log'!$N$4:$N$204,'Score Log'!$C$4:$C$204,H$41,'Score Log'!$D$4:$D$204,$A44),2),""))</f>
        <v/>
      </c>
      <c r="I44" s="28" t="str">
        <f aca="false">IF(OR(I$41="",$A44=""),"",IFERROR(ROUND(AVERAGEIFS('Score Log'!$N$4:$N$204,'Score Log'!$C$4:$C$204,I$41,'Score Log'!$D$4:$D$204,$A44),2),""))</f>
        <v/>
      </c>
      <c r="J44" s="28" t="str">
        <f aca="false">IF(OR(J$41="",$A44=""),"",IFERROR(ROUND(AVERAGEIFS('Score Log'!$N$4:$N$204,'Score Log'!$C$4:$C$204,J$41,'Score Log'!$D$4:$D$204,$A44),2),""))</f>
        <v/>
      </c>
      <c r="K44" s="28" t="str">
        <f aca="false">IF(OR(K$41="",$A44=""),"",IFERROR(ROUND(AVERAGEIFS('Score Log'!$N$4:$N$204,'Score Log'!$C$4:$C$204,K$41,'Score Log'!$D$4:$D$204,$A44),2),""))</f>
        <v/>
      </c>
      <c r="L44" s="28" t="str">
        <f aca="false">IF(OR(L$41="",$A44=""),"",IFERROR(ROUND(AVERAGEIFS('Score Log'!$N$4:$N$204,'Score Log'!$C$4:$C$204,L$41,'Score Log'!$D$4:$D$204,$A44),2),""))</f>
        <v/>
      </c>
    </row>
    <row r="45" customFormat="false" ht="14.25" hidden="false" customHeight="false" outlineLevel="0" collapsed="false">
      <c r="A45" s="26" t="str">
        <f aca="false">IF(Settings!D7="","",Settings!D7)</f>
        <v>3D printing (SLA)</v>
      </c>
      <c r="B45" s="27" t="n">
        <f aca="false">IF($A45="","",COUNTIFS('Score Log'!$D$4:$D$204,$A45))</f>
        <v>0</v>
      </c>
      <c r="C45" s="28" t="str">
        <f aca="false">IF(OR(C$41="",$A45=""),"",IFERROR(ROUND(AVERAGEIFS('Score Log'!$N$4:$N$204,'Score Log'!$C$4:$C$204,C$41,'Score Log'!$D$4:$D$204,$A45),2),""))</f>
        <v/>
      </c>
      <c r="D45" s="28" t="str">
        <f aca="false">IF(OR(D$41="",$A45=""),"",IFERROR(ROUND(AVERAGEIFS('Score Log'!$N$4:$N$204,'Score Log'!$C$4:$C$204,D$41,'Score Log'!$D$4:$D$204,$A45),2),""))</f>
        <v/>
      </c>
      <c r="E45" s="28" t="str">
        <f aca="false">IF(OR(E$41="",$A45=""),"",IFERROR(ROUND(AVERAGEIFS('Score Log'!$N$4:$N$204,'Score Log'!$C$4:$C$204,E$41,'Score Log'!$D$4:$D$204,$A45),2),""))</f>
        <v/>
      </c>
      <c r="F45" s="28" t="str">
        <f aca="false">IF(OR(F$41="",$A45=""),"",IFERROR(ROUND(AVERAGEIFS('Score Log'!$N$4:$N$204,'Score Log'!$C$4:$C$204,F$41,'Score Log'!$D$4:$D$204,$A45),2),""))</f>
        <v/>
      </c>
      <c r="G45" s="28" t="str">
        <f aca="false">IF(OR(G$41="",$A45=""),"",IFERROR(ROUND(AVERAGEIFS('Score Log'!$N$4:$N$204,'Score Log'!$C$4:$C$204,G$41,'Score Log'!$D$4:$D$204,$A45),2),""))</f>
        <v/>
      </c>
      <c r="H45" s="28" t="str">
        <f aca="false">IF(OR(H$41="",$A45=""),"",IFERROR(ROUND(AVERAGEIFS('Score Log'!$N$4:$N$204,'Score Log'!$C$4:$C$204,H$41,'Score Log'!$D$4:$D$204,$A45),2),""))</f>
        <v/>
      </c>
      <c r="I45" s="28" t="str">
        <f aca="false">IF(OR(I$41="",$A45=""),"",IFERROR(ROUND(AVERAGEIFS('Score Log'!$N$4:$N$204,'Score Log'!$C$4:$C$204,I$41,'Score Log'!$D$4:$D$204,$A45),2),""))</f>
        <v/>
      </c>
      <c r="J45" s="28" t="str">
        <f aca="false">IF(OR(J$41="",$A45=""),"",IFERROR(ROUND(AVERAGEIFS('Score Log'!$N$4:$N$204,'Score Log'!$C$4:$C$204,J$41,'Score Log'!$D$4:$D$204,$A45),2),""))</f>
        <v/>
      </c>
      <c r="K45" s="28" t="str">
        <f aca="false">IF(OR(K$41="",$A45=""),"",IFERROR(ROUND(AVERAGEIFS('Score Log'!$N$4:$N$204,'Score Log'!$C$4:$C$204,K$41,'Score Log'!$D$4:$D$204,$A45),2),""))</f>
        <v/>
      </c>
      <c r="L45" s="28" t="str">
        <f aca="false">IF(OR(L$41="",$A45=""),"",IFERROR(ROUND(AVERAGEIFS('Score Log'!$N$4:$N$204,'Score Log'!$C$4:$C$204,L$41,'Score Log'!$D$4:$D$204,$A45),2),""))</f>
        <v/>
      </c>
    </row>
    <row r="46" customFormat="false" ht="14.25" hidden="false" customHeight="false" outlineLevel="0" collapsed="false">
      <c r="A46" s="26" t="str">
        <f aca="false">IF(Settings!D8="","",Settings!D8)</f>
        <v>3D printing (SLS)</v>
      </c>
      <c r="B46" s="27" t="n">
        <f aca="false">IF($A46="","",COUNTIFS('Score Log'!$D$4:$D$204,$A46))</f>
        <v>0</v>
      </c>
      <c r="C46" s="28" t="str">
        <f aca="false">IF(OR(C$41="",$A46=""),"",IFERROR(ROUND(AVERAGEIFS('Score Log'!$N$4:$N$204,'Score Log'!$C$4:$C$204,C$41,'Score Log'!$D$4:$D$204,$A46),2),""))</f>
        <v/>
      </c>
      <c r="D46" s="28" t="str">
        <f aca="false">IF(OR(D$41="",$A46=""),"",IFERROR(ROUND(AVERAGEIFS('Score Log'!$N$4:$N$204,'Score Log'!$C$4:$C$204,D$41,'Score Log'!$D$4:$D$204,$A46),2),""))</f>
        <v/>
      </c>
      <c r="E46" s="28" t="str">
        <f aca="false">IF(OR(E$41="",$A46=""),"",IFERROR(ROUND(AVERAGEIFS('Score Log'!$N$4:$N$204,'Score Log'!$C$4:$C$204,E$41,'Score Log'!$D$4:$D$204,$A46),2),""))</f>
        <v/>
      </c>
      <c r="F46" s="28" t="str">
        <f aca="false">IF(OR(F$41="",$A46=""),"",IFERROR(ROUND(AVERAGEIFS('Score Log'!$N$4:$N$204,'Score Log'!$C$4:$C$204,F$41,'Score Log'!$D$4:$D$204,$A46),2),""))</f>
        <v/>
      </c>
      <c r="G46" s="28" t="str">
        <f aca="false">IF(OR(G$41="",$A46=""),"",IFERROR(ROUND(AVERAGEIFS('Score Log'!$N$4:$N$204,'Score Log'!$C$4:$C$204,G$41,'Score Log'!$D$4:$D$204,$A46),2),""))</f>
        <v/>
      </c>
      <c r="H46" s="28" t="str">
        <f aca="false">IF(OR(H$41="",$A46=""),"",IFERROR(ROUND(AVERAGEIFS('Score Log'!$N$4:$N$204,'Score Log'!$C$4:$C$204,H$41,'Score Log'!$D$4:$D$204,$A46),2),""))</f>
        <v/>
      </c>
      <c r="I46" s="28" t="str">
        <f aca="false">IF(OR(I$41="",$A46=""),"",IFERROR(ROUND(AVERAGEIFS('Score Log'!$N$4:$N$204,'Score Log'!$C$4:$C$204,I$41,'Score Log'!$D$4:$D$204,$A46),2),""))</f>
        <v/>
      </c>
      <c r="J46" s="28" t="str">
        <f aca="false">IF(OR(J$41="",$A46=""),"",IFERROR(ROUND(AVERAGEIFS('Score Log'!$N$4:$N$204,'Score Log'!$C$4:$C$204,J$41,'Score Log'!$D$4:$D$204,$A46),2),""))</f>
        <v/>
      </c>
      <c r="K46" s="28" t="str">
        <f aca="false">IF(OR(K$41="",$A46=""),"",IFERROR(ROUND(AVERAGEIFS('Score Log'!$N$4:$N$204,'Score Log'!$C$4:$C$204,K$41,'Score Log'!$D$4:$D$204,$A46),2),""))</f>
        <v/>
      </c>
      <c r="L46" s="28" t="str">
        <f aca="false">IF(OR(L$41="",$A46=""),"",IFERROR(ROUND(AVERAGEIFS('Score Log'!$N$4:$N$204,'Score Log'!$C$4:$C$204,L$41,'Score Log'!$D$4:$D$204,$A46),2),""))</f>
        <v/>
      </c>
    </row>
    <row r="47" customFormat="false" ht="14.25" hidden="false" customHeight="false" outlineLevel="0" collapsed="false">
      <c r="A47" s="26" t="str">
        <f aca="false">IF(Settings!D9="","",Settings!D9)</f>
        <v>PVA</v>
      </c>
      <c r="B47" s="27" t="n">
        <f aca="false">IF($A47="","",COUNTIFS('Score Log'!$D$4:$D$204,$A47))</f>
        <v>0</v>
      </c>
      <c r="C47" s="28" t="str">
        <f aca="false">IF(OR(C$41="",$A47=""),"",IFERROR(ROUND(AVERAGEIFS('Score Log'!$N$4:$N$204,'Score Log'!$C$4:$C$204,C$41,'Score Log'!$D$4:$D$204,$A47),2),""))</f>
        <v/>
      </c>
      <c r="D47" s="28" t="str">
        <f aca="false">IF(OR(D$41="",$A47=""),"",IFERROR(ROUND(AVERAGEIFS('Score Log'!$N$4:$N$204,'Score Log'!$C$4:$C$204,D$41,'Score Log'!$D$4:$D$204,$A47),2),""))</f>
        <v/>
      </c>
      <c r="E47" s="28" t="str">
        <f aca="false">IF(OR(E$41="",$A47=""),"",IFERROR(ROUND(AVERAGEIFS('Score Log'!$N$4:$N$204,'Score Log'!$C$4:$C$204,E$41,'Score Log'!$D$4:$D$204,$A47),2),""))</f>
        <v/>
      </c>
      <c r="F47" s="28" t="str">
        <f aca="false">IF(OR(F$41="",$A47=""),"",IFERROR(ROUND(AVERAGEIFS('Score Log'!$N$4:$N$204,'Score Log'!$C$4:$C$204,F$41,'Score Log'!$D$4:$D$204,$A47),2),""))</f>
        <v/>
      </c>
      <c r="G47" s="28" t="str">
        <f aca="false">IF(OR(G$41="",$A47=""),"",IFERROR(ROUND(AVERAGEIFS('Score Log'!$N$4:$N$204,'Score Log'!$C$4:$C$204,G$41,'Score Log'!$D$4:$D$204,$A47),2),""))</f>
        <v/>
      </c>
      <c r="H47" s="28" t="str">
        <f aca="false">IF(OR(H$41="",$A47=""),"",IFERROR(ROUND(AVERAGEIFS('Score Log'!$N$4:$N$204,'Score Log'!$C$4:$C$204,H$41,'Score Log'!$D$4:$D$204,$A47),2),""))</f>
        <v/>
      </c>
      <c r="I47" s="28" t="str">
        <f aca="false">IF(OR(I$41="",$A47=""),"",IFERROR(ROUND(AVERAGEIFS('Score Log'!$N$4:$N$204,'Score Log'!$C$4:$C$204,I$41,'Score Log'!$D$4:$D$204,$A47),2),""))</f>
        <v/>
      </c>
      <c r="J47" s="28" t="str">
        <f aca="false">IF(OR(J$41="",$A47=""),"",IFERROR(ROUND(AVERAGEIFS('Score Log'!$N$4:$N$204,'Score Log'!$C$4:$C$204,J$41,'Score Log'!$D$4:$D$204,$A47),2),""))</f>
        <v/>
      </c>
      <c r="K47" s="28" t="str">
        <f aca="false">IF(OR(K$41="",$A47=""),"",IFERROR(ROUND(AVERAGEIFS('Score Log'!$N$4:$N$204,'Score Log'!$C$4:$C$204,K$41,'Score Log'!$D$4:$D$204,$A47),2),""))</f>
        <v/>
      </c>
      <c r="L47" s="28" t="str">
        <f aca="false">IF(OR(L$41="",$A47=""),"",IFERROR(ROUND(AVERAGEIFS('Score Log'!$N$4:$N$204,'Score Log'!$C$4:$C$204,L$41,'Score Log'!$D$4:$D$204,$A47),2),""))</f>
        <v/>
      </c>
    </row>
    <row r="48" customFormat="false" ht="14.25" hidden="false" customHeight="false" outlineLevel="0" collapsed="false">
      <c r="A48" s="26" t="str">
        <f aca="false">IF(Settings!D10="","",Settings!D10)</f>
        <v>CNC machining</v>
      </c>
      <c r="B48" s="27" t="n">
        <f aca="false">IF($A48="","",COUNTIFS('Score Log'!$D$4:$D$204,$A48))</f>
        <v>0</v>
      </c>
      <c r="C48" s="28" t="str">
        <f aca="false">IF(OR(C$41="",$A48=""),"",IFERROR(ROUND(AVERAGEIFS('Score Log'!$N$4:$N$204,'Score Log'!$C$4:$C$204,C$41,'Score Log'!$D$4:$D$204,$A48),2),""))</f>
        <v/>
      </c>
      <c r="D48" s="28" t="str">
        <f aca="false">IF(OR(D$41="",$A48=""),"",IFERROR(ROUND(AVERAGEIFS('Score Log'!$N$4:$N$204,'Score Log'!$C$4:$C$204,D$41,'Score Log'!$D$4:$D$204,$A48),2),""))</f>
        <v/>
      </c>
      <c r="E48" s="28" t="str">
        <f aca="false">IF(OR(E$41="",$A48=""),"",IFERROR(ROUND(AVERAGEIFS('Score Log'!$N$4:$N$204,'Score Log'!$C$4:$C$204,E$41,'Score Log'!$D$4:$D$204,$A48),2),""))</f>
        <v/>
      </c>
      <c r="F48" s="28" t="str">
        <f aca="false">IF(OR(F$41="",$A48=""),"",IFERROR(ROUND(AVERAGEIFS('Score Log'!$N$4:$N$204,'Score Log'!$C$4:$C$204,F$41,'Score Log'!$D$4:$D$204,$A48),2),""))</f>
        <v/>
      </c>
      <c r="G48" s="28" t="str">
        <f aca="false">IF(OR(G$41="",$A48=""),"",IFERROR(ROUND(AVERAGEIFS('Score Log'!$N$4:$N$204,'Score Log'!$C$4:$C$204,G$41,'Score Log'!$D$4:$D$204,$A48),2),""))</f>
        <v/>
      </c>
      <c r="H48" s="28" t="str">
        <f aca="false">IF(OR(H$41="",$A48=""),"",IFERROR(ROUND(AVERAGEIFS('Score Log'!$N$4:$N$204,'Score Log'!$C$4:$C$204,H$41,'Score Log'!$D$4:$D$204,$A48),2),""))</f>
        <v/>
      </c>
      <c r="I48" s="28" t="str">
        <f aca="false">IF(OR(I$41="",$A48=""),"",IFERROR(ROUND(AVERAGEIFS('Score Log'!$N$4:$N$204,'Score Log'!$C$4:$C$204,I$41,'Score Log'!$D$4:$D$204,$A48),2),""))</f>
        <v/>
      </c>
      <c r="J48" s="28" t="str">
        <f aca="false">IF(OR(J$41="",$A48=""),"",IFERROR(ROUND(AVERAGEIFS('Score Log'!$N$4:$N$204,'Score Log'!$C$4:$C$204,J$41,'Score Log'!$D$4:$D$204,$A48),2),""))</f>
        <v/>
      </c>
      <c r="K48" s="28" t="str">
        <f aca="false">IF(OR(K$41="",$A48=""),"",IFERROR(ROUND(AVERAGEIFS('Score Log'!$N$4:$N$204,'Score Log'!$C$4:$C$204,K$41,'Score Log'!$D$4:$D$204,$A48),2),""))</f>
        <v/>
      </c>
      <c r="L48" s="28" t="str">
        <f aca="false">IF(OR(L$41="",$A48=""),"",IFERROR(ROUND(AVERAGEIFS('Score Log'!$N$4:$N$204,'Score Log'!$C$4:$C$204,L$41,'Score Log'!$D$4:$D$204,$A48),2),""))</f>
        <v/>
      </c>
    </row>
    <row r="49" customFormat="false" ht="14.25" hidden="false" customHeight="false" outlineLevel="0" collapsed="false">
      <c r="A49" s="26" t="str">
        <f aca="false">IF(Settings!D11="","",Settings!D11)</f>
        <v>Vacuum casting</v>
      </c>
      <c r="B49" s="27" t="n">
        <f aca="false">IF($A49="","",COUNTIFS('Score Log'!$D$4:$D$204,$A49))</f>
        <v>0</v>
      </c>
      <c r="C49" s="28" t="str">
        <f aca="false">IF(OR(C$41="",$A49=""),"",IFERROR(ROUND(AVERAGEIFS('Score Log'!$N$4:$N$204,'Score Log'!$C$4:$C$204,C$41,'Score Log'!$D$4:$D$204,$A49),2),""))</f>
        <v/>
      </c>
      <c r="D49" s="28" t="str">
        <f aca="false">IF(OR(D$41="",$A49=""),"",IFERROR(ROUND(AVERAGEIFS('Score Log'!$N$4:$N$204,'Score Log'!$C$4:$C$204,D$41,'Score Log'!$D$4:$D$204,$A49),2),""))</f>
        <v/>
      </c>
      <c r="E49" s="28" t="str">
        <f aca="false">IF(OR(E$41="",$A49=""),"",IFERROR(ROUND(AVERAGEIFS('Score Log'!$N$4:$N$204,'Score Log'!$C$4:$C$204,E$41,'Score Log'!$D$4:$D$204,$A49),2),""))</f>
        <v/>
      </c>
      <c r="F49" s="28" t="str">
        <f aca="false">IF(OR(F$41="",$A49=""),"",IFERROR(ROUND(AVERAGEIFS('Score Log'!$N$4:$N$204,'Score Log'!$C$4:$C$204,F$41,'Score Log'!$D$4:$D$204,$A49),2),""))</f>
        <v/>
      </c>
      <c r="G49" s="28" t="str">
        <f aca="false">IF(OR(G$41="",$A49=""),"",IFERROR(ROUND(AVERAGEIFS('Score Log'!$N$4:$N$204,'Score Log'!$C$4:$C$204,G$41,'Score Log'!$D$4:$D$204,$A49),2),""))</f>
        <v/>
      </c>
      <c r="H49" s="28" t="str">
        <f aca="false">IF(OR(H$41="",$A49=""),"",IFERROR(ROUND(AVERAGEIFS('Score Log'!$N$4:$N$204,'Score Log'!$C$4:$C$204,H$41,'Score Log'!$D$4:$D$204,$A49),2),""))</f>
        <v/>
      </c>
      <c r="I49" s="28" t="str">
        <f aca="false">IF(OR(I$41="",$A49=""),"",IFERROR(ROUND(AVERAGEIFS('Score Log'!$N$4:$N$204,'Score Log'!$C$4:$C$204,I$41,'Score Log'!$D$4:$D$204,$A49),2),""))</f>
        <v/>
      </c>
      <c r="J49" s="28" t="str">
        <f aca="false">IF(OR(J$41="",$A49=""),"",IFERROR(ROUND(AVERAGEIFS('Score Log'!$N$4:$N$204,'Score Log'!$C$4:$C$204,J$41,'Score Log'!$D$4:$D$204,$A49),2),""))</f>
        <v/>
      </c>
      <c r="K49" s="28" t="str">
        <f aca="false">IF(OR(K$41="",$A49=""),"",IFERROR(ROUND(AVERAGEIFS('Score Log'!$N$4:$N$204,'Score Log'!$C$4:$C$204,K$41,'Score Log'!$D$4:$D$204,$A49),2),""))</f>
        <v/>
      </c>
      <c r="L49" s="28" t="str">
        <f aca="false">IF(OR(L$41="",$A49=""),"",IFERROR(ROUND(AVERAGEIFS('Score Log'!$N$4:$N$204,'Score Log'!$C$4:$C$204,L$41,'Score Log'!$D$4:$D$204,$A49),2),""))</f>
        <v/>
      </c>
    </row>
    <row r="50" customFormat="false" ht="14.25" hidden="false" customHeight="false" outlineLevel="0" collapsed="false">
      <c r="A50" s="26" t="str">
        <f aca="false">IF(Settings!D12="","",Settings!D12)</f>
        <v>Sheet metal</v>
      </c>
      <c r="B50" s="27" t="n">
        <f aca="false">IF($A50="","",COUNTIFS('Score Log'!$D$4:$D$204,$A50))</f>
        <v>0</v>
      </c>
      <c r="C50" s="28" t="str">
        <f aca="false">IF(OR(C$41="",$A50=""),"",IFERROR(ROUND(AVERAGEIFS('Score Log'!$N$4:$N$204,'Score Log'!$C$4:$C$204,C$41,'Score Log'!$D$4:$D$204,$A50),2),""))</f>
        <v/>
      </c>
      <c r="D50" s="28" t="str">
        <f aca="false">IF(OR(D$41="",$A50=""),"",IFERROR(ROUND(AVERAGEIFS('Score Log'!$N$4:$N$204,'Score Log'!$C$4:$C$204,D$41,'Score Log'!$D$4:$D$204,$A50),2),""))</f>
        <v/>
      </c>
      <c r="E50" s="28" t="str">
        <f aca="false">IF(OR(E$41="",$A50=""),"",IFERROR(ROUND(AVERAGEIFS('Score Log'!$N$4:$N$204,'Score Log'!$C$4:$C$204,E$41,'Score Log'!$D$4:$D$204,$A50),2),""))</f>
        <v/>
      </c>
      <c r="F50" s="28" t="str">
        <f aca="false">IF(OR(F$41="",$A50=""),"",IFERROR(ROUND(AVERAGEIFS('Score Log'!$N$4:$N$204,'Score Log'!$C$4:$C$204,F$41,'Score Log'!$D$4:$D$204,$A50),2),""))</f>
        <v/>
      </c>
      <c r="G50" s="28" t="str">
        <f aca="false">IF(OR(G$41="",$A50=""),"",IFERROR(ROUND(AVERAGEIFS('Score Log'!$N$4:$N$204,'Score Log'!$C$4:$C$204,G$41,'Score Log'!$D$4:$D$204,$A50),2),""))</f>
        <v/>
      </c>
      <c r="H50" s="28" t="str">
        <f aca="false">IF(OR(H$41="",$A50=""),"",IFERROR(ROUND(AVERAGEIFS('Score Log'!$N$4:$N$204,'Score Log'!$C$4:$C$204,H$41,'Score Log'!$D$4:$D$204,$A50),2),""))</f>
        <v/>
      </c>
      <c r="I50" s="28" t="str">
        <f aca="false">IF(OR(I$41="",$A50=""),"",IFERROR(ROUND(AVERAGEIFS('Score Log'!$N$4:$N$204,'Score Log'!$C$4:$C$204,I$41,'Score Log'!$D$4:$D$204,$A50),2),""))</f>
        <v/>
      </c>
      <c r="J50" s="28" t="str">
        <f aca="false">IF(OR(J$41="",$A50=""),"",IFERROR(ROUND(AVERAGEIFS('Score Log'!$N$4:$N$204,'Score Log'!$C$4:$C$204,J$41,'Score Log'!$D$4:$D$204,$A50),2),""))</f>
        <v/>
      </c>
      <c r="K50" s="28" t="str">
        <f aca="false">IF(OR(K$41="",$A50=""),"",IFERROR(ROUND(AVERAGEIFS('Score Log'!$N$4:$N$204,'Score Log'!$C$4:$C$204,K$41,'Score Log'!$D$4:$D$204,$A50),2),""))</f>
        <v/>
      </c>
      <c r="L50" s="28" t="str">
        <f aca="false">IF(OR(L$41="",$A50=""),"",IFERROR(ROUND(AVERAGEIFS('Score Log'!$N$4:$N$204,'Score Log'!$C$4:$C$204,L$41,'Score Log'!$D$4:$D$204,$A50),2),""))</f>
        <v/>
      </c>
    </row>
    <row r="51" customFormat="false" ht="14.25" hidden="false" customHeight="false" outlineLevel="0" collapsed="false">
      <c r="A51" s="26" t="str">
        <f aca="false">IF(Settings!D13="","",Settings!D13)</f>
        <v>Extrusion</v>
      </c>
      <c r="B51" s="27" t="n">
        <f aca="false">IF($A51="","",COUNTIFS('Score Log'!$D$4:$D$204,$A51))</f>
        <v>0</v>
      </c>
      <c r="C51" s="28" t="str">
        <f aca="false">IF(OR(C$41="",$A51=""),"",IFERROR(ROUND(AVERAGEIFS('Score Log'!$N$4:$N$204,'Score Log'!$C$4:$C$204,C$41,'Score Log'!$D$4:$D$204,$A51),2),""))</f>
        <v/>
      </c>
      <c r="D51" s="28" t="str">
        <f aca="false">IF(OR(D$41="",$A51=""),"",IFERROR(ROUND(AVERAGEIFS('Score Log'!$N$4:$N$204,'Score Log'!$C$4:$C$204,D$41,'Score Log'!$D$4:$D$204,$A51),2),""))</f>
        <v/>
      </c>
      <c r="E51" s="28" t="str">
        <f aca="false">IF(OR(E$41="",$A51=""),"",IFERROR(ROUND(AVERAGEIFS('Score Log'!$N$4:$N$204,'Score Log'!$C$4:$C$204,E$41,'Score Log'!$D$4:$D$204,$A51),2),""))</f>
        <v/>
      </c>
      <c r="F51" s="28" t="str">
        <f aca="false">IF(OR(F$41="",$A51=""),"",IFERROR(ROUND(AVERAGEIFS('Score Log'!$N$4:$N$204,'Score Log'!$C$4:$C$204,F$41,'Score Log'!$D$4:$D$204,$A51),2),""))</f>
        <v/>
      </c>
      <c r="G51" s="28" t="str">
        <f aca="false">IF(OR(G$41="",$A51=""),"",IFERROR(ROUND(AVERAGEIFS('Score Log'!$N$4:$N$204,'Score Log'!$C$4:$C$204,G$41,'Score Log'!$D$4:$D$204,$A51),2),""))</f>
        <v/>
      </c>
      <c r="H51" s="28" t="str">
        <f aca="false">IF(OR(H$41="",$A51=""),"",IFERROR(ROUND(AVERAGEIFS('Score Log'!$N$4:$N$204,'Score Log'!$C$4:$C$204,H$41,'Score Log'!$D$4:$D$204,$A51),2),""))</f>
        <v/>
      </c>
      <c r="I51" s="28" t="str">
        <f aca="false">IF(OR(I$41="",$A51=""),"",IFERROR(ROUND(AVERAGEIFS('Score Log'!$N$4:$N$204,'Score Log'!$C$4:$C$204,I$41,'Score Log'!$D$4:$D$204,$A51),2),""))</f>
        <v/>
      </c>
      <c r="J51" s="28" t="str">
        <f aca="false">IF(OR(J$41="",$A51=""),"",IFERROR(ROUND(AVERAGEIFS('Score Log'!$N$4:$N$204,'Score Log'!$C$4:$C$204,J$41,'Score Log'!$D$4:$D$204,$A51),2),""))</f>
        <v/>
      </c>
      <c r="K51" s="28" t="str">
        <f aca="false">IF(OR(K$41="",$A51=""),"",IFERROR(ROUND(AVERAGEIFS('Score Log'!$N$4:$N$204,'Score Log'!$C$4:$C$204,K$41,'Score Log'!$D$4:$D$204,$A51),2),""))</f>
        <v/>
      </c>
      <c r="L51" s="28" t="str">
        <f aca="false">IF(OR(L$41="",$A51=""),"",IFERROR(ROUND(AVERAGEIFS('Score Log'!$N$4:$N$204,'Score Log'!$C$4:$C$204,L$41,'Score Log'!$D$4:$D$204,$A51),2),""))</f>
        <v/>
      </c>
    </row>
    <row r="52" customFormat="false" ht="14.25" hidden="false" customHeight="false" outlineLevel="0" collapsed="false">
      <c r="A52" s="26" t="str">
        <f aca="false">IF(Settings!D14="","",Settings!D14)</f>
        <v>Casting</v>
      </c>
      <c r="B52" s="27" t="n">
        <f aca="false">IF($A52="","",COUNTIFS('Score Log'!$D$4:$D$204,$A52))</f>
        <v>0</v>
      </c>
      <c r="C52" s="28" t="str">
        <f aca="false">IF(OR(C$41="",$A52=""),"",IFERROR(ROUND(AVERAGEIFS('Score Log'!$N$4:$N$204,'Score Log'!$C$4:$C$204,C$41,'Score Log'!$D$4:$D$204,$A52),2),""))</f>
        <v/>
      </c>
      <c r="D52" s="28" t="str">
        <f aca="false">IF(OR(D$41="",$A52=""),"",IFERROR(ROUND(AVERAGEIFS('Score Log'!$N$4:$N$204,'Score Log'!$C$4:$C$204,D$41,'Score Log'!$D$4:$D$204,$A52),2),""))</f>
        <v/>
      </c>
      <c r="E52" s="28" t="str">
        <f aca="false">IF(OR(E$41="",$A52=""),"",IFERROR(ROUND(AVERAGEIFS('Score Log'!$N$4:$N$204,'Score Log'!$C$4:$C$204,E$41,'Score Log'!$D$4:$D$204,$A52),2),""))</f>
        <v/>
      </c>
      <c r="F52" s="28" t="str">
        <f aca="false">IF(OR(F$41="",$A52=""),"",IFERROR(ROUND(AVERAGEIFS('Score Log'!$N$4:$N$204,'Score Log'!$C$4:$C$204,F$41,'Score Log'!$D$4:$D$204,$A52),2),""))</f>
        <v/>
      </c>
      <c r="G52" s="28" t="str">
        <f aca="false">IF(OR(G$41="",$A52=""),"",IFERROR(ROUND(AVERAGEIFS('Score Log'!$N$4:$N$204,'Score Log'!$C$4:$C$204,G$41,'Score Log'!$D$4:$D$204,$A52),2),""))</f>
        <v/>
      </c>
      <c r="H52" s="28" t="str">
        <f aca="false">IF(OR(H$41="",$A52=""),"",IFERROR(ROUND(AVERAGEIFS('Score Log'!$N$4:$N$204,'Score Log'!$C$4:$C$204,H$41,'Score Log'!$D$4:$D$204,$A52),2),""))</f>
        <v/>
      </c>
      <c r="I52" s="28" t="str">
        <f aca="false">IF(OR(I$41="",$A52=""),"",IFERROR(ROUND(AVERAGEIFS('Score Log'!$N$4:$N$204,'Score Log'!$C$4:$C$204,I$41,'Score Log'!$D$4:$D$204,$A52),2),""))</f>
        <v/>
      </c>
      <c r="J52" s="28" t="str">
        <f aca="false">IF(OR(J$41="",$A52=""),"",IFERROR(ROUND(AVERAGEIFS('Score Log'!$N$4:$N$204,'Score Log'!$C$4:$C$204,J$41,'Score Log'!$D$4:$D$204,$A52),2),""))</f>
        <v/>
      </c>
      <c r="K52" s="28" t="str">
        <f aca="false">IF(OR(K$41="",$A52=""),"",IFERROR(ROUND(AVERAGEIFS('Score Log'!$N$4:$N$204,'Score Log'!$C$4:$C$204,K$41,'Score Log'!$D$4:$D$204,$A52),2),""))</f>
        <v/>
      </c>
      <c r="L52" s="28" t="str">
        <f aca="false">IF(OR(L$41="",$A52=""),"",IFERROR(ROUND(AVERAGEIFS('Score Log'!$N$4:$N$204,'Score Log'!$C$4:$C$204,L$41,'Score Log'!$D$4:$D$204,$A52),2),""))</f>
        <v/>
      </c>
    </row>
    <row r="53" customFormat="false" ht="14.25" hidden="false" customHeight="false" outlineLevel="0" collapsed="false">
      <c r="A53" s="26" t="str">
        <f aca="false">IF(Settings!D15="","",Settings!D15)</f>
        <v>Other</v>
      </c>
      <c r="B53" s="27" t="n">
        <f aca="false">IF($A53="","",COUNTIFS('Score Log'!$D$4:$D$204,$A53))</f>
        <v>0</v>
      </c>
      <c r="C53" s="28" t="str">
        <f aca="false">IF(OR(C$41="",$A53=""),"",IFERROR(ROUND(AVERAGEIFS('Score Log'!$N$4:$N$204,'Score Log'!$C$4:$C$204,C$41,'Score Log'!$D$4:$D$204,$A53),2),""))</f>
        <v/>
      </c>
      <c r="D53" s="28" t="str">
        <f aca="false">IF(OR(D$41="",$A53=""),"",IFERROR(ROUND(AVERAGEIFS('Score Log'!$N$4:$N$204,'Score Log'!$C$4:$C$204,D$41,'Score Log'!$D$4:$D$204,$A53),2),""))</f>
        <v/>
      </c>
      <c r="E53" s="28" t="str">
        <f aca="false">IF(OR(E$41="",$A53=""),"",IFERROR(ROUND(AVERAGEIFS('Score Log'!$N$4:$N$204,'Score Log'!$C$4:$C$204,E$41,'Score Log'!$D$4:$D$204,$A53),2),""))</f>
        <v/>
      </c>
      <c r="F53" s="28" t="str">
        <f aca="false">IF(OR(F$41="",$A53=""),"",IFERROR(ROUND(AVERAGEIFS('Score Log'!$N$4:$N$204,'Score Log'!$C$4:$C$204,F$41,'Score Log'!$D$4:$D$204,$A53),2),""))</f>
        <v/>
      </c>
      <c r="G53" s="28" t="str">
        <f aca="false">IF(OR(G$41="",$A53=""),"",IFERROR(ROUND(AVERAGEIFS('Score Log'!$N$4:$N$204,'Score Log'!$C$4:$C$204,G$41,'Score Log'!$D$4:$D$204,$A53),2),""))</f>
        <v/>
      </c>
      <c r="H53" s="28" t="str">
        <f aca="false">IF(OR(H$41="",$A53=""),"",IFERROR(ROUND(AVERAGEIFS('Score Log'!$N$4:$N$204,'Score Log'!$C$4:$C$204,H$41,'Score Log'!$D$4:$D$204,$A53),2),""))</f>
        <v/>
      </c>
      <c r="I53" s="28" t="str">
        <f aca="false">IF(OR(I$41="",$A53=""),"",IFERROR(ROUND(AVERAGEIFS('Score Log'!$N$4:$N$204,'Score Log'!$C$4:$C$204,I$41,'Score Log'!$D$4:$D$204,$A53),2),""))</f>
        <v/>
      </c>
      <c r="J53" s="28" t="str">
        <f aca="false">IF(OR(J$41="",$A53=""),"",IFERROR(ROUND(AVERAGEIFS('Score Log'!$N$4:$N$204,'Score Log'!$C$4:$C$204,J$41,'Score Log'!$D$4:$D$204,$A53),2),""))</f>
        <v/>
      </c>
      <c r="K53" s="28" t="str">
        <f aca="false">IF(OR(K$41="",$A53=""),"",IFERROR(ROUND(AVERAGEIFS('Score Log'!$N$4:$N$204,'Score Log'!$C$4:$C$204,K$41,'Score Log'!$D$4:$D$204,$A53),2),""))</f>
        <v/>
      </c>
      <c r="L53" s="28" t="str">
        <f aca="false">IF(OR(L$41="",$A53=""),"",IFERROR(ROUND(AVERAGEIFS('Score Log'!$N$4:$N$204,'Score Log'!$C$4:$C$204,L$41,'Score Log'!$D$4:$D$204,$A53),2),""))</f>
        <v/>
      </c>
    </row>
    <row r="54" customFormat="false" ht="14.25" hidden="false" customHeight="false" outlineLevel="0" collapsed="false">
      <c r="A54" s="26" t="str">
        <f aca="false">IF(Settings!D16="","",Settings!D16)</f>
        <v>Compression Molding</v>
      </c>
      <c r="B54" s="27" t="n">
        <f aca="false">IF($A54="","",COUNTIFS('Score Log'!$D$4:$D$204,$A54))</f>
        <v>0</v>
      </c>
      <c r="C54" s="28" t="str">
        <f aca="false">IF(OR(C$41="",$A54=""),"",IFERROR(ROUND(AVERAGEIFS('Score Log'!$N$4:$N$204,'Score Log'!$C$4:$C$204,C$41,'Score Log'!$D$4:$D$204,$A54),2),""))</f>
        <v/>
      </c>
      <c r="D54" s="28" t="str">
        <f aca="false">IF(OR(D$41="",$A54=""),"",IFERROR(ROUND(AVERAGEIFS('Score Log'!$N$4:$N$204,'Score Log'!$C$4:$C$204,D$41,'Score Log'!$D$4:$D$204,$A54),2),""))</f>
        <v/>
      </c>
      <c r="E54" s="28" t="str">
        <f aca="false">IF(OR(E$41="",$A54=""),"",IFERROR(ROUND(AVERAGEIFS('Score Log'!$N$4:$N$204,'Score Log'!$C$4:$C$204,E$41,'Score Log'!$D$4:$D$204,$A54),2),""))</f>
        <v/>
      </c>
      <c r="F54" s="28" t="str">
        <f aca="false">IF(OR(F$41="",$A54=""),"",IFERROR(ROUND(AVERAGEIFS('Score Log'!$N$4:$N$204,'Score Log'!$C$4:$C$204,F$41,'Score Log'!$D$4:$D$204,$A54),2),""))</f>
        <v/>
      </c>
      <c r="G54" s="28" t="str">
        <f aca="false">IF(OR(G$41="",$A54=""),"",IFERROR(ROUND(AVERAGEIFS('Score Log'!$N$4:$N$204,'Score Log'!$C$4:$C$204,G$41,'Score Log'!$D$4:$D$204,$A54),2),""))</f>
        <v/>
      </c>
      <c r="H54" s="28" t="str">
        <f aca="false">IF(OR(H$41="",$A54=""),"",IFERROR(ROUND(AVERAGEIFS('Score Log'!$N$4:$N$204,'Score Log'!$C$4:$C$204,H$41,'Score Log'!$D$4:$D$204,$A54),2),""))</f>
        <v/>
      </c>
      <c r="I54" s="28" t="str">
        <f aca="false">IF(OR(I$41="",$A54=""),"",IFERROR(ROUND(AVERAGEIFS('Score Log'!$N$4:$N$204,'Score Log'!$C$4:$C$204,I$41,'Score Log'!$D$4:$D$204,$A54),2),""))</f>
        <v/>
      </c>
      <c r="J54" s="28" t="str">
        <f aca="false">IF(OR(J$41="",$A54=""),"",IFERROR(ROUND(AVERAGEIFS('Score Log'!$N$4:$N$204,'Score Log'!$C$4:$C$204,J$41,'Score Log'!$D$4:$D$204,$A54),2),""))</f>
        <v/>
      </c>
      <c r="K54" s="28" t="str">
        <f aca="false">IF(OR(K$41="",$A54=""),"",IFERROR(ROUND(AVERAGEIFS('Score Log'!$N$4:$N$204,'Score Log'!$C$4:$C$204,K$41,'Score Log'!$D$4:$D$204,$A54),2),""))</f>
        <v/>
      </c>
      <c r="L54" s="28" t="str">
        <f aca="false">IF(OR(L$41="",$A54=""),"",IFERROR(ROUND(AVERAGEIFS('Score Log'!$N$4:$N$204,'Score Log'!$C$4:$C$204,L$41,'Score Log'!$D$4:$D$204,$A54),2),""))</f>
        <v/>
      </c>
    </row>
    <row r="55" customFormat="false" ht="14.25" hidden="false" customHeight="false" outlineLevel="0" collapsed="false">
      <c r="A55" s="26" t="str">
        <f aca="false">IF(Settings!D17="","",Settings!D17)</f>
        <v/>
      </c>
      <c r="B55" s="27" t="str">
        <f aca="false">IF($A55="","",COUNTIFS('Score Log'!$D$4:$D$204,$A55))</f>
        <v/>
      </c>
      <c r="C55" s="28" t="str">
        <f aca="false">IF(OR(C$41="",$A55=""),"",IFERROR(ROUND(AVERAGEIFS('Score Log'!$N$4:$N$204,'Score Log'!$C$4:$C$204,C$41,'Score Log'!$D$4:$D$204,$A55),2),""))</f>
        <v/>
      </c>
      <c r="D55" s="28" t="str">
        <f aca="false">IF(OR(D$41="",$A55=""),"",IFERROR(ROUND(AVERAGEIFS('Score Log'!$N$4:$N$204,'Score Log'!$C$4:$C$204,D$41,'Score Log'!$D$4:$D$204,$A55),2),""))</f>
        <v/>
      </c>
      <c r="E55" s="28" t="str">
        <f aca="false">IF(OR(E$41="",$A55=""),"",IFERROR(ROUND(AVERAGEIFS('Score Log'!$N$4:$N$204,'Score Log'!$C$4:$C$204,E$41,'Score Log'!$D$4:$D$204,$A55),2),""))</f>
        <v/>
      </c>
      <c r="F55" s="28" t="str">
        <f aca="false">IF(OR(F$41="",$A55=""),"",IFERROR(ROUND(AVERAGEIFS('Score Log'!$N$4:$N$204,'Score Log'!$C$4:$C$204,F$41,'Score Log'!$D$4:$D$204,$A55),2),""))</f>
        <v/>
      </c>
      <c r="G55" s="28" t="str">
        <f aca="false">IF(OR(G$41="",$A55=""),"",IFERROR(ROUND(AVERAGEIFS('Score Log'!$N$4:$N$204,'Score Log'!$C$4:$C$204,G$41,'Score Log'!$D$4:$D$204,$A55),2),""))</f>
        <v/>
      </c>
      <c r="H55" s="28" t="str">
        <f aca="false">IF(OR(H$41="",$A55=""),"",IFERROR(ROUND(AVERAGEIFS('Score Log'!$N$4:$N$204,'Score Log'!$C$4:$C$204,H$41,'Score Log'!$D$4:$D$204,$A55),2),""))</f>
        <v/>
      </c>
      <c r="I55" s="28" t="str">
        <f aca="false">IF(OR(I$41="",$A55=""),"",IFERROR(ROUND(AVERAGEIFS('Score Log'!$N$4:$N$204,'Score Log'!$C$4:$C$204,I$41,'Score Log'!$D$4:$D$204,$A55),2),""))</f>
        <v/>
      </c>
      <c r="J55" s="28" t="str">
        <f aca="false">IF(OR(J$41="",$A55=""),"",IFERROR(ROUND(AVERAGEIFS('Score Log'!$N$4:$N$204,'Score Log'!$C$4:$C$204,J$41,'Score Log'!$D$4:$D$204,$A55),2),""))</f>
        <v/>
      </c>
      <c r="K55" s="28" t="str">
        <f aca="false">IF(OR(K$41="",$A55=""),"",IFERROR(ROUND(AVERAGEIFS('Score Log'!$N$4:$N$204,'Score Log'!$C$4:$C$204,K$41,'Score Log'!$D$4:$D$204,$A55),2),""))</f>
        <v/>
      </c>
      <c r="L55" s="28" t="str">
        <f aca="false">IF(OR(L$41="",$A55=""),"",IFERROR(ROUND(AVERAGEIFS('Score Log'!$N$4:$N$204,'Score Log'!$C$4:$C$204,L$41,'Score Log'!$D$4:$D$204,$A55),2),""))</f>
        <v/>
      </c>
    </row>
    <row r="56" customFormat="false" ht="14.25" hidden="false" customHeight="false" outlineLevel="0" collapsed="false">
      <c r="A56" s="26" t="str">
        <f aca="false">IF(Settings!D18="","",Settings!D18)</f>
        <v/>
      </c>
      <c r="B56" s="27" t="str">
        <f aca="false">IF($A56="","",COUNTIFS('Score Log'!$D$4:$D$204,$A56))</f>
        <v/>
      </c>
      <c r="C56" s="28" t="str">
        <f aca="false">IF(OR(C$41="",$A56=""),"",IFERROR(ROUND(AVERAGEIFS('Score Log'!$N$4:$N$204,'Score Log'!$C$4:$C$204,C$41,'Score Log'!$D$4:$D$204,$A56),2),""))</f>
        <v/>
      </c>
      <c r="D56" s="28" t="str">
        <f aca="false">IF(OR(D$41="",$A56=""),"",IFERROR(ROUND(AVERAGEIFS('Score Log'!$N$4:$N$204,'Score Log'!$C$4:$C$204,D$41,'Score Log'!$D$4:$D$204,$A56),2),""))</f>
        <v/>
      </c>
      <c r="E56" s="28" t="str">
        <f aca="false">IF(OR(E$41="",$A56=""),"",IFERROR(ROUND(AVERAGEIFS('Score Log'!$N$4:$N$204,'Score Log'!$C$4:$C$204,E$41,'Score Log'!$D$4:$D$204,$A56),2),""))</f>
        <v/>
      </c>
      <c r="F56" s="28" t="str">
        <f aca="false">IF(OR(F$41="",$A56=""),"",IFERROR(ROUND(AVERAGEIFS('Score Log'!$N$4:$N$204,'Score Log'!$C$4:$C$204,F$41,'Score Log'!$D$4:$D$204,$A56),2),""))</f>
        <v/>
      </c>
      <c r="G56" s="28" t="str">
        <f aca="false">IF(OR(G$41="",$A56=""),"",IFERROR(ROUND(AVERAGEIFS('Score Log'!$N$4:$N$204,'Score Log'!$C$4:$C$204,G$41,'Score Log'!$D$4:$D$204,$A56),2),""))</f>
        <v/>
      </c>
      <c r="H56" s="28" t="str">
        <f aca="false">IF(OR(H$41="",$A56=""),"",IFERROR(ROUND(AVERAGEIFS('Score Log'!$N$4:$N$204,'Score Log'!$C$4:$C$204,H$41,'Score Log'!$D$4:$D$204,$A56),2),""))</f>
        <v/>
      </c>
      <c r="I56" s="28" t="str">
        <f aca="false">IF(OR(I$41="",$A56=""),"",IFERROR(ROUND(AVERAGEIFS('Score Log'!$N$4:$N$204,'Score Log'!$C$4:$C$204,I$41,'Score Log'!$D$4:$D$204,$A56),2),""))</f>
        <v/>
      </c>
      <c r="J56" s="28" t="str">
        <f aca="false">IF(OR(J$41="",$A56=""),"",IFERROR(ROUND(AVERAGEIFS('Score Log'!$N$4:$N$204,'Score Log'!$C$4:$C$204,J$41,'Score Log'!$D$4:$D$204,$A56),2),""))</f>
        <v/>
      </c>
      <c r="K56" s="28" t="str">
        <f aca="false">IF(OR(K$41="",$A56=""),"",IFERROR(ROUND(AVERAGEIFS('Score Log'!$N$4:$N$204,'Score Log'!$C$4:$C$204,K$41,'Score Log'!$D$4:$D$204,$A56),2),""))</f>
        <v/>
      </c>
      <c r="L56" s="28" t="str">
        <f aca="false">IF(OR(L$41="",$A56=""),"",IFERROR(ROUND(AVERAGEIFS('Score Log'!$N$4:$N$204,'Score Log'!$C$4:$C$204,L$41,'Score Log'!$D$4:$D$204,$A56),2),""))</f>
        <v/>
      </c>
    </row>
    <row r="57" customFormat="false" ht="14.25" hidden="false" customHeight="false" outlineLevel="0" collapsed="false">
      <c r="A57" s="26" t="str">
        <f aca="false">IF(Settings!D19="","",Settings!D19)</f>
        <v/>
      </c>
      <c r="B57" s="27" t="str">
        <f aca="false">IF($A57="","",COUNTIFS('Score Log'!$D$4:$D$204,$A57))</f>
        <v/>
      </c>
      <c r="C57" s="28" t="str">
        <f aca="false">IF(OR(C$41="",$A57=""),"",IFERROR(ROUND(AVERAGEIFS('Score Log'!$N$4:$N$204,'Score Log'!$C$4:$C$204,C$41,'Score Log'!$D$4:$D$204,$A57),2),""))</f>
        <v/>
      </c>
      <c r="D57" s="28" t="str">
        <f aca="false">IF(OR(D$41="",$A57=""),"",IFERROR(ROUND(AVERAGEIFS('Score Log'!$N$4:$N$204,'Score Log'!$C$4:$C$204,D$41,'Score Log'!$D$4:$D$204,$A57),2),""))</f>
        <v/>
      </c>
      <c r="E57" s="28" t="str">
        <f aca="false">IF(OR(E$41="",$A57=""),"",IFERROR(ROUND(AVERAGEIFS('Score Log'!$N$4:$N$204,'Score Log'!$C$4:$C$204,E$41,'Score Log'!$D$4:$D$204,$A57),2),""))</f>
        <v/>
      </c>
      <c r="F57" s="28" t="str">
        <f aca="false">IF(OR(F$41="",$A57=""),"",IFERROR(ROUND(AVERAGEIFS('Score Log'!$N$4:$N$204,'Score Log'!$C$4:$C$204,F$41,'Score Log'!$D$4:$D$204,$A57),2),""))</f>
        <v/>
      </c>
      <c r="G57" s="28" t="str">
        <f aca="false">IF(OR(G$41="",$A57=""),"",IFERROR(ROUND(AVERAGEIFS('Score Log'!$N$4:$N$204,'Score Log'!$C$4:$C$204,G$41,'Score Log'!$D$4:$D$204,$A57),2),""))</f>
        <v/>
      </c>
      <c r="H57" s="28" t="str">
        <f aca="false">IF(OR(H$41="",$A57=""),"",IFERROR(ROUND(AVERAGEIFS('Score Log'!$N$4:$N$204,'Score Log'!$C$4:$C$204,H$41,'Score Log'!$D$4:$D$204,$A57),2),""))</f>
        <v/>
      </c>
      <c r="I57" s="28" t="str">
        <f aca="false">IF(OR(I$41="",$A57=""),"",IFERROR(ROUND(AVERAGEIFS('Score Log'!$N$4:$N$204,'Score Log'!$C$4:$C$204,I$41,'Score Log'!$D$4:$D$204,$A57),2),""))</f>
        <v/>
      </c>
      <c r="J57" s="28" t="str">
        <f aca="false">IF(OR(J$41="",$A57=""),"",IFERROR(ROUND(AVERAGEIFS('Score Log'!$N$4:$N$204,'Score Log'!$C$4:$C$204,J$41,'Score Log'!$D$4:$D$204,$A57),2),""))</f>
        <v/>
      </c>
      <c r="K57" s="28" t="str">
        <f aca="false">IF(OR(K$41="",$A57=""),"",IFERROR(ROUND(AVERAGEIFS('Score Log'!$N$4:$N$204,'Score Log'!$C$4:$C$204,K$41,'Score Log'!$D$4:$D$204,$A57),2),""))</f>
        <v/>
      </c>
      <c r="L57" s="28" t="str">
        <f aca="false">IF(OR(L$41="",$A57=""),"",IFERROR(ROUND(AVERAGEIFS('Score Log'!$N$4:$N$204,'Score Log'!$C$4:$C$204,L$41,'Score Log'!$D$4:$D$204,$A57),2),""))</f>
        <v/>
      </c>
    </row>
    <row r="58" customFormat="false" ht="14.25" hidden="false" customHeight="false" outlineLevel="0" collapsed="false">
      <c r="A58" s="26" t="str">
        <f aca="false">IF(Settings!D20="","",Settings!D20)</f>
        <v/>
      </c>
      <c r="B58" s="27" t="str">
        <f aca="false">IF($A58="","",COUNTIFS('Score Log'!$D$4:$D$204,$A58))</f>
        <v/>
      </c>
      <c r="C58" s="28" t="str">
        <f aca="false">IF(OR(C$41="",$A58=""),"",IFERROR(ROUND(AVERAGEIFS('Score Log'!$N$4:$N$204,'Score Log'!$C$4:$C$204,C$41,'Score Log'!$D$4:$D$204,$A58),2),""))</f>
        <v/>
      </c>
      <c r="D58" s="28" t="str">
        <f aca="false">IF(OR(D$41="",$A58=""),"",IFERROR(ROUND(AVERAGEIFS('Score Log'!$N$4:$N$204,'Score Log'!$C$4:$C$204,D$41,'Score Log'!$D$4:$D$204,$A58),2),""))</f>
        <v/>
      </c>
      <c r="E58" s="28" t="str">
        <f aca="false">IF(OR(E$41="",$A58=""),"",IFERROR(ROUND(AVERAGEIFS('Score Log'!$N$4:$N$204,'Score Log'!$C$4:$C$204,E$41,'Score Log'!$D$4:$D$204,$A58),2),""))</f>
        <v/>
      </c>
      <c r="F58" s="28" t="str">
        <f aca="false">IF(OR(F$41="",$A58=""),"",IFERROR(ROUND(AVERAGEIFS('Score Log'!$N$4:$N$204,'Score Log'!$C$4:$C$204,F$41,'Score Log'!$D$4:$D$204,$A58),2),""))</f>
        <v/>
      </c>
      <c r="G58" s="28" t="str">
        <f aca="false">IF(OR(G$41="",$A58=""),"",IFERROR(ROUND(AVERAGEIFS('Score Log'!$N$4:$N$204,'Score Log'!$C$4:$C$204,G$41,'Score Log'!$D$4:$D$204,$A58),2),""))</f>
        <v/>
      </c>
      <c r="H58" s="28" t="str">
        <f aca="false">IF(OR(H$41="",$A58=""),"",IFERROR(ROUND(AVERAGEIFS('Score Log'!$N$4:$N$204,'Score Log'!$C$4:$C$204,H$41,'Score Log'!$D$4:$D$204,$A58),2),""))</f>
        <v/>
      </c>
      <c r="I58" s="28" t="str">
        <f aca="false">IF(OR(I$41="",$A58=""),"",IFERROR(ROUND(AVERAGEIFS('Score Log'!$N$4:$N$204,'Score Log'!$C$4:$C$204,I$41,'Score Log'!$D$4:$D$204,$A58),2),""))</f>
        <v/>
      </c>
      <c r="J58" s="28" t="str">
        <f aca="false">IF(OR(J$41="",$A58=""),"",IFERROR(ROUND(AVERAGEIFS('Score Log'!$N$4:$N$204,'Score Log'!$C$4:$C$204,J$41,'Score Log'!$D$4:$D$204,$A58),2),""))</f>
        <v/>
      </c>
      <c r="K58" s="28" t="str">
        <f aca="false">IF(OR(K$41="",$A58=""),"",IFERROR(ROUND(AVERAGEIFS('Score Log'!$N$4:$N$204,'Score Log'!$C$4:$C$204,K$41,'Score Log'!$D$4:$D$204,$A58),2),""))</f>
        <v/>
      </c>
      <c r="L58" s="28" t="str">
        <f aca="false">IF(OR(L$41="",$A58=""),"",IFERROR(ROUND(AVERAGEIFS('Score Log'!$N$4:$N$204,'Score Log'!$C$4:$C$204,L$41,'Score Log'!$D$4:$D$204,$A58),2),""))</f>
        <v/>
      </c>
    </row>
    <row r="59" customFormat="false" ht="14.25" hidden="false" customHeight="false" outlineLevel="0" collapsed="false">
      <c r="A59" s="26" t="str">
        <f aca="false">IF(Settings!D21="","",Settings!D21)</f>
        <v/>
      </c>
      <c r="B59" s="27" t="str">
        <f aca="false">IF($A59="","",COUNTIFS('Score Log'!$D$4:$D$204,$A59))</f>
        <v/>
      </c>
      <c r="C59" s="28" t="str">
        <f aca="false">IF(OR(C$41="",$A59=""),"",IFERROR(ROUND(AVERAGEIFS('Score Log'!$N$4:$N$204,'Score Log'!$C$4:$C$204,C$41,'Score Log'!$D$4:$D$204,$A59),2),""))</f>
        <v/>
      </c>
      <c r="D59" s="28" t="str">
        <f aca="false">IF(OR(D$41="",$A59=""),"",IFERROR(ROUND(AVERAGEIFS('Score Log'!$N$4:$N$204,'Score Log'!$C$4:$C$204,D$41,'Score Log'!$D$4:$D$204,$A59),2),""))</f>
        <v/>
      </c>
      <c r="E59" s="28" t="str">
        <f aca="false">IF(OR(E$41="",$A59=""),"",IFERROR(ROUND(AVERAGEIFS('Score Log'!$N$4:$N$204,'Score Log'!$C$4:$C$204,E$41,'Score Log'!$D$4:$D$204,$A59),2),""))</f>
        <v/>
      </c>
      <c r="F59" s="28" t="str">
        <f aca="false">IF(OR(F$41="",$A59=""),"",IFERROR(ROUND(AVERAGEIFS('Score Log'!$N$4:$N$204,'Score Log'!$C$4:$C$204,F$41,'Score Log'!$D$4:$D$204,$A59),2),""))</f>
        <v/>
      </c>
      <c r="G59" s="28" t="str">
        <f aca="false">IF(OR(G$41="",$A59=""),"",IFERROR(ROUND(AVERAGEIFS('Score Log'!$N$4:$N$204,'Score Log'!$C$4:$C$204,G$41,'Score Log'!$D$4:$D$204,$A59),2),""))</f>
        <v/>
      </c>
      <c r="H59" s="28" t="str">
        <f aca="false">IF(OR(H$41="",$A59=""),"",IFERROR(ROUND(AVERAGEIFS('Score Log'!$N$4:$N$204,'Score Log'!$C$4:$C$204,H$41,'Score Log'!$D$4:$D$204,$A59),2),""))</f>
        <v/>
      </c>
      <c r="I59" s="28" t="str">
        <f aca="false">IF(OR(I$41="",$A59=""),"",IFERROR(ROUND(AVERAGEIFS('Score Log'!$N$4:$N$204,'Score Log'!$C$4:$C$204,I$41,'Score Log'!$D$4:$D$204,$A59),2),""))</f>
        <v/>
      </c>
      <c r="J59" s="28" t="str">
        <f aca="false">IF(OR(J$41="",$A59=""),"",IFERROR(ROUND(AVERAGEIFS('Score Log'!$N$4:$N$204,'Score Log'!$C$4:$C$204,J$41,'Score Log'!$D$4:$D$204,$A59),2),""))</f>
        <v/>
      </c>
      <c r="K59" s="28" t="str">
        <f aca="false">IF(OR(K$41="",$A59=""),"",IFERROR(ROUND(AVERAGEIFS('Score Log'!$N$4:$N$204,'Score Log'!$C$4:$C$204,K$41,'Score Log'!$D$4:$D$204,$A59),2),""))</f>
        <v/>
      </c>
      <c r="L59" s="28" t="str">
        <f aca="false">IF(OR(L$41="",$A59=""),"",IFERROR(ROUND(AVERAGEIFS('Score Log'!$N$4:$N$204,'Score Log'!$C$4:$C$204,L$41,'Score Log'!$D$4:$D$204,$A59),2),""))</f>
        <v/>
      </c>
    </row>
    <row r="60" customFormat="false" ht="14.25" hidden="false" customHeight="false" outlineLevel="0" collapsed="false">
      <c r="A60" s="26" t="str">
        <f aca="false">IF(Settings!D22="","",Settings!D22)</f>
        <v/>
      </c>
      <c r="B60" s="27" t="str">
        <f aca="false">IF($A60="","",COUNTIFS('Score Log'!$D$4:$D$204,$A60))</f>
        <v/>
      </c>
      <c r="C60" s="28" t="str">
        <f aca="false">IF(OR(C$41="",$A60=""),"",IFERROR(ROUND(AVERAGEIFS('Score Log'!$N$4:$N$204,'Score Log'!$C$4:$C$204,C$41,'Score Log'!$D$4:$D$204,$A60),2),""))</f>
        <v/>
      </c>
      <c r="D60" s="28" t="str">
        <f aca="false">IF(OR(D$41="",$A60=""),"",IFERROR(ROUND(AVERAGEIFS('Score Log'!$N$4:$N$204,'Score Log'!$C$4:$C$204,D$41,'Score Log'!$D$4:$D$204,$A60),2),""))</f>
        <v/>
      </c>
      <c r="E60" s="28" t="str">
        <f aca="false">IF(OR(E$41="",$A60=""),"",IFERROR(ROUND(AVERAGEIFS('Score Log'!$N$4:$N$204,'Score Log'!$C$4:$C$204,E$41,'Score Log'!$D$4:$D$204,$A60),2),""))</f>
        <v/>
      </c>
      <c r="F60" s="28" t="str">
        <f aca="false">IF(OR(F$41="",$A60=""),"",IFERROR(ROUND(AVERAGEIFS('Score Log'!$N$4:$N$204,'Score Log'!$C$4:$C$204,F$41,'Score Log'!$D$4:$D$204,$A60),2),""))</f>
        <v/>
      </c>
      <c r="G60" s="28" t="str">
        <f aca="false">IF(OR(G$41="",$A60=""),"",IFERROR(ROUND(AVERAGEIFS('Score Log'!$N$4:$N$204,'Score Log'!$C$4:$C$204,G$41,'Score Log'!$D$4:$D$204,$A60),2),""))</f>
        <v/>
      </c>
      <c r="H60" s="28" t="str">
        <f aca="false">IF(OR(H$41="",$A60=""),"",IFERROR(ROUND(AVERAGEIFS('Score Log'!$N$4:$N$204,'Score Log'!$C$4:$C$204,H$41,'Score Log'!$D$4:$D$204,$A60),2),""))</f>
        <v/>
      </c>
      <c r="I60" s="28" t="str">
        <f aca="false">IF(OR(I$41="",$A60=""),"",IFERROR(ROUND(AVERAGEIFS('Score Log'!$N$4:$N$204,'Score Log'!$C$4:$C$204,I$41,'Score Log'!$D$4:$D$204,$A60),2),""))</f>
        <v/>
      </c>
      <c r="J60" s="28" t="str">
        <f aca="false">IF(OR(J$41="",$A60=""),"",IFERROR(ROUND(AVERAGEIFS('Score Log'!$N$4:$N$204,'Score Log'!$C$4:$C$204,J$41,'Score Log'!$D$4:$D$204,$A60),2),""))</f>
        <v/>
      </c>
      <c r="K60" s="28" t="str">
        <f aca="false">IF(OR(K$41="",$A60=""),"",IFERROR(ROUND(AVERAGEIFS('Score Log'!$N$4:$N$204,'Score Log'!$C$4:$C$204,K$41,'Score Log'!$D$4:$D$204,$A60),2),""))</f>
        <v/>
      </c>
      <c r="L60" s="28" t="str">
        <f aca="false">IF(OR(L$41="",$A60=""),"",IFERROR(ROUND(AVERAGEIFS('Score Log'!$N$4:$N$204,'Score Log'!$C$4:$C$204,L$41,'Score Log'!$D$4:$D$204,$A60),2),""))</f>
        <v/>
      </c>
    </row>
    <row r="61" customFormat="false" ht="14.25" hidden="false" customHeight="false" outlineLevel="0" collapsed="false">
      <c r="A61" s="26" t="str">
        <f aca="false">IF(Settings!D23="","",Settings!D23)</f>
        <v/>
      </c>
      <c r="B61" s="27" t="str">
        <f aca="false">IF($A61="","",COUNTIFS('Score Log'!$D$4:$D$204,$A61))</f>
        <v/>
      </c>
      <c r="C61" s="28" t="str">
        <f aca="false">IF(OR(C$41="",$A61=""),"",IFERROR(ROUND(AVERAGEIFS('Score Log'!$N$4:$N$204,'Score Log'!$C$4:$C$204,C$41,'Score Log'!$D$4:$D$204,$A61),2),""))</f>
        <v/>
      </c>
      <c r="D61" s="28" t="str">
        <f aca="false">IF(OR(D$41="",$A61=""),"",IFERROR(ROUND(AVERAGEIFS('Score Log'!$N$4:$N$204,'Score Log'!$C$4:$C$204,D$41,'Score Log'!$D$4:$D$204,$A61),2),""))</f>
        <v/>
      </c>
      <c r="E61" s="28" t="str">
        <f aca="false">IF(OR(E$41="",$A61=""),"",IFERROR(ROUND(AVERAGEIFS('Score Log'!$N$4:$N$204,'Score Log'!$C$4:$C$204,E$41,'Score Log'!$D$4:$D$204,$A61),2),""))</f>
        <v/>
      </c>
      <c r="F61" s="28" t="str">
        <f aca="false">IF(OR(F$41="",$A61=""),"",IFERROR(ROUND(AVERAGEIFS('Score Log'!$N$4:$N$204,'Score Log'!$C$4:$C$204,F$41,'Score Log'!$D$4:$D$204,$A61),2),""))</f>
        <v/>
      </c>
      <c r="G61" s="28" t="str">
        <f aca="false">IF(OR(G$41="",$A61=""),"",IFERROR(ROUND(AVERAGEIFS('Score Log'!$N$4:$N$204,'Score Log'!$C$4:$C$204,G$41,'Score Log'!$D$4:$D$204,$A61),2),""))</f>
        <v/>
      </c>
      <c r="H61" s="28" t="str">
        <f aca="false">IF(OR(H$41="",$A61=""),"",IFERROR(ROUND(AVERAGEIFS('Score Log'!$N$4:$N$204,'Score Log'!$C$4:$C$204,H$41,'Score Log'!$D$4:$D$204,$A61),2),""))</f>
        <v/>
      </c>
      <c r="I61" s="28" t="str">
        <f aca="false">IF(OR(I$41="",$A61=""),"",IFERROR(ROUND(AVERAGEIFS('Score Log'!$N$4:$N$204,'Score Log'!$C$4:$C$204,I$41,'Score Log'!$D$4:$D$204,$A61),2),""))</f>
        <v/>
      </c>
      <c r="J61" s="28" t="str">
        <f aca="false">IF(OR(J$41="",$A61=""),"",IFERROR(ROUND(AVERAGEIFS('Score Log'!$N$4:$N$204,'Score Log'!$C$4:$C$204,J$41,'Score Log'!$D$4:$D$204,$A61),2),""))</f>
        <v/>
      </c>
      <c r="K61" s="28" t="str">
        <f aca="false">IF(OR(K$41="",$A61=""),"",IFERROR(ROUND(AVERAGEIFS('Score Log'!$N$4:$N$204,'Score Log'!$C$4:$C$204,K$41,'Score Log'!$D$4:$D$204,$A61),2),""))</f>
        <v/>
      </c>
      <c r="L61" s="28" t="str">
        <f aca="false">IF(OR(L$41="",$A61=""),"",IFERROR(ROUND(AVERAGEIFS('Score Log'!$N$4:$N$204,'Score Log'!$C$4:$C$204,L$41,'Score Log'!$D$4:$D$204,$A61),2),""))</f>
        <v/>
      </c>
    </row>
  </sheetData>
  <conditionalFormatting sqref="C5:G34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H5:H34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I5:I34">
    <cfRule type="colorScale" priority="4">
      <colorScale>
        <cfvo type="num" val="-0.2"/>
        <cfvo type="num" val="0"/>
        <cfvo type="num" val="0.2"/>
        <color rgb="FF63BE7B"/>
        <color rgb="FFFFFFFF"/>
        <color rgb="FFF8696B"/>
      </colorScale>
    </cfRule>
  </conditionalFormatting>
  <conditionalFormatting sqref="C42:L61">
    <cfRule type="colorScale" priority="5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AB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10" min="9" style="0" width="10"/>
    <col collapsed="false" customWidth="true" hidden="false" outlineLevel="0" max="11" min="11" style="0" width="20"/>
    <col collapsed="false" customWidth="true" hidden="false" outlineLevel="0" max="12" min="12" style="0" width="15"/>
    <col collapsed="false" customWidth="true" hidden="false" outlineLevel="0" max="13" min="13" style="0" width="20"/>
    <col collapsed="false" customWidth="true" hidden="false" outlineLevel="0" max="14" min="14" style="0" width="3"/>
    <col collapsed="false" customWidth="true" hidden="true" outlineLevel="0" max="17" min="15" style="0" width="4"/>
    <col collapsed="false" customWidth="true" hidden="true" outlineLevel="0" max="28" min="27" style="0" width="4"/>
  </cols>
  <sheetData>
    <row r="1" customFormat="false" ht="17.35" hidden="false" customHeight="false" outlineLevel="0" collapsed="false">
      <c r="A1" s="32" t="s">
        <v>75</v>
      </c>
    </row>
    <row r="2" customFormat="false" ht="15" hidden="false" customHeight="false" outlineLevel="0" collapsed="false">
      <c r="A2" s="33" t="s">
        <v>76</v>
      </c>
    </row>
    <row r="3" customFormat="false" ht="19.5" hidden="false" customHeight="true" outlineLevel="0" collapsed="false">
      <c r="A3" s="34" t="s">
        <v>77</v>
      </c>
      <c r="B3" s="34"/>
      <c r="C3" s="34"/>
      <c r="D3" s="34" t="s">
        <v>78</v>
      </c>
      <c r="E3" s="34"/>
      <c r="F3" s="34"/>
      <c r="G3" s="34"/>
      <c r="H3" s="34"/>
      <c r="I3" s="34"/>
      <c r="J3" s="34"/>
      <c r="K3" s="34" t="s">
        <v>79</v>
      </c>
      <c r="L3" s="34"/>
      <c r="M3" s="34"/>
      <c r="AA3" s="33" t="s">
        <v>80</v>
      </c>
      <c r="AB3" s="33" t="s">
        <v>81</v>
      </c>
    </row>
    <row r="4" customFormat="false" ht="27.75" hidden="false" customHeight="true" outlineLevel="0" collapsed="false">
      <c r="A4" s="35" t="s">
        <v>82</v>
      </c>
      <c r="B4" s="35" t="s">
        <v>27</v>
      </c>
      <c r="C4" s="35" t="s">
        <v>28</v>
      </c>
      <c r="D4" s="35" t="s">
        <v>64</v>
      </c>
      <c r="E4" s="35" t="s">
        <v>65</v>
      </c>
      <c r="F4" s="35" t="s">
        <v>66</v>
      </c>
      <c r="G4" s="35" t="s">
        <v>67</v>
      </c>
      <c r="H4" s="35" t="s">
        <v>68</v>
      </c>
      <c r="I4" s="35" t="s">
        <v>69</v>
      </c>
      <c r="J4" s="35" t="s">
        <v>70</v>
      </c>
      <c r="K4" s="35" t="s">
        <v>83</v>
      </c>
      <c r="L4" s="35" t="s">
        <v>84</v>
      </c>
      <c r="M4" s="35" t="s">
        <v>85</v>
      </c>
      <c r="O4" s="33" t="s">
        <v>86</v>
      </c>
      <c r="P4" s="33" t="s">
        <v>87</v>
      </c>
      <c r="Q4" s="33" t="s">
        <v>88</v>
      </c>
      <c r="AA4" s="33" t="n">
        <f aca="false">IF(OR('Score Log'!$C4="",'Score Log'!$E4=""),0,IF(COUNTIFS('Score Log'!$C$4:$C4,'Score Log'!$C4,'Score Log'!$E$4:$E4,'Score Log'!$E4)=1,1,0))</f>
        <v>1</v>
      </c>
      <c r="AB4" s="33" t="n">
        <f aca="false">IF($AA4=1,SUM($AA$4:$AA4),"")</f>
        <v>1</v>
      </c>
    </row>
    <row r="5" customFormat="false" ht="15" hidden="false" customHeight="false" outlineLevel="0" collapsed="false">
      <c r="A5" s="36" t="str">
        <f aca="false">IF($Q5="","",INDEX('Score Log'!$E:$E,$Q5))</f>
        <v>Uterus Insert</v>
      </c>
      <c r="B5" s="36" t="str">
        <f aca="false">IF($Q5="","",INDEX('Score Log'!$C:$C,$Q5))</f>
        <v>Fictiv</v>
      </c>
      <c r="C5" s="37" t="str">
        <f aca="false">IF($Q5="","",IF(INDEX('Score Log'!$D:$D,$Q5)="","",INDEX('Score Log'!$D:$D,$Q5)))</f>
        <v>Injection molding</v>
      </c>
      <c r="D5" s="38" t="n">
        <f aca="false">IF($B5="","",COUNTIFS('Score Log'!$C$4:$C$203,$B5,'Score Log'!$E$4:$E$203,$A5))</f>
        <v>1</v>
      </c>
      <c r="E5" s="39" t="n">
        <f aca="false">IF($B5="","",IFERROR(ROUND(AVERAGEIFS('Score Log'!$F$4:$F$203,'Score Log'!$C$4:$C$203,$B5,'Score Log'!$E$4:$E$203,$A5),1),"-"))</f>
        <v>4</v>
      </c>
      <c r="F5" s="39" t="n">
        <f aca="false">IF($B5="","",IFERROR(ROUND(AVERAGEIFS('Score Log'!$H$4:$H$203,'Score Log'!$C$4:$C$203,$B5,'Score Log'!$E$4:$E$203,$A5),1),"-"))</f>
        <v>5</v>
      </c>
      <c r="G5" s="39" t="n">
        <f aca="false">IF($B5="","",IFERROR(ROUND(AVERAGEIFS('Score Log'!$J$4:$J$203,'Score Log'!$C$4:$C$203,$B5,'Score Log'!$E$4:$E$203,$A5),1),"-"))</f>
        <v>4</v>
      </c>
      <c r="H5" s="39" t="n">
        <f aca="false">IF($B5="","",IFERROR(ROUND(AVERAGEIFS('Score Log'!$L$4:$L$203,'Score Log'!$C$4:$C$203,$B5,'Score Log'!$E$4:$E$203,$A5),1),"-"))</f>
        <v>5</v>
      </c>
      <c r="I5" s="39" t="n">
        <f aca="false">IF($B5="","",IFERROR(ROUND(AVERAGEIFS('Score Log'!$N$4:$N$203,'Score Log'!$C$4:$C$203,$B5,'Score Log'!$E$4:$E$203,$A5),1),"-"))</f>
        <v>4.5</v>
      </c>
      <c r="J5" s="40" t="n">
        <f aca="false">IF(OR($B5="",$D5=0),"",IFERROR(COUNTIFS('Score Log'!$C$4:$C$203,$B5,'Score Log'!$E$4:$E$203,$A5,'Score Log'!$U$4:$U$203,"Yes")/$D5,"-"))</f>
        <v>1</v>
      </c>
      <c r="K5" s="41" t="n">
        <f aca="false">IF($B5="","",IF(ISNUMBER($F5),MAX(1,MIN(5,ROUND(6-$F5,0))),"-"))</f>
        <v>1</v>
      </c>
      <c r="L5" s="41" t="n">
        <f aca="false">IF($B5="","",IF(ISNUMBER($G5),MAX(1,MIN(5,ROUND(6-$G5,0))),"-"))</f>
        <v>2</v>
      </c>
      <c r="M5" s="41" t="n">
        <f aca="false">IF($B5="","",IF(AND(ISNUMBER($P5),ISNUMBER($O5)),MAX(1,MIN(5,ROUND(6-AVERAGE($P5,$O5),0))),IF(ISNUMBER($P5),MAX(1,MIN(5,ROUND(6-$P5,0))),"-")))</f>
        <v>2</v>
      </c>
      <c r="O5" s="33" t="n">
        <f aca="false">IF($B5="","",IFERROR(AVERAGEIFS('Score Log'!$F$4:$F$203,'Score Log'!$C$4:$C$203,$B5),""))</f>
        <v>4</v>
      </c>
      <c r="P5" s="33" t="n">
        <f aca="false">IF($B5="","",IFERROR(AVERAGEIFS('Score Log'!$L$4:$L$203,'Score Log'!$C$4:$C$203,$B5),""))</f>
        <v>5</v>
      </c>
      <c r="Q5" s="33" t="n">
        <f aca="false">IFERROR(MATCH(ROW()-4,$AB$4:$AB$203,0)+3,"")</f>
        <v>4</v>
      </c>
      <c r="AA5" s="33" t="n">
        <f aca="false">IF(OR('Score Log'!$C5="",'Score Log'!$E5=""),0,IF(COUNTIFS('Score Log'!$C$4:$C5,'Score Log'!$C5,'Score Log'!$E$4:$E5,'Score Log'!$E5)=1,1,0))</f>
        <v>1</v>
      </c>
      <c r="AB5" s="33" t="n">
        <f aca="false">IF($AA5=1,SUM($AA$4:$AA5),"")</f>
        <v>2</v>
      </c>
    </row>
    <row r="6" customFormat="false" ht="15" hidden="false" customHeight="false" outlineLevel="0" collapsed="false">
      <c r="A6" s="36" t="str">
        <f aca="false">IF($Q6="","",INDEX('Score Log'!$E:$E,$Q6))</f>
        <v>End Plate</v>
      </c>
      <c r="B6" s="36" t="str">
        <f aca="false">IF($Q6="","",INDEX('Score Log'!$C:$C,$Q6))</f>
        <v>Fictiv</v>
      </c>
      <c r="C6" s="37" t="str">
        <f aca="false">IF($Q6="","",IF(INDEX('Score Log'!$D:$D,$Q6)="","",INDEX('Score Log'!$D:$D,$Q6)))</f>
        <v>Injection molding</v>
      </c>
      <c r="D6" s="38" t="n">
        <f aca="false">IF($B6="","",COUNTIFS('Score Log'!$C$4:$C$203,$B6,'Score Log'!$E$4:$E$203,$A6))</f>
        <v>1</v>
      </c>
      <c r="E6" s="39" t="n">
        <f aca="false">IF($B6="","",IFERROR(ROUND(AVERAGEIFS('Score Log'!$F$4:$F$203,'Score Log'!$C$4:$C$203,$B6,'Score Log'!$E$4:$E$203,$A6),1),"-"))</f>
        <v>4</v>
      </c>
      <c r="F6" s="39" t="n">
        <f aca="false">IF($B6="","",IFERROR(ROUND(AVERAGEIFS('Score Log'!$H$4:$H$203,'Score Log'!$C$4:$C$203,$B6,'Score Log'!$E$4:$E$203,$A6),1),"-"))</f>
        <v>5</v>
      </c>
      <c r="G6" s="39" t="n">
        <f aca="false">IF($B6="","",IFERROR(ROUND(AVERAGEIFS('Score Log'!$J$4:$J$203,'Score Log'!$C$4:$C$203,$B6,'Score Log'!$E$4:$E$203,$A6),1),"-"))</f>
        <v>4</v>
      </c>
      <c r="H6" s="39" t="n">
        <f aca="false">IF($B6="","",IFERROR(ROUND(AVERAGEIFS('Score Log'!$L$4:$L$203,'Score Log'!$C$4:$C$203,$B6,'Score Log'!$E$4:$E$203,$A6),1),"-"))</f>
        <v>5</v>
      </c>
      <c r="I6" s="39" t="n">
        <f aca="false">IF($B6="","",IFERROR(ROUND(AVERAGEIFS('Score Log'!$N$4:$N$203,'Score Log'!$C$4:$C$203,$B6,'Score Log'!$E$4:$E$203,$A6),1),"-"))</f>
        <v>4.5</v>
      </c>
      <c r="J6" s="40" t="n">
        <f aca="false">IF(OR($B6="",$D6=0),"",IFERROR(COUNTIFS('Score Log'!$C$4:$C$203,$B6,'Score Log'!$E$4:$E$203,$A6,'Score Log'!$U$4:$U$203,"Yes")/$D6,"-"))</f>
        <v>1</v>
      </c>
      <c r="K6" s="41" t="n">
        <f aca="false">IF($B6="","",IF(ISNUMBER($F6),MAX(1,MIN(5,ROUND(6-$F6,0))),"-"))</f>
        <v>1</v>
      </c>
      <c r="L6" s="41" t="n">
        <f aca="false">IF($B6="","",IF(ISNUMBER($G6),MAX(1,MIN(5,ROUND(6-$G6,0))),"-"))</f>
        <v>2</v>
      </c>
      <c r="M6" s="41" t="n">
        <f aca="false">IF($B6="","",IF(AND(ISNUMBER($P6),ISNUMBER($O6)),MAX(1,MIN(5,ROUND(6-AVERAGE($P6,$O6),0))),IF(ISNUMBER($P6),MAX(1,MIN(5,ROUND(6-$P6,0))),"-")))</f>
        <v>2</v>
      </c>
      <c r="O6" s="33" t="n">
        <f aca="false">IF($B6="","",IFERROR(AVERAGEIFS('Score Log'!$F$4:$F$203,'Score Log'!$C$4:$C$203,$B6),""))</f>
        <v>4</v>
      </c>
      <c r="P6" s="33" t="n">
        <f aca="false">IF($B6="","",IFERROR(AVERAGEIFS('Score Log'!$L$4:$L$203,'Score Log'!$C$4:$C$203,$B6),""))</f>
        <v>5</v>
      </c>
      <c r="Q6" s="33" t="n">
        <f aca="false">IFERROR(MATCH(ROW()-4,$AB$4:$AB$203,0)+3,"")</f>
        <v>5</v>
      </c>
      <c r="AA6" s="33" t="n">
        <f aca="false">IF(OR('Score Log'!$C6="",'Score Log'!$E6=""),0,IF(COUNTIFS('Score Log'!$C$4:$C6,'Score Log'!$C6,'Score Log'!$E$4:$E6,'Score Log'!$E6)=1,1,0))</f>
        <v>1</v>
      </c>
      <c r="AB6" s="33" t="n">
        <f aca="false">IF($AA6=1,SUM($AA$4:$AA6),"")</f>
        <v>3</v>
      </c>
    </row>
    <row r="7" customFormat="false" ht="15" hidden="false" customHeight="false" outlineLevel="0" collapsed="false">
      <c r="A7" s="36" t="str">
        <f aca="false">IF($Q7="","",INDEX('Score Log'!$E:$E,$Q7))</f>
        <v>Suppine chest base</v>
      </c>
      <c r="B7" s="36" t="str">
        <f aca="false">IF($Q7="","",INDEX('Score Log'!$C:$C,$Q7))</f>
        <v>Advanced Plastiform</v>
      </c>
      <c r="C7" s="37" t="str">
        <f aca="false">IF($Q7="","",IF(INDEX('Score Log'!$D:$D,$Q7)="","",INDEX('Score Log'!$D:$D,$Q7)))</f>
        <v>Thermoforming</v>
      </c>
      <c r="D7" s="38" t="n">
        <f aca="false">IF($B7="","",COUNTIFS('Score Log'!$C$4:$C$203,$B7,'Score Log'!$E$4:$E$203,$A7))</f>
        <v>1</v>
      </c>
      <c r="E7" s="39" t="str">
        <f aca="false">IF($B7="","",IFERROR(ROUND(AVERAGEIFS('Score Log'!$F$4:$F$203,'Score Log'!$C$4:$C$203,$B7,'Score Log'!$E$4:$E$203,$A7),1),"-"))</f>
        <v>-</v>
      </c>
      <c r="F7" s="39" t="str">
        <f aca="false">IF($B7="","",IFERROR(ROUND(AVERAGEIFS('Score Log'!$H$4:$H$203,'Score Log'!$C$4:$C$203,$B7,'Score Log'!$E$4:$E$203,$A7),1),"-"))</f>
        <v>-</v>
      </c>
      <c r="G7" s="39" t="str">
        <f aca="false">IF($B7="","",IFERROR(ROUND(AVERAGEIFS('Score Log'!$J$4:$J$203,'Score Log'!$C$4:$C$203,$B7,'Score Log'!$E$4:$E$203,$A7),1),"-"))</f>
        <v>-</v>
      </c>
      <c r="H7" s="39" t="str">
        <f aca="false">IF($B7="","",IFERROR(ROUND(AVERAGEIFS('Score Log'!$L$4:$L$203,'Score Log'!$C$4:$C$203,$B7,'Score Log'!$E$4:$E$203,$A7),1),"-"))</f>
        <v>-</v>
      </c>
      <c r="I7" s="39" t="str">
        <f aca="false">IF($B7="","",IFERROR(ROUND(AVERAGEIFS('Score Log'!$N$4:$N$203,'Score Log'!$C$4:$C$203,$B7,'Score Log'!$E$4:$E$203,$A7),1),"-"))</f>
        <v>-</v>
      </c>
      <c r="J7" s="40" t="n">
        <f aca="false">IF(OR($B7="",$D7=0),"",IFERROR(COUNTIFS('Score Log'!$C$4:$C$203,$B7,'Score Log'!$E$4:$E$203,$A7,'Score Log'!$U$4:$U$203,"Yes")/$D7,"-"))</f>
        <v>0</v>
      </c>
      <c r="K7" s="41" t="str">
        <f aca="false">IF($B7="","",IF(ISNUMBER($F7),MAX(1,MIN(5,ROUND(6-$F7,0))),"-"))</f>
        <v>-</v>
      </c>
      <c r="L7" s="41" t="str">
        <f aca="false">IF($B7="","",IF(ISNUMBER($G7),MAX(1,MIN(5,ROUND(6-$G7,0))),"-"))</f>
        <v>-</v>
      </c>
      <c r="M7" s="41" t="str">
        <f aca="false">IF($B7="","",IF(AND(ISNUMBER($P7),ISNUMBER($O7)),MAX(1,MIN(5,ROUND(6-AVERAGE($P7,$O7),0))),IF(ISNUMBER($P7),MAX(1,MIN(5,ROUND(6-$P7,0))),"-")))</f>
        <v>-</v>
      </c>
      <c r="O7" s="33" t="str">
        <f aca="false">IF($B7="","",IFERROR(AVERAGEIFS('Score Log'!$F$4:$F$203,'Score Log'!$C$4:$C$203,$B7),""))</f>
        <v/>
      </c>
      <c r="P7" s="33" t="str">
        <f aca="false">IF($B7="","",IFERROR(AVERAGEIFS('Score Log'!$L$4:$L$203,'Score Log'!$C$4:$C$203,$B7),""))</f>
        <v/>
      </c>
      <c r="Q7" s="33" t="n">
        <f aca="false">IFERROR(MATCH(ROW()-4,$AB$4:$AB$203,0)+3,"")</f>
        <v>6</v>
      </c>
      <c r="AA7" s="33" t="n">
        <f aca="false">IF(OR('Score Log'!$C7="",'Score Log'!$E7=""),0,IF(COUNTIFS('Score Log'!$C$4:$C7,'Score Log'!$C7,'Score Log'!$E$4:$E7,'Score Log'!$E7)=1,1,0))</f>
        <v>0</v>
      </c>
      <c r="AB7" s="33" t="str">
        <f aca="false">IF($AA7=1,SUM($AA$4:$AA7),"")</f>
        <v/>
      </c>
    </row>
    <row r="8" customFormat="false" ht="15" hidden="false" customHeight="false" outlineLevel="0" collapsed="false">
      <c r="A8" s="36" t="str">
        <f aca="false">IF($Q8="","",INDEX('Score Log'!$E:$E,$Q8))</f>
        <v/>
      </c>
      <c r="B8" s="36" t="str">
        <f aca="false">IF($Q8="","",INDEX('Score Log'!$C:$C,$Q8))</f>
        <v/>
      </c>
      <c r="C8" s="37" t="str">
        <f aca="false">IF($Q8="","",IF(INDEX('Score Log'!$D:$D,$Q8)="","",INDEX('Score Log'!$D:$D,$Q8)))</f>
        <v/>
      </c>
      <c r="D8" s="38" t="str">
        <f aca="false">IF($B8="","",COUNTIFS('Score Log'!$C$4:$C$203,$B8,'Score Log'!$E$4:$E$203,$A8))</f>
        <v/>
      </c>
      <c r="E8" s="39" t="str">
        <f aca="false">IF($B8="","",IFERROR(ROUND(AVERAGEIFS('Score Log'!$F$4:$F$203,'Score Log'!$C$4:$C$203,$B8,'Score Log'!$E$4:$E$203,$A8),1),"-"))</f>
        <v/>
      </c>
      <c r="F8" s="39" t="str">
        <f aca="false">IF($B8="","",IFERROR(ROUND(AVERAGEIFS('Score Log'!$H$4:$H$203,'Score Log'!$C$4:$C$203,$B8,'Score Log'!$E$4:$E$203,$A8),1),"-"))</f>
        <v/>
      </c>
      <c r="G8" s="39" t="str">
        <f aca="false">IF($B8="","",IFERROR(ROUND(AVERAGEIFS('Score Log'!$J$4:$J$203,'Score Log'!$C$4:$C$203,$B8,'Score Log'!$E$4:$E$203,$A8),1),"-"))</f>
        <v/>
      </c>
      <c r="H8" s="39" t="str">
        <f aca="false">IF($B8="","",IFERROR(ROUND(AVERAGEIFS('Score Log'!$L$4:$L$203,'Score Log'!$C$4:$C$203,$B8,'Score Log'!$E$4:$E$203,$A8),1),"-"))</f>
        <v/>
      </c>
      <c r="I8" s="39" t="str">
        <f aca="false">IF($B8="","",IFERROR(ROUND(AVERAGEIFS('Score Log'!$N$4:$N$203,'Score Log'!$C$4:$C$203,$B8,'Score Log'!$E$4:$E$203,$A8),1),"-"))</f>
        <v/>
      </c>
      <c r="J8" s="40" t="str">
        <f aca="false">IF(OR($B8="",$D8=0),"",IFERROR(COUNTIFS('Score Log'!$C$4:$C$203,$B8,'Score Log'!$E$4:$E$203,$A8,'Score Log'!$U$4:$U$203,"Yes")/$D8,"-"))</f>
        <v/>
      </c>
      <c r="K8" s="41" t="str">
        <f aca="false">IF($B8="","",IF(ISNUMBER($F8),MAX(1,MIN(5,ROUND(6-$F8,0))),"-"))</f>
        <v/>
      </c>
      <c r="L8" s="41" t="str">
        <f aca="false">IF($B8="","",IF(ISNUMBER($G8),MAX(1,MIN(5,ROUND(6-$G8,0))),"-"))</f>
        <v/>
      </c>
      <c r="M8" s="41" t="str">
        <f aca="false">IF($B8="","",IF(AND(ISNUMBER($P8),ISNUMBER($O8)),MAX(1,MIN(5,ROUND(6-AVERAGE($P8,$O8),0))),IF(ISNUMBER($P8),MAX(1,MIN(5,ROUND(6-$P8,0))),"-")))</f>
        <v/>
      </c>
      <c r="O8" s="33" t="str">
        <f aca="false">IF($B8="","",IFERROR(AVERAGEIFS('Score Log'!$F$4:$F$203,'Score Log'!$C$4:$C$203,$B8),""))</f>
        <v/>
      </c>
      <c r="P8" s="33" t="str">
        <f aca="false">IF($B8="","",IFERROR(AVERAGEIFS('Score Log'!$L$4:$L$203,'Score Log'!$C$4:$C$203,$B8),""))</f>
        <v/>
      </c>
      <c r="Q8" s="33" t="str">
        <f aca="false">IFERROR(MATCH(ROW()-4,$AB$4:$AB$203,0)+3,"")</f>
        <v/>
      </c>
      <c r="AA8" s="33" t="n">
        <f aca="false">IF(OR('Score Log'!$C8="",'Score Log'!$E8=""),0,IF(COUNTIFS('Score Log'!$C$4:$C8,'Score Log'!$C8,'Score Log'!$E$4:$E8,'Score Log'!$E8)=1,1,0))</f>
        <v>0</v>
      </c>
      <c r="AB8" s="33" t="str">
        <f aca="false">IF($AA8=1,SUM($AA$4:$AA8),"")</f>
        <v/>
      </c>
    </row>
    <row r="9" customFormat="false" ht="15" hidden="false" customHeight="false" outlineLevel="0" collapsed="false">
      <c r="A9" s="36" t="str">
        <f aca="false">IF($Q9="","",INDEX('Score Log'!$E:$E,$Q9))</f>
        <v/>
      </c>
      <c r="B9" s="36" t="str">
        <f aca="false">IF($Q9="","",INDEX('Score Log'!$C:$C,$Q9))</f>
        <v/>
      </c>
      <c r="C9" s="37" t="str">
        <f aca="false">IF($Q9="","",IF(INDEX('Score Log'!$D:$D,$Q9)="","",INDEX('Score Log'!$D:$D,$Q9)))</f>
        <v/>
      </c>
      <c r="D9" s="38" t="str">
        <f aca="false">IF($B9="","",COUNTIFS('Score Log'!$C$4:$C$203,$B9,'Score Log'!$E$4:$E$203,$A9))</f>
        <v/>
      </c>
      <c r="E9" s="39" t="str">
        <f aca="false">IF($B9="","",IFERROR(ROUND(AVERAGEIFS('Score Log'!$F$4:$F$203,'Score Log'!$C$4:$C$203,$B9,'Score Log'!$E$4:$E$203,$A9),1),"-"))</f>
        <v/>
      </c>
      <c r="F9" s="39" t="str">
        <f aca="false">IF($B9="","",IFERROR(ROUND(AVERAGEIFS('Score Log'!$H$4:$H$203,'Score Log'!$C$4:$C$203,$B9,'Score Log'!$E$4:$E$203,$A9),1),"-"))</f>
        <v/>
      </c>
      <c r="G9" s="39" t="str">
        <f aca="false">IF($B9="","",IFERROR(ROUND(AVERAGEIFS('Score Log'!$J$4:$J$203,'Score Log'!$C$4:$C$203,$B9,'Score Log'!$E$4:$E$203,$A9),1),"-"))</f>
        <v/>
      </c>
      <c r="H9" s="39" t="str">
        <f aca="false">IF($B9="","",IFERROR(ROUND(AVERAGEIFS('Score Log'!$L$4:$L$203,'Score Log'!$C$4:$C$203,$B9,'Score Log'!$E$4:$E$203,$A9),1),"-"))</f>
        <v/>
      </c>
      <c r="I9" s="39" t="str">
        <f aca="false">IF($B9="","",IFERROR(ROUND(AVERAGEIFS('Score Log'!$N$4:$N$203,'Score Log'!$C$4:$C$203,$B9,'Score Log'!$E$4:$E$203,$A9),1),"-"))</f>
        <v/>
      </c>
      <c r="J9" s="40" t="str">
        <f aca="false">IF(OR($B9="",$D9=0),"",IFERROR(COUNTIFS('Score Log'!$C$4:$C$203,$B9,'Score Log'!$E$4:$E$203,$A9,'Score Log'!$U$4:$U$203,"Yes")/$D9,"-"))</f>
        <v/>
      </c>
      <c r="K9" s="41" t="str">
        <f aca="false">IF($B9="","",IF(ISNUMBER($F9),MAX(1,MIN(5,ROUND(6-$F9,0))),"-"))</f>
        <v/>
      </c>
      <c r="L9" s="41" t="str">
        <f aca="false">IF($B9="","",IF(ISNUMBER($G9),MAX(1,MIN(5,ROUND(6-$G9,0))),"-"))</f>
        <v/>
      </c>
      <c r="M9" s="41" t="str">
        <f aca="false">IF($B9="","",IF(AND(ISNUMBER($P9),ISNUMBER($O9)),MAX(1,MIN(5,ROUND(6-AVERAGE($P9,$O9),0))),IF(ISNUMBER($P9),MAX(1,MIN(5,ROUND(6-$P9,0))),"-")))</f>
        <v/>
      </c>
      <c r="O9" s="33" t="str">
        <f aca="false">IF($B9="","",IFERROR(AVERAGEIFS('Score Log'!$F$4:$F$203,'Score Log'!$C$4:$C$203,$B9),""))</f>
        <v/>
      </c>
      <c r="P9" s="33" t="str">
        <f aca="false">IF($B9="","",IFERROR(AVERAGEIFS('Score Log'!$L$4:$L$203,'Score Log'!$C$4:$C$203,$B9),""))</f>
        <v/>
      </c>
      <c r="Q9" s="33" t="str">
        <f aca="false">IFERROR(MATCH(ROW()-4,$AB$4:$AB$203,0)+3,"")</f>
        <v/>
      </c>
      <c r="AA9" s="33" t="n">
        <f aca="false">IF(OR('Score Log'!$C9="",'Score Log'!$E9=""),0,IF(COUNTIFS('Score Log'!$C$4:$C9,'Score Log'!$C9,'Score Log'!$E$4:$E9,'Score Log'!$E9)=1,1,0))</f>
        <v>0</v>
      </c>
      <c r="AB9" s="33" t="str">
        <f aca="false">IF($AA9=1,SUM($AA$4:$AA9),"")</f>
        <v/>
      </c>
    </row>
    <row r="10" customFormat="false" ht="15" hidden="false" customHeight="false" outlineLevel="0" collapsed="false">
      <c r="A10" s="36" t="str">
        <f aca="false">IF($Q10="","",INDEX('Score Log'!$E:$E,$Q10))</f>
        <v/>
      </c>
      <c r="B10" s="36" t="str">
        <f aca="false">IF($Q10="","",INDEX('Score Log'!$C:$C,$Q10))</f>
        <v/>
      </c>
      <c r="C10" s="37" t="str">
        <f aca="false">IF($Q10="","",IF(INDEX('Score Log'!$D:$D,$Q10)="","",INDEX('Score Log'!$D:$D,$Q10)))</f>
        <v/>
      </c>
      <c r="D10" s="38" t="str">
        <f aca="false">IF($B10="","",COUNTIFS('Score Log'!$C$4:$C$203,$B10,'Score Log'!$E$4:$E$203,$A10))</f>
        <v/>
      </c>
      <c r="E10" s="39" t="str">
        <f aca="false">IF($B10="","",IFERROR(ROUND(AVERAGEIFS('Score Log'!$F$4:$F$203,'Score Log'!$C$4:$C$203,$B10,'Score Log'!$E$4:$E$203,$A10),1),"-"))</f>
        <v/>
      </c>
      <c r="F10" s="39" t="str">
        <f aca="false">IF($B10="","",IFERROR(ROUND(AVERAGEIFS('Score Log'!$H$4:$H$203,'Score Log'!$C$4:$C$203,$B10,'Score Log'!$E$4:$E$203,$A10),1),"-"))</f>
        <v/>
      </c>
      <c r="G10" s="39" t="str">
        <f aca="false">IF($B10="","",IFERROR(ROUND(AVERAGEIFS('Score Log'!$J$4:$J$203,'Score Log'!$C$4:$C$203,$B10,'Score Log'!$E$4:$E$203,$A10),1),"-"))</f>
        <v/>
      </c>
      <c r="H10" s="39" t="str">
        <f aca="false">IF($B10="","",IFERROR(ROUND(AVERAGEIFS('Score Log'!$L$4:$L$203,'Score Log'!$C$4:$C$203,$B10,'Score Log'!$E$4:$E$203,$A10),1),"-"))</f>
        <v/>
      </c>
      <c r="I10" s="39" t="str">
        <f aca="false">IF($B10="","",IFERROR(ROUND(AVERAGEIFS('Score Log'!$N$4:$N$203,'Score Log'!$C$4:$C$203,$B10,'Score Log'!$E$4:$E$203,$A10),1),"-"))</f>
        <v/>
      </c>
      <c r="J10" s="40" t="str">
        <f aca="false">IF(OR($B10="",$D10=0),"",IFERROR(COUNTIFS('Score Log'!$C$4:$C$203,$B10,'Score Log'!$E$4:$E$203,$A10,'Score Log'!$U$4:$U$203,"Yes")/$D10,"-"))</f>
        <v/>
      </c>
      <c r="K10" s="41" t="str">
        <f aca="false">IF($B10="","",IF(ISNUMBER($F10),MAX(1,MIN(5,ROUND(6-$F10,0))),"-"))</f>
        <v/>
      </c>
      <c r="L10" s="41" t="str">
        <f aca="false">IF($B10="","",IF(ISNUMBER($G10),MAX(1,MIN(5,ROUND(6-$G10,0))),"-"))</f>
        <v/>
      </c>
      <c r="M10" s="41" t="str">
        <f aca="false">IF($B10="","",IF(AND(ISNUMBER($P10),ISNUMBER($O10)),MAX(1,MIN(5,ROUND(6-AVERAGE($P10,$O10),0))),IF(ISNUMBER($P10),MAX(1,MIN(5,ROUND(6-$P10,0))),"-")))</f>
        <v/>
      </c>
      <c r="O10" s="33" t="str">
        <f aca="false">IF($B10="","",IFERROR(AVERAGEIFS('Score Log'!$F$4:$F$203,'Score Log'!$C$4:$C$203,$B10),""))</f>
        <v/>
      </c>
      <c r="P10" s="33" t="str">
        <f aca="false">IF($B10="","",IFERROR(AVERAGEIFS('Score Log'!$L$4:$L$203,'Score Log'!$C$4:$C$203,$B10),""))</f>
        <v/>
      </c>
      <c r="Q10" s="33" t="str">
        <f aca="false">IFERROR(MATCH(ROW()-4,$AB$4:$AB$203,0)+3,"")</f>
        <v/>
      </c>
      <c r="AA10" s="33" t="n">
        <f aca="false">IF(OR('Score Log'!$C10="",'Score Log'!$E10=""),0,IF(COUNTIFS('Score Log'!$C$4:$C10,'Score Log'!$C10,'Score Log'!$E$4:$E10,'Score Log'!$E10)=1,1,0))</f>
        <v>0</v>
      </c>
      <c r="AB10" s="33" t="str">
        <f aca="false">IF($AA10=1,SUM($AA$4:$AA10),"")</f>
        <v/>
      </c>
    </row>
    <row r="11" customFormat="false" ht="15" hidden="false" customHeight="false" outlineLevel="0" collapsed="false">
      <c r="A11" s="36" t="str">
        <f aca="false">IF($Q11="","",INDEX('Score Log'!$E:$E,$Q11))</f>
        <v/>
      </c>
      <c r="B11" s="36" t="str">
        <f aca="false">IF($Q11="","",INDEX('Score Log'!$C:$C,$Q11))</f>
        <v/>
      </c>
      <c r="C11" s="37" t="str">
        <f aca="false">IF($Q11="","",IF(INDEX('Score Log'!$D:$D,$Q11)="","",INDEX('Score Log'!$D:$D,$Q11)))</f>
        <v/>
      </c>
      <c r="D11" s="38" t="str">
        <f aca="false">IF($B11="","",COUNTIFS('Score Log'!$C$4:$C$203,$B11,'Score Log'!$E$4:$E$203,$A11))</f>
        <v/>
      </c>
      <c r="E11" s="39" t="str">
        <f aca="false">IF($B11="","",IFERROR(ROUND(AVERAGEIFS('Score Log'!$F$4:$F$203,'Score Log'!$C$4:$C$203,$B11,'Score Log'!$E$4:$E$203,$A11),1),"-"))</f>
        <v/>
      </c>
      <c r="F11" s="39" t="str">
        <f aca="false">IF($B11="","",IFERROR(ROUND(AVERAGEIFS('Score Log'!$H$4:$H$203,'Score Log'!$C$4:$C$203,$B11,'Score Log'!$E$4:$E$203,$A11),1),"-"))</f>
        <v/>
      </c>
      <c r="G11" s="39" t="str">
        <f aca="false">IF($B11="","",IFERROR(ROUND(AVERAGEIFS('Score Log'!$J$4:$J$203,'Score Log'!$C$4:$C$203,$B11,'Score Log'!$E$4:$E$203,$A11),1),"-"))</f>
        <v/>
      </c>
      <c r="H11" s="39" t="str">
        <f aca="false">IF($B11="","",IFERROR(ROUND(AVERAGEIFS('Score Log'!$L$4:$L$203,'Score Log'!$C$4:$C$203,$B11,'Score Log'!$E$4:$E$203,$A11),1),"-"))</f>
        <v/>
      </c>
      <c r="I11" s="39" t="str">
        <f aca="false">IF($B11="","",IFERROR(ROUND(AVERAGEIFS('Score Log'!$N$4:$N$203,'Score Log'!$C$4:$C$203,$B11,'Score Log'!$E$4:$E$203,$A11),1),"-"))</f>
        <v/>
      </c>
      <c r="J11" s="40" t="str">
        <f aca="false">IF(OR($B11="",$D11=0),"",IFERROR(COUNTIFS('Score Log'!$C$4:$C$203,$B11,'Score Log'!$E$4:$E$203,$A11,'Score Log'!$U$4:$U$203,"Yes")/$D11,"-"))</f>
        <v/>
      </c>
      <c r="K11" s="41" t="str">
        <f aca="false">IF($B11="","",IF(ISNUMBER($F11),MAX(1,MIN(5,ROUND(6-$F11,0))),"-"))</f>
        <v/>
      </c>
      <c r="L11" s="41" t="str">
        <f aca="false">IF($B11="","",IF(ISNUMBER($G11),MAX(1,MIN(5,ROUND(6-$G11,0))),"-"))</f>
        <v/>
      </c>
      <c r="M11" s="41" t="str">
        <f aca="false">IF($B11="","",IF(AND(ISNUMBER($P11),ISNUMBER($O11)),MAX(1,MIN(5,ROUND(6-AVERAGE($P11,$O11),0))),IF(ISNUMBER($P11),MAX(1,MIN(5,ROUND(6-$P11,0))),"-")))</f>
        <v/>
      </c>
      <c r="O11" s="33" t="str">
        <f aca="false">IF($B11="","",IFERROR(AVERAGEIFS('Score Log'!$F$4:$F$203,'Score Log'!$C$4:$C$203,$B11),""))</f>
        <v/>
      </c>
      <c r="P11" s="33" t="str">
        <f aca="false">IF($B11="","",IFERROR(AVERAGEIFS('Score Log'!$L$4:$L$203,'Score Log'!$C$4:$C$203,$B11),""))</f>
        <v/>
      </c>
      <c r="Q11" s="33" t="str">
        <f aca="false">IFERROR(MATCH(ROW()-4,$AB$4:$AB$203,0)+3,"")</f>
        <v/>
      </c>
      <c r="AA11" s="33" t="n">
        <f aca="false">IF(OR('Score Log'!$C11="",'Score Log'!$E11=""),0,IF(COUNTIFS('Score Log'!$C$4:$C11,'Score Log'!$C11,'Score Log'!$E$4:$E11,'Score Log'!$E11)=1,1,0))</f>
        <v>0</v>
      </c>
      <c r="AB11" s="33" t="str">
        <f aca="false">IF($AA11=1,SUM($AA$4:$AA11),"")</f>
        <v/>
      </c>
    </row>
    <row r="12" customFormat="false" ht="15" hidden="false" customHeight="false" outlineLevel="0" collapsed="false">
      <c r="A12" s="36" t="str">
        <f aca="false">IF($Q12="","",INDEX('Score Log'!$E:$E,$Q12))</f>
        <v/>
      </c>
      <c r="B12" s="36" t="str">
        <f aca="false">IF($Q12="","",INDEX('Score Log'!$C:$C,$Q12))</f>
        <v/>
      </c>
      <c r="C12" s="37" t="str">
        <f aca="false">IF($Q12="","",IF(INDEX('Score Log'!$D:$D,$Q12)="","",INDEX('Score Log'!$D:$D,$Q12)))</f>
        <v/>
      </c>
      <c r="D12" s="38" t="str">
        <f aca="false">IF($B12="","",COUNTIFS('Score Log'!$C$4:$C$203,$B12,'Score Log'!$E$4:$E$203,$A12))</f>
        <v/>
      </c>
      <c r="E12" s="39" t="str">
        <f aca="false">IF($B12="","",IFERROR(ROUND(AVERAGEIFS('Score Log'!$F$4:$F$203,'Score Log'!$C$4:$C$203,$B12,'Score Log'!$E$4:$E$203,$A12),1),"-"))</f>
        <v/>
      </c>
      <c r="F12" s="39" t="str">
        <f aca="false">IF($B12="","",IFERROR(ROUND(AVERAGEIFS('Score Log'!$H$4:$H$203,'Score Log'!$C$4:$C$203,$B12,'Score Log'!$E$4:$E$203,$A12),1),"-"))</f>
        <v/>
      </c>
      <c r="G12" s="39" t="str">
        <f aca="false">IF($B12="","",IFERROR(ROUND(AVERAGEIFS('Score Log'!$J$4:$J$203,'Score Log'!$C$4:$C$203,$B12,'Score Log'!$E$4:$E$203,$A12),1),"-"))</f>
        <v/>
      </c>
      <c r="H12" s="39" t="str">
        <f aca="false">IF($B12="","",IFERROR(ROUND(AVERAGEIFS('Score Log'!$L$4:$L$203,'Score Log'!$C$4:$C$203,$B12,'Score Log'!$E$4:$E$203,$A12),1),"-"))</f>
        <v/>
      </c>
      <c r="I12" s="39" t="str">
        <f aca="false">IF($B12="","",IFERROR(ROUND(AVERAGEIFS('Score Log'!$N$4:$N$203,'Score Log'!$C$4:$C$203,$B12,'Score Log'!$E$4:$E$203,$A12),1),"-"))</f>
        <v/>
      </c>
      <c r="J12" s="40" t="str">
        <f aca="false">IF(OR($B12="",$D12=0),"",IFERROR(COUNTIFS('Score Log'!$C$4:$C$203,$B12,'Score Log'!$E$4:$E$203,$A12,'Score Log'!$U$4:$U$203,"Yes")/$D12,"-"))</f>
        <v/>
      </c>
      <c r="K12" s="41" t="str">
        <f aca="false">IF($B12="","",IF(ISNUMBER($F12),MAX(1,MIN(5,ROUND(6-$F12,0))),"-"))</f>
        <v/>
      </c>
      <c r="L12" s="41" t="str">
        <f aca="false">IF($B12="","",IF(ISNUMBER($G12),MAX(1,MIN(5,ROUND(6-$G12,0))),"-"))</f>
        <v/>
      </c>
      <c r="M12" s="41" t="str">
        <f aca="false">IF($B12="","",IF(AND(ISNUMBER($P12),ISNUMBER($O12)),MAX(1,MIN(5,ROUND(6-AVERAGE($P12,$O12),0))),IF(ISNUMBER($P12),MAX(1,MIN(5,ROUND(6-$P12,0))),"-")))</f>
        <v/>
      </c>
      <c r="O12" s="33" t="str">
        <f aca="false">IF($B12="","",IFERROR(AVERAGEIFS('Score Log'!$F$4:$F$203,'Score Log'!$C$4:$C$203,$B12),""))</f>
        <v/>
      </c>
      <c r="P12" s="33" t="str">
        <f aca="false">IF($B12="","",IFERROR(AVERAGEIFS('Score Log'!$L$4:$L$203,'Score Log'!$C$4:$C$203,$B12),""))</f>
        <v/>
      </c>
      <c r="Q12" s="33" t="str">
        <f aca="false">IFERROR(MATCH(ROW()-4,$AB$4:$AB$203,0)+3,"")</f>
        <v/>
      </c>
      <c r="AA12" s="33" t="n">
        <f aca="false">IF(OR('Score Log'!$C12="",'Score Log'!$E12=""),0,IF(COUNTIFS('Score Log'!$C$4:$C12,'Score Log'!$C12,'Score Log'!$E$4:$E12,'Score Log'!$E12)=1,1,0))</f>
        <v>0</v>
      </c>
      <c r="AB12" s="33" t="str">
        <f aca="false">IF($AA12=1,SUM($AA$4:$AA12),"")</f>
        <v/>
      </c>
    </row>
    <row r="13" customFormat="false" ht="15" hidden="false" customHeight="false" outlineLevel="0" collapsed="false">
      <c r="A13" s="36" t="str">
        <f aca="false">IF($Q13="","",INDEX('Score Log'!$E:$E,$Q13))</f>
        <v/>
      </c>
      <c r="B13" s="36" t="str">
        <f aca="false">IF($Q13="","",INDEX('Score Log'!$C:$C,$Q13))</f>
        <v/>
      </c>
      <c r="C13" s="37" t="str">
        <f aca="false">IF($Q13="","",IF(INDEX('Score Log'!$D:$D,$Q13)="","",INDEX('Score Log'!$D:$D,$Q13)))</f>
        <v/>
      </c>
      <c r="D13" s="38" t="str">
        <f aca="false">IF($B13="","",COUNTIFS('Score Log'!$C$4:$C$203,$B13,'Score Log'!$E$4:$E$203,$A13))</f>
        <v/>
      </c>
      <c r="E13" s="39" t="str">
        <f aca="false">IF($B13="","",IFERROR(ROUND(AVERAGEIFS('Score Log'!$F$4:$F$203,'Score Log'!$C$4:$C$203,$B13,'Score Log'!$E$4:$E$203,$A13),1),"-"))</f>
        <v/>
      </c>
      <c r="F13" s="39" t="str">
        <f aca="false">IF($B13="","",IFERROR(ROUND(AVERAGEIFS('Score Log'!$H$4:$H$203,'Score Log'!$C$4:$C$203,$B13,'Score Log'!$E$4:$E$203,$A13),1),"-"))</f>
        <v/>
      </c>
      <c r="G13" s="39" t="str">
        <f aca="false">IF($B13="","",IFERROR(ROUND(AVERAGEIFS('Score Log'!$J$4:$J$203,'Score Log'!$C$4:$C$203,$B13,'Score Log'!$E$4:$E$203,$A13),1),"-"))</f>
        <v/>
      </c>
      <c r="H13" s="39" t="str">
        <f aca="false">IF($B13="","",IFERROR(ROUND(AVERAGEIFS('Score Log'!$L$4:$L$203,'Score Log'!$C$4:$C$203,$B13,'Score Log'!$E$4:$E$203,$A13),1),"-"))</f>
        <v/>
      </c>
      <c r="I13" s="39" t="str">
        <f aca="false">IF($B13="","",IFERROR(ROUND(AVERAGEIFS('Score Log'!$N$4:$N$203,'Score Log'!$C$4:$C$203,$B13,'Score Log'!$E$4:$E$203,$A13),1),"-"))</f>
        <v/>
      </c>
      <c r="J13" s="40" t="str">
        <f aca="false">IF(OR($B13="",$D13=0),"",IFERROR(COUNTIFS('Score Log'!$C$4:$C$203,$B13,'Score Log'!$E$4:$E$203,$A13,'Score Log'!$U$4:$U$203,"Yes")/$D13,"-"))</f>
        <v/>
      </c>
      <c r="K13" s="41" t="str">
        <f aca="false">IF($B13="","",IF(ISNUMBER($F13),MAX(1,MIN(5,ROUND(6-$F13,0))),"-"))</f>
        <v/>
      </c>
      <c r="L13" s="41" t="str">
        <f aca="false">IF($B13="","",IF(ISNUMBER($G13),MAX(1,MIN(5,ROUND(6-$G13,0))),"-"))</f>
        <v/>
      </c>
      <c r="M13" s="41" t="str">
        <f aca="false">IF($B13="","",IF(AND(ISNUMBER($P13),ISNUMBER($O13)),MAX(1,MIN(5,ROUND(6-AVERAGE($P13,$O13),0))),IF(ISNUMBER($P13),MAX(1,MIN(5,ROUND(6-$P13,0))),"-")))</f>
        <v/>
      </c>
      <c r="O13" s="33" t="str">
        <f aca="false">IF($B13="","",IFERROR(AVERAGEIFS('Score Log'!$F$4:$F$203,'Score Log'!$C$4:$C$203,$B13),""))</f>
        <v/>
      </c>
      <c r="P13" s="33" t="str">
        <f aca="false">IF($B13="","",IFERROR(AVERAGEIFS('Score Log'!$L$4:$L$203,'Score Log'!$C$4:$C$203,$B13),""))</f>
        <v/>
      </c>
      <c r="Q13" s="33" t="str">
        <f aca="false">IFERROR(MATCH(ROW()-4,$AB$4:$AB$203,0)+3,"")</f>
        <v/>
      </c>
      <c r="AA13" s="33" t="n">
        <f aca="false">IF(OR('Score Log'!$C13="",'Score Log'!$E13=""),0,IF(COUNTIFS('Score Log'!$C$4:$C13,'Score Log'!$C13,'Score Log'!$E$4:$E13,'Score Log'!$E13)=1,1,0))</f>
        <v>0</v>
      </c>
      <c r="AB13" s="33" t="str">
        <f aca="false">IF($AA13=1,SUM($AA$4:$AA13),"")</f>
        <v/>
      </c>
    </row>
    <row r="14" customFormat="false" ht="15" hidden="false" customHeight="false" outlineLevel="0" collapsed="false">
      <c r="A14" s="36" t="str">
        <f aca="false">IF($Q14="","",INDEX('Score Log'!$E:$E,$Q14))</f>
        <v/>
      </c>
      <c r="B14" s="36" t="str">
        <f aca="false">IF($Q14="","",INDEX('Score Log'!$C:$C,$Q14))</f>
        <v/>
      </c>
      <c r="C14" s="37" t="str">
        <f aca="false">IF($Q14="","",IF(INDEX('Score Log'!$D:$D,$Q14)="","",INDEX('Score Log'!$D:$D,$Q14)))</f>
        <v/>
      </c>
      <c r="D14" s="38" t="str">
        <f aca="false">IF($B14="","",COUNTIFS('Score Log'!$C$4:$C$203,$B14,'Score Log'!$E$4:$E$203,$A14))</f>
        <v/>
      </c>
      <c r="E14" s="39" t="str">
        <f aca="false">IF($B14="","",IFERROR(ROUND(AVERAGEIFS('Score Log'!$F$4:$F$203,'Score Log'!$C$4:$C$203,$B14,'Score Log'!$E$4:$E$203,$A14),1),"-"))</f>
        <v/>
      </c>
      <c r="F14" s="39" t="str">
        <f aca="false">IF($B14="","",IFERROR(ROUND(AVERAGEIFS('Score Log'!$H$4:$H$203,'Score Log'!$C$4:$C$203,$B14,'Score Log'!$E$4:$E$203,$A14),1),"-"))</f>
        <v/>
      </c>
      <c r="G14" s="39" t="str">
        <f aca="false">IF($B14="","",IFERROR(ROUND(AVERAGEIFS('Score Log'!$J$4:$J$203,'Score Log'!$C$4:$C$203,$B14,'Score Log'!$E$4:$E$203,$A14),1),"-"))</f>
        <v/>
      </c>
      <c r="H14" s="39" t="str">
        <f aca="false">IF($B14="","",IFERROR(ROUND(AVERAGEIFS('Score Log'!$L$4:$L$203,'Score Log'!$C$4:$C$203,$B14,'Score Log'!$E$4:$E$203,$A14),1),"-"))</f>
        <v/>
      </c>
      <c r="I14" s="39" t="str">
        <f aca="false">IF($B14="","",IFERROR(ROUND(AVERAGEIFS('Score Log'!$N$4:$N$203,'Score Log'!$C$4:$C$203,$B14,'Score Log'!$E$4:$E$203,$A14),1),"-"))</f>
        <v/>
      </c>
      <c r="J14" s="40" t="str">
        <f aca="false">IF(OR($B14="",$D14=0),"",IFERROR(COUNTIFS('Score Log'!$C$4:$C$203,$B14,'Score Log'!$E$4:$E$203,$A14,'Score Log'!$U$4:$U$203,"Yes")/$D14,"-"))</f>
        <v/>
      </c>
      <c r="K14" s="41" t="str">
        <f aca="false">IF($B14="","",IF(ISNUMBER($F14),MAX(1,MIN(5,ROUND(6-$F14,0))),"-"))</f>
        <v/>
      </c>
      <c r="L14" s="41" t="str">
        <f aca="false">IF($B14="","",IF(ISNUMBER($G14),MAX(1,MIN(5,ROUND(6-$G14,0))),"-"))</f>
        <v/>
      </c>
      <c r="M14" s="41" t="str">
        <f aca="false">IF($B14="","",IF(AND(ISNUMBER($P14),ISNUMBER($O14)),MAX(1,MIN(5,ROUND(6-AVERAGE($P14,$O14),0))),IF(ISNUMBER($P14),MAX(1,MIN(5,ROUND(6-$P14,0))),"-")))</f>
        <v/>
      </c>
      <c r="O14" s="33" t="str">
        <f aca="false">IF($B14="","",IFERROR(AVERAGEIFS('Score Log'!$F$4:$F$203,'Score Log'!$C$4:$C$203,$B14),""))</f>
        <v/>
      </c>
      <c r="P14" s="33" t="str">
        <f aca="false">IF($B14="","",IFERROR(AVERAGEIFS('Score Log'!$L$4:$L$203,'Score Log'!$C$4:$C$203,$B14),""))</f>
        <v/>
      </c>
      <c r="Q14" s="33" t="str">
        <f aca="false">IFERROR(MATCH(ROW()-4,$AB$4:$AB$203,0)+3,"")</f>
        <v/>
      </c>
      <c r="AA14" s="33" t="n">
        <f aca="false">IF(OR('Score Log'!$C14="",'Score Log'!$E14=""),0,IF(COUNTIFS('Score Log'!$C$4:$C14,'Score Log'!$C14,'Score Log'!$E$4:$E14,'Score Log'!$E14)=1,1,0))</f>
        <v>0</v>
      </c>
      <c r="AB14" s="33" t="str">
        <f aca="false">IF($AA14=1,SUM($AA$4:$AA14),"")</f>
        <v/>
      </c>
    </row>
    <row r="15" customFormat="false" ht="15" hidden="false" customHeight="false" outlineLevel="0" collapsed="false">
      <c r="A15" s="36" t="str">
        <f aca="false">IF($Q15="","",INDEX('Score Log'!$E:$E,$Q15))</f>
        <v/>
      </c>
      <c r="B15" s="36" t="str">
        <f aca="false">IF($Q15="","",INDEX('Score Log'!$C:$C,$Q15))</f>
        <v/>
      </c>
      <c r="C15" s="37" t="str">
        <f aca="false">IF($Q15="","",IF(INDEX('Score Log'!$D:$D,$Q15)="","",INDEX('Score Log'!$D:$D,$Q15)))</f>
        <v/>
      </c>
      <c r="D15" s="38" t="str">
        <f aca="false">IF($B15="","",COUNTIFS('Score Log'!$C$4:$C$203,$B15,'Score Log'!$E$4:$E$203,$A15))</f>
        <v/>
      </c>
      <c r="E15" s="39" t="str">
        <f aca="false">IF($B15="","",IFERROR(ROUND(AVERAGEIFS('Score Log'!$F$4:$F$203,'Score Log'!$C$4:$C$203,$B15,'Score Log'!$E$4:$E$203,$A15),1),"-"))</f>
        <v/>
      </c>
      <c r="F15" s="39" t="str">
        <f aca="false">IF($B15="","",IFERROR(ROUND(AVERAGEIFS('Score Log'!$H$4:$H$203,'Score Log'!$C$4:$C$203,$B15,'Score Log'!$E$4:$E$203,$A15),1),"-"))</f>
        <v/>
      </c>
      <c r="G15" s="39" t="str">
        <f aca="false">IF($B15="","",IFERROR(ROUND(AVERAGEIFS('Score Log'!$J$4:$J$203,'Score Log'!$C$4:$C$203,$B15,'Score Log'!$E$4:$E$203,$A15),1),"-"))</f>
        <v/>
      </c>
      <c r="H15" s="39" t="str">
        <f aca="false">IF($B15="","",IFERROR(ROUND(AVERAGEIFS('Score Log'!$L$4:$L$203,'Score Log'!$C$4:$C$203,$B15,'Score Log'!$E$4:$E$203,$A15),1),"-"))</f>
        <v/>
      </c>
      <c r="I15" s="39" t="str">
        <f aca="false">IF($B15="","",IFERROR(ROUND(AVERAGEIFS('Score Log'!$N$4:$N$203,'Score Log'!$C$4:$C$203,$B15,'Score Log'!$E$4:$E$203,$A15),1),"-"))</f>
        <v/>
      </c>
      <c r="J15" s="40" t="str">
        <f aca="false">IF(OR($B15="",$D15=0),"",IFERROR(COUNTIFS('Score Log'!$C$4:$C$203,$B15,'Score Log'!$E$4:$E$203,$A15,'Score Log'!$U$4:$U$203,"Yes")/$D15,"-"))</f>
        <v/>
      </c>
      <c r="K15" s="41" t="str">
        <f aca="false">IF($B15="","",IF(ISNUMBER($F15),MAX(1,MIN(5,ROUND(6-$F15,0))),"-"))</f>
        <v/>
      </c>
      <c r="L15" s="41" t="str">
        <f aca="false">IF($B15="","",IF(ISNUMBER($G15),MAX(1,MIN(5,ROUND(6-$G15,0))),"-"))</f>
        <v/>
      </c>
      <c r="M15" s="41" t="str">
        <f aca="false">IF($B15="","",IF(AND(ISNUMBER($P15),ISNUMBER($O15)),MAX(1,MIN(5,ROUND(6-AVERAGE($P15,$O15),0))),IF(ISNUMBER($P15),MAX(1,MIN(5,ROUND(6-$P15,0))),"-")))</f>
        <v/>
      </c>
      <c r="O15" s="33" t="str">
        <f aca="false">IF($B15="","",IFERROR(AVERAGEIFS('Score Log'!$F$4:$F$203,'Score Log'!$C$4:$C$203,$B15),""))</f>
        <v/>
      </c>
      <c r="P15" s="33" t="str">
        <f aca="false">IF($B15="","",IFERROR(AVERAGEIFS('Score Log'!$L$4:$L$203,'Score Log'!$C$4:$C$203,$B15),""))</f>
        <v/>
      </c>
      <c r="Q15" s="33" t="str">
        <f aca="false">IFERROR(MATCH(ROW()-4,$AB$4:$AB$203,0)+3,"")</f>
        <v/>
      </c>
      <c r="AA15" s="33" t="n">
        <f aca="false">IF(OR('Score Log'!$C15="",'Score Log'!$E15=""),0,IF(COUNTIFS('Score Log'!$C$4:$C15,'Score Log'!$C15,'Score Log'!$E$4:$E15,'Score Log'!$E15)=1,1,0))</f>
        <v>0</v>
      </c>
      <c r="AB15" s="33" t="str">
        <f aca="false">IF($AA15=1,SUM($AA$4:$AA15),"")</f>
        <v/>
      </c>
    </row>
    <row r="16" customFormat="false" ht="15" hidden="false" customHeight="false" outlineLevel="0" collapsed="false">
      <c r="A16" s="36" t="str">
        <f aca="false">IF($Q16="","",INDEX('Score Log'!$E:$E,$Q16))</f>
        <v/>
      </c>
      <c r="B16" s="36" t="str">
        <f aca="false">IF($Q16="","",INDEX('Score Log'!$C:$C,$Q16))</f>
        <v/>
      </c>
      <c r="C16" s="37" t="str">
        <f aca="false">IF($Q16="","",IF(INDEX('Score Log'!$D:$D,$Q16)="","",INDEX('Score Log'!$D:$D,$Q16)))</f>
        <v/>
      </c>
      <c r="D16" s="38" t="str">
        <f aca="false">IF($B16="","",COUNTIFS('Score Log'!$C$4:$C$203,$B16,'Score Log'!$E$4:$E$203,$A16))</f>
        <v/>
      </c>
      <c r="E16" s="39" t="str">
        <f aca="false">IF($B16="","",IFERROR(ROUND(AVERAGEIFS('Score Log'!$F$4:$F$203,'Score Log'!$C$4:$C$203,$B16,'Score Log'!$E$4:$E$203,$A16),1),"-"))</f>
        <v/>
      </c>
      <c r="F16" s="39" t="str">
        <f aca="false">IF($B16="","",IFERROR(ROUND(AVERAGEIFS('Score Log'!$H$4:$H$203,'Score Log'!$C$4:$C$203,$B16,'Score Log'!$E$4:$E$203,$A16),1),"-"))</f>
        <v/>
      </c>
      <c r="G16" s="39" t="str">
        <f aca="false">IF($B16="","",IFERROR(ROUND(AVERAGEIFS('Score Log'!$J$4:$J$203,'Score Log'!$C$4:$C$203,$B16,'Score Log'!$E$4:$E$203,$A16),1),"-"))</f>
        <v/>
      </c>
      <c r="H16" s="39" t="str">
        <f aca="false">IF($B16="","",IFERROR(ROUND(AVERAGEIFS('Score Log'!$L$4:$L$203,'Score Log'!$C$4:$C$203,$B16,'Score Log'!$E$4:$E$203,$A16),1),"-"))</f>
        <v/>
      </c>
      <c r="I16" s="39" t="str">
        <f aca="false">IF($B16="","",IFERROR(ROUND(AVERAGEIFS('Score Log'!$N$4:$N$203,'Score Log'!$C$4:$C$203,$B16,'Score Log'!$E$4:$E$203,$A16),1),"-"))</f>
        <v/>
      </c>
      <c r="J16" s="40" t="str">
        <f aca="false">IF(OR($B16="",$D16=0),"",IFERROR(COUNTIFS('Score Log'!$C$4:$C$203,$B16,'Score Log'!$E$4:$E$203,$A16,'Score Log'!$U$4:$U$203,"Yes")/$D16,"-"))</f>
        <v/>
      </c>
      <c r="K16" s="41" t="str">
        <f aca="false">IF($B16="","",IF(ISNUMBER($F16),MAX(1,MIN(5,ROUND(6-$F16,0))),"-"))</f>
        <v/>
      </c>
      <c r="L16" s="41" t="str">
        <f aca="false">IF($B16="","",IF(ISNUMBER($G16),MAX(1,MIN(5,ROUND(6-$G16,0))),"-"))</f>
        <v/>
      </c>
      <c r="M16" s="41" t="str">
        <f aca="false">IF($B16="","",IF(AND(ISNUMBER($P16),ISNUMBER($O16)),MAX(1,MIN(5,ROUND(6-AVERAGE($P16,$O16),0))),IF(ISNUMBER($P16),MAX(1,MIN(5,ROUND(6-$P16,0))),"-")))</f>
        <v/>
      </c>
      <c r="O16" s="33" t="str">
        <f aca="false">IF($B16="","",IFERROR(AVERAGEIFS('Score Log'!$F$4:$F$203,'Score Log'!$C$4:$C$203,$B16),""))</f>
        <v/>
      </c>
      <c r="P16" s="33" t="str">
        <f aca="false">IF($B16="","",IFERROR(AVERAGEIFS('Score Log'!$L$4:$L$203,'Score Log'!$C$4:$C$203,$B16),""))</f>
        <v/>
      </c>
      <c r="Q16" s="33" t="str">
        <f aca="false">IFERROR(MATCH(ROW()-4,$AB$4:$AB$203,0)+3,"")</f>
        <v/>
      </c>
      <c r="AA16" s="33" t="n">
        <f aca="false">IF(OR('Score Log'!$C16="",'Score Log'!$E16=""),0,IF(COUNTIFS('Score Log'!$C$4:$C16,'Score Log'!$C16,'Score Log'!$E$4:$E16,'Score Log'!$E16)=1,1,0))</f>
        <v>0</v>
      </c>
      <c r="AB16" s="33" t="str">
        <f aca="false">IF($AA16=1,SUM($AA$4:$AA16),"")</f>
        <v/>
      </c>
    </row>
    <row r="17" customFormat="false" ht="15" hidden="false" customHeight="false" outlineLevel="0" collapsed="false">
      <c r="A17" s="36" t="str">
        <f aca="false">IF($Q17="","",INDEX('Score Log'!$E:$E,$Q17))</f>
        <v/>
      </c>
      <c r="B17" s="36" t="str">
        <f aca="false">IF($Q17="","",INDEX('Score Log'!$C:$C,$Q17))</f>
        <v/>
      </c>
      <c r="C17" s="37" t="str">
        <f aca="false">IF($Q17="","",IF(INDEX('Score Log'!$D:$D,$Q17)="","",INDEX('Score Log'!$D:$D,$Q17)))</f>
        <v/>
      </c>
      <c r="D17" s="38" t="str">
        <f aca="false">IF($B17="","",COUNTIFS('Score Log'!$C$4:$C$203,$B17,'Score Log'!$E$4:$E$203,$A17))</f>
        <v/>
      </c>
      <c r="E17" s="39" t="str">
        <f aca="false">IF($B17="","",IFERROR(ROUND(AVERAGEIFS('Score Log'!$F$4:$F$203,'Score Log'!$C$4:$C$203,$B17,'Score Log'!$E$4:$E$203,$A17),1),"-"))</f>
        <v/>
      </c>
      <c r="F17" s="39" t="str">
        <f aca="false">IF($B17="","",IFERROR(ROUND(AVERAGEIFS('Score Log'!$H$4:$H$203,'Score Log'!$C$4:$C$203,$B17,'Score Log'!$E$4:$E$203,$A17),1),"-"))</f>
        <v/>
      </c>
      <c r="G17" s="39" t="str">
        <f aca="false">IF($B17="","",IFERROR(ROUND(AVERAGEIFS('Score Log'!$J$4:$J$203,'Score Log'!$C$4:$C$203,$B17,'Score Log'!$E$4:$E$203,$A17),1),"-"))</f>
        <v/>
      </c>
      <c r="H17" s="39" t="str">
        <f aca="false">IF($B17="","",IFERROR(ROUND(AVERAGEIFS('Score Log'!$L$4:$L$203,'Score Log'!$C$4:$C$203,$B17,'Score Log'!$E$4:$E$203,$A17),1),"-"))</f>
        <v/>
      </c>
      <c r="I17" s="39" t="str">
        <f aca="false">IF($B17="","",IFERROR(ROUND(AVERAGEIFS('Score Log'!$N$4:$N$203,'Score Log'!$C$4:$C$203,$B17,'Score Log'!$E$4:$E$203,$A17),1),"-"))</f>
        <v/>
      </c>
      <c r="J17" s="40" t="str">
        <f aca="false">IF(OR($B17="",$D17=0),"",IFERROR(COUNTIFS('Score Log'!$C$4:$C$203,$B17,'Score Log'!$E$4:$E$203,$A17,'Score Log'!$U$4:$U$203,"Yes")/$D17,"-"))</f>
        <v/>
      </c>
      <c r="K17" s="41" t="str">
        <f aca="false">IF($B17="","",IF(ISNUMBER($F17),MAX(1,MIN(5,ROUND(6-$F17,0))),"-"))</f>
        <v/>
      </c>
      <c r="L17" s="41" t="str">
        <f aca="false">IF($B17="","",IF(ISNUMBER($G17),MAX(1,MIN(5,ROUND(6-$G17,0))),"-"))</f>
        <v/>
      </c>
      <c r="M17" s="41" t="str">
        <f aca="false">IF($B17="","",IF(AND(ISNUMBER($P17),ISNUMBER($O17)),MAX(1,MIN(5,ROUND(6-AVERAGE($P17,$O17),0))),IF(ISNUMBER($P17),MAX(1,MIN(5,ROUND(6-$P17,0))),"-")))</f>
        <v/>
      </c>
      <c r="O17" s="33" t="str">
        <f aca="false">IF($B17="","",IFERROR(AVERAGEIFS('Score Log'!$F$4:$F$203,'Score Log'!$C$4:$C$203,$B17),""))</f>
        <v/>
      </c>
      <c r="P17" s="33" t="str">
        <f aca="false">IF($B17="","",IFERROR(AVERAGEIFS('Score Log'!$L$4:$L$203,'Score Log'!$C$4:$C$203,$B17),""))</f>
        <v/>
      </c>
      <c r="Q17" s="33" t="str">
        <f aca="false">IFERROR(MATCH(ROW()-4,$AB$4:$AB$203,0)+3,"")</f>
        <v/>
      </c>
      <c r="AA17" s="33" t="n">
        <f aca="false">IF(OR('Score Log'!$C17="",'Score Log'!$E17=""),0,IF(COUNTIFS('Score Log'!$C$4:$C17,'Score Log'!$C17,'Score Log'!$E$4:$E17,'Score Log'!$E17)=1,1,0))</f>
        <v>0</v>
      </c>
      <c r="AB17" s="33" t="str">
        <f aca="false">IF($AA17=1,SUM($AA$4:$AA17),"")</f>
        <v/>
      </c>
    </row>
    <row r="18" customFormat="false" ht="15" hidden="false" customHeight="false" outlineLevel="0" collapsed="false">
      <c r="A18" s="36" t="str">
        <f aca="false">IF($Q18="","",INDEX('Score Log'!$E:$E,$Q18))</f>
        <v/>
      </c>
      <c r="B18" s="36" t="str">
        <f aca="false">IF($Q18="","",INDEX('Score Log'!$C:$C,$Q18))</f>
        <v/>
      </c>
      <c r="C18" s="37" t="str">
        <f aca="false">IF($Q18="","",IF(INDEX('Score Log'!$D:$D,$Q18)="","",INDEX('Score Log'!$D:$D,$Q18)))</f>
        <v/>
      </c>
      <c r="D18" s="38" t="str">
        <f aca="false">IF($B18="","",COUNTIFS('Score Log'!$C$4:$C$203,$B18,'Score Log'!$E$4:$E$203,$A18))</f>
        <v/>
      </c>
      <c r="E18" s="39" t="str">
        <f aca="false">IF($B18="","",IFERROR(ROUND(AVERAGEIFS('Score Log'!$F$4:$F$203,'Score Log'!$C$4:$C$203,$B18,'Score Log'!$E$4:$E$203,$A18),1),"-"))</f>
        <v/>
      </c>
      <c r="F18" s="39" t="str">
        <f aca="false">IF($B18="","",IFERROR(ROUND(AVERAGEIFS('Score Log'!$H$4:$H$203,'Score Log'!$C$4:$C$203,$B18,'Score Log'!$E$4:$E$203,$A18),1),"-"))</f>
        <v/>
      </c>
      <c r="G18" s="39" t="str">
        <f aca="false">IF($B18="","",IFERROR(ROUND(AVERAGEIFS('Score Log'!$J$4:$J$203,'Score Log'!$C$4:$C$203,$B18,'Score Log'!$E$4:$E$203,$A18),1),"-"))</f>
        <v/>
      </c>
      <c r="H18" s="39" t="str">
        <f aca="false">IF($B18="","",IFERROR(ROUND(AVERAGEIFS('Score Log'!$L$4:$L$203,'Score Log'!$C$4:$C$203,$B18,'Score Log'!$E$4:$E$203,$A18),1),"-"))</f>
        <v/>
      </c>
      <c r="I18" s="39" t="str">
        <f aca="false">IF($B18="","",IFERROR(ROUND(AVERAGEIFS('Score Log'!$N$4:$N$203,'Score Log'!$C$4:$C$203,$B18,'Score Log'!$E$4:$E$203,$A18),1),"-"))</f>
        <v/>
      </c>
      <c r="J18" s="40" t="str">
        <f aca="false">IF(OR($B18="",$D18=0),"",IFERROR(COUNTIFS('Score Log'!$C$4:$C$203,$B18,'Score Log'!$E$4:$E$203,$A18,'Score Log'!$U$4:$U$203,"Yes")/$D18,"-"))</f>
        <v/>
      </c>
      <c r="K18" s="41" t="str">
        <f aca="false">IF($B18="","",IF(ISNUMBER($F18),MAX(1,MIN(5,ROUND(6-$F18,0))),"-"))</f>
        <v/>
      </c>
      <c r="L18" s="41" t="str">
        <f aca="false">IF($B18="","",IF(ISNUMBER($G18),MAX(1,MIN(5,ROUND(6-$G18,0))),"-"))</f>
        <v/>
      </c>
      <c r="M18" s="41" t="str">
        <f aca="false">IF($B18="","",IF(AND(ISNUMBER($P18),ISNUMBER($O18)),MAX(1,MIN(5,ROUND(6-AVERAGE($P18,$O18),0))),IF(ISNUMBER($P18),MAX(1,MIN(5,ROUND(6-$P18,0))),"-")))</f>
        <v/>
      </c>
      <c r="O18" s="33" t="str">
        <f aca="false">IF($B18="","",IFERROR(AVERAGEIFS('Score Log'!$F$4:$F$203,'Score Log'!$C$4:$C$203,$B18),""))</f>
        <v/>
      </c>
      <c r="P18" s="33" t="str">
        <f aca="false">IF($B18="","",IFERROR(AVERAGEIFS('Score Log'!$L$4:$L$203,'Score Log'!$C$4:$C$203,$B18),""))</f>
        <v/>
      </c>
      <c r="Q18" s="33" t="str">
        <f aca="false">IFERROR(MATCH(ROW()-4,$AB$4:$AB$203,0)+3,"")</f>
        <v/>
      </c>
      <c r="AA18" s="33" t="n">
        <f aca="false">IF(OR('Score Log'!$C18="",'Score Log'!$E18=""),0,IF(COUNTIFS('Score Log'!$C$4:$C18,'Score Log'!$C18,'Score Log'!$E$4:$E18,'Score Log'!$E18)=1,1,0))</f>
        <v>0</v>
      </c>
      <c r="AB18" s="33" t="str">
        <f aca="false">IF($AA18=1,SUM($AA$4:$AA18),"")</f>
        <v/>
      </c>
    </row>
    <row r="19" customFormat="false" ht="15" hidden="false" customHeight="false" outlineLevel="0" collapsed="false">
      <c r="A19" s="36" t="str">
        <f aca="false">IF($Q19="","",INDEX('Score Log'!$E:$E,$Q19))</f>
        <v/>
      </c>
      <c r="B19" s="36" t="str">
        <f aca="false">IF($Q19="","",INDEX('Score Log'!$C:$C,$Q19))</f>
        <v/>
      </c>
      <c r="C19" s="37" t="str">
        <f aca="false">IF($Q19="","",IF(INDEX('Score Log'!$D:$D,$Q19)="","",INDEX('Score Log'!$D:$D,$Q19)))</f>
        <v/>
      </c>
      <c r="D19" s="38" t="str">
        <f aca="false">IF($B19="","",COUNTIFS('Score Log'!$C$4:$C$203,$B19,'Score Log'!$E$4:$E$203,$A19))</f>
        <v/>
      </c>
      <c r="E19" s="39" t="str">
        <f aca="false">IF($B19="","",IFERROR(ROUND(AVERAGEIFS('Score Log'!$F$4:$F$203,'Score Log'!$C$4:$C$203,$B19,'Score Log'!$E$4:$E$203,$A19),1),"-"))</f>
        <v/>
      </c>
      <c r="F19" s="39" t="str">
        <f aca="false">IF($B19="","",IFERROR(ROUND(AVERAGEIFS('Score Log'!$H$4:$H$203,'Score Log'!$C$4:$C$203,$B19,'Score Log'!$E$4:$E$203,$A19),1),"-"))</f>
        <v/>
      </c>
      <c r="G19" s="39" t="str">
        <f aca="false">IF($B19="","",IFERROR(ROUND(AVERAGEIFS('Score Log'!$J$4:$J$203,'Score Log'!$C$4:$C$203,$B19,'Score Log'!$E$4:$E$203,$A19),1),"-"))</f>
        <v/>
      </c>
      <c r="H19" s="39" t="str">
        <f aca="false">IF($B19="","",IFERROR(ROUND(AVERAGEIFS('Score Log'!$L$4:$L$203,'Score Log'!$C$4:$C$203,$B19,'Score Log'!$E$4:$E$203,$A19),1),"-"))</f>
        <v/>
      </c>
      <c r="I19" s="39" t="str">
        <f aca="false">IF($B19="","",IFERROR(ROUND(AVERAGEIFS('Score Log'!$N$4:$N$203,'Score Log'!$C$4:$C$203,$B19,'Score Log'!$E$4:$E$203,$A19),1),"-"))</f>
        <v/>
      </c>
      <c r="J19" s="40" t="str">
        <f aca="false">IF(OR($B19="",$D19=0),"",IFERROR(COUNTIFS('Score Log'!$C$4:$C$203,$B19,'Score Log'!$E$4:$E$203,$A19,'Score Log'!$U$4:$U$203,"Yes")/$D19,"-"))</f>
        <v/>
      </c>
      <c r="K19" s="41" t="str">
        <f aca="false">IF($B19="","",IF(ISNUMBER($F19),MAX(1,MIN(5,ROUND(6-$F19,0))),"-"))</f>
        <v/>
      </c>
      <c r="L19" s="41" t="str">
        <f aca="false">IF($B19="","",IF(ISNUMBER($G19),MAX(1,MIN(5,ROUND(6-$G19,0))),"-"))</f>
        <v/>
      </c>
      <c r="M19" s="41" t="str">
        <f aca="false">IF($B19="","",IF(AND(ISNUMBER($P19),ISNUMBER($O19)),MAX(1,MIN(5,ROUND(6-AVERAGE($P19,$O19),0))),IF(ISNUMBER($P19),MAX(1,MIN(5,ROUND(6-$P19,0))),"-")))</f>
        <v/>
      </c>
      <c r="O19" s="33" t="str">
        <f aca="false">IF($B19="","",IFERROR(AVERAGEIFS('Score Log'!$F$4:$F$203,'Score Log'!$C$4:$C$203,$B19),""))</f>
        <v/>
      </c>
      <c r="P19" s="33" t="str">
        <f aca="false">IF($B19="","",IFERROR(AVERAGEIFS('Score Log'!$L$4:$L$203,'Score Log'!$C$4:$C$203,$B19),""))</f>
        <v/>
      </c>
      <c r="Q19" s="33" t="str">
        <f aca="false">IFERROR(MATCH(ROW()-4,$AB$4:$AB$203,0)+3,"")</f>
        <v/>
      </c>
      <c r="AA19" s="33" t="n">
        <f aca="false">IF(OR('Score Log'!$C19="",'Score Log'!$E19=""),0,IF(COUNTIFS('Score Log'!$C$4:$C19,'Score Log'!$C19,'Score Log'!$E$4:$E19,'Score Log'!$E19)=1,1,0))</f>
        <v>0</v>
      </c>
      <c r="AB19" s="33" t="str">
        <f aca="false">IF($AA19=1,SUM($AA$4:$AA19),"")</f>
        <v/>
      </c>
    </row>
    <row r="20" customFormat="false" ht="15" hidden="false" customHeight="false" outlineLevel="0" collapsed="false">
      <c r="A20" s="36" t="str">
        <f aca="false">IF($Q20="","",INDEX('Score Log'!$E:$E,$Q20))</f>
        <v/>
      </c>
      <c r="B20" s="36" t="str">
        <f aca="false">IF($Q20="","",INDEX('Score Log'!$C:$C,$Q20))</f>
        <v/>
      </c>
      <c r="C20" s="37" t="str">
        <f aca="false">IF($Q20="","",IF(INDEX('Score Log'!$D:$D,$Q20)="","",INDEX('Score Log'!$D:$D,$Q20)))</f>
        <v/>
      </c>
      <c r="D20" s="38" t="str">
        <f aca="false">IF($B20="","",COUNTIFS('Score Log'!$C$4:$C$203,$B20,'Score Log'!$E$4:$E$203,$A20))</f>
        <v/>
      </c>
      <c r="E20" s="39" t="str">
        <f aca="false">IF($B20="","",IFERROR(ROUND(AVERAGEIFS('Score Log'!$F$4:$F$203,'Score Log'!$C$4:$C$203,$B20,'Score Log'!$E$4:$E$203,$A20),1),"-"))</f>
        <v/>
      </c>
      <c r="F20" s="39" t="str">
        <f aca="false">IF($B20="","",IFERROR(ROUND(AVERAGEIFS('Score Log'!$H$4:$H$203,'Score Log'!$C$4:$C$203,$B20,'Score Log'!$E$4:$E$203,$A20),1),"-"))</f>
        <v/>
      </c>
      <c r="G20" s="39" t="str">
        <f aca="false">IF($B20="","",IFERROR(ROUND(AVERAGEIFS('Score Log'!$J$4:$J$203,'Score Log'!$C$4:$C$203,$B20,'Score Log'!$E$4:$E$203,$A20),1),"-"))</f>
        <v/>
      </c>
      <c r="H20" s="39" t="str">
        <f aca="false">IF($B20="","",IFERROR(ROUND(AVERAGEIFS('Score Log'!$L$4:$L$203,'Score Log'!$C$4:$C$203,$B20,'Score Log'!$E$4:$E$203,$A20),1),"-"))</f>
        <v/>
      </c>
      <c r="I20" s="39" t="str">
        <f aca="false">IF($B20="","",IFERROR(ROUND(AVERAGEIFS('Score Log'!$N$4:$N$203,'Score Log'!$C$4:$C$203,$B20,'Score Log'!$E$4:$E$203,$A20),1),"-"))</f>
        <v/>
      </c>
      <c r="J20" s="40" t="str">
        <f aca="false">IF(OR($B20="",$D20=0),"",IFERROR(COUNTIFS('Score Log'!$C$4:$C$203,$B20,'Score Log'!$E$4:$E$203,$A20,'Score Log'!$U$4:$U$203,"Yes")/$D20,"-"))</f>
        <v/>
      </c>
      <c r="K20" s="41" t="str">
        <f aca="false">IF($B20="","",IF(ISNUMBER($F20),MAX(1,MIN(5,ROUND(6-$F20,0))),"-"))</f>
        <v/>
      </c>
      <c r="L20" s="41" t="str">
        <f aca="false">IF($B20="","",IF(ISNUMBER($G20),MAX(1,MIN(5,ROUND(6-$G20,0))),"-"))</f>
        <v/>
      </c>
      <c r="M20" s="41" t="str">
        <f aca="false">IF($B20="","",IF(AND(ISNUMBER($P20),ISNUMBER($O20)),MAX(1,MIN(5,ROUND(6-AVERAGE($P20,$O20),0))),IF(ISNUMBER($P20),MAX(1,MIN(5,ROUND(6-$P20,0))),"-")))</f>
        <v/>
      </c>
      <c r="O20" s="33" t="str">
        <f aca="false">IF($B20="","",IFERROR(AVERAGEIFS('Score Log'!$F$4:$F$203,'Score Log'!$C$4:$C$203,$B20),""))</f>
        <v/>
      </c>
      <c r="P20" s="33" t="str">
        <f aca="false">IF($B20="","",IFERROR(AVERAGEIFS('Score Log'!$L$4:$L$203,'Score Log'!$C$4:$C$203,$B20),""))</f>
        <v/>
      </c>
      <c r="Q20" s="33" t="str">
        <f aca="false">IFERROR(MATCH(ROW()-4,$AB$4:$AB$203,0)+3,"")</f>
        <v/>
      </c>
      <c r="AA20" s="33" t="n">
        <f aca="false">IF(OR('Score Log'!$C20="",'Score Log'!$E20=""),0,IF(COUNTIFS('Score Log'!$C$4:$C20,'Score Log'!$C20,'Score Log'!$E$4:$E20,'Score Log'!$E20)=1,1,0))</f>
        <v>0</v>
      </c>
      <c r="AB20" s="33" t="str">
        <f aca="false">IF($AA20=1,SUM($AA$4:$AA20),"")</f>
        <v/>
      </c>
    </row>
    <row r="21" customFormat="false" ht="15" hidden="false" customHeight="false" outlineLevel="0" collapsed="false">
      <c r="A21" s="36" t="str">
        <f aca="false">IF($Q21="","",INDEX('Score Log'!$E:$E,$Q21))</f>
        <v/>
      </c>
      <c r="B21" s="36" t="str">
        <f aca="false">IF($Q21="","",INDEX('Score Log'!$C:$C,$Q21))</f>
        <v/>
      </c>
      <c r="C21" s="37" t="str">
        <f aca="false">IF($Q21="","",IF(INDEX('Score Log'!$D:$D,$Q21)="","",INDEX('Score Log'!$D:$D,$Q21)))</f>
        <v/>
      </c>
      <c r="D21" s="38" t="str">
        <f aca="false">IF($B21="","",COUNTIFS('Score Log'!$C$4:$C$203,$B21,'Score Log'!$E$4:$E$203,$A21))</f>
        <v/>
      </c>
      <c r="E21" s="39" t="str">
        <f aca="false">IF($B21="","",IFERROR(ROUND(AVERAGEIFS('Score Log'!$F$4:$F$203,'Score Log'!$C$4:$C$203,$B21,'Score Log'!$E$4:$E$203,$A21),1),"-"))</f>
        <v/>
      </c>
      <c r="F21" s="39" t="str">
        <f aca="false">IF($B21="","",IFERROR(ROUND(AVERAGEIFS('Score Log'!$H$4:$H$203,'Score Log'!$C$4:$C$203,$B21,'Score Log'!$E$4:$E$203,$A21),1),"-"))</f>
        <v/>
      </c>
      <c r="G21" s="39" t="str">
        <f aca="false">IF($B21="","",IFERROR(ROUND(AVERAGEIFS('Score Log'!$J$4:$J$203,'Score Log'!$C$4:$C$203,$B21,'Score Log'!$E$4:$E$203,$A21),1),"-"))</f>
        <v/>
      </c>
      <c r="H21" s="39" t="str">
        <f aca="false">IF($B21="","",IFERROR(ROUND(AVERAGEIFS('Score Log'!$L$4:$L$203,'Score Log'!$C$4:$C$203,$B21,'Score Log'!$E$4:$E$203,$A21),1),"-"))</f>
        <v/>
      </c>
      <c r="I21" s="39" t="str">
        <f aca="false">IF($B21="","",IFERROR(ROUND(AVERAGEIFS('Score Log'!$N$4:$N$203,'Score Log'!$C$4:$C$203,$B21,'Score Log'!$E$4:$E$203,$A21),1),"-"))</f>
        <v/>
      </c>
      <c r="J21" s="40" t="str">
        <f aca="false">IF(OR($B21="",$D21=0),"",IFERROR(COUNTIFS('Score Log'!$C$4:$C$203,$B21,'Score Log'!$E$4:$E$203,$A21,'Score Log'!$U$4:$U$203,"Yes")/$D21,"-"))</f>
        <v/>
      </c>
      <c r="K21" s="41" t="str">
        <f aca="false">IF($B21="","",IF(ISNUMBER($F21),MAX(1,MIN(5,ROUND(6-$F21,0))),"-"))</f>
        <v/>
      </c>
      <c r="L21" s="41" t="str">
        <f aca="false">IF($B21="","",IF(ISNUMBER($G21),MAX(1,MIN(5,ROUND(6-$G21,0))),"-"))</f>
        <v/>
      </c>
      <c r="M21" s="41" t="str">
        <f aca="false">IF($B21="","",IF(AND(ISNUMBER($P21),ISNUMBER($O21)),MAX(1,MIN(5,ROUND(6-AVERAGE($P21,$O21),0))),IF(ISNUMBER($P21),MAX(1,MIN(5,ROUND(6-$P21,0))),"-")))</f>
        <v/>
      </c>
      <c r="O21" s="33" t="str">
        <f aca="false">IF($B21="","",IFERROR(AVERAGEIFS('Score Log'!$F$4:$F$203,'Score Log'!$C$4:$C$203,$B21),""))</f>
        <v/>
      </c>
      <c r="P21" s="33" t="str">
        <f aca="false">IF($B21="","",IFERROR(AVERAGEIFS('Score Log'!$L$4:$L$203,'Score Log'!$C$4:$C$203,$B21),""))</f>
        <v/>
      </c>
      <c r="Q21" s="33" t="str">
        <f aca="false">IFERROR(MATCH(ROW()-4,$AB$4:$AB$203,0)+3,"")</f>
        <v/>
      </c>
      <c r="AA21" s="33" t="n">
        <f aca="false">IF(OR('Score Log'!$C21="",'Score Log'!$E21=""),0,IF(COUNTIFS('Score Log'!$C$4:$C21,'Score Log'!$C21,'Score Log'!$E$4:$E21,'Score Log'!$E21)=1,1,0))</f>
        <v>0</v>
      </c>
      <c r="AB21" s="33" t="str">
        <f aca="false">IF($AA21=1,SUM($AA$4:$AA21),"")</f>
        <v/>
      </c>
    </row>
    <row r="22" customFormat="false" ht="15" hidden="false" customHeight="false" outlineLevel="0" collapsed="false">
      <c r="A22" s="36" t="str">
        <f aca="false">IF($Q22="","",INDEX('Score Log'!$E:$E,$Q22))</f>
        <v/>
      </c>
      <c r="B22" s="36" t="str">
        <f aca="false">IF($Q22="","",INDEX('Score Log'!$C:$C,$Q22))</f>
        <v/>
      </c>
      <c r="C22" s="37" t="str">
        <f aca="false">IF($Q22="","",IF(INDEX('Score Log'!$D:$D,$Q22)="","",INDEX('Score Log'!$D:$D,$Q22)))</f>
        <v/>
      </c>
      <c r="D22" s="38" t="str">
        <f aca="false">IF($B22="","",COUNTIFS('Score Log'!$C$4:$C$203,$B22,'Score Log'!$E$4:$E$203,$A22))</f>
        <v/>
      </c>
      <c r="E22" s="39" t="str">
        <f aca="false">IF($B22="","",IFERROR(ROUND(AVERAGEIFS('Score Log'!$F$4:$F$203,'Score Log'!$C$4:$C$203,$B22,'Score Log'!$E$4:$E$203,$A22),1),"-"))</f>
        <v/>
      </c>
      <c r="F22" s="39" t="str">
        <f aca="false">IF($B22="","",IFERROR(ROUND(AVERAGEIFS('Score Log'!$H$4:$H$203,'Score Log'!$C$4:$C$203,$B22,'Score Log'!$E$4:$E$203,$A22),1),"-"))</f>
        <v/>
      </c>
      <c r="G22" s="39" t="str">
        <f aca="false">IF($B22="","",IFERROR(ROUND(AVERAGEIFS('Score Log'!$J$4:$J$203,'Score Log'!$C$4:$C$203,$B22,'Score Log'!$E$4:$E$203,$A22),1),"-"))</f>
        <v/>
      </c>
      <c r="H22" s="39" t="str">
        <f aca="false">IF($B22="","",IFERROR(ROUND(AVERAGEIFS('Score Log'!$L$4:$L$203,'Score Log'!$C$4:$C$203,$B22,'Score Log'!$E$4:$E$203,$A22),1),"-"))</f>
        <v/>
      </c>
      <c r="I22" s="39" t="str">
        <f aca="false">IF($B22="","",IFERROR(ROUND(AVERAGEIFS('Score Log'!$N$4:$N$203,'Score Log'!$C$4:$C$203,$B22,'Score Log'!$E$4:$E$203,$A22),1),"-"))</f>
        <v/>
      </c>
      <c r="J22" s="40" t="str">
        <f aca="false">IF(OR($B22="",$D22=0),"",IFERROR(COUNTIFS('Score Log'!$C$4:$C$203,$B22,'Score Log'!$E$4:$E$203,$A22,'Score Log'!$U$4:$U$203,"Yes")/$D22,"-"))</f>
        <v/>
      </c>
      <c r="K22" s="41" t="str">
        <f aca="false">IF($B22="","",IF(ISNUMBER($F22),MAX(1,MIN(5,ROUND(6-$F22,0))),"-"))</f>
        <v/>
      </c>
      <c r="L22" s="41" t="str">
        <f aca="false">IF($B22="","",IF(ISNUMBER($G22),MAX(1,MIN(5,ROUND(6-$G22,0))),"-"))</f>
        <v/>
      </c>
      <c r="M22" s="41" t="str">
        <f aca="false">IF($B22="","",IF(AND(ISNUMBER($P22),ISNUMBER($O22)),MAX(1,MIN(5,ROUND(6-AVERAGE($P22,$O22),0))),IF(ISNUMBER($P22),MAX(1,MIN(5,ROUND(6-$P22,0))),"-")))</f>
        <v/>
      </c>
      <c r="O22" s="33" t="str">
        <f aca="false">IF($B22="","",IFERROR(AVERAGEIFS('Score Log'!$F$4:$F$203,'Score Log'!$C$4:$C$203,$B22),""))</f>
        <v/>
      </c>
      <c r="P22" s="33" t="str">
        <f aca="false">IF($B22="","",IFERROR(AVERAGEIFS('Score Log'!$L$4:$L$203,'Score Log'!$C$4:$C$203,$B22),""))</f>
        <v/>
      </c>
      <c r="Q22" s="33" t="str">
        <f aca="false">IFERROR(MATCH(ROW()-4,$AB$4:$AB$203,0)+3,"")</f>
        <v/>
      </c>
      <c r="AA22" s="33" t="n">
        <f aca="false">IF(OR('Score Log'!$C22="",'Score Log'!$E22=""),0,IF(COUNTIFS('Score Log'!$C$4:$C22,'Score Log'!$C22,'Score Log'!$E$4:$E22,'Score Log'!$E22)=1,1,0))</f>
        <v>0</v>
      </c>
      <c r="AB22" s="33" t="str">
        <f aca="false">IF($AA22=1,SUM($AA$4:$AA22),"")</f>
        <v/>
      </c>
    </row>
    <row r="23" customFormat="false" ht="15" hidden="false" customHeight="false" outlineLevel="0" collapsed="false">
      <c r="A23" s="36" t="str">
        <f aca="false">IF($Q23="","",INDEX('Score Log'!$E:$E,$Q23))</f>
        <v/>
      </c>
      <c r="B23" s="36" t="str">
        <f aca="false">IF($Q23="","",INDEX('Score Log'!$C:$C,$Q23))</f>
        <v/>
      </c>
      <c r="C23" s="37" t="str">
        <f aca="false">IF($Q23="","",IF(INDEX('Score Log'!$D:$D,$Q23)="","",INDEX('Score Log'!$D:$D,$Q23)))</f>
        <v/>
      </c>
      <c r="D23" s="38" t="str">
        <f aca="false">IF($B23="","",COUNTIFS('Score Log'!$C$4:$C$203,$B23,'Score Log'!$E$4:$E$203,$A23))</f>
        <v/>
      </c>
      <c r="E23" s="39" t="str">
        <f aca="false">IF($B23="","",IFERROR(ROUND(AVERAGEIFS('Score Log'!$F$4:$F$203,'Score Log'!$C$4:$C$203,$B23,'Score Log'!$E$4:$E$203,$A23),1),"-"))</f>
        <v/>
      </c>
      <c r="F23" s="39" t="str">
        <f aca="false">IF($B23="","",IFERROR(ROUND(AVERAGEIFS('Score Log'!$H$4:$H$203,'Score Log'!$C$4:$C$203,$B23,'Score Log'!$E$4:$E$203,$A23),1),"-"))</f>
        <v/>
      </c>
      <c r="G23" s="39" t="str">
        <f aca="false">IF($B23="","",IFERROR(ROUND(AVERAGEIFS('Score Log'!$J$4:$J$203,'Score Log'!$C$4:$C$203,$B23,'Score Log'!$E$4:$E$203,$A23),1),"-"))</f>
        <v/>
      </c>
      <c r="H23" s="39" t="str">
        <f aca="false">IF($B23="","",IFERROR(ROUND(AVERAGEIFS('Score Log'!$L$4:$L$203,'Score Log'!$C$4:$C$203,$B23,'Score Log'!$E$4:$E$203,$A23),1),"-"))</f>
        <v/>
      </c>
      <c r="I23" s="39" t="str">
        <f aca="false">IF($B23="","",IFERROR(ROUND(AVERAGEIFS('Score Log'!$N$4:$N$203,'Score Log'!$C$4:$C$203,$B23,'Score Log'!$E$4:$E$203,$A23),1),"-"))</f>
        <v/>
      </c>
      <c r="J23" s="40" t="str">
        <f aca="false">IF(OR($B23="",$D23=0),"",IFERROR(COUNTIFS('Score Log'!$C$4:$C$203,$B23,'Score Log'!$E$4:$E$203,$A23,'Score Log'!$U$4:$U$203,"Yes")/$D23,"-"))</f>
        <v/>
      </c>
      <c r="K23" s="41" t="str">
        <f aca="false">IF($B23="","",IF(ISNUMBER($F23),MAX(1,MIN(5,ROUND(6-$F23,0))),"-"))</f>
        <v/>
      </c>
      <c r="L23" s="41" t="str">
        <f aca="false">IF($B23="","",IF(ISNUMBER($G23),MAX(1,MIN(5,ROUND(6-$G23,0))),"-"))</f>
        <v/>
      </c>
      <c r="M23" s="41" t="str">
        <f aca="false">IF($B23="","",IF(AND(ISNUMBER($P23),ISNUMBER($O23)),MAX(1,MIN(5,ROUND(6-AVERAGE($P23,$O23),0))),IF(ISNUMBER($P23),MAX(1,MIN(5,ROUND(6-$P23,0))),"-")))</f>
        <v/>
      </c>
      <c r="O23" s="33" t="str">
        <f aca="false">IF($B23="","",IFERROR(AVERAGEIFS('Score Log'!$F$4:$F$203,'Score Log'!$C$4:$C$203,$B23),""))</f>
        <v/>
      </c>
      <c r="P23" s="33" t="str">
        <f aca="false">IF($B23="","",IFERROR(AVERAGEIFS('Score Log'!$L$4:$L$203,'Score Log'!$C$4:$C$203,$B23),""))</f>
        <v/>
      </c>
      <c r="Q23" s="33" t="str">
        <f aca="false">IFERROR(MATCH(ROW()-4,$AB$4:$AB$203,0)+3,"")</f>
        <v/>
      </c>
      <c r="AA23" s="33" t="n">
        <f aca="false">IF(OR('Score Log'!$C23="",'Score Log'!$E23=""),0,IF(COUNTIFS('Score Log'!$C$4:$C23,'Score Log'!$C23,'Score Log'!$E$4:$E23,'Score Log'!$E23)=1,1,0))</f>
        <v>0</v>
      </c>
      <c r="AB23" s="33" t="str">
        <f aca="false">IF($AA23=1,SUM($AA$4:$AA23),"")</f>
        <v/>
      </c>
    </row>
    <row r="24" customFormat="false" ht="15" hidden="false" customHeight="false" outlineLevel="0" collapsed="false">
      <c r="A24" s="36" t="str">
        <f aca="false">IF($Q24="","",INDEX('Score Log'!$E:$E,$Q24))</f>
        <v/>
      </c>
      <c r="B24" s="36" t="str">
        <f aca="false">IF($Q24="","",INDEX('Score Log'!$C:$C,$Q24))</f>
        <v/>
      </c>
      <c r="C24" s="37" t="str">
        <f aca="false">IF($Q24="","",IF(INDEX('Score Log'!$D:$D,$Q24)="","",INDEX('Score Log'!$D:$D,$Q24)))</f>
        <v/>
      </c>
      <c r="D24" s="38" t="str">
        <f aca="false">IF($B24="","",COUNTIFS('Score Log'!$C$4:$C$203,$B24,'Score Log'!$E$4:$E$203,$A24))</f>
        <v/>
      </c>
      <c r="E24" s="39" t="str">
        <f aca="false">IF($B24="","",IFERROR(ROUND(AVERAGEIFS('Score Log'!$F$4:$F$203,'Score Log'!$C$4:$C$203,$B24,'Score Log'!$E$4:$E$203,$A24),1),"-"))</f>
        <v/>
      </c>
      <c r="F24" s="39" t="str">
        <f aca="false">IF($B24="","",IFERROR(ROUND(AVERAGEIFS('Score Log'!$H$4:$H$203,'Score Log'!$C$4:$C$203,$B24,'Score Log'!$E$4:$E$203,$A24),1),"-"))</f>
        <v/>
      </c>
      <c r="G24" s="39" t="str">
        <f aca="false">IF($B24="","",IFERROR(ROUND(AVERAGEIFS('Score Log'!$J$4:$J$203,'Score Log'!$C$4:$C$203,$B24,'Score Log'!$E$4:$E$203,$A24),1),"-"))</f>
        <v/>
      </c>
      <c r="H24" s="39" t="str">
        <f aca="false">IF($B24="","",IFERROR(ROUND(AVERAGEIFS('Score Log'!$L$4:$L$203,'Score Log'!$C$4:$C$203,$B24,'Score Log'!$E$4:$E$203,$A24),1),"-"))</f>
        <v/>
      </c>
      <c r="I24" s="39" t="str">
        <f aca="false">IF($B24="","",IFERROR(ROUND(AVERAGEIFS('Score Log'!$N$4:$N$203,'Score Log'!$C$4:$C$203,$B24,'Score Log'!$E$4:$E$203,$A24),1),"-"))</f>
        <v/>
      </c>
      <c r="J24" s="40" t="str">
        <f aca="false">IF(OR($B24="",$D24=0),"",IFERROR(COUNTIFS('Score Log'!$C$4:$C$203,$B24,'Score Log'!$E$4:$E$203,$A24,'Score Log'!$U$4:$U$203,"Yes")/$D24,"-"))</f>
        <v/>
      </c>
      <c r="K24" s="41" t="str">
        <f aca="false">IF($B24="","",IF(ISNUMBER($F24),MAX(1,MIN(5,ROUND(6-$F24,0))),"-"))</f>
        <v/>
      </c>
      <c r="L24" s="41" t="str">
        <f aca="false">IF($B24="","",IF(ISNUMBER($G24),MAX(1,MIN(5,ROUND(6-$G24,0))),"-"))</f>
        <v/>
      </c>
      <c r="M24" s="41" t="str">
        <f aca="false">IF($B24="","",IF(AND(ISNUMBER($P24),ISNUMBER($O24)),MAX(1,MIN(5,ROUND(6-AVERAGE($P24,$O24),0))),IF(ISNUMBER($P24),MAX(1,MIN(5,ROUND(6-$P24,0))),"-")))</f>
        <v/>
      </c>
      <c r="O24" s="33" t="str">
        <f aca="false">IF($B24="","",IFERROR(AVERAGEIFS('Score Log'!$F$4:$F$203,'Score Log'!$C$4:$C$203,$B24),""))</f>
        <v/>
      </c>
      <c r="P24" s="33" t="str">
        <f aca="false">IF($B24="","",IFERROR(AVERAGEIFS('Score Log'!$L$4:$L$203,'Score Log'!$C$4:$C$203,$B24),""))</f>
        <v/>
      </c>
      <c r="Q24" s="33" t="str">
        <f aca="false">IFERROR(MATCH(ROW()-4,$AB$4:$AB$203,0)+3,"")</f>
        <v/>
      </c>
      <c r="AA24" s="33" t="n">
        <f aca="false">IF(OR('Score Log'!$C24="",'Score Log'!$E24=""),0,IF(COUNTIFS('Score Log'!$C$4:$C24,'Score Log'!$C24,'Score Log'!$E$4:$E24,'Score Log'!$E24)=1,1,0))</f>
        <v>0</v>
      </c>
      <c r="AB24" s="33" t="str">
        <f aca="false">IF($AA24=1,SUM($AA$4:$AA24),"")</f>
        <v/>
      </c>
    </row>
    <row r="25" customFormat="false" ht="15" hidden="false" customHeight="false" outlineLevel="0" collapsed="false">
      <c r="A25" s="36" t="str">
        <f aca="false">IF($Q25="","",INDEX('Score Log'!$E:$E,$Q25))</f>
        <v/>
      </c>
      <c r="B25" s="36" t="str">
        <f aca="false">IF($Q25="","",INDEX('Score Log'!$C:$C,$Q25))</f>
        <v/>
      </c>
      <c r="C25" s="37" t="str">
        <f aca="false">IF($Q25="","",IF(INDEX('Score Log'!$D:$D,$Q25)="","",INDEX('Score Log'!$D:$D,$Q25)))</f>
        <v/>
      </c>
      <c r="D25" s="38" t="str">
        <f aca="false">IF($B25="","",COUNTIFS('Score Log'!$C$4:$C$203,$B25,'Score Log'!$E$4:$E$203,$A25))</f>
        <v/>
      </c>
      <c r="E25" s="39" t="str">
        <f aca="false">IF($B25="","",IFERROR(ROUND(AVERAGEIFS('Score Log'!$F$4:$F$203,'Score Log'!$C$4:$C$203,$B25,'Score Log'!$E$4:$E$203,$A25),1),"-"))</f>
        <v/>
      </c>
      <c r="F25" s="39" t="str">
        <f aca="false">IF($B25="","",IFERROR(ROUND(AVERAGEIFS('Score Log'!$H$4:$H$203,'Score Log'!$C$4:$C$203,$B25,'Score Log'!$E$4:$E$203,$A25),1),"-"))</f>
        <v/>
      </c>
      <c r="G25" s="39" t="str">
        <f aca="false">IF($B25="","",IFERROR(ROUND(AVERAGEIFS('Score Log'!$J$4:$J$203,'Score Log'!$C$4:$C$203,$B25,'Score Log'!$E$4:$E$203,$A25),1),"-"))</f>
        <v/>
      </c>
      <c r="H25" s="39" t="str">
        <f aca="false">IF($B25="","",IFERROR(ROUND(AVERAGEIFS('Score Log'!$L$4:$L$203,'Score Log'!$C$4:$C$203,$B25,'Score Log'!$E$4:$E$203,$A25),1),"-"))</f>
        <v/>
      </c>
      <c r="I25" s="39" t="str">
        <f aca="false">IF($B25="","",IFERROR(ROUND(AVERAGEIFS('Score Log'!$N$4:$N$203,'Score Log'!$C$4:$C$203,$B25,'Score Log'!$E$4:$E$203,$A25),1),"-"))</f>
        <v/>
      </c>
      <c r="J25" s="40" t="str">
        <f aca="false">IF(OR($B25="",$D25=0),"",IFERROR(COUNTIFS('Score Log'!$C$4:$C$203,$B25,'Score Log'!$E$4:$E$203,$A25,'Score Log'!$U$4:$U$203,"Yes")/$D25,"-"))</f>
        <v/>
      </c>
      <c r="K25" s="41" t="str">
        <f aca="false">IF($B25="","",IF(ISNUMBER($F25),MAX(1,MIN(5,ROUND(6-$F25,0))),"-"))</f>
        <v/>
      </c>
      <c r="L25" s="41" t="str">
        <f aca="false">IF($B25="","",IF(ISNUMBER($G25),MAX(1,MIN(5,ROUND(6-$G25,0))),"-"))</f>
        <v/>
      </c>
      <c r="M25" s="41" t="str">
        <f aca="false">IF($B25="","",IF(AND(ISNUMBER($P25),ISNUMBER($O25)),MAX(1,MIN(5,ROUND(6-AVERAGE($P25,$O25),0))),IF(ISNUMBER($P25),MAX(1,MIN(5,ROUND(6-$P25,0))),"-")))</f>
        <v/>
      </c>
      <c r="O25" s="33" t="str">
        <f aca="false">IF($B25="","",IFERROR(AVERAGEIFS('Score Log'!$F$4:$F$203,'Score Log'!$C$4:$C$203,$B25),""))</f>
        <v/>
      </c>
      <c r="P25" s="33" t="str">
        <f aca="false">IF($B25="","",IFERROR(AVERAGEIFS('Score Log'!$L$4:$L$203,'Score Log'!$C$4:$C$203,$B25),""))</f>
        <v/>
      </c>
      <c r="Q25" s="33" t="str">
        <f aca="false">IFERROR(MATCH(ROW()-4,$AB$4:$AB$203,0)+3,"")</f>
        <v/>
      </c>
      <c r="AA25" s="33" t="n">
        <f aca="false">IF(OR('Score Log'!$C25="",'Score Log'!$E25=""),0,IF(COUNTIFS('Score Log'!$C$4:$C25,'Score Log'!$C25,'Score Log'!$E$4:$E25,'Score Log'!$E25)=1,1,0))</f>
        <v>0</v>
      </c>
      <c r="AB25" s="33" t="str">
        <f aca="false">IF($AA25=1,SUM($AA$4:$AA25),"")</f>
        <v/>
      </c>
    </row>
    <row r="26" customFormat="false" ht="15" hidden="false" customHeight="false" outlineLevel="0" collapsed="false">
      <c r="A26" s="36" t="str">
        <f aca="false">IF($Q26="","",INDEX('Score Log'!$E:$E,$Q26))</f>
        <v/>
      </c>
      <c r="B26" s="36" t="str">
        <f aca="false">IF($Q26="","",INDEX('Score Log'!$C:$C,$Q26))</f>
        <v/>
      </c>
      <c r="C26" s="37" t="str">
        <f aca="false">IF($Q26="","",IF(INDEX('Score Log'!$D:$D,$Q26)="","",INDEX('Score Log'!$D:$D,$Q26)))</f>
        <v/>
      </c>
      <c r="D26" s="38" t="str">
        <f aca="false">IF($B26="","",COUNTIFS('Score Log'!$C$4:$C$203,$B26,'Score Log'!$E$4:$E$203,$A26))</f>
        <v/>
      </c>
      <c r="E26" s="39" t="str">
        <f aca="false">IF($B26="","",IFERROR(ROUND(AVERAGEIFS('Score Log'!$F$4:$F$203,'Score Log'!$C$4:$C$203,$B26,'Score Log'!$E$4:$E$203,$A26),1),"-"))</f>
        <v/>
      </c>
      <c r="F26" s="39" t="str">
        <f aca="false">IF($B26="","",IFERROR(ROUND(AVERAGEIFS('Score Log'!$H$4:$H$203,'Score Log'!$C$4:$C$203,$B26,'Score Log'!$E$4:$E$203,$A26),1),"-"))</f>
        <v/>
      </c>
      <c r="G26" s="39" t="str">
        <f aca="false">IF($B26="","",IFERROR(ROUND(AVERAGEIFS('Score Log'!$J$4:$J$203,'Score Log'!$C$4:$C$203,$B26,'Score Log'!$E$4:$E$203,$A26),1),"-"))</f>
        <v/>
      </c>
      <c r="H26" s="39" t="str">
        <f aca="false">IF($B26="","",IFERROR(ROUND(AVERAGEIFS('Score Log'!$L$4:$L$203,'Score Log'!$C$4:$C$203,$B26,'Score Log'!$E$4:$E$203,$A26),1),"-"))</f>
        <v/>
      </c>
      <c r="I26" s="39" t="str">
        <f aca="false">IF($B26="","",IFERROR(ROUND(AVERAGEIFS('Score Log'!$N$4:$N$203,'Score Log'!$C$4:$C$203,$B26,'Score Log'!$E$4:$E$203,$A26),1),"-"))</f>
        <v/>
      </c>
      <c r="J26" s="40" t="str">
        <f aca="false">IF(OR($B26="",$D26=0),"",IFERROR(COUNTIFS('Score Log'!$C$4:$C$203,$B26,'Score Log'!$E$4:$E$203,$A26,'Score Log'!$U$4:$U$203,"Yes")/$D26,"-"))</f>
        <v/>
      </c>
      <c r="K26" s="41" t="str">
        <f aca="false">IF($B26="","",IF(ISNUMBER($F26),MAX(1,MIN(5,ROUND(6-$F26,0))),"-"))</f>
        <v/>
      </c>
      <c r="L26" s="41" t="str">
        <f aca="false">IF($B26="","",IF(ISNUMBER($G26),MAX(1,MIN(5,ROUND(6-$G26,0))),"-"))</f>
        <v/>
      </c>
      <c r="M26" s="41" t="str">
        <f aca="false">IF($B26="","",IF(AND(ISNUMBER($P26),ISNUMBER($O26)),MAX(1,MIN(5,ROUND(6-AVERAGE($P26,$O26),0))),IF(ISNUMBER($P26),MAX(1,MIN(5,ROUND(6-$P26,0))),"-")))</f>
        <v/>
      </c>
      <c r="O26" s="33" t="str">
        <f aca="false">IF($B26="","",IFERROR(AVERAGEIFS('Score Log'!$F$4:$F$203,'Score Log'!$C$4:$C$203,$B26),""))</f>
        <v/>
      </c>
      <c r="P26" s="33" t="str">
        <f aca="false">IF($B26="","",IFERROR(AVERAGEIFS('Score Log'!$L$4:$L$203,'Score Log'!$C$4:$C$203,$B26),""))</f>
        <v/>
      </c>
      <c r="Q26" s="33" t="str">
        <f aca="false">IFERROR(MATCH(ROW()-4,$AB$4:$AB$203,0)+3,"")</f>
        <v/>
      </c>
      <c r="AA26" s="33" t="n">
        <f aca="false">IF(OR('Score Log'!$C26="",'Score Log'!$E26=""),0,IF(COUNTIFS('Score Log'!$C$4:$C26,'Score Log'!$C26,'Score Log'!$E$4:$E26,'Score Log'!$E26)=1,1,0))</f>
        <v>0</v>
      </c>
      <c r="AB26" s="33" t="str">
        <f aca="false">IF($AA26=1,SUM($AA$4:$AA26),"")</f>
        <v/>
      </c>
    </row>
    <row r="27" customFormat="false" ht="15" hidden="false" customHeight="false" outlineLevel="0" collapsed="false">
      <c r="A27" s="36" t="str">
        <f aca="false">IF($Q27="","",INDEX('Score Log'!$E:$E,$Q27))</f>
        <v/>
      </c>
      <c r="B27" s="36" t="str">
        <f aca="false">IF($Q27="","",INDEX('Score Log'!$C:$C,$Q27))</f>
        <v/>
      </c>
      <c r="C27" s="37" t="str">
        <f aca="false">IF($Q27="","",IF(INDEX('Score Log'!$D:$D,$Q27)="","",INDEX('Score Log'!$D:$D,$Q27)))</f>
        <v/>
      </c>
      <c r="D27" s="38" t="str">
        <f aca="false">IF($B27="","",COUNTIFS('Score Log'!$C$4:$C$203,$B27,'Score Log'!$E$4:$E$203,$A27))</f>
        <v/>
      </c>
      <c r="E27" s="39" t="str">
        <f aca="false">IF($B27="","",IFERROR(ROUND(AVERAGEIFS('Score Log'!$F$4:$F$203,'Score Log'!$C$4:$C$203,$B27,'Score Log'!$E$4:$E$203,$A27),1),"-"))</f>
        <v/>
      </c>
      <c r="F27" s="39" t="str">
        <f aca="false">IF($B27="","",IFERROR(ROUND(AVERAGEIFS('Score Log'!$H$4:$H$203,'Score Log'!$C$4:$C$203,$B27,'Score Log'!$E$4:$E$203,$A27),1),"-"))</f>
        <v/>
      </c>
      <c r="G27" s="39" t="str">
        <f aca="false">IF($B27="","",IFERROR(ROUND(AVERAGEIFS('Score Log'!$J$4:$J$203,'Score Log'!$C$4:$C$203,$B27,'Score Log'!$E$4:$E$203,$A27),1),"-"))</f>
        <v/>
      </c>
      <c r="H27" s="39" t="str">
        <f aca="false">IF($B27="","",IFERROR(ROUND(AVERAGEIFS('Score Log'!$L$4:$L$203,'Score Log'!$C$4:$C$203,$B27,'Score Log'!$E$4:$E$203,$A27),1),"-"))</f>
        <v/>
      </c>
      <c r="I27" s="39" t="str">
        <f aca="false">IF($B27="","",IFERROR(ROUND(AVERAGEIFS('Score Log'!$N$4:$N$203,'Score Log'!$C$4:$C$203,$B27,'Score Log'!$E$4:$E$203,$A27),1),"-"))</f>
        <v/>
      </c>
      <c r="J27" s="40" t="str">
        <f aca="false">IF(OR($B27="",$D27=0),"",IFERROR(COUNTIFS('Score Log'!$C$4:$C$203,$B27,'Score Log'!$E$4:$E$203,$A27,'Score Log'!$U$4:$U$203,"Yes")/$D27,"-"))</f>
        <v/>
      </c>
      <c r="K27" s="41" t="str">
        <f aca="false">IF($B27="","",IF(ISNUMBER($F27),MAX(1,MIN(5,ROUND(6-$F27,0))),"-"))</f>
        <v/>
      </c>
      <c r="L27" s="41" t="str">
        <f aca="false">IF($B27="","",IF(ISNUMBER($G27),MAX(1,MIN(5,ROUND(6-$G27,0))),"-"))</f>
        <v/>
      </c>
      <c r="M27" s="41" t="str">
        <f aca="false">IF($B27="","",IF(AND(ISNUMBER($P27),ISNUMBER($O27)),MAX(1,MIN(5,ROUND(6-AVERAGE($P27,$O27),0))),IF(ISNUMBER($P27),MAX(1,MIN(5,ROUND(6-$P27,0))),"-")))</f>
        <v/>
      </c>
      <c r="O27" s="33" t="str">
        <f aca="false">IF($B27="","",IFERROR(AVERAGEIFS('Score Log'!$F$4:$F$203,'Score Log'!$C$4:$C$203,$B27),""))</f>
        <v/>
      </c>
      <c r="P27" s="33" t="str">
        <f aca="false">IF($B27="","",IFERROR(AVERAGEIFS('Score Log'!$L$4:$L$203,'Score Log'!$C$4:$C$203,$B27),""))</f>
        <v/>
      </c>
      <c r="Q27" s="33" t="str">
        <f aca="false">IFERROR(MATCH(ROW()-4,$AB$4:$AB$203,0)+3,"")</f>
        <v/>
      </c>
      <c r="AA27" s="33" t="n">
        <f aca="false">IF(OR('Score Log'!$C27="",'Score Log'!$E27=""),0,IF(COUNTIFS('Score Log'!$C$4:$C27,'Score Log'!$C27,'Score Log'!$E$4:$E27,'Score Log'!$E27)=1,1,0))</f>
        <v>0</v>
      </c>
      <c r="AB27" s="33" t="str">
        <f aca="false">IF($AA27=1,SUM($AA$4:$AA27),"")</f>
        <v/>
      </c>
    </row>
    <row r="28" customFormat="false" ht="15" hidden="false" customHeight="false" outlineLevel="0" collapsed="false">
      <c r="A28" s="36" t="str">
        <f aca="false">IF($Q28="","",INDEX('Score Log'!$E:$E,$Q28))</f>
        <v/>
      </c>
      <c r="B28" s="36" t="str">
        <f aca="false">IF($Q28="","",INDEX('Score Log'!$C:$C,$Q28))</f>
        <v/>
      </c>
      <c r="C28" s="37" t="str">
        <f aca="false">IF($Q28="","",IF(INDEX('Score Log'!$D:$D,$Q28)="","",INDEX('Score Log'!$D:$D,$Q28)))</f>
        <v/>
      </c>
      <c r="D28" s="38" t="str">
        <f aca="false">IF($B28="","",COUNTIFS('Score Log'!$C$4:$C$203,$B28,'Score Log'!$E$4:$E$203,$A28))</f>
        <v/>
      </c>
      <c r="E28" s="39" t="str">
        <f aca="false">IF($B28="","",IFERROR(ROUND(AVERAGEIFS('Score Log'!$F$4:$F$203,'Score Log'!$C$4:$C$203,$B28,'Score Log'!$E$4:$E$203,$A28),1),"-"))</f>
        <v/>
      </c>
      <c r="F28" s="39" t="str">
        <f aca="false">IF($B28="","",IFERROR(ROUND(AVERAGEIFS('Score Log'!$H$4:$H$203,'Score Log'!$C$4:$C$203,$B28,'Score Log'!$E$4:$E$203,$A28),1),"-"))</f>
        <v/>
      </c>
      <c r="G28" s="39" t="str">
        <f aca="false">IF($B28="","",IFERROR(ROUND(AVERAGEIFS('Score Log'!$J$4:$J$203,'Score Log'!$C$4:$C$203,$B28,'Score Log'!$E$4:$E$203,$A28),1),"-"))</f>
        <v/>
      </c>
      <c r="H28" s="39" t="str">
        <f aca="false">IF($B28="","",IFERROR(ROUND(AVERAGEIFS('Score Log'!$L$4:$L$203,'Score Log'!$C$4:$C$203,$B28,'Score Log'!$E$4:$E$203,$A28),1),"-"))</f>
        <v/>
      </c>
      <c r="I28" s="39" t="str">
        <f aca="false">IF($B28="","",IFERROR(ROUND(AVERAGEIFS('Score Log'!$N$4:$N$203,'Score Log'!$C$4:$C$203,$B28,'Score Log'!$E$4:$E$203,$A28),1),"-"))</f>
        <v/>
      </c>
      <c r="J28" s="40" t="str">
        <f aca="false">IF(OR($B28="",$D28=0),"",IFERROR(COUNTIFS('Score Log'!$C$4:$C$203,$B28,'Score Log'!$E$4:$E$203,$A28,'Score Log'!$U$4:$U$203,"Yes")/$D28,"-"))</f>
        <v/>
      </c>
      <c r="K28" s="41" t="str">
        <f aca="false">IF($B28="","",IF(ISNUMBER($F28),MAX(1,MIN(5,ROUND(6-$F28,0))),"-"))</f>
        <v/>
      </c>
      <c r="L28" s="41" t="str">
        <f aca="false">IF($B28="","",IF(ISNUMBER($G28),MAX(1,MIN(5,ROUND(6-$G28,0))),"-"))</f>
        <v/>
      </c>
      <c r="M28" s="41" t="str">
        <f aca="false">IF($B28="","",IF(AND(ISNUMBER($P28),ISNUMBER($O28)),MAX(1,MIN(5,ROUND(6-AVERAGE($P28,$O28),0))),IF(ISNUMBER($P28),MAX(1,MIN(5,ROUND(6-$P28,0))),"-")))</f>
        <v/>
      </c>
      <c r="O28" s="33" t="str">
        <f aca="false">IF($B28="","",IFERROR(AVERAGEIFS('Score Log'!$F$4:$F$203,'Score Log'!$C$4:$C$203,$B28),""))</f>
        <v/>
      </c>
      <c r="P28" s="33" t="str">
        <f aca="false">IF($B28="","",IFERROR(AVERAGEIFS('Score Log'!$L$4:$L$203,'Score Log'!$C$4:$C$203,$B28),""))</f>
        <v/>
      </c>
      <c r="Q28" s="33" t="str">
        <f aca="false">IFERROR(MATCH(ROW()-4,$AB$4:$AB$203,0)+3,"")</f>
        <v/>
      </c>
      <c r="AA28" s="33" t="n">
        <f aca="false">IF(OR('Score Log'!$C28="",'Score Log'!$E28=""),0,IF(COUNTIFS('Score Log'!$C$4:$C28,'Score Log'!$C28,'Score Log'!$E$4:$E28,'Score Log'!$E28)=1,1,0))</f>
        <v>0</v>
      </c>
      <c r="AB28" s="33" t="str">
        <f aca="false">IF($AA28=1,SUM($AA$4:$AA28),"")</f>
        <v/>
      </c>
    </row>
    <row r="29" customFormat="false" ht="15" hidden="false" customHeight="false" outlineLevel="0" collapsed="false">
      <c r="A29" s="36" t="str">
        <f aca="false">IF($Q29="","",INDEX('Score Log'!$E:$E,$Q29))</f>
        <v/>
      </c>
      <c r="B29" s="36" t="str">
        <f aca="false">IF($Q29="","",INDEX('Score Log'!$C:$C,$Q29))</f>
        <v/>
      </c>
      <c r="C29" s="37" t="str">
        <f aca="false">IF($Q29="","",IF(INDEX('Score Log'!$D:$D,$Q29)="","",INDEX('Score Log'!$D:$D,$Q29)))</f>
        <v/>
      </c>
      <c r="D29" s="38" t="str">
        <f aca="false">IF($B29="","",COUNTIFS('Score Log'!$C$4:$C$203,$B29,'Score Log'!$E$4:$E$203,$A29))</f>
        <v/>
      </c>
      <c r="E29" s="39" t="str">
        <f aca="false">IF($B29="","",IFERROR(ROUND(AVERAGEIFS('Score Log'!$F$4:$F$203,'Score Log'!$C$4:$C$203,$B29,'Score Log'!$E$4:$E$203,$A29),1),"-"))</f>
        <v/>
      </c>
      <c r="F29" s="39" t="str">
        <f aca="false">IF($B29="","",IFERROR(ROUND(AVERAGEIFS('Score Log'!$H$4:$H$203,'Score Log'!$C$4:$C$203,$B29,'Score Log'!$E$4:$E$203,$A29),1),"-"))</f>
        <v/>
      </c>
      <c r="G29" s="39" t="str">
        <f aca="false">IF($B29="","",IFERROR(ROUND(AVERAGEIFS('Score Log'!$J$4:$J$203,'Score Log'!$C$4:$C$203,$B29,'Score Log'!$E$4:$E$203,$A29),1),"-"))</f>
        <v/>
      </c>
      <c r="H29" s="39" t="str">
        <f aca="false">IF($B29="","",IFERROR(ROUND(AVERAGEIFS('Score Log'!$L$4:$L$203,'Score Log'!$C$4:$C$203,$B29,'Score Log'!$E$4:$E$203,$A29),1),"-"))</f>
        <v/>
      </c>
      <c r="I29" s="39" t="str">
        <f aca="false">IF($B29="","",IFERROR(ROUND(AVERAGEIFS('Score Log'!$N$4:$N$203,'Score Log'!$C$4:$C$203,$B29,'Score Log'!$E$4:$E$203,$A29),1),"-"))</f>
        <v/>
      </c>
      <c r="J29" s="40" t="str">
        <f aca="false">IF(OR($B29="",$D29=0),"",IFERROR(COUNTIFS('Score Log'!$C$4:$C$203,$B29,'Score Log'!$E$4:$E$203,$A29,'Score Log'!$U$4:$U$203,"Yes")/$D29,"-"))</f>
        <v/>
      </c>
      <c r="K29" s="41" t="str">
        <f aca="false">IF($B29="","",IF(ISNUMBER($F29),MAX(1,MIN(5,ROUND(6-$F29,0))),"-"))</f>
        <v/>
      </c>
      <c r="L29" s="41" t="str">
        <f aca="false">IF($B29="","",IF(ISNUMBER($G29),MAX(1,MIN(5,ROUND(6-$G29,0))),"-"))</f>
        <v/>
      </c>
      <c r="M29" s="41" t="str">
        <f aca="false">IF($B29="","",IF(AND(ISNUMBER($P29),ISNUMBER($O29)),MAX(1,MIN(5,ROUND(6-AVERAGE($P29,$O29),0))),IF(ISNUMBER($P29),MAX(1,MIN(5,ROUND(6-$P29,0))),"-")))</f>
        <v/>
      </c>
      <c r="O29" s="33" t="str">
        <f aca="false">IF($B29="","",IFERROR(AVERAGEIFS('Score Log'!$F$4:$F$203,'Score Log'!$C$4:$C$203,$B29),""))</f>
        <v/>
      </c>
      <c r="P29" s="33" t="str">
        <f aca="false">IF($B29="","",IFERROR(AVERAGEIFS('Score Log'!$L$4:$L$203,'Score Log'!$C$4:$C$203,$B29),""))</f>
        <v/>
      </c>
      <c r="Q29" s="33" t="str">
        <f aca="false">IFERROR(MATCH(ROW()-4,$AB$4:$AB$203,0)+3,"")</f>
        <v/>
      </c>
      <c r="AA29" s="33" t="n">
        <f aca="false">IF(OR('Score Log'!$C29="",'Score Log'!$E29=""),0,IF(COUNTIFS('Score Log'!$C$4:$C29,'Score Log'!$C29,'Score Log'!$E$4:$E29,'Score Log'!$E29)=1,1,0))</f>
        <v>0</v>
      </c>
      <c r="AB29" s="33" t="str">
        <f aca="false">IF($AA29=1,SUM($AA$4:$AA29),"")</f>
        <v/>
      </c>
    </row>
    <row r="30" customFormat="false" ht="15" hidden="false" customHeight="false" outlineLevel="0" collapsed="false">
      <c r="A30" s="36" t="str">
        <f aca="false">IF($Q30="","",INDEX('Score Log'!$E:$E,$Q30))</f>
        <v/>
      </c>
      <c r="B30" s="36" t="str">
        <f aca="false">IF($Q30="","",INDEX('Score Log'!$C:$C,$Q30))</f>
        <v/>
      </c>
      <c r="C30" s="37" t="str">
        <f aca="false">IF($Q30="","",IF(INDEX('Score Log'!$D:$D,$Q30)="","",INDEX('Score Log'!$D:$D,$Q30)))</f>
        <v/>
      </c>
      <c r="D30" s="38" t="str">
        <f aca="false">IF($B30="","",COUNTIFS('Score Log'!$C$4:$C$203,$B30,'Score Log'!$E$4:$E$203,$A30))</f>
        <v/>
      </c>
      <c r="E30" s="39" t="str">
        <f aca="false">IF($B30="","",IFERROR(ROUND(AVERAGEIFS('Score Log'!$F$4:$F$203,'Score Log'!$C$4:$C$203,$B30,'Score Log'!$E$4:$E$203,$A30),1),"-"))</f>
        <v/>
      </c>
      <c r="F30" s="39" t="str">
        <f aca="false">IF($B30="","",IFERROR(ROUND(AVERAGEIFS('Score Log'!$H$4:$H$203,'Score Log'!$C$4:$C$203,$B30,'Score Log'!$E$4:$E$203,$A30),1),"-"))</f>
        <v/>
      </c>
      <c r="G30" s="39" t="str">
        <f aca="false">IF($B30="","",IFERROR(ROUND(AVERAGEIFS('Score Log'!$J$4:$J$203,'Score Log'!$C$4:$C$203,$B30,'Score Log'!$E$4:$E$203,$A30),1),"-"))</f>
        <v/>
      </c>
      <c r="H30" s="39" t="str">
        <f aca="false">IF($B30="","",IFERROR(ROUND(AVERAGEIFS('Score Log'!$L$4:$L$203,'Score Log'!$C$4:$C$203,$B30,'Score Log'!$E$4:$E$203,$A30),1),"-"))</f>
        <v/>
      </c>
      <c r="I30" s="39" t="str">
        <f aca="false">IF($B30="","",IFERROR(ROUND(AVERAGEIFS('Score Log'!$N$4:$N$203,'Score Log'!$C$4:$C$203,$B30,'Score Log'!$E$4:$E$203,$A30),1),"-"))</f>
        <v/>
      </c>
      <c r="J30" s="40" t="str">
        <f aca="false">IF(OR($B30="",$D30=0),"",IFERROR(COUNTIFS('Score Log'!$C$4:$C$203,$B30,'Score Log'!$E$4:$E$203,$A30,'Score Log'!$U$4:$U$203,"Yes")/$D30,"-"))</f>
        <v/>
      </c>
      <c r="K30" s="41" t="str">
        <f aca="false">IF($B30="","",IF(ISNUMBER($F30),MAX(1,MIN(5,ROUND(6-$F30,0))),"-"))</f>
        <v/>
      </c>
      <c r="L30" s="41" t="str">
        <f aca="false">IF($B30="","",IF(ISNUMBER($G30),MAX(1,MIN(5,ROUND(6-$G30,0))),"-"))</f>
        <v/>
      </c>
      <c r="M30" s="41" t="str">
        <f aca="false">IF($B30="","",IF(AND(ISNUMBER($P30),ISNUMBER($O30)),MAX(1,MIN(5,ROUND(6-AVERAGE($P30,$O30),0))),IF(ISNUMBER($P30),MAX(1,MIN(5,ROUND(6-$P30,0))),"-")))</f>
        <v/>
      </c>
      <c r="O30" s="33" t="str">
        <f aca="false">IF($B30="","",IFERROR(AVERAGEIFS('Score Log'!$F$4:$F$203,'Score Log'!$C$4:$C$203,$B30),""))</f>
        <v/>
      </c>
      <c r="P30" s="33" t="str">
        <f aca="false">IF($B30="","",IFERROR(AVERAGEIFS('Score Log'!$L$4:$L$203,'Score Log'!$C$4:$C$203,$B30),""))</f>
        <v/>
      </c>
      <c r="Q30" s="33" t="str">
        <f aca="false">IFERROR(MATCH(ROW()-4,$AB$4:$AB$203,0)+3,"")</f>
        <v/>
      </c>
      <c r="AA30" s="33" t="n">
        <f aca="false">IF(OR('Score Log'!$C30="",'Score Log'!$E30=""),0,IF(COUNTIFS('Score Log'!$C$4:$C30,'Score Log'!$C30,'Score Log'!$E$4:$E30,'Score Log'!$E30)=1,1,0))</f>
        <v>0</v>
      </c>
      <c r="AB30" s="33" t="str">
        <f aca="false">IF($AA30=1,SUM($AA$4:$AA30),"")</f>
        <v/>
      </c>
    </row>
    <row r="31" customFormat="false" ht="15" hidden="false" customHeight="false" outlineLevel="0" collapsed="false">
      <c r="A31" s="36" t="str">
        <f aca="false">IF($Q31="","",INDEX('Score Log'!$E:$E,$Q31))</f>
        <v/>
      </c>
      <c r="B31" s="36" t="str">
        <f aca="false">IF($Q31="","",INDEX('Score Log'!$C:$C,$Q31))</f>
        <v/>
      </c>
      <c r="C31" s="37" t="str">
        <f aca="false">IF($Q31="","",IF(INDEX('Score Log'!$D:$D,$Q31)="","",INDEX('Score Log'!$D:$D,$Q31)))</f>
        <v/>
      </c>
      <c r="D31" s="38" t="str">
        <f aca="false">IF($B31="","",COUNTIFS('Score Log'!$C$4:$C$203,$B31,'Score Log'!$E$4:$E$203,$A31))</f>
        <v/>
      </c>
      <c r="E31" s="39" t="str">
        <f aca="false">IF($B31="","",IFERROR(ROUND(AVERAGEIFS('Score Log'!$F$4:$F$203,'Score Log'!$C$4:$C$203,$B31,'Score Log'!$E$4:$E$203,$A31),1),"-"))</f>
        <v/>
      </c>
      <c r="F31" s="39" t="str">
        <f aca="false">IF($B31="","",IFERROR(ROUND(AVERAGEIFS('Score Log'!$H$4:$H$203,'Score Log'!$C$4:$C$203,$B31,'Score Log'!$E$4:$E$203,$A31),1),"-"))</f>
        <v/>
      </c>
      <c r="G31" s="39" t="str">
        <f aca="false">IF($B31="","",IFERROR(ROUND(AVERAGEIFS('Score Log'!$J$4:$J$203,'Score Log'!$C$4:$C$203,$B31,'Score Log'!$E$4:$E$203,$A31),1),"-"))</f>
        <v/>
      </c>
      <c r="H31" s="39" t="str">
        <f aca="false">IF($B31="","",IFERROR(ROUND(AVERAGEIFS('Score Log'!$L$4:$L$203,'Score Log'!$C$4:$C$203,$B31,'Score Log'!$E$4:$E$203,$A31),1),"-"))</f>
        <v/>
      </c>
      <c r="I31" s="39" t="str">
        <f aca="false">IF($B31="","",IFERROR(ROUND(AVERAGEIFS('Score Log'!$N$4:$N$203,'Score Log'!$C$4:$C$203,$B31,'Score Log'!$E$4:$E$203,$A31),1),"-"))</f>
        <v/>
      </c>
      <c r="J31" s="40" t="str">
        <f aca="false">IF(OR($B31="",$D31=0),"",IFERROR(COUNTIFS('Score Log'!$C$4:$C$203,$B31,'Score Log'!$E$4:$E$203,$A31,'Score Log'!$U$4:$U$203,"Yes")/$D31,"-"))</f>
        <v/>
      </c>
      <c r="K31" s="41" t="str">
        <f aca="false">IF($B31="","",IF(ISNUMBER($F31),MAX(1,MIN(5,ROUND(6-$F31,0))),"-"))</f>
        <v/>
      </c>
      <c r="L31" s="41" t="str">
        <f aca="false">IF($B31="","",IF(ISNUMBER($G31),MAX(1,MIN(5,ROUND(6-$G31,0))),"-"))</f>
        <v/>
      </c>
      <c r="M31" s="41" t="str">
        <f aca="false">IF($B31="","",IF(AND(ISNUMBER($P31),ISNUMBER($O31)),MAX(1,MIN(5,ROUND(6-AVERAGE($P31,$O31),0))),IF(ISNUMBER($P31),MAX(1,MIN(5,ROUND(6-$P31,0))),"-")))</f>
        <v/>
      </c>
      <c r="O31" s="33" t="str">
        <f aca="false">IF($B31="","",IFERROR(AVERAGEIFS('Score Log'!$F$4:$F$203,'Score Log'!$C$4:$C$203,$B31),""))</f>
        <v/>
      </c>
      <c r="P31" s="33" t="str">
        <f aca="false">IF($B31="","",IFERROR(AVERAGEIFS('Score Log'!$L$4:$L$203,'Score Log'!$C$4:$C$203,$B31),""))</f>
        <v/>
      </c>
      <c r="Q31" s="33" t="str">
        <f aca="false">IFERROR(MATCH(ROW()-4,$AB$4:$AB$203,0)+3,"")</f>
        <v/>
      </c>
      <c r="AA31" s="33" t="n">
        <f aca="false">IF(OR('Score Log'!$C31="",'Score Log'!$E31=""),0,IF(COUNTIFS('Score Log'!$C$4:$C31,'Score Log'!$C31,'Score Log'!$E$4:$E31,'Score Log'!$E31)=1,1,0))</f>
        <v>0</v>
      </c>
      <c r="AB31" s="33" t="str">
        <f aca="false">IF($AA31=1,SUM($AA$4:$AA31),"")</f>
        <v/>
      </c>
    </row>
    <row r="32" customFormat="false" ht="15" hidden="false" customHeight="false" outlineLevel="0" collapsed="false">
      <c r="A32" s="36" t="str">
        <f aca="false">IF($Q32="","",INDEX('Score Log'!$E:$E,$Q32))</f>
        <v/>
      </c>
      <c r="B32" s="36" t="str">
        <f aca="false">IF($Q32="","",INDEX('Score Log'!$C:$C,$Q32))</f>
        <v/>
      </c>
      <c r="C32" s="37" t="str">
        <f aca="false">IF($Q32="","",IF(INDEX('Score Log'!$D:$D,$Q32)="","",INDEX('Score Log'!$D:$D,$Q32)))</f>
        <v/>
      </c>
      <c r="D32" s="38" t="str">
        <f aca="false">IF($B32="","",COUNTIFS('Score Log'!$C$4:$C$203,$B32,'Score Log'!$E$4:$E$203,$A32))</f>
        <v/>
      </c>
      <c r="E32" s="39" t="str">
        <f aca="false">IF($B32="","",IFERROR(ROUND(AVERAGEIFS('Score Log'!$F$4:$F$203,'Score Log'!$C$4:$C$203,$B32,'Score Log'!$E$4:$E$203,$A32),1),"-"))</f>
        <v/>
      </c>
      <c r="F32" s="39" t="str">
        <f aca="false">IF($B32="","",IFERROR(ROUND(AVERAGEIFS('Score Log'!$H$4:$H$203,'Score Log'!$C$4:$C$203,$B32,'Score Log'!$E$4:$E$203,$A32),1),"-"))</f>
        <v/>
      </c>
      <c r="G32" s="39" t="str">
        <f aca="false">IF($B32="","",IFERROR(ROUND(AVERAGEIFS('Score Log'!$J$4:$J$203,'Score Log'!$C$4:$C$203,$B32,'Score Log'!$E$4:$E$203,$A32),1),"-"))</f>
        <v/>
      </c>
      <c r="H32" s="39" t="str">
        <f aca="false">IF($B32="","",IFERROR(ROUND(AVERAGEIFS('Score Log'!$L$4:$L$203,'Score Log'!$C$4:$C$203,$B32,'Score Log'!$E$4:$E$203,$A32),1),"-"))</f>
        <v/>
      </c>
      <c r="I32" s="39" t="str">
        <f aca="false">IF($B32="","",IFERROR(ROUND(AVERAGEIFS('Score Log'!$N$4:$N$203,'Score Log'!$C$4:$C$203,$B32,'Score Log'!$E$4:$E$203,$A32),1),"-"))</f>
        <v/>
      </c>
      <c r="J32" s="40" t="str">
        <f aca="false">IF(OR($B32="",$D32=0),"",IFERROR(COUNTIFS('Score Log'!$C$4:$C$203,$B32,'Score Log'!$E$4:$E$203,$A32,'Score Log'!$U$4:$U$203,"Yes")/$D32,"-"))</f>
        <v/>
      </c>
      <c r="K32" s="41" t="str">
        <f aca="false">IF($B32="","",IF(ISNUMBER($F32),MAX(1,MIN(5,ROUND(6-$F32,0))),"-"))</f>
        <v/>
      </c>
      <c r="L32" s="41" t="str">
        <f aca="false">IF($B32="","",IF(ISNUMBER($G32),MAX(1,MIN(5,ROUND(6-$G32,0))),"-"))</f>
        <v/>
      </c>
      <c r="M32" s="41" t="str">
        <f aca="false">IF($B32="","",IF(AND(ISNUMBER($P32),ISNUMBER($O32)),MAX(1,MIN(5,ROUND(6-AVERAGE($P32,$O32),0))),IF(ISNUMBER($P32),MAX(1,MIN(5,ROUND(6-$P32,0))),"-")))</f>
        <v/>
      </c>
      <c r="O32" s="33" t="str">
        <f aca="false">IF($B32="","",IFERROR(AVERAGEIFS('Score Log'!$F$4:$F$203,'Score Log'!$C$4:$C$203,$B32),""))</f>
        <v/>
      </c>
      <c r="P32" s="33" t="str">
        <f aca="false">IF($B32="","",IFERROR(AVERAGEIFS('Score Log'!$L$4:$L$203,'Score Log'!$C$4:$C$203,$B32),""))</f>
        <v/>
      </c>
      <c r="Q32" s="33" t="str">
        <f aca="false">IFERROR(MATCH(ROW()-4,$AB$4:$AB$203,0)+3,"")</f>
        <v/>
      </c>
      <c r="AA32" s="33" t="n">
        <f aca="false">IF(OR('Score Log'!$C32="",'Score Log'!$E32=""),0,IF(COUNTIFS('Score Log'!$C$4:$C32,'Score Log'!$C32,'Score Log'!$E$4:$E32,'Score Log'!$E32)=1,1,0))</f>
        <v>0</v>
      </c>
      <c r="AB32" s="33" t="str">
        <f aca="false">IF($AA32=1,SUM($AA$4:$AA32),"")</f>
        <v/>
      </c>
    </row>
    <row r="33" customFormat="false" ht="15" hidden="false" customHeight="false" outlineLevel="0" collapsed="false">
      <c r="A33" s="36" t="str">
        <f aca="false">IF($Q33="","",INDEX('Score Log'!$E:$E,$Q33))</f>
        <v/>
      </c>
      <c r="B33" s="36" t="str">
        <f aca="false">IF($Q33="","",INDEX('Score Log'!$C:$C,$Q33))</f>
        <v/>
      </c>
      <c r="C33" s="37" t="str">
        <f aca="false">IF($Q33="","",IF(INDEX('Score Log'!$D:$D,$Q33)="","",INDEX('Score Log'!$D:$D,$Q33)))</f>
        <v/>
      </c>
      <c r="D33" s="38" t="str">
        <f aca="false">IF($B33="","",COUNTIFS('Score Log'!$C$4:$C$203,$B33,'Score Log'!$E$4:$E$203,$A33))</f>
        <v/>
      </c>
      <c r="E33" s="39" t="str">
        <f aca="false">IF($B33="","",IFERROR(ROUND(AVERAGEIFS('Score Log'!$F$4:$F$203,'Score Log'!$C$4:$C$203,$B33,'Score Log'!$E$4:$E$203,$A33),1),"-"))</f>
        <v/>
      </c>
      <c r="F33" s="39" t="str">
        <f aca="false">IF($B33="","",IFERROR(ROUND(AVERAGEIFS('Score Log'!$H$4:$H$203,'Score Log'!$C$4:$C$203,$B33,'Score Log'!$E$4:$E$203,$A33),1),"-"))</f>
        <v/>
      </c>
      <c r="G33" s="39" t="str">
        <f aca="false">IF($B33="","",IFERROR(ROUND(AVERAGEIFS('Score Log'!$J$4:$J$203,'Score Log'!$C$4:$C$203,$B33,'Score Log'!$E$4:$E$203,$A33),1),"-"))</f>
        <v/>
      </c>
      <c r="H33" s="39" t="str">
        <f aca="false">IF($B33="","",IFERROR(ROUND(AVERAGEIFS('Score Log'!$L$4:$L$203,'Score Log'!$C$4:$C$203,$B33,'Score Log'!$E$4:$E$203,$A33),1),"-"))</f>
        <v/>
      </c>
      <c r="I33" s="39" t="str">
        <f aca="false">IF($B33="","",IFERROR(ROUND(AVERAGEIFS('Score Log'!$N$4:$N$203,'Score Log'!$C$4:$C$203,$B33,'Score Log'!$E$4:$E$203,$A33),1),"-"))</f>
        <v/>
      </c>
      <c r="J33" s="40" t="str">
        <f aca="false">IF(OR($B33="",$D33=0),"",IFERROR(COUNTIFS('Score Log'!$C$4:$C$203,$B33,'Score Log'!$E$4:$E$203,$A33,'Score Log'!$U$4:$U$203,"Yes")/$D33,"-"))</f>
        <v/>
      </c>
      <c r="K33" s="41" t="str">
        <f aca="false">IF($B33="","",IF(ISNUMBER($F33),MAX(1,MIN(5,ROUND(6-$F33,0))),"-"))</f>
        <v/>
      </c>
      <c r="L33" s="41" t="str">
        <f aca="false">IF($B33="","",IF(ISNUMBER($G33),MAX(1,MIN(5,ROUND(6-$G33,0))),"-"))</f>
        <v/>
      </c>
      <c r="M33" s="41" t="str">
        <f aca="false">IF($B33="","",IF(AND(ISNUMBER($P33),ISNUMBER($O33)),MAX(1,MIN(5,ROUND(6-AVERAGE($P33,$O33),0))),IF(ISNUMBER($P33),MAX(1,MIN(5,ROUND(6-$P33,0))),"-")))</f>
        <v/>
      </c>
      <c r="O33" s="33" t="str">
        <f aca="false">IF($B33="","",IFERROR(AVERAGEIFS('Score Log'!$F$4:$F$203,'Score Log'!$C$4:$C$203,$B33),""))</f>
        <v/>
      </c>
      <c r="P33" s="33" t="str">
        <f aca="false">IF($B33="","",IFERROR(AVERAGEIFS('Score Log'!$L$4:$L$203,'Score Log'!$C$4:$C$203,$B33),""))</f>
        <v/>
      </c>
      <c r="Q33" s="33" t="str">
        <f aca="false">IFERROR(MATCH(ROW()-4,$AB$4:$AB$203,0)+3,"")</f>
        <v/>
      </c>
      <c r="AA33" s="33" t="n">
        <f aca="false">IF(OR('Score Log'!$C33="",'Score Log'!$E33=""),0,IF(COUNTIFS('Score Log'!$C$4:$C33,'Score Log'!$C33,'Score Log'!$E$4:$E33,'Score Log'!$E33)=1,1,0))</f>
        <v>0</v>
      </c>
      <c r="AB33" s="33" t="str">
        <f aca="false">IF($AA33=1,SUM($AA$4:$AA33),"")</f>
        <v/>
      </c>
    </row>
    <row r="34" customFormat="false" ht="15" hidden="false" customHeight="false" outlineLevel="0" collapsed="false">
      <c r="A34" s="36" t="str">
        <f aca="false">IF($Q34="","",INDEX('Score Log'!$E:$E,$Q34))</f>
        <v/>
      </c>
      <c r="B34" s="36" t="str">
        <f aca="false">IF($Q34="","",INDEX('Score Log'!$C:$C,$Q34))</f>
        <v/>
      </c>
      <c r="C34" s="37" t="str">
        <f aca="false">IF($Q34="","",IF(INDEX('Score Log'!$D:$D,$Q34)="","",INDEX('Score Log'!$D:$D,$Q34)))</f>
        <v/>
      </c>
      <c r="D34" s="38" t="str">
        <f aca="false">IF($B34="","",COUNTIFS('Score Log'!$C$4:$C$203,$B34,'Score Log'!$E$4:$E$203,$A34))</f>
        <v/>
      </c>
      <c r="E34" s="39" t="str">
        <f aca="false">IF($B34="","",IFERROR(ROUND(AVERAGEIFS('Score Log'!$F$4:$F$203,'Score Log'!$C$4:$C$203,$B34,'Score Log'!$E$4:$E$203,$A34),1),"-"))</f>
        <v/>
      </c>
      <c r="F34" s="39" t="str">
        <f aca="false">IF($B34="","",IFERROR(ROUND(AVERAGEIFS('Score Log'!$H$4:$H$203,'Score Log'!$C$4:$C$203,$B34,'Score Log'!$E$4:$E$203,$A34),1),"-"))</f>
        <v/>
      </c>
      <c r="G34" s="39" t="str">
        <f aca="false">IF($B34="","",IFERROR(ROUND(AVERAGEIFS('Score Log'!$J$4:$J$203,'Score Log'!$C$4:$C$203,$B34,'Score Log'!$E$4:$E$203,$A34),1),"-"))</f>
        <v/>
      </c>
      <c r="H34" s="39" t="str">
        <f aca="false">IF($B34="","",IFERROR(ROUND(AVERAGEIFS('Score Log'!$L$4:$L$203,'Score Log'!$C$4:$C$203,$B34,'Score Log'!$E$4:$E$203,$A34),1),"-"))</f>
        <v/>
      </c>
      <c r="I34" s="39" t="str">
        <f aca="false">IF($B34="","",IFERROR(ROUND(AVERAGEIFS('Score Log'!$N$4:$N$203,'Score Log'!$C$4:$C$203,$B34,'Score Log'!$E$4:$E$203,$A34),1),"-"))</f>
        <v/>
      </c>
      <c r="J34" s="40" t="str">
        <f aca="false">IF(OR($B34="",$D34=0),"",IFERROR(COUNTIFS('Score Log'!$C$4:$C$203,$B34,'Score Log'!$E$4:$E$203,$A34,'Score Log'!$U$4:$U$203,"Yes")/$D34,"-"))</f>
        <v/>
      </c>
      <c r="K34" s="41" t="str">
        <f aca="false">IF($B34="","",IF(ISNUMBER($F34),MAX(1,MIN(5,ROUND(6-$F34,0))),"-"))</f>
        <v/>
      </c>
      <c r="L34" s="41" t="str">
        <f aca="false">IF($B34="","",IF(ISNUMBER($G34),MAX(1,MIN(5,ROUND(6-$G34,0))),"-"))</f>
        <v/>
      </c>
      <c r="M34" s="41" t="str">
        <f aca="false">IF($B34="","",IF(AND(ISNUMBER($P34),ISNUMBER($O34)),MAX(1,MIN(5,ROUND(6-AVERAGE($P34,$O34),0))),IF(ISNUMBER($P34),MAX(1,MIN(5,ROUND(6-$P34,0))),"-")))</f>
        <v/>
      </c>
      <c r="O34" s="33" t="str">
        <f aca="false">IF($B34="","",IFERROR(AVERAGEIFS('Score Log'!$F$4:$F$203,'Score Log'!$C$4:$C$203,$B34),""))</f>
        <v/>
      </c>
      <c r="P34" s="33" t="str">
        <f aca="false">IF($B34="","",IFERROR(AVERAGEIFS('Score Log'!$L$4:$L$203,'Score Log'!$C$4:$C$203,$B34),""))</f>
        <v/>
      </c>
      <c r="Q34" s="33" t="str">
        <f aca="false">IFERROR(MATCH(ROW()-4,$AB$4:$AB$203,0)+3,"")</f>
        <v/>
      </c>
      <c r="AA34" s="33" t="n">
        <f aca="false">IF(OR('Score Log'!$C34="",'Score Log'!$E34=""),0,IF(COUNTIFS('Score Log'!$C$4:$C34,'Score Log'!$C34,'Score Log'!$E$4:$E34,'Score Log'!$E34)=1,1,0))</f>
        <v>0</v>
      </c>
      <c r="AB34" s="33" t="str">
        <f aca="false">IF($AA34=1,SUM($AA$4:$AA34),"")</f>
        <v/>
      </c>
    </row>
    <row r="35" customFormat="false" ht="15" hidden="false" customHeight="false" outlineLevel="0" collapsed="false">
      <c r="A35" s="36" t="str">
        <f aca="false">IF($Q35="","",INDEX('Score Log'!$E:$E,$Q35))</f>
        <v/>
      </c>
      <c r="B35" s="36" t="str">
        <f aca="false">IF($Q35="","",INDEX('Score Log'!$C:$C,$Q35))</f>
        <v/>
      </c>
      <c r="C35" s="37" t="str">
        <f aca="false">IF($Q35="","",IF(INDEX('Score Log'!$D:$D,$Q35)="","",INDEX('Score Log'!$D:$D,$Q35)))</f>
        <v/>
      </c>
      <c r="D35" s="38" t="str">
        <f aca="false">IF($B35="","",COUNTIFS('Score Log'!$C$4:$C$203,$B35,'Score Log'!$E$4:$E$203,$A35))</f>
        <v/>
      </c>
      <c r="E35" s="39" t="str">
        <f aca="false">IF($B35="","",IFERROR(ROUND(AVERAGEIFS('Score Log'!$F$4:$F$203,'Score Log'!$C$4:$C$203,$B35,'Score Log'!$E$4:$E$203,$A35),1),"-"))</f>
        <v/>
      </c>
      <c r="F35" s="39" t="str">
        <f aca="false">IF($B35="","",IFERROR(ROUND(AVERAGEIFS('Score Log'!$H$4:$H$203,'Score Log'!$C$4:$C$203,$B35,'Score Log'!$E$4:$E$203,$A35),1),"-"))</f>
        <v/>
      </c>
      <c r="G35" s="39" t="str">
        <f aca="false">IF($B35="","",IFERROR(ROUND(AVERAGEIFS('Score Log'!$J$4:$J$203,'Score Log'!$C$4:$C$203,$B35,'Score Log'!$E$4:$E$203,$A35),1),"-"))</f>
        <v/>
      </c>
      <c r="H35" s="39" t="str">
        <f aca="false">IF($B35="","",IFERROR(ROUND(AVERAGEIFS('Score Log'!$L$4:$L$203,'Score Log'!$C$4:$C$203,$B35,'Score Log'!$E$4:$E$203,$A35),1),"-"))</f>
        <v/>
      </c>
      <c r="I35" s="39" t="str">
        <f aca="false">IF($B35="","",IFERROR(ROUND(AVERAGEIFS('Score Log'!$N$4:$N$203,'Score Log'!$C$4:$C$203,$B35,'Score Log'!$E$4:$E$203,$A35),1),"-"))</f>
        <v/>
      </c>
      <c r="J35" s="40" t="str">
        <f aca="false">IF(OR($B35="",$D35=0),"",IFERROR(COUNTIFS('Score Log'!$C$4:$C$203,$B35,'Score Log'!$E$4:$E$203,$A35,'Score Log'!$U$4:$U$203,"Yes")/$D35,"-"))</f>
        <v/>
      </c>
      <c r="K35" s="41" t="str">
        <f aca="false">IF($B35="","",IF(ISNUMBER($F35),MAX(1,MIN(5,ROUND(6-$F35,0))),"-"))</f>
        <v/>
      </c>
      <c r="L35" s="41" t="str">
        <f aca="false">IF($B35="","",IF(ISNUMBER($G35),MAX(1,MIN(5,ROUND(6-$G35,0))),"-"))</f>
        <v/>
      </c>
      <c r="M35" s="41" t="str">
        <f aca="false">IF($B35="","",IF(AND(ISNUMBER($P35),ISNUMBER($O35)),MAX(1,MIN(5,ROUND(6-AVERAGE($P35,$O35),0))),IF(ISNUMBER($P35),MAX(1,MIN(5,ROUND(6-$P35,0))),"-")))</f>
        <v/>
      </c>
      <c r="O35" s="33" t="str">
        <f aca="false">IF($B35="","",IFERROR(AVERAGEIFS('Score Log'!$F$4:$F$203,'Score Log'!$C$4:$C$203,$B35),""))</f>
        <v/>
      </c>
      <c r="P35" s="33" t="str">
        <f aca="false">IF($B35="","",IFERROR(AVERAGEIFS('Score Log'!$L$4:$L$203,'Score Log'!$C$4:$C$203,$B35),""))</f>
        <v/>
      </c>
      <c r="Q35" s="33" t="str">
        <f aca="false">IFERROR(MATCH(ROW()-4,$AB$4:$AB$203,0)+3,"")</f>
        <v/>
      </c>
      <c r="AA35" s="33" t="n">
        <f aca="false">IF(OR('Score Log'!$C35="",'Score Log'!$E35=""),0,IF(COUNTIFS('Score Log'!$C$4:$C35,'Score Log'!$C35,'Score Log'!$E$4:$E35,'Score Log'!$E35)=1,1,0))</f>
        <v>0</v>
      </c>
      <c r="AB35" s="33" t="str">
        <f aca="false">IF($AA35=1,SUM($AA$4:$AA35),"")</f>
        <v/>
      </c>
    </row>
    <row r="36" customFormat="false" ht="15" hidden="false" customHeight="false" outlineLevel="0" collapsed="false">
      <c r="A36" s="36" t="str">
        <f aca="false">IF($Q36="","",INDEX('Score Log'!$E:$E,$Q36))</f>
        <v/>
      </c>
      <c r="B36" s="36" t="str">
        <f aca="false">IF($Q36="","",INDEX('Score Log'!$C:$C,$Q36))</f>
        <v/>
      </c>
      <c r="C36" s="37" t="str">
        <f aca="false">IF($Q36="","",IF(INDEX('Score Log'!$D:$D,$Q36)="","",INDEX('Score Log'!$D:$D,$Q36)))</f>
        <v/>
      </c>
      <c r="D36" s="38" t="str">
        <f aca="false">IF($B36="","",COUNTIFS('Score Log'!$C$4:$C$203,$B36,'Score Log'!$E$4:$E$203,$A36))</f>
        <v/>
      </c>
      <c r="E36" s="39" t="str">
        <f aca="false">IF($B36="","",IFERROR(ROUND(AVERAGEIFS('Score Log'!$F$4:$F$203,'Score Log'!$C$4:$C$203,$B36,'Score Log'!$E$4:$E$203,$A36),1),"-"))</f>
        <v/>
      </c>
      <c r="F36" s="39" t="str">
        <f aca="false">IF($B36="","",IFERROR(ROUND(AVERAGEIFS('Score Log'!$H$4:$H$203,'Score Log'!$C$4:$C$203,$B36,'Score Log'!$E$4:$E$203,$A36),1),"-"))</f>
        <v/>
      </c>
      <c r="G36" s="39" t="str">
        <f aca="false">IF($B36="","",IFERROR(ROUND(AVERAGEIFS('Score Log'!$J$4:$J$203,'Score Log'!$C$4:$C$203,$B36,'Score Log'!$E$4:$E$203,$A36),1),"-"))</f>
        <v/>
      </c>
      <c r="H36" s="39" t="str">
        <f aca="false">IF($B36="","",IFERROR(ROUND(AVERAGEIFS('Score Log'!$L$4:$L$203,'Score Log'!$C$4:$C$203,$B36,'Score Log'!$E$4:$E$203,$A36),1),"-"))</f>
        <v/>
      </c>
      <c r="I36" s="39" t="str">
        <f aca="false">IF($B36="","",IFERROR(ROUND(AVERAGEIFS('Score Log'!$N$4:$N$203,'Score Log'!$C$4:$C$203,$B36,'Score Log'!$E$4:$E$203,$A36),1),"-"))</f>
        <v/>
      </c>
      <c r="J36" s="40" t="str">
        <f aca="false">IF(OR($B36="",$D36=0),"",IFERROR(COUNTIFS('Score Log'!$C$4:$C$203,$B36,'Score Log'!$E$4:$E$203,$A36,'Score Log'!$U$4:$U$203,"Yes")/$D36,"-"))</f>
        <v/>
      </c>
      <c r="K36" s="41" t="str">
        <f aca="false">IF($B36="","",IF(ISNUMBER($F36),MAX(1,MIN(5,ROUND(6-$F36,0))),"-"))</f>
        <v/>
      </c>
      <c r="L36" s="41" t="str">
        <f aca="false">IF($B36="","",IF(ISNUMBER($G36),MAX(1,MIN(5,ROUND(6-$G36,0))),"-"))</f>
        <v/>
      </c>
      <c r="M36" s="41" t="str">
        <f aca="false">IF($B36="","",IF(AND(ISNUMBER($P36),ISNUMBER($O36)),MAX(1,MIN(5,ROUND(6-AVERAGE($P36,$O36),0))),IF(ISNUMBER($P36),MAX(1,MIN(5,ROUND(6-$P36,0))),"-")))</f>
        <v/>
      </c>
      <c r="O36" s="33" t="str">
        <f aca="false">IF($B36="","",IFERROR(AVERAGEIFS('Score Log'!$F$4:$F$203,'Score Log'!$C$4:$C$203,$B36),""))</f>
        <v/>
      </c>
      <c r="P36" s="33" t="str">
        <f aca="false">IF($B36="","",IFERROR(AVERAGEIFS('Score Log'!$L$4:$L$203,'Score Log'!$C$4:$C$203,$B36),""))</f>
        <v/>
      </c>
      <c r="Q36" s="33" t="str">
        <f aca="false">IFERROR(MATCH(ROW()-4,$AB$4:$AB$203,0)+3,"")</f>
        <v/>
      </c>
      <c r="AA36" s="33" t="n">
        <f aca="false">IF(OR('Score Log'!$C36="",'Score Log'!$E36=""),0,IF(COUNTIFS('Score Log'!$C$4:$C36,'Score Log'!$C36,'Score Log'!$E$4:$E36,'Score Log'!$E36)=1,1,0))</f>
        <v>0</v>
      </c>
      <c r="AB36" s="33" t="str">
        <f aca="false">IF($AA36=1,SUM($AA$4:$AA36),"")</f>
        <v/>
      </c>
    </row>
    <row r="37" customFormat="false" ht="15" hidden="false" customHeight="false" outlineLevel="0" collapsed="false">
      <c r="A37" s="36" t="str">
        <f aca="false">IF($Q37="","",INDEX('Score Log'!$E:$E,$Q37))</f>
        <v/>
      </c>
      <c r="B37" s="36" t="str">
        <f aca="false">IF($Q37="","",INDEX('Score Log'!$C:$C,$Q37))</f>
        <v/>
      </c>
      <c r="C37" s="37" t="str">
        <f aca="false">IF($Q37="","",IF(INDEX('Score Log'!$D:$D,$Q37)="","",INDEX('Score Log'!$D:$D,$Q37)))</f>
        <v/>
      </c>
      <c r="D37" s="38" t="str">
        <f aca="false">IF($B37="","",COUNTIFS('Score Log'!$C$4:$C$203,$B37,'Score Log'!$E$4:$E$203,$A37))</f>
        <v/>
      </c>
      <c r="E37" s="39" t="str">
        <f aca="false">IF($B37="","",IFERROR(ROUND(AVERAGEIFS('Score Log'!$F$4:$F$203,'Score Log'!$C$4:$C$203,$B37,'Score Log'!$E$4:$E$203,$A37),1),"-"))</f>
        <v/>
      </c>
      <c r="F37" s="39" t="str">
        <f aca="false">IF($B37="","",IFERROR(ROUND(AVERAGEIFS('Score Log'!$H$4:$H$203,'Score Log'!$C$4:$C$203,$B37,'Score Log'!$E$4:$E$203,$A37),1),"-"))</f>
        <v/>
      </c>
      <c r="G37" s="39" t="str">
        <f aca="false">IF($B37="","",IFERROR(ROUND(AVERAGEIFS('Score Log'!$J$4:$J$203,'Score Log'!$C$4:$C$203,$B37,'Score Log'!$E$4:$E$203,$A37),1),"-"))</f>
        <v/>
      </c>
      <c r="H37" s="39" t="str">
        <f aca="false">IF($B37="","",IFERROR(ROUND(AVERAGEIFS('Score Log'!$L$4:$L$203,'Score Log'!$C$4:$C$203,$B37,'Score Log'!$E$4:$E$203,$A37),1),"-"))</f>
        <v/>
      </c>
      <c r="I37" s="39" t="str">
        <f aca="false">IF($B37="","",IFERROR(ROUND(AVERAGEIFS('Score Log'!$N$4:$N$203,'Score Log'!$C$4:$C$203,$B37,'Score Log'!$E$4:$E$203,$A37),1),"-"))</f>
        <v/>
      </c>
      <c r="J37" s="40" t="str">
        <f aca="false">IF(OR($B37="",$D37=0),"",IFERROR(COUNTIFS('Score Log'!$C$4:$C$203,$B37,'Score Log'!$E$4:$E$203,$A37,'Score Log'!$U$4:$U$203,"Yes")/$D37,"-"))</f>
        <v/>
      </c>
      <c r="K37" s="41" t="str">
        <f aca="false">IF($B37="","",IF(ISNUMBER($F37),MAX(1,MIN(5,ROUND(6-$F37,0))),"-"))</f>
        <v/>
      </c>
      <c r="L37" s="41" t="str">
        <f aca="false">IF($B37="","",IF(ISNUMBER($G37),MAX(1,MIN(5,ROUND(6-$G37,0))),"-"))</f>
        <v/>
      </c>
      <c r="M37" s="41" t="str">
        <f aca="false">IF($B37="","",IF(AND(ISNUMBER($P37),ISNUMBER($O37)),MAX(1,MIN(5,ROUND(6-AVERAGE($P37,$O37),0))),IF(ISNUMBER($P37),MAX(1,MIN(5,ROUND(6-$P37,0))),"-")))</f>
        <v/>
      </c>
      <c r="O37" s="33" t="str">
        <f aca="false">IF($B37="","",IFERROR(AVERAGEIFS('Score Log'!$F$4:$F$203,'Score Log'!$C$4:$C$203,$B37),""))</f>
        <v/>
      </c>
      <c r="P37" s="33" t="str">
        <f aca="false">IF($B37="","",IFERROR(AVERAGEIFS('Score Log'!$L$4:$L$203,'Score Log'!$C$4:$C$203,$B37),""))</f>
        <v/>
      </c>
      <c r="Q37" s="33" t="str">
        <f aca="false">IFERROR(MATCH(ROW()-4,$AB$4:$AB$203,0)+3,"")</f>
        <v/>
      </c>
      <c r="AA37" s="33" t="n">
        <f aca="false">IF(OR('Score Log'!$C37="",'Score Log'!$E37=""),0,IF(COUNTIFS('Score Log'!$C$4:$C37,'Score Log'!$C37,'Score Log'!$E$4:$E37,'Score Log'!$E37)=1,1,0))</f>
        <v>0</v>
      </c>
      <c r="AB37" s="33" t="str">
        <f aca="false">IF($AA37=1,SUM($AA$4:$AA37),"")</f>
        <v/>
      </c>
    </row>
    <row r="38" customFormat="false" ht="15" hidden="false" customHeight="false" outlineLevel="0" collapsed="false">
      <c r="A38" s="36" t="str">
        <f aca="false">IF($Q38="","",INDEX('Score Log'!$E:$E,$Q38))</f>
        <v/>
      </c>
      <c r="B38" s="36" t="str">
        <f aca="false">IF($Q38="","",INDEX('Score Log'!$C:$C,$Q38))</f>
        <v/>
      </c>
      <c r="C38" s="37" t="str">
        <f aca="false">IF($Q38="","",IF(INDEX('Score Log'!$D:$D,$Q38)="","",INDEX('Score Log'!$D:$D,$Q38)))</f>
        <v/>
      </c>
      <c r="D38" s="38" t="str">
        <f aca="false">IF($B38="","",COUNTIFS('Score Log'!$C$4:$C$203,$B38,'Score Log'!$E$4:$E$203,$A38))</f>
        <v/>
      </c>
      <c r="E38" s="39" t="str">
        <f aca="false">IF($B38="","",IFERROR(ROUND(AVERAGEIFS('Score Log'!$F$4:$F$203,'Score Log'!$C$4:$C$203,$B38,'Score Log'!$E$4:$E$203,$A38),1),"-"))</f>
        <v/>
      </c>
      <c r="F38" s="39" t="str">
        <f aca="false">IF($B38="","",IFERROR(ROUND(AVERAGEIFS('Score Log'!$H$4:$H$203,'Score Log'!$C$4:$C$203,$B38,'Score Log'!$E$4:$E$203,$A38),1),"-"))</f>
        <v/>
      </c>
      <c r="G38" s="39" t="str">
        <f aca="false">IF($B38="","",IFERROR(ROUND(AVERAGEIFS('Score Log'!$J$4:$J$203,'Score Log'!$C$4:$C$203,$B38,'Score Log'!$E$4:$E$203,$A38),1),"-"))</f>
        <v/>
      </c>
      <c r="H38" s="39" t="str">
        <f aca="false">IF($B38="","",IFERROR(ROUND(AVERAGEIFS('Score Log'!$L$4:$L$203,'Score Log'!$C$4:$C$203,$B38,'Score Log'!$E$4:$E$203,$A38),1),"-"))</f>
        <v/>
      </c>
      <c r="I38" s="39" t="str">
        <f aca="false">IF($B38="","",IFERROR(ROUND(AVERAGEIFS('Score Log'!$N$4:$N$203,'Score Log'!$C$4:$C$203,$B38,'Score Log'!$E$4:$E$203,$A38),1),"-"))</f>
        <v/>
      </c>
      <c r="J38" s="40" t="str">
        <f aca="false">IF(OR($B38="",$D38=0),"",IFERROR(COUNTIFS('Score Log'!$C$4:$C$203,$B38,'Score Log'!$E$4:$E$203,$A38,'Score Log'!$U$4:$U$203,"Yes")/$D38,"-"))</f>
        <v/>
      </c>
      <c r="K38" s="41" t="str">
        <f aca="false">IF($B38="","",IF(ISNUMBER($F38),MAX(1,MIN(5,ROUND(6-$F38,0))),"-"))</f>
        <v/>
      </c>
      <c r="L38" s="41" t="str">
        <f aca="false">IF($B38="","",IF(ISNUMBER($G38),MAX(1,MIN(5,ROUND(6-$G38,0))),"-"))</f>
        <v/>
      </c>
      <c r="M38" s="41" t="str">
        <f aca="false">IF($B38="","",IF(AND(ISNUMBER($P38),ISNUMBER($O38)),MAX(1,MIN(5,ROUND(6-AVERAGE($P38,$O38),0))),IF(ISNUMBER($P38),MAX(1,MIN(5,ROUND(6-$P38,0))),"-")))</f>
        <v/>
      </c>
      <c r="O38" s="33" t="str">
        <f aca="false">IF($B38="","",IFERROR(AVERAGEIFS('Score Log'!$F$4:$F$203,'Score Log'!$C$4:$C$203,$B38),""))</f>
        <v/>
      </c>
      <c r="P38" s="33" t="str">
        <f aca="false">IF($B38="","",IFERROR(AVERAGEIFS('Score Log'!$L$4:$L$203,'Score Log'!$C$4:$C$203,$B38),""))</f>
        <v/>
      </c>
      <c r="Q38" s="33" t="str">
        <f aca="false">IFERROR(MATCH(ROW()-4,$AB$4:$AB$203,0)+3,"")</f>
        <v/>
      </c>
      <c r="AA38" s="33" t="n">
        <f aca="false">IF(OR('Score Log'!$C38="",'Score Log'!$E38=""),0,IF(COUNTIFS('Score Log'!$C$4:$C38,'Score Log'!$C38,'Score Log'!$E$4:$E38,'Score Log'!$E38)=1,1,0))</f>
        <v>0</v>
      </c>
      <c r="AB38" s="33" t="str">
        <f aca="false">IF($AA38=1,SUM($AA$4:$AA38),"")</f>
        <v/>
      </c>
    </row>
    <row r="39" customFormat="false" ht="15" hidden="false" customHeight="false" outlineLevel="0" collapsed="false">
      <c r="A39" s="36" t="str">
        <f aca="false">IF($Q39="","",INDEX('Score Log'!$E:$E,$Q39))</f>
        <v/>
      </c>
      <c r="B39" s="36" t="str">
        <f aca="false">IF($Q39="","",INDEX('Score Log'!$C:$C,$Q39))</f>
        <v/>
      </c>
      <c r="C39" s="37" t="str">
        <f aca="false">IF($Q39="","",IF(INDEX('Score Log'!$D:$D,$Q39)="","",INDEX('Score Log'!$D:$D,$Q39)))</f>
        <v/>
      </c>
      <c r="D39" s="38" t="str">
        <f aca="false">IF($B39="","",COUNTIFS('Score Log'!$C$4:$C$203,$B39,'Score Log'!$E$4:$E$203,$A39))</f>
        <v/>
      </c>
      <c r="E39" s="39" t="str">
        <f aca="false">IF($B39="","",IFERROR(ROUND(AVERAGEIFS('Score Log'!$F$4:$F$203,'Score Log'!$C$4:$C$203,$B39,'Score Log'!$E$4:$E$203,$A39),1),"-"))</f>
        <v/>
      </c>
      <c r="F39" s="39" t="str">
        <f aca="false">IF($B39="","",IFERROR(ROUND(AVERAGEIFS('Score Log'!$H$4:$H$203,'Score Log'!$C$4:$C$203,$B39,'Score Log'!$E$4:$E$203,$A39),1),"-"))</f>
        <v/>
      </c>
      <c r="G39" s="39" t="str">
        <f aca="false">IF($B39="","",IFERROR(ROUND(AVERAGEIFS('Score Log'!$J$4:$J$203,'Score Log'!$C$4:$C$203,$B39,'Score Log'!$E$4:$E$203,$A39),1),"-"))</f>
        <v/>
      </c>
      <c r="H39" s="39" t="str">
        <f aca="false">IF($B39="","",IFERROR(ROUND(AVERAGEIFS('Score Log'!$L$4:$L$203,'Score Log'!$C$4:$C$203,$B39,'Score Log'!$E$4:$E$203,$A39),1),"-"))</f>
        <v/>
      </c>
      <c r="I39" s="39" t="str">
        <f aca="false">IF($B39="","",IFERROR(ROUND(AVERAGEIFS('Score Log'!$N$4:$N$203,'Score Log'!$C$4:$C$203,$B39,'Score Log'!$E$4:$E$203,$A39),1),"-"))</f>
        <v/>
      </c>
      <c r="J39" s="40" t="str">
        <f aca="false">IF(OR($B39="",$D39=0),"",IFERROR(COUNTIFS('Score Log'!$C$4:$C$203,$B39,'Score Log'!$E$4:$E$203,$A39,'Score Log'!$U$4:$U$203,"Yes")/$D39,"-"))</f>
        <v/>
      </c>
      <c r="K39" s="41" t="str">
        <f aca="false">IF($B39="","",IF(ISNUMBER($F39),MAX(1,MIN(5,ROUND(6-$F39,0))),"-"))</f>
        <v/>
      </c>
      <c r="L39" s="41" t="str">
        <f aca="false">IF($B39="","",IF(ISNUMBER($G39),MAX(1,MIN(5,ROUND(6-$G39,0))),"-"))</f>
        <v/>
      </c>
      <c r="M39" s="41" t="str">
        <f aca="false">IF($B39="","",IF(AND(ISNUMBER($P39),ISNUMBER($O39)),MAX(1,MIN(5,ROUND(6-AVERAGE($P39,$O39),0))),IF(ISNUMBER($P39),MAX(1,MIN(5,ROUND(6-$P39,0))),"-")))</f>
        <v/>
      </c>
      <c r="O39" s="33" t="str">
        <f aca="false">IF($B39="","",IFERROR(AVERAGEIFS('Score Log'!$F$4:$F$203,'Score Log'!$C$4:$C$203,$B39),""))</f>
        <v/>
      </c>
      <c r="P39" s="33" t="str">
        <f aca="false">IF($B39="","",IFERROR(AVERAGEIFS('Score Log'!$L$4:$L$203,'Score Log'!$C$4:$C$203,$B39),""))</f>
        <v/>
      </c>
      <c r="Q39" s="33" t="str">
        <f aca="false">IFERROR(MATCH(ROW()-4,$AB$4:$AB$203,0)+3,"")</f>
        <v/>
      </c>
      <c r="AA39" s="33" t="n">
        <f aca="false">IF(OR('Score Log'!$C39="",'Score Log'!$E39=""),0,IF(COUNTIFS('Score Log'!$C$4:$C39,'Score Log'!$C39,'Score Log'!$E$4:$E39,'Score Log'!$E39)=1,1,0))</f>
        <v>0</v>
      </c>
      <c r="AB39" s="33" t="str">
        <f aca="false">IF($AA39=1,SUM($AA$4:$AA39),"")</f>
        <v/>
      </c>
    </row>
    <row r="40" customFormat="false" ht="15" hidden="false" customHeight="false" outlineLevel="0" collapsed="false">
      <c r="A40" s="36" t="str">
        <f aca="false">IF($Q40="","",INDEX('Score Log'!$E:$E,$Q40))</f>
        <v/>
      </c>
      <c r="B40" s="36" t="str">
        <f aca="false">IF($Q40="","",INDEX('Score Log'!$C:$C,$Q40))</f>
        <v/>
      </c>
      <c r="C40" s="37" t="str">
        <f aca="false">IF($Q40="","",IF(INDEX('Score Log'!$D:$D,$Q40)="","",INDEX('Score Log'!$D:$D,$Q40)))</f>
        <v/>
      </c>
      <c r="D40" s="38" t="str">
        <f aca="false">IF($B40="","",COUNTIFS('Score Log'!$C$4:$C$203,$B40,'Score Log'!$E$4:$E$203,$A40))</f>
        <v/>
      </c>
      <c r="E40" s="39" t="str">
        <f aca="false">IF($B40="","",IFERROR(ROUND(AVERAGEIFS('Score Log'!$F$4:$F$203,'Score Log'!$C$4:$C$203,$B40,'Score Log'!$E$4:$E$203,$A40),1),"-"))</f>
        <v/>
      </c>
      <c r="F40" s="39" t="str">
        <f aca="false">IF($B40="","",IFERROR(ROUND(AVERAGEIFS('Score Log'!$H$4:$H$203,'Score Log'!$C$4:$C$203,$B40,'Score Log'!$E$4:$E$203,$A40),1),"-"))</f>
        <v/>
      </c>
      <c r="G40" s="39" t="str">
        <f aca="false">IF($B40="","",IFERROR(ROUND(AVERAGEIFS('Score Log'!$J$4:$J$203,'Score Log'!$C$4:$C$203,$B40,'Score Log'!$E$4:$E$203,$A40),1),"-"))</f>
        <v/>
      </c>
      <c r="H40" s="39" t="str">
        <f aca="false">IF($B40="","",IFERROR(ROUND(AVERAGEIFS('Score Log'!$L$4:$L$203,'Score Log'!$C$4:$C$203,$B40,'Score Log'!$E$4:$E$203,$A40),1),"-"))</f>
        <v/>
      </c>
      <c r="I40" s="39" t="str">
        <f aca="false">IF($B40="","",IFERROR(ROUND(AVERAGEIFS('Score Log'!$N$4:$N$203,'Score Log'!$C$4:$C$203,$B40,'Score Log'!$E$4:$E$203,$A40),1),"-"))</f>
        <v/>
      </c>
      <c r="J40" s="40" t="str">
        <f aca="false">IF(OR($B40="",$D40=0),"",IFERROR(COUNTIFS('Score Log'!$C$4:$C$203,$B40,'Score Log'!$E$4:$E$203,$A40,'Score Log'!$U$4:$U$203,"Yes")/$D40,"-"))</f>
        <v/>
      </c>
      <c r="K40" s="41" t="str">
        <f aca="false">IF($B40="","",IF(ISNUMBER($F40),MAX(1,MIN(5,ROUND(6-$F40,0))),"-"))</f>
        <v/>
      </c>
      <c r="L40" s="41" t="str">
        <f aca="false">IF($B40="","",IF(ISNUMBER($G40),MAX(1,MIN(5,ROUND(6-$G40,0))),"-"))</f>
        <v/>
      </c>
      <c r="M40" s="41" t="str">
        <f aca="false">IF($B40="","",IF(AND(ISNUMBER($P40),ISNUMBER($O40)),MAX(1,MIN(5,ROUND(6-AVERAGE($P40,$O40),0))),IF(ISNUMBER($P40),MAX(1,MIN(5,ROUND(6-$P40,0))),"-")))</f>
        <v/>
      </c>
      <c r="O40" s="33" t="str">
        <f aca="false">IF($B40="","",IFERROR(AVERAGEIFS('Score Log'!$F$4:$F$203,'Score Log'!$C$4:$C$203,$B40),""))</f>
        <v/>
      </c>
      <c r="P40" s="33" t="str">
        <f aca="false">IF($B40="","",IFERROR(AVERAGEIFS('Score Log'!$L$4:$L$203,'Score Log'!$C$4:$C$203,$B40),""))</f>
        <v/>
      </c>
      <c r="Q40" s="33" t="str">
        <f aca="false">IFERROR(MATCH(ROW()-4,$AB$4:$AB$203,0)+3,"")</f>
        <v/>
      </c>
      <c r="AA40" s="33" t="n">
        <f aca="false">IF(OR('Score Log'!$C40="",'Score Log'!$E40=""),0,IF(COUNTIFS('Score Log'!$C$4:$C40,'Score Log'!$C40,'Score Log'!$E$4:$E40,'Score Log'!$E40)=1,1,0))</f>
        <v>0</v>
      </c>
      <c r="AB40" s="33" t="str">
        <f aca="false">IF($AA40=1,SUM($AA$4:$AA40),"")</f>
        <v/>
      </c>
    </row>
    <row r="41" customFormat="false" ht="15" hidden="false" customHeight="false" outlineLevel="0" collapsed="false">
      <c r="A41" s="36" t="str">
        <f aca="false">IF($Q41="","",INDEX('Score Log'!$E:$E,$Q41))</f>
        <v/>
      </c>
      <c r="B41" s="36" t="str">
        <f aca="false">IF($Q41="","",INDEX('Score Log'!$C:$C,$Q41))</f>
        <v/>
      </c>
      <c r="C41" s="37" t="str">
        <f aca="false">IF($Q41="","",IF(INDEX('Score Log'!$D:$D,$Q41)="","",INDEX('Score Log'!$D:$D,$Q41)))</f>
        <v/>
      </c>
      <c r="D41" s="38" t="str">
        <f aca="false">IF($B41="","",COUNTIFS('Score Log'!$C$4:$C$203,$B41,'Score Log'!$E$4:$E$203,$A41))</f>
        <v/>
      </c>
      <c r="E41" s="39" t="str">
        <f aca="false">IF($B41="","",IFERROR(ROUND(AVERAGEIFS('Score Log'!$F$4:$F$203,'Score Log'!$C$4:$C$203,$B41,'Score Log'!$E$4:$E$203,$A41),1),"-"))</f>
        <v/>
      </c>
      <c r="F41" s="39" t="str">
        <f aca="false">IF($B41="","",IFERROR(ROUND(AVERAGEIFS('Score Log'!$H$4:$H$203,'Score Log'!$C$4:$C$203,$B41,'Score Log'!$E$4:$E$203,$A41),1),"-"))</f>
        <v/>
      </c>
      <c r="G41" s="39" t="str">
        <f aca="false">IF($B41="","",IFERROR(ROUND(AVERAGEIFS('Score Log'!$J$4:$J$203,'Score Log'!$C$4:$C$203,$B41,'Score Log'!$E$4:$E$203,$A41),1),"-"))</f>
        <v/>
      </c>
      <c r="H41" s="39" t="str">
        <f aca="false">IF($B41="","",IFERROR(ROUND(AVERAGEIFS('Score Log'!$L$4:$L$203,'Score Log'!$C$4:$C$203,$B41,'Score Log'!$E$4:$E$203,$A41),1),"-"))</f>
        <v/>
      </c>
      <c r="I41" s="39" t="str">
        <f aca="false">IF($B41="","",IFERROR(ROUND(AVERAGEIFS('Score Log'!$N$4:$N$203,'Score Log'!$C$4:$C$203,$B41,'Score Log'!$E$4:$E$203,$A41),1),"-"))</f>
        <v/>
      </c>
      <c r="J41" s="40" t="str">
        <f aca="false">IF(OR($B41="",$D41=0),"",IFERROR(COUNTIFS('Score Log'!$C$4:$C$203,$B41,'Score Log'!$E$4:$E$203,$A41,'Score Log'!$U$4:$U$203,"Yes")/$D41,"-"))</f>
        <v/>
      </c>
      <c r="K41" s="41" t="str">
        <f aca="false">IF($B41="","",IF(ISNUMBER($F41),MAX(1,MIN(5,ROUND(6-$F41,0))),"-"))</f>
        <v/>
      </c>
      <c r="L41" s="41" t="str">
        <f aca="false">IF($B41="","",IF(ISNUMBER($G41),MAX(1,MIN(5,ROUND(6-$G41,0))),"-"))</f>
        <v/>
      </c>
      <c r="M41" s="41" t="str">
        <f aca="false">IF($B41="","",IF(AND(ISNUMBER($P41),ISNUMBER($O41)),MAX(1,MIN(5,ROUND(6-AVERAGE($P41,$O41),0))),IF(ISNUMBER($P41),MAX(1,MIN(5,ROUND(6-$P41,0))),"-")))</f>
        <v/>
      </c>
      <c r="O41" s="33" t="str">
        <f aca="false">IF($B41="","",IFERROR(AVERAGEIFS('Score Log'!$F$4:$F$203,'Score Log'!$C$4:$C$203,$B41),""))</f>
        <v/>
      </c>
      <c r="P41" s="33" t="str">
        <f aca="false">IF($B41="","",IFERROR(AVERAGEIFS('Score Log'!$L$4:$L$203,'Score Log'!$C$4:$C$203,$B41),""))</f>
        <v/>
      </c>
      <c r="Q41" s="33" t="str">
        <f aca="false">IFERROR(MATCH(ROW()-4,$AB$4:$AB$203,0)+3,"")</f>
        <v/>
      </c>
      <c r="AA41" s="33" t="n">
        <f aca="false">IF(OR('Score Log'!$C41="",'Score Log'!$E41=""),0,IF(COUNTIFS('Score Log'!$C$4:$C41,'Score Log'!$C41,'Score Log'!$E$4:$E41,'Score Log'!$E41)=1,1,0))</f>
        <v>0</v>
      </c>
      <c r="AB41" s="33" t="str">
        <f aca="false">IF($AA41=1,SUM($AA$4:$AA41),"")</f>
        <v/>
      </c>
    </row>
    <row r="42" customFormat="false" ht="15" hidden="false" customHeight="false" outlineLevel="0" collapsed="false">
      <c r="A42" s="36" t="str">
        <f aca="false">IF($Q42="","",INDEX('Score Log'!$E:$E,$Q42))</f>
        <v/>
      </c>
      <c r="B42" s="36" t="str">
        <f aca="false">IF($Q42="","",INDEX('Score Log'!$C:$C,$Q42))</f>
        <v/>
      </c>
      <c r="C42" s="37" t="str">
        <f aca="false">IF($Q42="","",IF(INDEX('Score Log'!$D:$D,$Q42)="","",INDEX('Score Log'!$D:$D,$Q42)))</f>
        <v/>
      </c>
      <c r="D42" s="38" t="str">
        <f aca="false">IF($B42="","",COUNTIFS('Score Log'!$C$4:$C$203,$B42,'Score Log'!$E$4:$E$203,$A42))</f>
        <v/>
      </c>
      <c r="E42" s="39" t="str">
        <f aca="false">IF($B42="","",IFERROR(ROUND(AVERAGEIFS('Score Log'!$F$4:$F$203,'Score Log'!$C$4:$C$203,$B42,'Score Log'!$E$4:$E$203,$A42),1),"-"))</f>
        <v/>
      </c>
      <c r="F42" s="39" t="str">
        <f aca="false">IF($B42="","",IFERROR(ROUND(AVERAGEIFS('Score Log'!$H$4:$H$203,'Score Log'!$C$4:$C$203,$B42,'Score Log'!$E$4:$E$203,$A42),1),"-"))</f>
        <v/>
      </c>
      <c r="G42" s="39" t="str">
        <f aca="false">IF($B42="","",IFERROR(ROUND(AVERAGEIFS('Score Log'!$J$4:$J$203,'Score Log'!$C$4:$C$203,$B42,'Score Log'!$E$4:$E$203,$A42),1),"-"))</f>
        <v/>
      </c>
      <c r="H42" s="39" t="str">
        <f aca="false">IF($B42="","",IFERROR(ROUND(AVERAGEIFS('Score Log'!$L$4:$L$203,'Score Log'!$C$4:$C$203,$B42,'Score Log'!$E$4:$E$203,$A42),1),"-"))</f>
        <v/>
      </c>
      <c r="I42" s="39" t="str">
        <f aca="false">IF($B42="","",IFERROR(ROUND(AVERAGEIFS('Score Log'!$N$4:$N$203,'Score Log'!$C$4:$C$203,$B42,'Score Log'!$E$4:$E$203,$A42),1),"-"))</f>
        <v/>
      </c>
      <c r="J42" s="40" t="str">
        <f aca="false">IF(OR($B42="",$D42=0),"",IFERROR(COUNTIFS('Score Log'!$C$4:$C$203,$B42,'Score Log'!$E$4:$E$203,$A42,'Score Log'!$U$4:$U$203,"Yes")/$D42,"-"))</f>
        <v/>
      </c>
      <c r="K42" s="41" t="str">
        <f aca="false">IF($B42="","",IF(ISNUMBER($F42),MAX(1,MIN(5,ROUND(6-$F42,0))),"-"))</f>
        <v/>
      </c>
      <c r="L42" s="41" t="str">
        <f aca="false">IF($B42="","",IF(ISNUMBER($G42),MAX(1,MIN(5,ROUND(6-$G42,0))),"-"))</f>
        <v/>
      </c>
      <c r="M42" s="41" t="str">
        <f aca="false">IF($B42="","",IF(AND(ISNUMBER($P42),ISNUMBER($O42)),MAX(1,MIN(5,ROUND(6-AVERAGE($P42,$O42),0))),IF(ISNUMBER($P42),MAX(1,MIN(5,ROUND(6-$P42,0))),"-")))</f>
        <v/>
      </c>
      <c r="O42" s="33" t="str">
        <f aca="false">IF($B42="","",IFERROR(AVERAGEIFS('Score Log'!$F$4:$F$203,'Score Log'!$C$4:$C$203,$B42),""))</f>
        <v/>
      </c>
      <c r="P42" s="33" t="str">
        <f aca="false">IF($B42="","",IFERROR(AVERAGEIFS('Score Log'!$L$4:$L$203,'Score Log'!$C$4:$C$203,$B42),""))</f>
        <v/>
      </c>
      <c r="Q42" s="33" t="str">
        <f aca="false">IFERROR(MATCH(ROW()-4,$AB$4:$AB$203,0)+3,"")</f>
        <v/>
      </c>
      <c r="AA42" s="33" t="n">
        <f aca="false">IF(OR('Score Log'!$C42="",'Score Log'!$E42=""),0,IF(COUNTIFS('Score Log'!$C$4:$C42,'Score Log'!$C42,'Score Log'!$E$4:$E42,'Score Log'!$E42)=1,1,0))</f>
        <v>0</v>
      </c>
      <c r="AB42" s="33" t="str">
        <f aca="false">IF($AA42=1,SUM($AA$4:$AA42),"")</f>
        <v/>
      </c>
    </row>
    <row r="43" customFormat="false" ht="15" hidden="false" customHeight="false" outlineLevel="0" collapsed="false">
      <c r="A43" s="36" t="str">
        <f aca="false">IF($Q43="","",INDEX('Score Log'!$E:$E,$Q43))</f>
        <v/>
      </c>
      <c r="B43" s="36" t="str">
        <f aca="false">IF($Q43="","",INDEX('Score Log'!$C:$C,$Q43))</f>
        <v/>
      </c>
      <c r="C43" s="37" t="str">
        <f aca="false">IF($Q43="","",IF(INDEX('Score Log'!$D:$D,$Q43)="","",INDEX('Score Log'!$D:$D,$Q43)))</f>
        <v/>
      </c>
      <c r="D43" s="38" t="str">
        <f aca="false">IF($B43="","",COUNTIFS('Score Log'!$C$4:$C$203,$B43,'Score Log'!$E$4:$E$203,$A43))</f>
        <v/>
      </c>
      <c r="E43" s="39" t="str">
        <f aca="false">IF($B43="","",IFERROR(ROUND(AVERAGEIFS('Score Log'!$F$4:$F$203,'Score Log'!$C$4:$C$203,$B43,'Score Log'!$E$4:$E$203,$A43),1),"-"))</f>
        <v/>
      </c>
      <c r="F43" s="39" t="str">
        <f aca="false">IF($B43="","",IFERROR(ROUND(AVERAGEIFS('Score Log'!$H$4:$H$203,'Score Log'!$C$4:$C$203,$B43,'Score Log'!$E$4:$E$203,$A43),1),"-"))</f>
        <v/>
      </c>
      <c r="G43" s="39" t="str">
        <f aca="false">IF($B43="","",IFERROR(ROUND(AVERAGEIFS('Score Log'!$J$4:$J$203,'Score Log'!$C$4:$C$203,$B43,'Score Log'!$E$4:$E$203,$A43),1),"-"))</f>
        <v/>
      </c>
      <c r="H43" s="39" t="str">
        <f aca="false">IF($B43="","",IFERROR(ROUND(AVERAGEIFS('Score Log'!$L$4:$L$203,'Score Log'!$C$4:$C$203,$B43,'Score Log'!$E$4:$E$203,$A43),1),"-"))</f>
        <v/>
      </c>
      <c r="I43" s="39" t="str">
        <f aca="false">IF($B43="","",IFERROR(ROUND(AVERAGEIFS('Score Log'!$N$4:$N$203,'Score Log'!$C$4:$C$203,$B43,'Score Log'!$E$4:$E$203,$A43),1),"-"))</f>
        <v/>
      </c>
      <c r="J43" s="40" t="str">
        <f aca="false">IF(OR($B43="",$D43=0),"",IFERROR(COUNTIFS('Score Log'!$C$4:$C$203,$B43,'Score Log'!$E$4:$E$203,$A43,'Score Log'!$U$4:$U$203,"Yes")/$D43,"-"))</f>
        <v/>
      </c>
      <c r="K43" s="41" t="str">
        <f aca="false">IF($B43="","",IF(ISNUMBER($F43),MAX(1,MIN(5,ROUND(6-$F43,0))),"-"))</f>
        <v/>
      </c>
      <c r="L43" s="41" t="str">
        <f aca="false">IF($B43="","",IF(ISNUMBER($G43),MAX(1,MIN(5,ROUND(6-$G43,0))),"-"))</f>
        <v/>
      </c>
      <c r="M43" s="41" t="str">
        <f aca="false">IF($B43="","",IF(AND(ISNUMBER($P43),ISNUMBER($O43)),MAX(1,MIN(5,ROUND(6-AVERAGE($P43,$O43),0))),IF(ISNUMBER($P43),MAX(1,MIN(5,ROUND(6-$P43,0))),"-")))</f>
        <v/>
      </c>
      <c r="O43" s="33" t="str">
        <f aca="false">IF($B43="","",IFERROR(AVERAGEIFS('Score Log'!$F$4:$F$203,'Score Log'!$C$4:$C$203,$B43),""))</f>
        <v/>
      </c>
      <c r="P43" s="33" t="str">
        <f aca="false">IF($B43="","",IFERROR(AVERAGEIFS('Score Log'!$L$4:$L$203,'Score Log'!$C$4:$C$203,$B43),""))</f>
        <v/>
      </c>
      <c r="Q43" s="33" t="str">
        <f aca="false">IFERROR(MATCH(ROW()-4,$AB$4:$AB$203,0)+3,"")</f>
        <v/>
      </c>
      <c r="AA43" s="33" t="n">
        <f aca="false">IF(OR('Score Log'!$C43="",'Score Log'!$E43=""),0,IF(COUNTIFS('Score Log'!$C$4:$C43,'Score Log'!$C43,'Score Log'!$E$4:$E43,'Score Log'!$E43)=1,1,0))</f>
        <v>0</v>
      </c>
      <c r="AB43" s="33" t="str">
        <f aca="false">IF($AA43=1,SUM($AA$4:$AA43),"")</f>
        <v/>
      </c>
    </row>
    <row r="44" customFormat="false" ht="15" hidden="false" customHeight="false" outlineLevel="0" collapsed="false">
      <c r="A44" s="36" t="str">
        <f aca="false">IF($Q44="","",INDEX('Score Log'!$E:$E,$Q44))</f>
        <v/>
      </c>
      <c r="B44" s="36" t="str">
        <f aca="false">IF($Q44="","",INDEX('Score Log'!$C:$C,$Q44))</f>
        <v/>
      </c>
      <c r="C44" s="37" t="str">
        <f aca="false">IF($Q44="","",IF(INDEX('Score Log'!$D:$D,$Q44)="","",INDEX('Score Log'!$D:$D,$Q44)))</f>
        <v/>
      </c>
      <c r="D44" s="38" t="str">
        <f aca="false">IF($B44="","",COUNTIFS('Score Log'!$C$4:$C$203,$B44,'Score Log'!$E$4:$E$203,$A44))</f>
        <v/>
      </c>
      <c r="E44" s="39" t="str">
        <f aca="false">IF($B44="","",IFERROR(ROUND(AVERAGEIFS('Score Log'!$F$4:$F$203,'Score Log'!$C$4:$C$203,$B44,'Score Log'!$E$4:$E$203,$A44),1),"-"))</f>
        <v/>
      </c>
      <c r="F44" s="39" t="str">
        <f aca="false">IF($B44="","",IFERROR(ROUND(AVERAGEIFS('Score Log'!$H$4:$H$203,'Score Log'!$C$4:$C$203,$B44,'Score Log'!$E$4:$E$203,$A44),1),"-"))</f>
        <v/>
      </c>
      <c r="G44" s="39" t="str">
        <f aca="false">IF($B44="","",IFERROR(ROUND(AVERAGEIFS('Score Log'!$J$4:$J$203,'Score Log'!$C$4:$C$203,$B44,'Score Log'!$E$4:$E$203,$A44),1),"-"))</f>
        <v/>
      </c>
      <c r="H44" s="39" t="str">
        <f aca="false">IF($B44="","",IFERROR(ROUND(AVERAGEIFS('Score Log'!$L$4:$L$203,'Score Log'!$C$4:$C$203,$B44,'Score Log'!$E$4:$E$203,$A44),1),"-"))</f>
        <v/>
      </c>
      <c r="I44" s="39" t="str">
        <f aca="false">IF($B44="","",IFERROR(ROUND(AVERAGEIFS('Score Log'!$N$4:$N$203,'Score Log'!$C$4:$C$203,$B44,'Score Log'!$E$4:$E$203,$A44),1),"-"))</f>
        <v/>
      </c>
      <c r="J44" s="40" t="str">
        <f aca="false">IF(OR($B44="",$D44=0),"",IFERROR(COUNTIFS('Score Log'!$C$4:$C$203,$B44,'Score Log'!$E$4:$E$203,$A44,'Score Log'!$U$4:$U$203,"Yes")/$D44,"-"))</f>
        <v/>
      </c>
      <c r="K44" s="41" t="str">
        <f aca="false">IF($B44="","",IF(ISNUMBER($F44),MAX(1,MIN(5,ROUND(6-$F44,0))),"-"))</f>
        <v/>
      </c>
      <c r="L44" s="41" t="str">
        <f aca="false">IF($B44="","",IF(ISNUMBER($G44),MAX(1,MIN(5,ROUND(6-$G44,0))),"-"))</f>
        <v/>
      </c>
      <c r="M44" s="41" t="str">
        <f aca="false">IF($B44="","",IF(AND(ISNUMBER($P44),ISNUMBER($O44)),MAX(1,MIN(5,ROUND(6-AVERAGE($P44,$O44),0))),IF(ISNUMBER($P44),MAX(1,MIN(5,ROUND(6-$P44,0))),"-")))</f>
        <v/>
      </c>
      <c r="O44" s="33" t="str">
        <f aca="false">IF($B44="","",IFERROR(AVERAGEIFS('Score Log'!$F$4:$F$203,'Score Log'!$C$4:$C$203,$B44),""))</f>
        <v/>
      </c>
      <c r="P44" s="33" t="str">
        <f aca="false">IF($B44="","",IFERROR(AVERAGEIFS('Score Log'!$L$4:$L$203,'Score Log'!$C$4:$C$203,$B44),""))</f>
        <v/>
      </c>
      <c r="Q44" s="33" t="str">
        <f aca="false">IFERROR(MATCH(ROW()-4,$AB$4:$AB$203,0)+3,"")</f>
        <v/>
      </c>
      <c r="AA44" s="33" t="n">
        <f aca="false">IF(OR('Score Log'!$C44="",'Score Log'!$E44=""),0,IF(COUNTIFS('Score Log'!$C$4:$C44,'Score Log'!$C44,'Score Log'!$E$4:$E44,'Score Log'!$E44)=1,1,0))</f>
        <v>0</v>
      </c>
      <c r="AB44" s="33" t="str">
        <f aca="false">IF($AA44=1,SUM($AA$4:$AA44),"")</f>
        <v/>
      </c>
    </row>
    <row r="45" customFormat="false" ht="15" hidden="false" customHeight="false" outlineLevel="0" collapsed="false">
      <c r="A45" s="36" t="str">
        <f aca="false">IF($Q45="","",INDEX('Score Log'!$E:$E,$Q45))</f>
        <v/>
      </c>
      <c r="B45" s="36" t="str">
        <f aca="false">IF($Q45="","",INDEX('Score Log'!$C:$C,$Q45))</f>
        <v/>
      </c>
      <c r="C45" s="37" t="str">
        <f aca="false">IF($Q45="","",IF(INDEX('Score Log'!$D:$D,$Q45)="","",INDEX('Score Log'!$D:$D,$Q45)))</f>
        <v/>
      </c>
      <c r="D45" s="38" t="str">
        <f aca="false">IF($B45="","",COUNTIFS('Score Log'!$C$4:$C$203,$B45,'Score Log'!$E$4:$E$203,$A45))</f>
        <v/>
      </c>
      <c r="E45" s="39" t="str">
        <f aca="false">IF($B45="","",IFERROR(ROUND(AVERAGEIFS('Score Log'!$F$4:$F$203,'Score Log'!$C$4:$C$203,$B45,'Score Log'!$E$4:$E$203,$A45),1),"-"))</f>
        <v/>
      </c>
      <c r="F45" s="39" t="str">
        <f aca="false">IF($B45="","",IFERROR(ROUND(AVERAGEIFS('Score Log'!$H$4:$H$203,'Score Log'!$C$4:$C$203,$B45,'Score Log'!$E$4:$E$203,$A45),1),"-"))</f>
        <v/>
      </c>
      <c r="G45" s="39" t="str">
        <f aca="false">IF($B45="","",IFERROR(ROUND(AVERAGEIFS('Score Log'!$J$4:$J$203,'Score Log'!$C$4:$C$203,$B45,'Score Log'!$E$4:$E$203,$A45),1),"-"))</f>
        <v/>
      </c>
      <c r="H45" s="39" t="str">
        <f aca="false">IF($B45="","",IFERROR(ROUND(AVERAGEIFS('Score Log'!$L$4:$L$203,'Score Log'!$C$4:$C$203,$B45,'Score Log'!$E$4:$E$203,$A45),1),"-"))</f>
        <v/>
      </c>
      <c r="I45" s="39" t="str">
        <f aca="false">IF($B45="","",IFERROR(ROUND(AVERAGEIFS('Score Log'!$N$4:$N$203,'Score Log'!$C$4:$C$203,$B45,'Score Log'!$E$4:$E$203,$A45),1),"-"))</f>
        <v/>
      </c>
      <c r="J45" s="40" t="str">
        <f aca="false">IF(OR($B45="",$D45=0),"",IFERROR(COUNTIFS('Score Log'!$C$4:$C$203,$B45,'Score Log'!$E$4:$E$203,$A45,'Score Log'!$U$4:$U$203,"Yes")/$D45,"-"))</f>
        <v/>
      </c>
      <c r="K45" s="41" t="str">
        <f aca="false">IF($B45="","",IF(ISNUMBER($F45),MAX(1,MIN(5,ROUND(6-$F45,0))),"-"))</f>
        <v/>
      </c>
      <c r="L45" s="41" t="str">
        <f aca="false">IF($B45="","",IF(ISNUMBER($G45),MAX(1,MIN(5,ROUND(6-$G45,0))),"-"))</f>
        <v/>
      </c>
      <c r="M45" s="41" t="str">
        <f aca="false">IF($B45="","",IF(AND(ISNUMBER($P45),ISNUMBER($O45)),MAX(1,MIN(5,ROUND(6-AVERAGE($P45,$O45),0))),IF(ISNUMBER($P45),MAX(1,MIN(5,ROUND(6-$P45,0))),"-")))</f>
        <v/>
      </c>
      <c r="O45" s="33" t="str">
        <f aca="false">IF($B45="","",IFERROR(AVERAGEIFS('Score Log'!$F$4:$F$203,'Score Log'!$C$4:$C$203,$B45),""))</f>
        <v/>
      </c>
      <c r="P45" s="33" t="str">
        <f aca="false">IF($B45="","",IFERROR(AVERAGEIFS('Score Log'!$L$4:$L$203,'Score Log'!$C$4:$C$203,$B45),""))</f>
        <v/>
      </c>
      <c r="Q45" s="33" t="str">
        <f aca="false">IFERROR(MATCH(ROW()-4,$AB$4:$AB$203,0)+3,"")</f>
        <v/>
      </c>
      <c r="AA45" s="33" t="n">
        <f aca="false">IF(OR('Score Log'!$C45="",'Score Log'!$E45=""),0,IF(COUNTIFS('Score Log'!$C$4:$C45,'Score Log'!$C45,'Score Log'!$E$4:$E45,'Score Log'!$E45)=1,1,0))</f>
        <v>0</v>
      </c>
      <c r="AB45" s="33" t="str">
        <f aca="false">IF($AA45=1,SUM($AA$4:$AA45),"")</f>
        <v/>
      </c>
    </row>
    <row r="46" customFormat="false" ht="15" hidden="false" customHeight="false" outlineLevel="0" collapsed="false">
      <c r="A46" s="36" t="str">
        <f aca="false">IF($Q46="","",INDEX('Score Log'!$E:$E,$Q46))</f>
        <v/>
      </c>
      <c r="B46" s="36" t="str">
        <f aca="false">IF($Q46="","",INDEX('Score Log'!$C:$C,$Q46))</f>
        <v/>
      </c>
      <c r="C46" s="37" t="str">
        <f aca="false">IF($Q46="","",IF(INDEX('Score Log'!$D:$D,$Q46)="","",INDEX('Score Log'!$D:$D,$Q46)))</f>
        <v/>
      </c>
      <c r="D46" s="38" t="str">
        <f aca="false">IF($B46="","",COUNTIFS('Score Log'!$C$4:$C$203,$B46,'Score Log'!$E$4:$E$203,$A46))</f>
        <v/>
      </c>
      <c r="E46" s="39" t="str">
        <f aca="false">IF($B46="","",IFERROR(ROUND(AVERAGEIFS('Score Log'!$F$4:$F$203,'Score Log'!$C$4:$C$203,$B46,'Score Log'!$E$4:$E$203,$A46),1),"-"))</f>
        <v/>
      </c>
      <c r="F46" s="39" t="str">
        <f aca="false">IF($B46="","",IFERROR(ROUND(AVERAGEIFS('Score Log'!$H$4:$H$203,'Score Log'!$C$4:$C$203,$B46,'Score Log'!$E$4:$E$203,$A46),1),"-"))</f>
        <v/>
      </c>
      <c r="G46" s="39" t="str">
        <f aca="false">IF($B46="","",IFERROR(ROUND(AVERAGEIFS('Score Log'!$J$4:$J$203,'Score Log'!$C$4:$C$203,$B46,'Score Log'!$E$4:$E$203,$A46),1),"-"))</f>
        <v/>
      </c>
      <c r="H46" s="39" t="str">
        <f aca="false">IF($B46="","",IFERROR(ROUND(AVERAGEIFS('Score Log'!$L$4:$L$203,'Score Log'!$C$4:$C$203,$B46,'Score Log'!$E$4:$E$203,$A46),1),"-"))</f>
        <v/>
      </c>
      <c r="I46" s="39" t="str">
        <f aca="false">IF($B46="","",IFERROR(ROUND(AVERAGEIFS('Score Log'!$N$4:$N$203,'Score Log'!$C$4:$C$203,$B46,'Score Log'!$E$4:$E$203,$A46),1),"-"))</f>
        <v/>
      </c>
      <c r="J46" s="40" t="str">
        <f aca="false">IF(OR($B46="",$D46=0),"",IFERROR(COUNTIFS('Score Log'!$C$4:$C$203,$B46,'Score Log'!$E$4:$E$203,$A46,'Score Log'!$U$4:$U$203,"Yes")/$D46,"-"))</f>
        <v/>
      </c>
      <c r="K46" s="41" t="str">
        <f aca="false">IF($B46="","",IF(ISNUMBER($F46),MAX(1,MIN(5,ROUND(6-$F46,0))),"-"))</f>
        <v/>
      </c>
      <c r="L46" s="41" t="str">
        <f aca="false">IF($B46="","",IF(ISNUMBER($G46),MAX(1,MIN(5,ROUND(6-$G46,0))),"-"))</f>
        <v/>
      </c>
      <c r="M46" s="41" t="str">
        <f aca="false">IF($B46="","",IF(AND(ISNUMBER($P46),ISNUMBER($O46)),MAX(1,MIN(5,ROUND(6-AVERAGE($P46,$O46),0))),IF(ISNUMBER($P46),MAX(1,MIN(5,ROUND(6-$P46,0))),"-")))</f>
        <v/>
      </c>
      <c r="O46" s="33" t="str">
        <f aca="false">IF($B46="","",IFERROR(AVERAGEIFS('Score Log'!$F$4:$F$203,'Score Log'!$C$4:$C$203,$B46),""))</f>
        <v/>
      </c>
      <c r="P46" s="33" t="str">
        <f aca="false">IF($B46="","",IFERROR(AVERAGEIFS('Score Log'!$L$4:$L$203,'Score Log'!$C$4:$C$203,$B46),""))</f>
        <v/>
      </c>
      <c r="Q46" s="33" t="str">
        <f aca="false">IFERROR(MATCH(ROW()-4,$AB$4:$AB$203,0)+3,"")</f>
        <v/>
      </c>
      <c r="AA46" s="33" t="n">
        <f aca="false">IF(OR('Score Log'!$C46="",'Score Log'!$E46=""),0,IF(COUNTIFS('Score Log'!$C$4:$C46,'Score Log'!$C46,'Score Log'!$E$4:$E46,'Score Log'!$E46)=1,1,0))</f>
        <v>0</v>
      </c>
      <c r="AB46" s="33" t="str">
        <f aca="false">IF($AA46=1,SUM($AA$4:$AA46),"")</f>
        <v/>
      </c>
    </row>
    <row r="47" customFormat="false" ht="15" hidden="false" customHeight="false" outlineLevel="0" collapsed="false">
      <c r="A47" s="36" t="str">
        <f aca="false">IF($Q47="","",INDEX('Score Log'!$E:$E,$Q47))</f>
        <v/>
      </c>
      <c r="B47" s="36" t="str">
        <f aca="false">IF($Q47="","",INDEX('Score Log'!$C:$C,$Q47))</f>
        <v/>
      </c>
      <c r="C47" s="37" t="str">
        <f aca="false">IF($Q47="","",IF(INDEX('Score Log'!$D:$D,$Q47)="","",INDEX('Score Log'!$D:$D,$Q47)))</f>
        <v/>
      </c>
      <c r="D47" s="38" t="str">
        <f aca="false">IF($B47="","",COUNTIFS('Score Log'!$C$4:$C$203,$B47,'Score Log'!$E$4:$E$203,$A47))</f>
        <v/>
      </c>
      <c r="E47" s="39" t="str">
        <f aca="false">IF($B47="","",IFERROR(ROUND(AVERAGEIFS('Score Log'!$F$4:$F$203,'Score Log'!$C$4:$C$203,$B47,'Score Log'!$E$4:$E$203,$A47),1),"-"))</f>
        <v/>
      </c>
      <c r="F47" s="39" t="str">
        <f aca="false">IF($B47="","",IFERROR(ROUND(AVERAGEIFS('Score Log'!$H$4:$H$203,'Score Log'!$C$4:$C$203,$B47,'Score Log'!$E$4:$E$203,$A47),1),"-"))</f>
        <v/>
      </c>
      <c r="G47" s="39" t="str">
        <f aca="false">IF($B47="","",IFERROR(ROUND(AVERAGEIFS('Score Log'!$J$4:$J$203,'Score Log'!$C$4:$C$203,$B47,'Score Log'!$E$4:$E$203,$A47),1),"-"))</f>
        <v/>
      </c>
      <c r="H47" s="39" t="str">
        <f aca="false">IF($B47="","",IFERROR(ROUND(AVERAGEIFS('Score Log'!$L$4:$L$203,'Score Log'!$C$4:$C$203,$B47,'Score Log'!$E$4:$E$203,$A47),1),"-"))</f>
        <v/>
      </c>
      <c r="I47" s="39" t="str">
        <f aca="false">IF($B47="","",IFERROR(ROUND(AVERAGEIFS('Score Log'!$N$4:$N$203,'Score Log'!$C$4:$C$203,$B47,'Score Log'!$E$4:$E$203,$A47),1),"-"))</f>
        <v/>
      </c>
      <c r="J47" s="40" t="str">
        <f aca="false">IF(OR($B47="",$D47=0),"",IFERROR(COUNTIFS('Score Log'!$C$4:$C$203,$B47,'Score Log'!$E$4:$E$203,$A47,'Score Log'!$U$4:$U$203,"Yes")/$D47,"-"))</f>
        <v/>
      </c>
      <c r="K47" s="41" t="str">
        <f aca="false">IF($B47="","",IF(ISNUMBER($F47),MAX(1,MIN(5,ROUND(6-$F47,0))),"-"))</f>
        <v/>
      </c>
      <c r="L47" s="41" t="str">
        <f aca="false">IF($B47="","",IF(ISNUMBER($G47),MAX(1,MIN(5,ROUND(6-$G47,0))),"-"))</f>
        <v/>
      </c>
      <c r="M47" s="41" t="str">
        <f aca="false">IF($B47="","",IF(AND(ISNUMBER($P47),ISNUMBER($O47)),MAX(1,MIN(5,ROUND(6-AVERAGE($P47,$O47),0))),IF(ISNUMBER($P47),MAX(1,MIN(5,ROUND(6-$P47,0))),"-")))</f>
        <v/>
      </c>
      <c r="O47" s="33" t="str">
        <f aca="false">IF($B47="","",IFERROR(AVERAGEIFS('Score Log'!$F$4:$F$203,'Score Log'!$C$4:$C$203,$B47),""))</f>
        <v/>
      </c>
      <c r="P47" s="33" t="str">
        <f aca="false">IF($B47="","",IFERROR(AVERAGEIFS('Score Log'!$L$4:$L$203,'Score Log'!$C$4:$C$203,$B47),""))</f>
        <v/>
      </c>
      <c r="Q47" s="33" t="str">
        <f aca="false">IFERROR(MATCH(ROW()-4,$AB$4:$AB$203,0)+3,"")</f>
        <v/>
      </c>
      <c r="AA47" s="33" t="n">
        <f aca="false">IF(OR('Score Log'!$C47="",'Score Log'!$E47=""),0,IF(COUNTIFS('Score Log'!$C$4:$C47,'Score Log'!$C47,'Score Log'!$E$4:$E47,'Score Log'!$E47)=1,1,0))</f>
        <v>0</v>
      </c>
      <c r="AB47" s="33" t="str">
        <f aca="false">IF($AA47=1,SUM($AA$4:$AA47),"")</f>
        <v/>
      </c>
    </row>
    <row r="48" customFormat="false" ht="15" hidden="false" customHeight="false" outlineLevel="0" collapsed="false">
      <c r="A48" s="36" t="str">
        <f aca="false">IF($Q48="","",INDEX('Score Log'!$E:$E,$Q48))</f>
        <v/>
      </c>
      <c r="B48" s="36" t="str">
        <f aca="false">IF($Q48="","",INDEX('Score Log'!$C:$C,$Q48))</f>
        <v/>
      </c>
      <c r="C48" s="37" t="str">
        <f aca="false">IF($Q48="","",IF(INDEX('Score Log'!$D:$D,$Q48)="","",INDEX('Score Log'!$D:$D,$Q48)))</f>
        <v/>
      </c>
      <c r="D48" s="38" t="str">
        <f aca="false">IF($B48="","",COUNTIFS('Score Log'!$C$4:$C$203,$B48,'Score Log'!$E$4:$E$203,$A48))</f>
        <v/>
      </c>
      <c r="E48" s="39" t="str">
        <f aca="false">IF($B48="","",IFERROR(ROUND(AVERAGEIFS('Score Log'!$F$4:$F$203,'Score Log'!$C$4:$C$203,$B48,'Score Log'!$E$4:$E$203,$A48),1),"-"))</f>
        <v/>
      </c>
      <c r="F48" s="39" t="str">
        <f aca="false">IF($B48="","",IFERROR(ROUND(AVERAGEIFS('Score Log'!$H$4:$H$203,'Score Log'!$C$4:$C$203,$B48,'Score Log'!$E$4:$E$203,$A48),1),"-"))</f>
        <v/>
      </c>
      <c r="G48" s="39" t="str">
        <f aca="false">IF($B48="","",IFERROR(ROUND(AVERAGEIFS('Score Log'!$J$4:$J$203,'Score Log'!$C$4:$C$203,$B48,'Score Log'!$E$4:$E$203,$A48),1),"-"))</f>
        <v/>
      </c>
      <c r="H48" s="39" t="str">
        <f aca="false">IF($B48="","",IFERROR(ROUND(AVERAGEIFS('Score Log'!$L$4:$L$203,'Score Log'!$C$4:$C$203,$B48,'Score Log'!$E$4:$E$203,$A48),1),"-"))</f>
        <v/>
      </c>
      <c r="I48" s="39" t="str">
        <f aca="false">IF($B48="","",IFERROR(ROUND(AVERAGEIFS('Score Log'!$N$4:$N$203,'Score Log'!$C$4:$C$203,$B48,'Score Log'!$E$4:$E$203,$A48),1),"-"))</f>
        <v/>
      </c>
      <c r="J48" s="40" t="str">
        <f aca="false">IF(OR($B48="",$D48=0),"",IFERROR(COUNTIFS('Score Log'!$C$4:$C$203,$B48,'Score Log'!$E$4:$E$203,$A48,'Score Log'!$U$4:$U$203,"Yes")/$D48,"-"))</f>
        <v/>
      </c>
      <c r="K48" s="41" t="str">
        <f aca="false">IF($B48="","",IF(ISNUMBER($F48),MAX(1,MIN(5,ROUND(6-$F48,0))),"-"))</f>
        <v/>
      </c>
      <c r="L48" s="41" t="str">
        <f aca="false">IF($B48="","",IF(ISNUMBER($G48),MAX(1,MIN(5,ROUND(6-$G48,0))),"-"))</f>
        <v/>
      </c>
      <c r="M48" s="41" t="str">
        <f aca="false">IF($B48="","",IF(AND(ISNUMBER($P48),ISNUMBER($O48)),MAX(1,MIN(5,ROUND(6-AVERAGE($P48,$O48),0))),IF(ISNUMBER($P48),MAX(1,MIN(5,ROUND(6-$P48,0))),"-")))</f>
        <v/>
      </c>
      <c r="O48" s="33" t="str">
        <f aca="false">IF($B48="","",IFERROR(AVERAGEIFS('Score Log'!$F$4:$F$203,'Score Log'!$C$4:$C$203,$B48),""))</f>
        <v/>
      </c>
      <c r="P48" s="33" t="str">
        <f aca="false">IF($B48="","",IFERROR(AVERAGEIFS('Score Log'!$L$4:$L$203,'Score Log'!$C$4:$C$203,$B48),""))</f>
        <v/>
      </c>
      <c r="Q48" s="33" t="str">
        <f aca="false">IFERROR(MATCH(ROW()-4,$AB$4:$AB$203,0)+3,"")</f>
        <v/>
      </c>
      <c r="AA48" s="33" t="n">
        <f aca="false">IF(OR('Score Log'!$C48="",'Score Log'!$E48=""),0,IF(COUNTIFS('Score Log'!$C$4:$C48,'Score Log'!$C48,'Score Log'!$E$4:$E48,'Score Log'!$E48)=1,1,0))</f>
        <v>0</v>
      </c>
      <c r="AB48" s="33" t="str">
        <f aca="false">IF($AA48=1,SUM($AA$4:$AA48),"")</f>
        <v/>
      </c>
    </row>
    <row r="49" customFormat="false" ht="15" hidden="false" customHeight="false" outlineLevel="0" collapsed="false">
      <c r="A49" s="36" t="str">
        <f aca="false">IF($Q49="","",INDEX('Score Log'!$E:$E,$Q49))</f>
        <v/>
      </c>
      <c r="B49" s="36" t="str">
        <f aca="false">IF($Q49="","",INDEX('Score Log'!$C:$C,$Q49))</f>
        <v/>
      </c>
      <c r="C49" s="37" t="str">
        <f aca="false">IF($Q49="","",IF(INDEX('Score Log'!$D:$D,$Q49)="","",INDEX('Score Log'!$D:$D,$Q49)))</f>
        <v/>
      </c>
      <c r="D49" s="38" t="str">
        <f aca="false">IF($B49="","",COUNTIFS('Score Log'!$C$4:$C$203,$B49,'Score Log'!$E$4:$E$203,$A49))</f>
        <v/>
      </c>
      <c r="E49" s="39" t="str">
        <f aca="false">IF($B49="","",IFERROR(ROUND(AVERAGEIFS('Score Log'!$F$4:$F$203,'Score Log'!$C$4:$C$203,$B49,'Score Log'!$E$4:$E$203,$A49),1),"-"))</f>
        <v/>
      </c>
      <c r="F49" s="39" t="str">
        <f aca="false">IF($B49="","",IFERROR(ROUND(AVERAGEIFS('Score Log'!$H$4:$H$203,'Score Log'!$C$4:$C$203,$B49,'Score Log'!$E$4:$E$203,$A49),1),"-"))</f>
        <v/>
      </c>
      <c r="G49" s="39" t="str">
        <f aca="false">IF($B49="","",IFERROR(ROUND(AVERAGEIFS('Score Log'!$J$4:$J$203,'Score Log'!$C$4:$C$203,$B49,'Score Log'!$E$4:$E$203,$A49),1),"-"))</f>
        <v/>
      </c>
      <c r="H49" s="39" t="str">
        <f aca="false">IF($B49="","",IFERROR(ROUND(AVERAGEIFS('Score Log'!$L$4:$L$203,'Score Log'!$C$4:$C$203,$B49,'Score Log'!$E$4:$E$203,$A49),1),"-"))</f>
        <v/>
      </c>
      <c r="I49" s="39" t="str">
        <f aca="false">IF($B49="","",IFERROR(ROUND(AVERAGEIFS('Score Log'!$N$4:$N$203,'Score Log'!$C$4:$C$203,$B49,'Score Log'!$E$4:$E$203,$A49),1),"-"))</f>
        <v/>
      </c>
      <c r="J49" s="40" t="str">
        <f aca="false">IF(OR($B49="",$D49=0),"",IFERROR(COUNTIFS('Score Log'!$C$4:$C$203,$B49,'Score Log'!$E$4:$E$203,$A49,'Score Log'!$U$4:$U$203,"Yes")/$D49,"-"))</f>
        <v/>
      </c>
      <c r="K49" s="41" t="str">
        <f aca="false">IF($B49="","",IF(ISNUMBER($F49),MAX(1,MIN(5,ROUND(6-$F49,0))),"-"))</f>
        <v/>
      </c>
      <c r="L49" s="41" t="str">
        <f aca="false">IF($B49="","",IF(ISNUMBER($G49),MAX(1,MIN(5,ROUND(6-$G49,0))),"-"))</f>
        <v/>
      </c>
      <c r="M49" s="41" t="str">
        <f aca="false">IF($B49="","",IF(AND(ISNUMBER($P49),ISNUMBER($O49)),MAX(1,MIN(5,ROUND(6-AVERAGE($P49,$O49),0))),IF(ISNUMBER($P49),MAX(1,MIN(5,ROUND(6-$P49,0))),"-")))</f>
        <v/>
      </c>
      <c r="O49" s="33" t="str">
        <f aca="false">IF($B49="","",IFERROR(AVERAGEIFS('Score Log'!$F$4:$F$203,'Score Log'!$C$4:$C$203,$B49),""))</f>
        <v/>
      </c>
      <c r="P49" s="33" t="str">
        <f aca="false">IF($B49="","",IFERROR(AVERAGEIFS('Score Log'!$L$4:$L$203,'Score Log'!$C$4:$C$203,$B49),""))</f>
        <v/>
      </c>
      <c r="Q49" s="33" t="str">
        <f aca="false">IFERROR(MATCH(ROW()-4,$AB$4:$AB$203,0)+3,"")</f>
        <v/>
      </c>
      <c r="AA49" s="33" t="n">
        <f aca="false">IF(OR('Score Log'!$C49="",'Score Log'!$E49=""),0,IF(COUNTIFS('Score Log'!$C$4:$C49,'Score Log'!$C49,'Score Log'!$E$4:$E49,'Score Log'!$E49)=1,1,0))</f>
        <v>0</v>
      </c>
      <c r="AB49" s="33" t="str">
        <f aca="false">IF($AA49=1,SUM($AA$4:$AA49),"")</f>
        <v/>
      </c>
    </row>
    <row r="50" customFormat="false" ht="15" hidden="false" customHeight="false" outlineLevel="0" collapsed="false">
      <c r="A50" s="36" t="str">
        <f aca="false">IF($Q50="","",INDEX('Score Log'!$E:$E,$Q50))</f>
        <v/>
      </c>
      <c r="B50" s="36" t="str">
        <f aca="false">IF($Q50="","",INDEX('Score Log'!$C:$C,$Q50))</f>
        <v/>
      </c>
      <c r="C50" s="37" t="str">
        <f aca="false">IF($Q50="","",IF(INDEX('Score Log'!$D:$D,$Q50)="","",INDEX('Score Log'!$D:$D,$Q50)))</f>
        <v/>
      </c>
      <c r="D50" s="38" t="str">
        <f aca="false">IF($B50="","",COUNTIFS('Score Log'!$C$4:$C$203,$B50,'Score Log'!$E$4:$E$203,$A50))</f>
        <v/>
      </c>
      <c r="E50" s="39" t="str">
        <f aca="false">IF($B50="","",IFERROR(ROUND(AVERAGEIFS('Score Log'!$F$4:$F$203,'Score Log'!$C$4:$C$203,$B50,'Score Log'!$E$4:$E$203,$A50),1),"-"))</f>
        <v/>
      </c>
      <c r="F50" s="39" t="str">
        <f aca="false">IF($B50="","",IFERROR(ROUND(AVERAGEIFS('Score Log'!$H$4:$H$203,'Score Log'!$C$4:$C$203,$B50,'Score Log'!$E$4:$E$203,$A50),1),"-"))</f>
        <v/>
      </c>
      <c r="G50" s="39" t="str">
        <f aca="false">IF($B50="","",IFERROR(ROUND(AVERAGEIFS('Score Log'!$J$4:$J$203,'Score Log'!$C$4:$C$203,$B50,'Score Log'!$E$4:$E$203,$A50),1),"-"))</f>
        <v/>
      </c>
      <c r="H50" s="39" t="str">
        <f aca="false">IF($B50="","",IFERROR(ROUND(AVERAGEIFS('Score Log'!$L$4:$L$203,'Score Log'!$C$4:$C$203,$B50,'Score Log'!$E$4:$E$203,$A50),1),"-"))</f>
        <v/>
      </c>
      <c r="I50" s="39" t="str">
        <f aca="false">IF($B50="","",IFERROR(ROUND(AVERAGEIFS('Score Log'!$N$4:$N$203,'Score Log'!$C$4:$C$203,$B50,'Score Log'!$E$4:$E$203,$A50),1),"-"))</f>
        <v/>
      </c>
      <c r="J50" s="40" t="str">
        <f aca="false">IF(OR($B50="",$D50=0),"",IFERROR(COUNTIFS('Score Log'!$C$4:$C$203,$B50,'Score Log'!$E$4:$E$203,$A50,'Score Log'!$U$4:$U$203,"Yes")/$D50,"-"))</f>
        <v/>
      </c>
      <c r="K50" s="41" t="str">
        <f aca="false">IF($B50="","",IF(ISNUMBER($F50),MAX(1,MIN(5,ROUND(6-$F50,0))),"-"))</f>
        <v/>
      </c>
      <c r="L50" s="41" t="str">
        <f aca="false">IF($B50="","",IF(ISNUMBER($G50),MAX(1,MIN(5,ROUND(6-$G50,0))),"-"))</f>
        <v/>
      </c>
      <c r="M50" s="41" t="str">
        <f aca="false">IF($B50="","",IF(AND(ISNUMBER($P50),ISNUMBER($O50)),MAX(1,MIN(5,ROUND(6-AVERAGE($P50,$O50),0))),IF(ISNUMBER($P50),MAX(1,MIN(5,ROUND(6-$P50,0))),"-")))</f>
        <v/>
      </c>
      <c r="O50" s="33" t="str">
        <f aca="false">IF($B50="","",IFERROR(AVERAGEIFS('Score Log'!$F$4:$F$203,'Score Log'!$C$4:$C$203,$B50),""))</f>
        <v/>
      </c>
      <c r="P50" s="33" t="str">
        <f aca="false">IF($B50="","",IFERROR(AVERAGEIFS('Score Log'!$L$4:$L$203,'Score Log'!$C$4:$C$203,$B50),""))</f>
        <v/>
      </c>
      <c r="Q50" s="33" t="str">
        <f aca="false">IFERROR(MATCH(ROW()-4,$AB$4:$AB$203,0)+3,"")</f>
        <v/>
      </c>
      <c r="AA50" s="33" t="n">
        <f aca="false">IF(OR('Score Log'!$C50="",'Score Log'!$E50=""),0,IF(COUNTIFS('Score Log'!$C$4:$C50,'Score Log'!$C50,'Score Log'!$E$4:$E50,'Score Log'!$E50)=1,1,0))</f>
        <v>0</v>
      </c>
      <c r="AB50" s="33" t="str">
        <f aca="false">IF($AA50=1,SUM($AA$4:$AA50),"")</f>
        <v/>
      </c>
    </row>
    <row r="51" customFormat="false" ht="15" hidden="false" customHeight="false" outlineLevel="0" collapsed="false">
      <c r="A51" s="36" t="str">
        <f aca="false">IF($Q51="","",INDEX('Score Log'!$E:$E,$Q51))</f>
        <v/>
      </c>
      <c r="B51" s="36" t="str">
        <f aca="false">IF($Q51="","",INDEX('Score Log'!$C:$C,$Q51))</f>
        <v/>
      </c>
      <c r="C51" s="37" t="str">
        <f aca="false">IF($Q51="","",IF(INDEX('Score Log'!$D:$D,$Q51)="","",INDEX('Score Log'!$D:$D,$Q51)))</f>
        <v/>
      </c>
      <c r="D51" s="38" t="str">
        <f aca="false">IF($B51="","",COUNTIFS('Score Log'!$C$4:$C$203,$B51,'Score Log'!$E$4:$E$203,$A51))</f>
        <v/>
      </c>
      <c r="E51" s="39" t="str">
        <f aca="false">IF($B51="","",IFERROR(ROUND(AVERAGEIFS('Score Log'!$F$4:$F$203,'Score Log'!$C$4:$C$203,$B51,'Score Log'!$E$4:$E$203,$A51),1),"-"))</f>
        <v/>
      </c>
      <c r="F51" s="39" t="str">
        <f aca="false">IF($B51="","",IFERROR(ROUND(AVERAGEIFS('Score Log'!$H$4:$H$203,'Score Log'!$C$4:$C$203,$B51,'Score Log'!$E$4:$E$203,$A51),1),"-"))</f>
        <v/>
      </c>
      <c r="G51" s="39" t="str">
        <f aca="false">IF($B51="","",IFERROR(ROUND(AVERAGEIFS('Score Log'!$J$4:$J$203,'Score Log'!$C$4:$C$203,$B51,'Score Log'!$E$4:$E$203,$A51),1),"-"))</f>
        <v/>
      </c>
      <c r="H51" s="39" t="str">
        <f aca="false">IF($B51="","",IFERROR(ROUND(AVERAGEIFS('Score Log'!$L$4:$L$203,'Score Log'!$C$4:$C$203,$B51,'Score Log'!$E$4:$E$203,$A51),1),"-"))</f>
        <v/>
      </c>
      <c r="I51" s="39" t="str">
        <f aca="false">IF($B51="","",IFERROR(ROUND(AVERAGEIFS('Score Log'!$N$4:$N$203,'Score Log'!$C$4:$C$203,$B51,'Score Log'!$E$4:$E$203,$A51),1),"-"))</f>
        <v/>
      </c>
      <c r="J51" s="40" t="str">
        <f aca="false">IF(OR($B51="",$D51=0),"",IFERROR(COUNTIFS('Score Log'!$C$4:$C$203,$B51,'Score Log'!$E$4:$E$203,$A51,'Score Log'!$U$4:$U$203,"Yes")/$D51,"-"))</f>
        <v/>
      </c>
      <c r="K51" s="41" t="str">
        <f aca="false">IF($B51="","",IF(ISNUMBER($F51),MAX(1,MIN(5,ROUND(6-$F51,0))),"-"))</f>
        <v/>
      </c>
      <c r="L51" s="41" t="str">
        <f aca="false">IF($B51="","",IF(ISNUMBER($G51),MAX(1,MIN(5,ROUND(6-$G51,0))),"-"))</f>
        <v/>
      </c>
      <c r="M51" s="41" t="str">
        <f aca="false">IF($B51="","",IF(AND(ISNUMBER($P51),ISNUMBER($O51)),MAX(1,MIN(5,ROUND(6-AVERAGE($P51,$O51),0))),IF(ISNUMBER($P51),MAX(1,MIN(5,ROUND(6-$P51,0))),"-")))</f>
        <v/>
      </c>
      <c r="O51" s="33" t="str">
        <f aca="false">IF($B51="","",IFERROR(AVERAGEIFS('Score Log'!$F$4:$F$203,'Score Log'!$C$4:$C$203,$B51),""))</f>
        <v/>
      </c>
      <c r="P51" s="33" t="str">
        <f aca="false">IF($B51="","",IFERROR(AVERAGEIFS('Score Log'!$L$4:$L$203,'Score Log'!$C$4:$C$203,$B51),""))</f>
        <v/>
      </c>
      <c r="Q51" s="33" t="str">
        <f aca="false">IFERROR(MATCH(ROW()-4,$AB$4:$AB$203,0)+3,"")</f>
        <v/>
      </c>
      <c r="AA51" s="33" t="n">
        <f aca="false">IF(OR('Score Log'!$C51="",'Score Log'!$E51=""),0,IF(COUNTIFS('Score Log'!$C$4:$C51,'Score Log'!$C51,'Score Log'!$E$4:$E51,'Score Log'!$E51)=1,1,0))</f>
        <v>0</v>
      </c>
      <c r="AB51" s="33" t="str">
        <f aca="false">IF($AA51=1,SUM($AA$4:$AA51),"")</f>
        <v/>
      </c>
    </row>
    <row r="52" customFormat="false" ht="15" hidden="false" customHeight="false" outlineLevel="0" collapsed="false">
      <c r="A52" s="36" t="str">
        <f aca="false">IF($Q52="","",INDEX('Score Log'!$E:$E,$Q52))</f>
        <v/>
      </c>
      <c r="B52" s="36" t="str">
        <f aca="false">IF($Q52="","",INDEX('Score Log'!$C:$C,$Q52))</f>
        <v/>
      </c>
      <c r="C52" s="37" t="str">
        <f aca="false">IF($Q52="","",IF(INDEX('Score Log'!$D:$D,$Q52)="","",INDEX('Score Log'!$D:$D,$Q52)))</f>
        <v/>
      </c>
      <c r="D52" s="38" t="str">
        <f aca="false">IF($B52="","",COUNTIFS('Score Log'!$C$4:$C$203,$B52,'Score Log'!$E$4:$E$203,$A52))</f>
        <v/>
      </c>
      <c r="E52" s="39" t="str">
        <f aca="false">IF($B52="","",IFERROR(ROUND(AVERAGEIFS('Score Log'!$F$4:$F$203,'Score Log'!$C$4:$C$203,$B52,'Score Log'!$E$4:$E$203,$A52),1),"-"))</f>
        <v/>
      </c>
      <c r="F52" s="39" t="str">
        <f aca="false">IF($B52="","",IFERROR(ROUND(AVERAGEIFS('Score Log'!$H$4:$H$203,'Score Log'!$C$4:$C$203,$B52,'Score Log'!$E$4:$E$203,$A52),1),"-"))</f>
        <v/>
      </c>
      <c r="G52" s="39" t="str">
        <f aca="false">IF($B52="","",IFERROR(ROUND(AVERAGEIFS('Score Log'!$J$4:$J$203,'Score Log'!$C$4:$C$203,$B52,'Score Log'!$E$4:$E$203,$A52),1),"-"))</f>
        <v/>
      </c>
      <c r="H52" s="39" t="str">
        <f aca="false">IF($B52="","",IFERROR(ROUND(AVERAGEIFS('Score Log'!$L$4:$L$203,'Score Log'!$C$4:$C$203,$B52,'Score Log'!$E$4:$E$203,$A52),1),"-"))</f>
        <v/>
      </c>
      <c r="I52" s="39" t="str">
        <f aca="false">IF($B52="","",IFERROR(ROUND(AVERAGEIFS('Score Log'!$N$4:$N$203,'Score Log'!$C$4:$C$203,$B52,'Score Log'!$E$4:$E$203,$A52),1),"-"))</f>
        <v/>
      </c>
      <c r="J52" s="40" t="str">
        <f aca="false">IF(OR($B52="",$D52=0),"",IFERROR(COUNTIFS('Score Log'!$C$4:$C$203,$B52,'Score Log'!$E$4:$E$203,$A52,'Score Log'!$U$4:$U$203,"Yes")/$D52,"-"))</f>
        <v/>
      </c>
      <c r="K52" s="41" t="str">
        <f aca="false">IF($B52="","",IF(ISNUMBER($F52),MAX(1,MIN(5,ROUND(6-$F52,0))),"-"))</f>
        <v/>
      </c>
      <c r="L52" s="41" t="str">
        <f aca="false">IF($B52="","",IF(ISNUMBER($G52),MAX(1,MIN(5,ROUND(6-$G52,0))),"-"))</f>
        <v/>
      </c>
      <c r="M52" s="41" t="str">
        <f aca="false">IF($B52="","",IF(AND(ISNUMBER($P52),ISNUMBER($O52)),MAX(1,MIN(5,ROUND(6-AVERAGE($P52,$O52),0))),IF(ISNUMBER($P52),MAX(1,MIN(5,ROUND(6-$P52,0))),"-")))</f>
        <v/>
      </c>
      <c r="O52" s="33" t="str">
        <f aca="false">IF($B52="","",IFERROR(AVERAGEIFS('Score Log'!$F$4:$F$203,'Score Log'!$C$4:$C$203,$B52),""))</f>
        <v/>
      </c>
      <c r="P52" s="33" t="str">
        <f aca="false">IF($B52="","",IFERROR(AVERAGEIFS('Score Log'!$L$4:$L$203,'Score Log'!$C$4:$C$203,$B52),""))</f>
        <v/>
      </c>
      <c r="Q52" s="33" t="str">
        <f aca="false">IFERROR(MATCH(ROW()-4,$AB$4:$AB$203,0)+3,"")</f>
        <v/>
      </c>
      <c r="AA52" s="33" t="n">
        <f aca="false">IF(OR('Score Log'!$C52="",'Score Log'!$E52=""),0,IF(COUNTIFS('Score Log'!$C$4:$C52,'Score Log'!$C52,'Score Log'!$E$4:$E52,'Score Log'!$E52)=1,1,0))</f>
        <v>0</v>
      </c>
      <c r="AB52" s="33" t="str">
        <f aca="false">IF($AA52=1,SUM($AA$4:$AA52),"")</f>
        <v/>
      </c>
    </row>
    <row r="53" customFormat="false" ht="15" hidden="false" customHeight="false" outlineLevel="0" collapsed="false">
      <c r="A53" s="36" t="str">
        <f aca="false">IF($Q53="","",INDEX('Score Log'!$E:$E,$Q53))</f>
        <v/>
      </c>
      <c r="B53" s="36" t="str">
        <f aca="false">IF($Q53="","",INDEX('Score Log'!$C:$C,$Q53))</f>
        <v/>
      </c>
      <c r="C53" s="37" t="str">
        <f aca="false">IF($Q53="","",IF(INDEX('Score Log'!$D:$D,$Q53)="","",INDEX('Score Log'!$D:$D,$Q53)))</f>
        <v/>
      </c>
      <c r="D53" s="38" t="str">
        <f aca="false">IF($B53="","",COUNTIFS('Score Log'!$C$4:$C$203,$B53,'Score Log'!$E$4:$E$203,$A53))</f>
        <v/>
      </c>
      <c r="E53" s="39" t="str">
        <f aca="false">IF($B53="","",IFERROR(ROUND(AVERAGEIFS('Score Log'!$F$4:$F$203,'Score Log'!$C$4:$C$203,$B53,'Score Log'!$E$4:$E$203,$A53),1),"-"))</f>
        <v/>
      </c>
      <c r="F53" s="39" t="str">
        <f aca="false">IF($B53="","",IFERROR(ROUND(AVERAGEIFS('Score Log'!$H$4:$H$203,'Score Log'!$C$4:$C$203,$B53,'Score Log'!$E$4:$E$203,$A53),1),"-"))</f>
        <v/>
      </c>
      <c r="G53" s="39" t="str">
        <f aca="false">IF($B53="","",IFERROR(ROUND(AVERAGEIFS('Score Log'!$J$4:$J$203,'Score Log'!$C$4:$C$203,$B53,'Score Log'!$E$4:$E$203,$A53),1),"-"))</f>
        <v/>
      </c>
      <c r="H53" s="39" t="str">
        <f aca="false">IF($B53="","",IFERROR(ROUND(AVERAGEIFS('Score Log'!$L$4:$L$203,'Score Log'!$C$4:$C$203,$B53,'Score Log'!$E$4:$E$203,$A53),1),"-"))</f>
        <v/>
      </c>
      <c r="I53" s="39" t="str">
        <f aca="false">IF($B53="","",IFERROR(ROUND(AVERAGEIFS('Score Log'!$N$4:$N$203,'Score Log'!$C$4:$C$203,$B53,'Score Log'!$E$4:$E$203,$A53),1),"-"))</f>
        <v/>
      </c>
      <c r="J53" s="40" t="str">
        <f aca="false">IF(OR($B53="",$D53=0),"",IFERROR(COUNTIFS('Score Log'!$C$4:$C$203,$B53,'Score Log'!$E$4:$E$203,$A53,'Score Log'!$U$4:$U$203,"Yes")/$D53,"-"))</f>
        <v/>
      </c>
      <c r="K53" s="41" t="str">
        <f aca="false">IF($B53="","",IF(ISNUMBER($F53),MAX(1,MIN(5,ROUND(6-$F53,0))),"-"))</f>
        <v/>
      </c>
      <c r="L53" s="41" t="str">
        <f aca="false">IF($B53="","",IF(ISNUMBER($G53),MAX(1,MIN(5,ROUND(6-$G53,0))),"-"))</f>
        <v/>
      </c>
      <c r="M53" s="41" t="str">
        <f aca="false">IF($B53="","",IF(AND(ISNUMBER($P53),ISNUMBER($O53)),MAX(1,MIN(5,ROUND(6-AVERAGE($P53,$O53),0))),IF(ISNUMBER($P53),MAX(1,MIN(5,ROUND(6-$P53,0))),"-")))</f>
        <v/>
      </c>
      <c r="O53" s="33" t="str">
        <f aca="false">IF($B53="","",IFERROR(AVERAGEIFS('Score Log'!$F$4:$F$203,'Score Log'!$C$4:$C$203,$B53),""))</f>
        <v/>
      </c>
      <c r="P53" s="33" t="str">
        <f aca="false">IF($B53="","",IFERROR(AVERAGEIFS('Score Log'!$L$4:$L$203,'Score Log'!$C$4:$C$203,$B53),""))</f>
        <v/>
      </c>
      <c r="Q53" s="33" t="str">
        <f aca="false">IFERROR(MATCH(ROW()-4,$AB$4:$AB$203,0)+3,"")</f>
        <v/>
      </c>
      <c r="AA53" s="33" t="n">
        <f aca="false">IF(OR('Score Log'!$C53="",'Score Log'!$E53=""),0,IF(COUNTIFS('Score Log'!$C$4:$C53,'Score Log'!$C53,'Score Log'!$E$4:$E53,'Score Log'!$E53)=1,1,0))</f>
        <v>0</v>
      </c>
      <c r="AB53" s="33" t="str">
        <f aca="false">IF($AA53=1,SUM($AA$4:$AA53),"")</f>
        <v/>
      </c>
    </row>
    <row r="54" customFormat="false" ht="15" hidden="false" customHeight="false" outlineLevel="0" collapsed="false">
      <c r="A54" s="36" t="str">
        <f aca="false">IF($Q54="","",INDEX('Score Log'!$E:$E,$Q54))</f>
        <v/>
      </c>
      <c r="B54" s="36" t="str">
        <f aca="false">IF($Q54="","",INDEX('Score Log'!$C:$C,$Q54))</f>
        <v/>
      </c>
      <c r="C54" s="37" t="str">
        <f aca="false">IF($Q54="","",IF(INDEX('Score Log'!$D:$D,$Q54)="","",INDEX('Score Log'!$D:$D,$Q54)))</f>
        <v/>
      </c>
      <c r="D54" s="38" t="str">
        <f aca="false">IF($B54="","",COUNTIFS('Score Log'!$C$4:$C$203,$B54,'Score Log'!$E$4:$E$203,$A54))</f>
        <v/>
      </c>
      <c r="E54" s="39" t="str">
        <f aca="false">IF($B54="","",IFERROR(ROUND(AVERAGEIFS('Score Log'!$F$4:$F$203,'Score Log'!$C$4:$C$203,$B54,'Score Log'!$E$4:$E$203,$A54),1),"-"))</f>
        <v/>
      </c>
      <c r="F54" s="39" t="str">
        <f aca="false">IF($B54="","",IFERROR(ROUND(AVERAGEIFS('Score Log'!$H$4:$H$203,'Score Log'!$C$4:$C$203,$B54,'Score Log'!$E$4:$E$203,$A54),1),"-"))</f>
        <v/>
      </c>
      <c r="G54" s="39" t="str">
        <f aca="false">IF($B54="","",IFERROR(ROUND(AVERAGEIFS('Score Log'!$J$4:$J$203,'Score Log'!$C$4:$C$203,$B54,'Score Log'!$E$4:$E$203,$A54),1),"-"))</f>
        <v/>
      </c>
      <c r="H54" s="39" t="str">
        <f aca="false">IF($B54="","",IFERROR(ROUND(AVERAGEIFS('Score Log'!$L$4:$L$203,'Score Log'!$C$4:$C$203,$B54,'Score Log'!$E$4:$E$203,$A54),1),"-"))</f>
        <v/>
      </c>
      <c r="I54" s="39" t="str">
        <f aca="false">IF($B54="","",IFERROR(ROUND(AVERAGEIFS('Score Log'!$N$4:$N$203,'Score Log'!$C$4:$C$203,$B54,'Score Log'!$E$4:$E$203,$A54),1),"-"))</f>
        <v/>
      </c>
      <c r="J54" s="40" t="str">
        <f aca="false">IF(OR($B54="",$D54=0),"",IFERROR(COUNTIFS('Score Log'!$C$4:$C$203,$B54,'Score Log'!$E$4:$E$203,$A54,'Score Log'!$U$4:$U$203,"Yes")/$D54,"-"))</f>
        <v/>
      </c>
      <c r="K54" s="41" t="str">
        <f aca="false">IF($B54="","",IF(ISNUMBER($F54),MAX(1,MIN(5,ROUND(6-$F54,0))),"-"))</f>
        <v/>
      </c>
      <c r="L54" s="41" t="str">
        <f aca="false">IF($B54="","",IF(ISNUMBER($G54),MAX(1,MIN(5,ROUND(6-$G54,0))),"-"))</f>
        <v/>
      </c>
      <c r="M54" s="41" t="str">
        <f aca="false">IF($B54="","",IF(AND(ISNUMBER($P54),ISNUMBER($O54)),MAX(1,MIN(5,ROUND(6-AVERAGE($P54,$O54),0))),IF(ISNUMBER($P54),MAX(1,MIN(5,ROUND(6-$P54,0))),"-")))</f>
        <v/>
      </c>
      <c r="O54" s="33" t="str">
        <f aca="false">IF($B54="","",IFERROR(AVERAGEIFS('Score Log'!$F$4:$F$203,'Score Log'!$C$4:$C$203,$B54),""))</f>
        <v/>
      </c>
      <c r="P54" s="33" t="str">
        <f aca="false">IF($B54="","",IFERROR(AVERAGEIFS('Score Log'!$L$4:$L$203,'Score Log'!$C$4:$C$203,$B54),""))</f>
        <v/>
      </c>
      <c r="Q54" s="33" t="str">
        <f aca="false">IFERROR(MATCH(ROW()-4,$AB$4:$AB$203,0)+3,"")</f>
        <v/>
      </c>
      <c r="AA54" s="33" t="n">
        <f aca="false">IF(OR('Score Log'!$C54="",'Score Log'!$E54=""),0,IF(COUNTIFS('Score Log'!$C$4:$C54,'Score Log'!$C54,'Score Log'!$E$4:$E54,'Score Log'!$E54)=1,1,0))</f>
        <v>0</v>
      </c>
      <c r="AB54" s="33" t="str">
        <f aca="false">IF($AA54=1,SUM($AA$4:$AA54),"")</f>
        <v/>
      </c>
    </row>
    <row r="55" customFormat="false" ht="15" hidden="false" customHeight="false" outlineLevel="0" collapsed="false">
      <c r="A55" s="36" t="str">
        <f aca="false">IF($Q55="","",INDEX('Score Log'!$E:$E,$Q55))</f>
        <v/>
      </c>
      <c r="B55" s="36" t="str">
        <f aca="false">IF($Q55="","",INDEX('Score Log'!$C:$C,$Q55))</f>
        <v/>
      </c>
      <c r="C55" s="37" t="str">
        <f aca="false">IF($Q55="","",IF(INDEX('Score Log'!$D:$D,$Q55)="","",INDEX('Score Log'!$D:$D,$Q55)))</f>
        <v/>
      </c>
      <c r="D55" s="38" t="str">
        <f aca="false">IF($B55="","",COUNTIFS('Score Log'!$C$4:$C$203,$B55,'Score Log'!$E$4:$E$203,$A55))</f>
        <v/>
      </c>
      <c r="E55" s="39" t="str">
        <f aca="false">IF($B55="","",IFERROR(ROUND(AVERAGEIFS('Score Log'!$F$4:$F$203,'Score Log'!$C$4:$C$203,$B55,'Score Log'!$E$4:$E$203,$A55),1),"-"))</f>
        <v/>
      </c>
      <c r="F55" s="39" t="str">
        <f aca="false">IF($B55="","",IFERROR(ROUND(AVERAGEIFS('Score Log'!$H$4:$H$203,'Score Log'!$C$4:$C$203,$B55,'Score Log'!$E$4:$E$203,$A55),1),"-"))</f>
        <v/>
      </c>
      <c r="G55" s="39" t="str">
        <f aca="false">IF($B55="","",IFERROR(ROUND(AVERAGEIFS('Score Log'!$J$4:$J$203,'Score Log'!$C$4:$C$203,$B55,'Score Log'!$E$4:$E$203,$A55),1),"-"))</f>
        <v/>
      </c>
      <c r="H55" s="39" t="str">
        <f aca="false">IF($B55="","",IFERROR(ROUND(AVERAGEIFS('Score Log'!$L$4:$L$203,'Score Log'!$C$4:$C$203,$B55,'Score Log'!$E$4:$E$203,$A55),1),"-"))</f>
        <v/>
      </c>
      <c r="I55" s="39" t="str">
        <f aca="false">IF($B55="","",IFERROR(ROUND(AVERAGEIFS('Score Log'!$N$4:$N$203,'Score Log'!$C$4:$C$203,$B55,'Score Log'!$E$4:$E$203,$A55),1),"-"))</f>
        <v/>
      </c>
      <c r="J55" s="40" t="str">
        <f aca="false">IF(OR($B55="",$D55=0),"",IFERROR(COUNTIFS('Score Log'!$C$4:$C$203,$B55,'Score Log'!$E$4:$E$203,$A55,'Score Log'!$U$4:$U$203,"Yes")/$D55,"-"))</f>
        <v/>
      </c>
      <c r="K55" s="41" t="str">
        <f aca="false">IF($B55="","",IF(ISNUMBER($F55),MAX(1,MIN(5,ROUND(6-$F55,0))),"-"))</f>
        <v/>
      </c>
      <c r="L55" s="41" t="str">
        <f aca="false">IF($B55="","",IF(ISNUMBER($G55),MAX(1,MIN(5,ROUND(6-$G55,0))),"-"))</f>
        <v/>
      </c>
      <c r="M55" s="41" t="str">
        <f aca="false">IF($B55="","",IF(AND(ISNUMBER($P55),ISNUMBER($O55)),MAX(1,MIN(5,ROUND(6-AVERAGE($P55,$O55),0))),IF(ISNUMBER($P55),MAX(1,MIN(5,ROUND(6-$P55,0))),"-")))</f>
        <v/>
      </c>
      <c r="O55" s="33" t="str">
        <f aca="false">IF($B55="","",IFERROR(AVERAGEIFS('Score Log'!$F$4:$F$203,'Score Log'!$C$4:$C$203,$B55),""))</f>
        <v/>
      </c>
      <c r="P55" s="33" t="str">
        <f aca="false">IF($B55="","",IFERROR(AVERAGEIFS('Score Log'!$L$4:$L$203,'Score Log'!$C$4:$C$203,$B55),""))</f>
        <v/>
      </c>
      <c r="Q55" s="33" t="str">
        <f aca="false">IFERROR(MATCH(ROW()-4,$AB$4:$AB$203,0)+3,"")</f>
        <v/>
      </c>
      <c r="AA55" s="33" t="n">
        <f aca="false">IF(OR('Score Log'!$C55="",'Score Log'!$E55=""),0,IF(COUNTIFS('Score Log'!$C$4:$C55,'Score Log'!$C55,'Score Log'!$E$4:$E55,'Score Log'!$E55)=1,1,0))</f>
        <v>0</v>
      </c>
      <c r="AB55" s="33" t="str">
        <f aca="false">IF($AA55=1,SUM($AA$4:$AA55),"")</f>
        <v/>
      </c>
    </row>
    <row r="56" customFormat="false" ht="15" hidden="false" customHeight="false" outlineLevel="0" collapsed="false">
      <c r="A56" s="36" t="str">
        <f aca="false">IF($Q56="","",INDEX('Score Log'!$E:$E,$Q56))</f>
        <v/>
      </c>
      <c r="B56" s="36" t="str">
        <f aca="false">IF($Q56="","",INDEX('Score Log'!$C:$C,$Q56))</f>
        <v/>
      </c>
      <c r="C56" s="37" t="str">
        <f aca="false">IF($Q56="","",IF(INDEX('Score Log'!$D:$D,$Q56)="","",INDEX('Score Log'!$D:$D,$Q56)))</f>
        <v/>
      </c>
      <c r="D56" s="38" t="str">
        <f aca="false">IF($B56="","",COUNTIFS('Score Log'!$C$4:$C$203,$B56,'Score Log'!$E$4:$E$203,$A56))</f>
        <v/>
      </c>
      <c r="E56" s="39" t="str">
        <f aca="false">IF($B56="","",IFERROR(ROUND(AVERAGEIFS('Score Log'!$F$4:$F$203,'Score Log'!$C$4:$C$203,$B56,'Score Log'!$E$4:$E$203,$A56),1),"-"))</f>
        <v/>
      </c>
      <c r="F56" s="39" t="str">
        <f aca="false">IF($B56="","",IFERROR(ROUND(AVERAGEIFS('Score Log'!$H$4:$H$203,'Score Log'!$C$4:$C$203,$B56,'Score Log'!$E$4:$E$203,$A56),1),"-"))</f>
        <v/>
      </c>
      <c r="G56" s="39" t="str">
        <f aca="false">IF($B56="","",IFERROR(ROUND(AVERAGEIFS('Score Log'!$J$4:$J$203,'Score Log'!$C$4:$C$203,$B56,'Score Log'!$E$4:$E$203,$A56),1),"-"))</f>
        <v/>
      </c>
      <c r="H56" s="39" t="str">
        <f aca="false">IF($B56="","",IFERROR(ROUND(AVERAGEIFS('Score Log'!$L$4:$L$203,'Score Log'!$C$4:$C$203,$B56,'Score Log'!$E$4:$E$203,$A56),1),"-"))</f>
        <v/>
      </c>
      <c r="I56" s="39" t="str">
        <f aca="false">IF($B56="","",IFERROR(ROUND(AVERAGEIFS('Score Log'!$N$4:$N$203,'Score Log'!$C$4:$C$203,$B56,'Score Log'!$E$4:$E$203,$A56),1),"-"))</f>
        <v/>
      </c>
      <c r="J56" s="40" t="str">
        <f aca="false">IF(OR($B56="",$D56=0),"",IFERROR(COUNTIFS('Score Log'!$C$4:$C$203,$B56,'Score Log'!$E$4:$E$203,$A56,'Score Log'!$U$4:$U$203,"Yes")/$D56,"-"))</f>
        <v/>
      </c>
      <c r="K56" s="41" t="str">
        <f aca="false">IF($B56="","",IF(ISNUMBER($F56),MAX(1,MIN(5,ROUND(6-$F56,0))),"-"))</f>
        <v/>
      </c>
      <c r="L56" s="41" t="str">
        <f aca="false">IF($B56="","",IF(ISNUMBER($G56),MAX(1,MIN(5,ROUND(6-$G56,0))),"-"))</f>
        <v/>
      </c>
      <c r="M56" s="41" t="str">
        <f aca="false">IF($B56="","",IF(AND(ISNUMBER($P56),ISNUMBER($O56)),MAX(1,MIN(5,ROUND(6-AVERAGE($P56,$O56),0))),IF(ISNUMBER($P56),MAX(1,MIN(5,ROUND(6-$P56,0))),"-")))</f>
        <v/>
      </c>
      <c r="O56" s="33" t="str">
        <f aca="false">IF($B56="","",IFERROR(AVERAGEIFS('Score Log'!$F$4:$F$203,'Score Log'!$C$4:$C$203,$B56),""))</f>
        <v/>
      </c>
      <c r="P56" s="33" t="str">
        <f aca="false">IF($B56="","",IFERROR(AVERAGEIFS('Score Log'!$L$4:$L$203,'Score Log'!$C$4:$C$203,$B56),""))</f>
        <v/>
      </c>
      <c r="Q56" s="33" t="str">
        <f aca="false">IFERROR(MATCH(ROW()-4,$AB$4:$AB$203,0)+3,"")</f>
        <v/>
      </c>
      <c r="AA56" s="33" t="n">
        <f aca="false">IF(OR('Score Log'!$C56="",'Score Log'!$E56=""),0,IF(COUNTIFS('Score Log'!$C$4:$C56,'Score Log'!$C56,'Score Log'!$E$4:$E56,'Score Log'!$E56)=1,1,0))</f>
        <v>0</v>
      </c>
      <c r="AB56" s="33" t="str">
        <f aca="false">IF($AA56=1,SUM($AA$4:$AA56),"")</f>
        <v/>
      </c>
    </row>
    <row r="57" customFormat="false" ht="15" hidden="false" customHeight="false" outlineLevel="0" collapsed="false">
      <c r="A57" s="36" t="str">
        <f aca="false">IF($Q57="","",INDEX('Score Log'!$E:$E,$Q57))</f>
        <v/>
      </c>
      <c r="B57" s="36" t="str">
        <f aca="false">IF($Q57="","",INDEX('Score Log'!$C:$C,$Q57))</f>
        <v/>
      </c>
      <c r="C57" s="37" t="str">
        <f aca="false">IF($Q57="","",IF(INDEX('Score Log'!$D:$D,$Q57)="","",INDEX('Score Log'!$D:$D,$Q57)))</f>
        <v/>
      </c>
      <c r="D57" s="38" t="str">
        <f aca="false">IF($B57="","",COUNTIFS('Score Log'!$C$4:$C$203,$B57,'Score Log'!$E$4:$E$203,$A57))</f>
        <v/>
      </c>
      <c r="E57" s="39" t="str">
        <f aca="false">IF($B57="","",IFERROR(ROUND(AVERAGEIFS('Score Log'!$F$4:$F$203,'Score Log'!$C$4:$C$203,$B57,'Score Log'!$E$4:$E$203,$A57),1),"-"))</f>
        <v/>
      </c>
      <c r="F57" s="39" t="str">
        <f aca="false">IF($B57="","",IFERROR(ROUND(AVERAGEIFS('Score Log'!$H$4:$H$203,'Score Log'!$C$4:$C$203,$B57,'Score Log'!$E$4:$E$203,$A57),1),"-"))</f>
        <v/>
      </c>
      <c r="G57" s="39" t="str">
        <f aca="false">IF($B57="","",IFERROR(ROUND(AVERAGEIFS('Score Log'!$J$4:$J$203,'Score Log'!$C$4:$C$203,$B57,'Score Log'!$E$4:$E$203,$A57),1),"-"))</f>
        <v/>
      </c>
      <c r="H57" s="39" t="str">
        <f aca="false">IF($B57="","",IFERROR(ROUND(AVERAGEIFS('Score Log'!$L$4:$L$203,'Score Log'!$C$4:$C$203,$B57,'Score Log'!$E$4:$E$203,$A57),1),"-"))</f>
        <v/>
      </c>
      <c r="I57" s="39" t="str">
        <f aca="false">IF($B57="","",IFERROR(ROUND(AVERAGEIFS('Score Log'!$N$4:$N$203,'Score Log'!$C$4:$C$203,$B57,'Score Log'!$E$4:$E$203,$A57),1),"-"))</f>
        <v/>
      </c>
      <c r="J57" s="40" t="str">
        <f aca="false">IF(OR($B57="",$D57=0),"",IFERROR(COUNTIFS('Score Log'!$C$4:$C$203,$B57,'Score Log'!$E$4:$E$203,$A57,'Score Log'!$U$4:$U$203,"Yes")/$D57,"-"))</f>
        <v/>
      </c>
      <c r="K57" s="41" t="str">
        <f aca="false">IF($B57="","",IF(ISNUMBER($F57),MAX(1,MIN(5,ROUND(6-$F57,0))),"-"))</f>
        <v/>
      </c>
      <c r="L57" s="41" t="str">
        <f aca="false">IF($B57="","",IF(ISNUMBER($G57),MAX(1,MIN(5,ROUND(6-$G57,0))),"-"))</f>
        <v/>
      </c>
      <c r="M57" s="41" t="str">
        <f aca="false">IF($B57="","",IF(AND(ISNUMBER($P57),ISNUMBER($O57)),MAX(1,MIN(5,ROUND(6-AVERAGE($P57,$O57),0))),IF(ISNUMBER($P57),MAX(1,MIN(5,ROUND(6-$P57,0))),"-")))</f>
        <v/>
      </c>
      <c r="O57" s="33" t="str">
        <f aca="false">IF($B57="","",IFERROR(AVERAGEIFS('Score Log'!$F$4:$F$203,'Score Log'!$C$4:$C$203,$B57),""))</f>
        <v/>
      </c>
      <c r="P57" s="33" t="str">
        <f aca="false">IF($B57="","",IFERROR(AVERAGEIFS('Score Log'!$L$4:$L$203,'Score Log'!$C$4:$C$203,$B57),""))</f>
        <v/>
      </c>
      <c r="Q57" s="33" t="str">
        <f aca="false">IFERROR(MATCH(ROW()-4,$AB$4:$AB$203,0)+3,"")</f>
        <v/>
      </c>
      <c r="AA57" s="33" t="n">
        <f aca="false">IF(OR('Score Log'!$C57="",'Score Log'!$E57=""),0,IF(COUNTIFS('Score Log'!$C$4:$C57,'Score Log'!$C57,'Score Log'!$E$4:$E57,'Score Log'!$E57)=1,1,0))</f>
        <v>0</v>
      </c>
      <c r="AB57" s="33" t="str">
        <f aca="false">IF($AA57=1,SUM($AA$4:$AA57),"")</f>
        <v/>
      </c>
    </row>
    <row r="58" customFormat="false" ht="15" hidden="false" customHeight="false" outlineLevel="0" collapsed="false">
      <c r="A58" s="36" t="str">
        <f aca="false">IF($Q58="","",INDEX('Score Log'!$E:$E,$Q58))</f>
        <v/>
      </c>
      <c r="B58" s="36" t="str">
        <f aca="false">IF($Q58="","",INDEX('Score Log'!$C:$C,$Q58))</f>
        <v/>
      </c>
      <c r="C58" s="37" t="str">
        <f aca="false">IF($Q58="","",IF(INDEX('Score Log'!$D:$D,$Q58)="","",INDEX('Score Log'!$D:$D,$Q58)))</f>
        <v/>
      </c>
      <c r="D58" s="38" t="str">
        <f aca="false">IF($B58="","",COUNTIFS('Score Log'!$C$4:$C$203,$B58,'Score Log'!$E$4:$E$203,$A58))</f>
        <v/>
      </c>
      <c r="E58" s="39" t="str">
        <f aca="false">IF($B58="","",IFERROR(ROUND(AVERAGEIFS('Score Log'!$F$4:$F$203,'Score Log'!$C$4:$C$203,$B58,'Score Log'!$E$4:$E$203,$A58),1),"-"))</f>
        <v/>
      </c>
      <c r="F58" s="39" t="str">
        <f aca="false">IF($B58="","",IFERROR(ROUND(AVERAGEIFS('Score Log'!$H$4:$H$203,'Score Log'!$C$4:$C$203,$B58,'Score Log'!$E$4:$E$203,$A58),1),"-"))</f>
        <v/>
      </c>
      <c r="G58" s="39" t="str">
        <f aca="false">IF($B58="","",IFERROR(ROUND(AVERAGEIFS('Score Log'!$J$4:$J$203,'Score Log'!$C$4:$C$203,$B58,'Score Log'!$E$4:$E$203,$A58),1),"-"))</f>
        <v/>
      </c>
      <c r="H58" s="39" t="str">
        <f aca="false">IF($B58="","",IFERROR(ROUND(AVERAGEIFS('Score Log'!$L$4:$L$203,'Score Log'!$C$4:$C$203,$B58,'Score Log'!$E$4:$E$203,$A58),1),"-"))</f>
        <v/>
      </c>
      <c r="I58" s="39" t="str">
        <f aca="false">IF($B58="","",IFERROR(ROUND(AVERAGEIFS('Score Log'!$N$4:$N$203,'Score Log'!$C$4:$C$203,$B58,'Score Log'!$E$4:$E$203,$A58),1),"-"))</f>
        <v/>
      </c>
      <c r="J58" s="40" t="str">
        <f aca="false">IF(OR($B58="",$D58=0),"",IFERROR(COUNTIFS('Score Log'!$C$4:$C$203,$B58,'Score Log'!$E$4:$E$203,$A58,'Score Log'!$U$4:$U$203,"Yes")/$D58,"-"))</f>
        <v/>
      </c>
      <c r="K58" s="41" t="str">
        <f aca="false">IF($B58="","",IF(ISNUMBER($F58),MAX(1,MIN(5,ROUND(6-$F58,0))),"-"))</f>
        <v/>
      </c>
      <c r="L58" s="41" t="str">
        <f aca="false">IF($B58="","",IF(ISNUMBER($G58),MAX(1,MIN(5,ROUND(6-$G58,0))),"-"))</f>
        <v/>
      </c>
      <c r="M58" s="41" t="str">
        <f aca="false">IF($B58="","",IF(AND(ISNUMBER($P58),ISNUMBER($O58)),MAX(1,MIN(5,ROUND(6-AVERAGE($P58,$O58),0))),IF(ISNUMBER($P58),MAX(1,MIN(5,ROUND(6-$P58,0))),"-")))</f>
        <v/>
      </c>
      <c r="O58" s="33" t="str">
        <f aca="false">IF($B58="","",IFERROR(AVERAGEIFS('Score Log'!$F$4:$F$203,'Score Log'!$C$4:$C$203,$B58),""))</f>
        <v/>
      </c>
      <c r="P58" s="33" t="str">
        <f aca="false">IF($B58="","",IFERROR(AVERAGEIFS('Score Log'!$L$4:$L$203,'Score Log'!$C$4:$C$203,$B58),""))</f>
        <v/>
      </c>
      <c r="Q58" s="33" t="str">
        <f aca="false">IFERROR(MATCH(ROW()-4,$AB$4:$AB$203,0)+3,"")</f>
        <v/>
      </c>
      <c r="AA58" s="33" t="n">
        <f aca="false">IF(OR('Score Log'!$C58="",'Score Log'!$E58=""),0,IF(COUNTIFS('Score Log'!$C$4:$C58,'Score Log'!$C58,'Score Log'!$E$4:$E58,'Score Log'!$E58)=1,1,0))</f>
        <v>0</v>
      </c>
      <c r="AB58" s="33" t="str">
        <f aca="false">IF($AA58=1,SUM($AA$4:$AA58),"")</f>
        <v/>
      </c>
    </row>
    <row r="59" customFormat="false" ht="15" hidden="false" customHeight="false" outlineLevel="0" collapsed="false">
      <c r="A59" s="36" t="str">
        <f aca="false">IF($Q59="","",INDEX('Score Log'!$E:$E,$Q59))</f>
        <v/>
      </c>
      <c r="B59" s="36" t="str">
        <f aca="false">IF($Q59="","",INDEX('Score Log'!$C:$C,$Q59))</f>
        <v/>
      </c>
      <c r="C59" s="37" t="str">
        <f aca="false">IF($Q59="","",IF(INDEX('Score Log'!$D:$D,$Q59)="","",INDEX('Score Log'!$D:$D,$Q59)))</f>
        <v/>
      </c>
      <c r="D59" s="38" t="str">
        <f aca="false">IF($B59="","",COUNTIFS('Score Log'!$C$4:$C$203,$B59,'Score Log'!$E$4:$E$203,$A59))</f>
        <v/>
      </c>
      <c r="E59" s="39" t="str">
        <f aca="false">IF($B59="","",IFERROR(ROUND(AVERAGEIFS('Score Log'!$F$4:$F$203,'Score Log'!$C$4:$C$203,$B59,'Score Log'!$E$4:$E$203,$A59),1),"-"))</f>
        <v/>
      </c>
      <c r="F59" s="39" t="str">
        <f aca="false">IF($B59="","",IFERROR(ROUND(AVERAGEIFS('Score Log'!$H$4:$H$203,'Score Log'!$C$4:$C$203,$B59,'Score Log'!$E$4:$E$203,$A59),1),"-"))</f>
        <v/>
      </c>
      <c r="G59" s="39" t="str">
        <f aca="false">IF($B59="","",IFERROR(ROUND(AVERAGEIFS('Score Log'!$J$4:$J$203,'Score Log'!$C$4:$C$203,$B59,'Score Log'!$E$4:$E$203,$A59),1),"-"))</f>
        <v/>
      </c>
      <c r="H59" s="39" t="str">
        <f aca="false">IF($B59="","",IFERROR(ROUND(AVERAGEIFS('Score Log'!$L$4:$L$203,'Score Log'!$C$4:$C$203,$B59,'Score Log'!$E$4:$E$203,$A59),1),"-"))</f>
        <v/>
      </c>
      <c r="I59" s="39" t="str">
        <f aca="false">IF($B59="","",IFERROR(ROUND(AVERAGEIFS('Score Log'!$N$4:$N$203,'Score Log'!$C$4:$C$203,$B59,'Score Log'!$E$4:$E$203,$A59),1),"-"))</f>
        <v/>
      </c>
      <c r="J59" s="40" t="str">
        <f aca="false">IF(OR($B59="",$D59=0),"",IFERROR(COUNTIFS('Score Log'!$C$4:$C$203,$B59,'Score Log'!$E$4:$E$203,$A59,'Score Log'!$U$4:$U$203,"Yes")/$D59,"-"))</f>
        <v/>
      </c>
      <c r="K59" s="41" t="str">
        <f aca="false">IF($B59="","",IF(ISNUMBER($F59),MAX(1,MIN(5,ROUND(6-$F59,0))),"-"))</f>
        <v/>
      </c>
      <c r="L59" s="41" t="str">
        <f aca="false">IF($B59="","",IF(ISNUMBER($G59),MAX(1,MIN(5,ROUND(6-$G59,0))),"-"))</f>
        <v/>
      </c>
      <c r="M59" s="41" t="str">
        <f aca="false">IF($B59="","",IF(AND(ISNUMBER($P59),ISNUMBER($O59)),MAX(1,MIN(5,ROUND(6-AVERAGE($P59,$O59),0))),IF(ISNUMBER($P59),MAX(1,MIN(5,ROUND(6-$P59,0))),"-")))</f>
        <v/>
      </c>
      <c r="O59" s="33" t="str">
        <f aca="false">IF($B59="","",IFERROR(AVERAGEIFS('Score Log'!$F$4:$F$203,'Score Log'!$C$4:$C$203,$B59),""))</f>
        <v/>
      </c>
      <c r="P59" s="33" t="str">
        <f aca="false">IF($B59="","",IFERROR(AVERAGEIFS('Score Log'!$L$4:$L$203,'Score Log'!$C$4:$C$203,$B59),""))</f>
        <v/>
      </c>
      <c r="Q59" s="33" t="str">
        <f aca="false">IFERROR(MATCH(ROW()-4,$AB$4:$AB$203,0)+3,"")</f>
        <v/>
      </c>
      <c r="AA59" s="33" t="n">
        <f aca="false">IF(OR('Score Log'!$C59="",'Score Log'!$E59=""),0,IF(COUNTIFS('Score Log'!$C$4:$C59,'Score Log'!$C59,'Score Log'!$E$4:$E59,'Score Log'!$E59)=1,1,0))</f>
        <v>0</v>
      </c>
      <c r="AB59" s="33" t="str">
        <f aca="false">IF($AA59=1,SUM($AA$4:$AA59),"")</f>
        <v/>
      </c>
    </row>
    <row r="60" customFormat="false" ht="15" hidden="false" customHeight="false" outlineLevel="0" collapsed="false">
      <c r="A60" s="36" t="str">
        <f aca="false">IF($Q60="","",INDEX('Score Log'!$E:$E,$Q60))</f>
        <v/>
      </c>
      <c r="B60" s="36" t="str">
        <f aca="false">IF($Q60="","",INDEX('Score Log'!$C:$C,$Q60))</f>
        <v/>
      </c>
      <c r="C60" s="37" t="str">
        <f aca="false">IF($Q60="","",IF(INDEX('Score Log'!$D:$D,$Q60)="","",INDEX('Score Log'!$D:$D,$Q60)))</f>
        <v/>
      </c>
      <c r="D60" s="38" t="str">
        <f aca="false">IF($B60="","",COUNTIFS('Score Log'!$C$4:$C$203,$B60,'Score Log'!$E$4:$E$203,$A60))</f>
        <v/>
      </c>
      <c r="E60" s="39" t="str">
        <f aca="false">IF($B60="","",IFERROR(ROUND(AVERAGEIFS('Score Log'!$F$4:$F$203,'Score Log'!$C$4:$C$203,$B60,'Score Log'!$E$4:$E$203,$A60),1),"-"))</f>
        <v/>
      </c>
      <c r="F60" s="39" t="str">
        <f aca="false">IF($B60="","",IFERROR(ROUND(AVERAGEIFS('Score Log'!$H$4:$H$203,'Score Log'!$C$4:$C$203,$B60,'Score Log'!$E$4:$E$203,$A60),1),"-"))</f>
        <v/>
      </c>
      <c r="G60" s="39" t="str">
        <f aca="false">IF($B60="","",IFERROR(ROUND(AVERAGEIFS('Score Log'!$J$4:$J$203,'Score Log'!$C$4:$C$203,$B60,'Score Log'!$E$4:$E$203,$A60),1),"-"))</f>
        <v/>
      </c>
      <c r="H60" s="39" t="str">
        <f aca="false">IF($B60="","",IFERROR(ROUND(AVERAGEIFS('Score Log'!$L$4:$L$203,'Score Log'!$C$4:$C$203,$B60,'Score Log'!$E$4:$E$203,$A60),1),"-"))</f>
        <v/>
      </c>
      <c r="I60" s="39" t="str">
        <f aca="false">IF($B60="","",IFERROR(ROUND(AVERAGEIFS('Score Log'!$N$4:$N$203,'Score Log'!$C$4:$C$203,$B60,'Score Log'!$E$4:$E$203,$A60),1),"-"))</f>
        <v/>
      </c>
      <c r="J60" s="40" t="str">
        <f aca="false">IF(OR($B60="",$D60=0),"",IFERROR(COUNTIFS('Score Log'!$C$4:$C$203,$B60,'Score Log'!$E$4:$E$203,$A60,'Score Log'!$U$4:$U$203,"Yes")/$D60,"-"))</f>
        <v/>
      </c>
      <c r="K60" s="41" t="str">
        <f aca="false">IF($B60="","",IF(ISNUMBER($F60),MAX(1,MIN(5,ROUND(6-$F60,0))),"-"))</f>
        <v/>
      </c>
      <c r="L60" s="41" t="str">
        <f aca="false">IF($B60="","",IF(ISNUMBER($G60),MAX(1,MIN(5,ROUND(6-$G60,0))),"-"))</f>
        <v/>
      </c>
      <c r="M60" s="41" t="str">
        <f aca="false">IF($B60="","",IF(AND(ISNUMBER($P60),ISNUMBER($O60)),MAX(1,MIN(5,ROUND(6-AVERAGE($P60,$O60),0))),IF(ISNUMBER($P60),MAX(1,MIN(5,ROUND(6-$P60,0))),"-")))</f>
        <v/>
      </c>
      <c r="O60" s="33" t="str">
        <f aca="false">IF($B60="","",IFERROR(AVERAGEIFS('Score Log'!$F$4:$F$203,'Score Log'!$C$4:$C$203,$B60),""))</f>
        <v/>
      </c>
      <c r="P60" s="33" t="str">
        <f aca="false">IF($B60="","",IFERROR(AVERAGEIFS('Score Log'!$L$4:$L$203,'Score Log'!$C$4:$C$203,$B60),""))</f>
        <v/>
      </c>
      <c r="Q60" s="33" t="str">
        <f aca="false">IFERROR(MATCH(ROW()-4,$AB$4:$AB$203,0)+3,"")</f>
        <v/>
      </c>
      <c r="AA60" s="33" t="n">
        <f aca="false">IF(OR('Score Log'!$C60="",'Score Log'!$E60=""),0,IF(COUNTIFS('Score Log'!$C$4:$C60,'Score Log'!$C60,'Score Log'!$E$4:$E60,'Score Log'!$E60)=1,1,0))</f>
        <v>0</v>
      </c>
      <c r="AB60" s="33" t="str">
        <f aca="false">IF($AA60=1,SUM($AA$4:$AA60),"")</f>
        <v/>
      </c>
    </row>
    <row r="61" customFormat="false" ht="15" hidden="false" customHeight="false" outlineLevel="0" collapsed="false">
      <c r="A61" s="36" t="str">
        <f aca="false">IF($Q61="","",INDEX('Score Log'!$E:$E,$Q61))</f>
        <v/>
      </c>
      <c r="B61" s="36" t="str">
        <f aca="false">IF($Q61="","",INDEX('Score Log'!$C:$C,$Q61))</f>
        <v/>
      </c>
      <c r="C61" s="37" t="str">
        <f aca="false">IF($Q61="","",IF(INDEX('Score Log'!$D:$D,$Q61)="","",INDEX('Score Log'!$D:$D,$Q61)))</f>
        <v/>
      </c>
      <c r="D61" s="38" t="str">
        <f aca="false">IF($B61="","",COUNTIFS('Score Log'!$C$4:$C$203,$B61,'Score Log'!$E$4:$E$203,$A61))</f>
        <v/>
      </c>
      <c r="E61" s="39" t="str">
        <f aca="false">IF($B61="","",IFERROR(ROUND(AVERAGEIFS('Score Log'!$F$4:$F$203,'Score Log'!$C$4:$C$203,$B61,'Score Log'!$E$4:$E$203,$A61),1),"-"))</f>
        <v/>
      </c>
      <c r="F61" s="39" t="str">
        <f aca="false">IF($B61="","",IFERROR(ROUND(AVERAGEIFS('Score Log'!$H$4:$H$203,'Score Log'!$C$4:$C$203,$B61,'Score Log'!$E$4:$E$203,$A61),1),"-"))</f>
        <v/>
      </c>
      <c r="G61" s="39" t="str">
        <f aca="false">IF($B61="","",IFERROR(ROUND(AVERAGEIFS('Score Log'!$J$4:$J$203,'Score Log'!$C$4:$C$203,$B61,'Score Log'!$E$4:$E$203,$A61),1),"-"))</f>
        <v/>
      </c>
      <c r="H61" s="39" t="str">
        <f aca="false">IF($B61="","",IFERROR(ROUND(AVERAGEIFS('Score Log'!$L$4:$L$203,'Score Log'!$C$4:$C$203,$B61,'Score Log'!$E$4:$E$203,$A61),1),"-"))</f>
        <v/>
      </c>
      <c r="I61" s="39" t="str">
        <f aca="false">IF($B61="","",IFERROR(ROUND(AVERAGEIFS('Score Log'!$N$4:$N$203,'Score Log'!$C$4:$C$203,$B61,'Score Log'!$E$4:$E$203,$A61),1),"-"))</f>
        <v/>
      </c>
      <c r="J61" s="40" t="str">
        <f aca="false">IF(OR($B61="",$D61=0),"",IFERROR(COUNTIFS('Score Log'!$C$4:$C$203,$B61,'Score Log'!$E$4:$E$203,$A61,'Score Log'!$U$4:$U$203,"Yes")/$D61,"-"))</f>
        <v/>
      </c>
      <c r="K61" s="41" t="str">
        <f aca="false">IF($B61="","",IF(ISNUMBER($F61),MAX(1,MIN(5,ROUND(6-$F61,0))),"-"))</f>
        <v/>
      </c>
      <c r="L61" s="41" t="str">
        <f aca="false">IF($B61="","",IF(ISNUMBER($G61),MAX(1,MIN(5,ROUND(6-$G61,0))),"-"))</f>
        <v/>
      </c>
      <c r="M61" s="41" t="str">
        <f aca="false">IF($B61="","",IF(AND(ISNUMBER($P61),ISNUMBER($O61)),MAX(1,MIN(5,ROUND(6-AVERAGE($P61,$O61),0))),IF(ISNUMBER($P61),MAX(1,MIN(5,ROUND(6-$P61,0))),"-")))</f>
        <v/>
      </c>
      <c r="O61" s="33" t="str">
        <f aca="false">IF($B61="","",IFERROR(AVERAGEIFS('Score Log'!$F$4:$F$203,'Score Log'!$C$4:$C$203,$B61),""))</f>
        <v/>
      </c>
      <c r="P61" s="33" t="str">
        <f aca="false">IF($B61="","",IFERROR(AVERAGEIFS('Score Log'!$L$4:$L$203,'Score Log'!$C$4:$C$203,$B61),""))</f>
        <v/>
      </c>
      <c r="Q61" s="33" t="str">
        <f aca="false">IFERROR(MATCH(ROW()-4,$AB$4:$AB$203,0)+3,"")</f>
        <v/>
      </c>
      <c r="AA61" s="33" t="n">
        <f aca="false">IF(OR('Score Log'!$C61="",'Score Log'!$E61=""),0,IF(COUNTIFS('Score Log'!$C$4:$C61,'Score Log'!$C61,'Score Log'!$E$4:$E61,'Score Log'!$E61)=1,1,0))</f>
        <v>0</v>
      </c>
      <c r="AB61" s="33" t="str">
        <f aca="false">IF($AA61=1,SUM($AA$4:$AA61),"")</f>
        <v/>
      </c>
    </row>
    <row r="62" customFormat="false" ht="15" hidden="false" customHeight="false" outlineLevel="0" collapsed="false">
      <c r="A62" s="36" t="str">
        <f aca="false">IF($Q62="","",INDEX('Score Log'!$E:$E,$Q62))</f>
        <v/>
      </c>
      <c r="B62" s="36" t="str">
        <f aca="false">IF($Q62="","",INDEX('Score Log'!$C:$C,$Q62))</f>
        <v/>
      </c>
      <c r="C62" s="37" t="str">
        <f aca="false">IF($Q62="","",IF(INDEX('Score Log'!$D:$D,$Q62)="","",INDEX('Score Log'!$D:$D,$Q62)))</f>
        <v/>
      </c>
      <c r="D62" s="38" t="str">
        <f aca="false">IF($B62="","",COUNTIFS('Score Log'!$C$4:$C$203,$B62,'Score Log'!$E$4:$E$203,$A62))</f>
        <v/>
      </c>
      <c r="E62" s="39" t="str">
        <f aca="false">IF($B62="","",IFERROR(ROUND(AVERAGEIFS('Score Log'!$F$4:$F$203,'Score Log'!$C$4:$C$203,$B62,'Score Log'!$E$4:$E$203,$A62),1),"-"))</f>
        <v/>
      </c>
      <c r="F62" s="39" t="str">
        <f aca="false">IF($B62="","",IFERROR(ROUND(AVERAGEIFS('Score Log'!$H$4:$H$203,'Score Log'!$C$4:$C$203,$B62,'Score Log'!$E$4:$E$203,$A62),1),"-"))</f>
        <v/>
      </c>
      <c r="G62" s="39" t="str">
        <f aca="false">IF($B62="","",IFERROR(ROUND(AVERAGEIFS('Score Log'!$J$4:$J$203,'Score Log'!$C$4:$C$203,$B62,'Score Log'!$E$4:$E$203,$A62),1),"-"))</f>
        <v/>
      </c>
      <c r="H62" s="39" t="str">
        <f aca="false">IF($B62="","",IFERROR(ROUND(AVERAGEIFS('Score Log'!$L$4:$L$203,'Score Log'!$C$4:$C$203,$B62,'Score Log'!$E$4:$E$203,$A62),1),"-"))</f>
        <v/>
      </c>
      <c r="I62" s="39" t="str">
        <f aca="false">IF($B62="","",IFERROR(ROUND(AVERAGEIFS('Score Log'!$N$4:$N$203,'Score Log'!$C$4:$C$203,$B62,'Score Log'!$E$4:$E$203,$A62),1),"-"))</f>
        <v/>
      </c>
      <c r="J62" s="40" t="str">
        <f aca="false">IF(OR($B62="",$D62=0),"",IFERROR(COUNTIFS('Score Log'!$C$4:$C$203,$B62,'Score Log'!$E$4:$E$203,$A62,'Score Log'!$U$4:$U$203,"Yes")/$D62,"-"))</f>
        <v/>
      </c>
      <c r="K62" s="41" t="str">
        <f aca="false">IF($B62="","",IF(ISNUMBER($F62),MAX(1,MIN(5,ROUND(6-$F62,0))),"-"))</f>
        <v/>
      </c>
      <c r="L62" s="41" t="str">
        <f aca="false">IF($B62="","",IF(ISNUMBER($G62),MAX(1,MIN(5,ROUND(6-$G62,0))),"-"))</f>
        <v/>
      </c>
      <c r="M62" s="41" t="str">
        <f aca="false">IF($B62="","",IF(AND(ISNUMBER($P62),ISNUMBER($O62)),MAX(1,MIN(5,ROUND(6-AVERAGE($P62,$O62),0))),IF(ISNUMBER($P62),MAX(1,MIN(5,ROUND(6-$P62,0))),"-")))</f>
        <v/>
      </c>
      <c r="O62" s="33" t="str">
        <f aca="false">IF($B62="","",IFERROR(AVERAGEIFS('Score Log'!$F$4:$F$203,'Score Log'!$C$4:$C$203,$B62),""))</f>
        <v/>
      </c>
      <c r="P62" s="33" t="str">
        <f aca="false">IF($B62="","",IFERROR(AVERAGEIFS('Score Log'!$L$4:$L$203,'Score Log'!$C$4:$C$203,$B62),""))</f>
        <v/>
      </c>
      <c r="Q62" s="33" t="str">
        <f aca="false">IFERROR(MATCH(ROW()-4,$AB$4:$AB$203,0)+3,"")</f>
        <v/>
      </c>
      <c r="AA62" s="33" t="n">
        <f aca="false">IF(OR('Score Log'!$C62="",'Score Log'!$E62=""),0,IF(COUNTIFS('Score Log'!$C$4:$C62,'Score Log'!$C62,'Score Log'!$E$4:$E62,'Score Log'!$E62)=1,1,0))</f>
        <v>0</v>
      </c>
      <c r="AB62" s="33" t="str">
        <f aca="false">IF($AA62=1,SUM($AA$4:$AA62),"")</f>
        <v/>
      </c>
    </row>
    <row r="63" customFormat="false" ht="15" hidden="false" customHeight="false" outlineLevel="0" collapsed="false">
      <c r="A63" s="36" t="str">
        <f aca="false">IF($Q63="","",INDEX('Score Log'!$E:$E,$Q63))</f>
        <v/>
      </c>
      <c r="B63" s="36" t="str">
        <f aca="false">IF($Q63="","",INDEX('Score Log'!$C:$C,$Q63))</f>
        <v/>
      </c>
      <c r="C63" s="37" t="str">
        <f aca="false">IF($Q63="","",IF(INDEX('Score Log'!$D:$D,$Q63)="","",INDEX('Score Log'!$D:$D,$Q63)))</f>
        <v/>
      </c>
      <c r="D63" s="38" t="str">
        <f aca="false">IF($B63="","",COUNTIFS('Score Log'!$C$4:$C$203,$B63,'Score Log'!$E$4:$E$203,$A63))</f>
        <v/>
      </c>
      <c r="E63" s="39" t="str">
        <f aca="false">IF($B63="","",IFERROR(ROUND(AVERAGEIFS('Score Log'!$F$4:$F$203,'Score Log'!$C$4:$C$203,$B63,'Score Log'!$E$4:$E$203,$A63),1),"-"))</f>
        <v/>
      </c>
      <c r="F63" s="39" t="str">
        <f aca="false">IF($B63="","",IFERROR(ROUND(AVERAGEIFS('Score Log'!$H$4:$H$203,'Score Log'!$C$4:$C$203,$B63,'Score Log'!$E$4:$E$203,$A63),1),"-"))</f>
        <v/>
      </c>
      <c r="G63" s="39" t="str">
        <f aca="false">IF($B63="","",IFERROR(ROUND(AVERAGEIFS('Score Log'!$J$4:$J$203,'Score Log'!$C$4:$C$203,$B63,'Score Log'!$E$4:$E$203,$A63),1),"-"))</f>
        <v/>
      </c>
      <c r="H63" s="39" t="str">
        <f aca="false">IF($B63="","",IFERROR(ROUND(AVERAGEIFS('Score Log'!$L$4:$L$203,'Score Log'!$C$4:$C$203,$B63,'Score Log'!$E$4:$E$203,$A63),1),"-"))</f>
        <v/>
      </c>
      <c r="I63" s="39" t="str">
        <f aca="false">IF($B63="","",IFERROR(ROUND(AVERAGEIFS('Score Log'!$N$4:$N$203,'Score Log'!$C$4:$C$203,$B63,'Score Log'!$E$4:$E$203,$A63),1),"-"))</f>
        <v/>
      </c>
      <c r="J63" s="40" t="str">
        <f aca="false">IF(OR($B63="",$D63=0),"",IFERROR(COUNTIFS('Score Log'!$C$4:$C$203,$B63,'Score Log'!$E$4:$E$203,$A63,'Score Log'!$U$4:$U$203,"Yes")/$D63,"-"))</f>
        <v/>
      </c>
      <c r="K63" s="41" t="str">
        <f aca="false">IF($B63="","",IF(ISNUMBER($F63),MAX(1,MIN(5,ROUND(6-$F63,0))),"-"))</f>
        <v/>
      </c>
      <c r="L63" s="41" t="str">
        <f aca="false">IF($B63="","",IF(ISNUMBER($G63),MAX(1,MIN(5,ROUND(6-$G63,0))),"-"))</f>
        <v/>
      </c>
      <c r="M63" s="41" t="str">
        <f aca="false">IF($B63="","",IF(AND(ISNUMBER($P63),ISNUMBER($O63)),MAX(1,MIN(5,ROUND(6-AVERAGE($P63,$O63),0))),IF(ISNUMBER($P63),MAX(1,MIN(5,ROUND(6-$P63,0))),"-")))</f>
        <v/>
      </c>
      <c r="O63" s="33" t="str">
        <f aca="false">IF($B63="","",IFERROR(AVERAGEIFS('Score Log'!$F$4:$F$203,'Score Log'!$C$4:$C$203,$B63),""))</f>
        <v/>
      </c>
      <c r="P63" s="33" t="str">
        <f aca="false">IF($B63="","",IFERROR(AVERAGEIFS('Score Log'!$L$4:$L$203,'Score Log'!$C$4:$C$203,$B63),""))</f>
        <v/>
      </c>
      <c r="Q63" s="33" t="str">
        <f aca="false">IFERROR(MATCH(ROW()-4,$AB$4:$AB$203,0)+3,"")</f>
        <v/>
      </c>
      <c r="AA63" s="33" t="n">
        <f aca="false">IF(OR('Score Log'!$C63="",'Score Log'!$E63=""),0,IF(COUNTIFS('Score Log'!$C$4:$C63,'Score Log'!$C63,'Score Log'!$E$4:$E63,'Score Log'!$E63)=1,1,0))</f>
        <v>0</v>
      </c>
      <c r="AB63" s="33" t="str">
        <f aca="false">IF($AA63=1,SUM($AA$4:$AA63),"")</f>
        <v/>
      </c>
    </row>
    <row r="64" customFormat="false" ht="15" hidden="false" customHeight="false" outlineLevel="0" collapsed="false">
      <c r="A64" s="36" t="str">
        <f aca="false">IF($Q64="","",INDEX('Score Log'!$E:$E,$Q64))</f>
        <v/>
      </c>
      <c r="B64" s="36" t="str">
        <f aca="false">IF($Q64="","",INDEX('Score Log'!$C:$C,$Q64))</f>
        <v/>
      </c>
      <c r="C64" s="37" t="str">
        <f aca="false">IF($Q64="","",IF(INDEX('Score Log'!$D:$D,$Q64)="","",INDEX('Score Log'!$D:$D,$Q64)))</f>
        <v/>
      </c>
      <c r="D64" s="38" t="str">
        <f aca="false">IF($B64="","",COUNTIFS('Score Log'!$C$4:$C$203,$B64,'Score Log'!$E$4:$E$203,$A64))</f>
        <v/>
      </c>
      <c r="E64" s="39" t="str">
        <f aca="false">IF($B64="","",IFERROR(ROUND(AVERAGEIFS('Score Log'!$F$4:$F$203,'Score Log'!$C$4:$C$203,$B64,'Score Log'!$E$4:$E$203,$A64),1),"-"))</f>
        <v/>
      </c>
      <c r="F64" s="39" t="str">
        <f aca="false">IF($B64="","",IFERROR(ROUND(AVERAGEIFS('Score Log'!$H$4:$H$203,'Score Log'!$C$4:$C$203,$B64,'Score Log'!$E$4:$E$203,$A64),1),"-"))</f>
        <v/>
      </c>
      <c r="G64" s="39" t="str">
        <f aca="false">IF($B64="","",IFERROR(ROUND(AVERAGEIFS('Score Log'!$J$4:$J$203,'Score Log'!$C$4:$C$203,$B64,'Score Log'!$E$4:$E$203,$A64),1),"-"))</f>
        <v/>
      </c>
      <c r="H64" s="39" t="str">
        <f aca="false">IF($B64="","",IFERROR(ROUND(AVERAGEIFS('Score Log'!$L$4:$L$203,'Score Log'!$C$4:$C$203,$B64,'Score Log'!$E$4:$E$203,$A64),1),"-"))</f>
        <v/>
      </c>
      <c r="I64" s="39" t="str">
        <f aca="false">IF($B64="","",IFERROR(ROUND(AVERAGEIFS('Score Log'!$N$4:$N$203,'Score Log'!$C$4:$C$203,$B64,'Score Log'!$E$4:$E$203,$A64),1),"-"))</f>
        <v/>
      </c>
      <c r="J64" s="40" t="str">
        <f aca="false">IF(OR($B64="",$D64=0),"",IFERROR(COUNTIFS('Score Log'!$C$4:$C$203,$B64,'Score Log'!$E$4:$E$203,$A64,'Score Log'!$U$4:$U$203,"Yes")/$D64,"-"))</f>
        <v/>
      </c>
      <c r="K64" s="41" t="str">
        <f aca="false">IF($B64="","",IF(ISNUMBER($F64),MAX(1,MIN(5,ROUND(6-$F64,0))),"-"))</f>
        <v/>
      </c>
      <c r="L64" s="41" t="str">
        <f aca="false">IF($B64="","",IF(ISNUMBER($G64),MAX(1,MIN(5,ROUND(6-$G64,0))),"-"))</f>
        <v/>
      </c>
      <c r="M64" s="41" t="str">
        <f aca="false">IF($B64="","",IF(AND(ISNUMBER($P64),ISNUMBER($O64)),MAX(1,MIN(5,ROUND(6-AVERAGE($P64,$O64),0))),IF(ISNUMBER($P64),MAX(1,MIN(5,ROUND(6-$P64,0))),"-")))</f>
        <v/>
      </c>
      <c r="O64" s="33" t="str">
        <f aca="false">IF($B64="","",IFERROR(AVERAGEIFS('Score Log'!$F$4:$F$203,'Score Log'!$C$4:$C$203,$B64),""))</f>
        <v/>
      </c>
      <c r="P64" s="33" t="str">
        <f aca="false">IF($B64="","",IFERROR(AVERAGEIFS('Score Log'!$L$4:$L$203,'Score Log'!$C$4:$C$203,$B64),""))</f>
        <v/>
      </c>
      <c r="Q64" s="33" t="str">
        <f aca="false">IFERROR(MATCH(ROW()-4,$AB$4:$AB$203,0)+3,"")</f>
        <v/>
      </c>
      <c r="AA64" s="33" t="n">
        <f aca="false">IF(OR('Score Log'!$C64="",'Score Log'!$E64=""),0,IF(COUNTIFS('Score Log'!$C$4:$C64,'Score Log'!$C64,'Score Log'!$E$4:$E64,'Score Log'!$E64)=1,1,0))</f>
        <v>0</v>
      </c>
      <c r="AB64" s="33" t="str">
        <f aca="false">IF($AA64=1,SUM($AA$4:$AA64),"")</f>
        <v/>
      </c>
    </row>
    <row r="65" customFormat="false" ht="15" hidden="false" customHeight="false" outlineLevel="0" collapsed="false">
      <c r="AA65" s="33" t="n">
        <f aca="false">IF(OR('Score Log'!$C65="",'Score Log'!$E65=""),0,IF(COUNTIFS('Score Log'!$C$4:$C65,'Score Log'!$C65,'Score Log'!$E$4:$E65,'Score Log'!$E65)=1,1,0))</f>
        <v>0</v>
      </c>
      <c r="AB65" s="33" t="str">
        <f aca="false">IF($AA65=1,SUM($AA$4:$AA65),"")</f>
        <v/>
      </c>
    </row>
    <row r="66" customFormat="false" ht="15" hidden="false" customHeight="false" outlineLevel="0" collapsed="false">
      <c r="AA66" s="33" t="n">
        <f aca="false">IF(OR('Score Log'!$C66="",'Score Log'!$E66=""),0,IF(COUNTIFS('Score Log'!$C$4:$C66,'Score Log'!$C66,'Score Log'!$E$4:$E66,'Score Log'!$E66)=1,1,0))</f>
        <v>0</v>
      </c>
      <c r="AB66" s="33" t="str">
        <f aca="false">IF($AA66=1,SUM($AA$4:$AA66),"")</f>
        <v/>
      </c>
    </row>
    <row r="67" customFormat="false" ht="15" hidden="false" customHeight="false" outlineLevel="0" collapsed="false">
      <c r="A67" s="42" t="s">
        <v>89</v>
      </c>
      <c r="AA67" s="33" t="n">
        <f aca="false">IF(OR('Score Log'!$C67="",'Score Log'!$E67=""),0,IF(COUNTIFS('Score Log'!$C$4:$C67,'Score Log'!$C67,'Score Log'!$E$4:$E67,'Score Log'!$E67)=1,1,0))</f>
        <v>0</v>
      </c>
      <c r="AB67" s="33" t="str">
        <f aca="false">IF($AA67=1,SUM($AA$4:$AA67),"")</f>
        <v/>
      </c>
    </row>
    <row r="68" customFormat="false" ht="25.5" hidden="false" customHeight="true" outlineLevel="0" collapsed="false">
      <c r="A68" s="43" t="s">
        <v>90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AA68" s="33" t="n">
        <f aca="false">IF(OR('Score Log'!$C68="",'Score Log'!$E68=""),0,IF(COUNTIFS('Score Log'!$C$4:$C68,'Score Log'!$C68,'Score Log'!$E$4:$E68,'Score Log'!$E68)=1,1,0))</f>
        <v>0</v>
      </c>
      <c r="AB68" s="33" t="str">
        <f aca="false">IF($AA68=1,SUM($AA$4:$AA68),"")</f>
        <v/>
      </c>
    </row>
    <row r="69" customFormat="false" ht="25.5" hidden="false" customHeight="true" outlineLevel="0" collapsed="false">
      <c r="A69" s="43" t="s">
        <v>91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AA69" s="33" t="n">
        <f aca="false">IF(OR('Score Log'!$C69="",'Score Log'!$E69=""),0,IF(COUNTIFS('Score Log'!$C$4:$C69,'Score Log'!$C69,'Score Log'!$E$4:$E69,'Score Log'!$E69)=1,1,0))</f>
        <v>0</v>
      </c>
      <c r="AB69" s="33" t="str">
        <f aca="false">IF($AA69=1,SUM($AA$4:$AA69),"")</f>
        <v/>
      </c>
    </row>
    <row r="70" customFormat="false" ht="25.5" hidden="false" customHeight="true" outlineLevel="0" collapsed="false">
      <c r="A70" s="43" t="s">
        <v>92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AA70" s="33" t="n">
        <f aca="false">IF(OR('Score Log'!$C70="",'Score Log'!$E70=""),0,IF(COUNTIFS('Score Log'!$C$4:$C70,'Score Log'!$C70,'Score Log'!$E$4:$E70,'Score Log'!$E70)=1,1,0))</f>
        <v>0</v>
      </c>
      <c r="AB70" s="33" t="str">
        <f aca="false">IF($AA70=1,SUM($AA$4:$AA70),"")</f>
        <v/>
      </c>
    </row>
    <row r="71" customFormat="false" ht="25.5" hidden="false" customHeight="true" outlineLevel="0" collapsed="false">
      <c r="A71" s="43" t="s">
        <v>93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AA71" s="33" t="n">
        <f aca="false">IF(OR('Score Log'!$C71="",'Score Log'!$E71=""),0,IF(COUNTIFS('Score Log'!$C$4:$C71,'Score Log'!$C71,'Score Log'!$E$4:$E71,'Score Log'!$E71)=1,1,0))</f>
        <v>0</v>
      </c>
      <c r="AB71" s="33" t="str">
        <f aca="false">IF($AA71=1,SUM($AA$4:$AA71),"")</f>
        <v/>
      </c>
    </row>
    <row r="72" customFormat="false" ht="25.5" hidden="false" customHeight="true" outlineLevel="0" collapsed="false">
      <c r="A72" s="43" t="s">
        <v>94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AA72" s="33" t="n">
        <f aca="false">IF(OR('Score Log'!$C72="",'Score Log'!$E72=""),0,IF(COUNTIFS('Score Log'!$C$4:$C72,'Score Log'!$C72,'Score Log'!$E$4:$E72,'Score Log'!$E72)=1,1,0))</f>
        <v>0</v>
      </c>
      <c r="AB72" s="33" t="str">
        <f aca="false">IF($AA72=1,SUM($AA$4:$AA72),"")</f>
        <v/>
      </c>
    </row>
    <row r="73" customFormat="false" ht="25.5" hidden="false" customHeight="true" outlineLevel="0" collapsed="false">
      <c r="A73" s="43" t="s">
        <v>95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AA73" s="33" t="n">
        <f aca="false">IF(OR('Score Log'!$C73="",'Score Log'!$E73=""),0,IF(COUNTIFS('Score Log'!$C$4:$C73,'Score Log'!$C73,'Score Log'!$E$4:$E73,'Score Log'!$E73)=1,1,0))</f>
        <v>0</v>
      </c>
      <c r="AB73" s="33" t="str">
        <f aca="false">IF($AA73=1,SUM($AA$4:$AA73),"")</f>
        <v/>
      </c>
    </row>
    <row r="74" customFormat="false" ht="15" hidden="false" customHeight="false" outlineLevel="0" collapsed="false">
      <c r="AA74" s="33" t="n">
        <f aca="false">IF(OR('Score Log'!$C74="",'Score Log'!$E74=""),0,IF(COUNTIFS('Score Log'!$C$4:$C74,'Score Log'!$C74,'Score Log'!$E$4:$E74,'Score Log'!$E74)=1,1,0))</f>
        <v>0</v>
      </c>
      <c r="AB74" s="33" t="str">
        <f aca="false">IF($AA74=1,SUM($AA$4:$AA74),"")</f>
        <v/>
      </c>
    </row>
    <row r="75" customFormat="false" ht="15" hidden="false" customHeight="false" outlineLevel="0" collapsed="false">
      <c r="AA75" s="33" t="n">
        <f aca="false">IF(OR('Score Log'!$C75="",'Score Log'!$E75=""),0,IF(COUNTIFS('Score Log'!$C$4:$C75,'Score Log'!$C75,'Score Log'!$E$4:$E75,'Score Log'!$E75)=1,1,0))</f>
        <v>0</v>
      </c>
      <c r="AB75" s="33" t="str">
        <f aca="false">IF($AA75=1,SUM($AA$4:$AA75),"")</f>
        <v/>
      </c>
    </row>
    <row r="76" customFormat="false" ht="15" hidden="false" customHeight="false" outlineLevel="0" collapsed="false">
      <c r="AA76" s="33" t="n">
        <f aca="false">IF(OR('Score Log'!$C76="",'Score Log'!$E76=""),0,IF(COUNTIFS('Score Log'!$C$4:$C76,'Score Log'!$C76,'Score Log'!$E$4:$E76,'Score Log'!$E76)=1,1,0))</f>
        <v>0</v>
      </c>
      <c r="AB76" s="33" t="str">
        <f aca="false">IF($AA76=1,SUM($AA$4:$AA76),"")</f>
        <v/>
      </c>
    </row>
    <row r="77" customFormat="false" ht="15" hidden="false" customHeight="false" outlineLevel="0" collapsed="false">
      <c r="AA77" s="33" t="n">
        <f aca="false">IF(OR('Score Log'!$C77="",'Score Log'!$E77=""),0,IF(COUNTIFS('Score Log'!$C$4:$C77,'Score Log'!$C77,'Score Log'!$E$4:$E77,'Score Log'!$E77)=1,1,0))</f>
        <v>0</v>
      </c>
      <c r="AB77" s="33" t="str">
        <f aca="false">IF($AA77=1,SUM($AA$4:$AA77),"")</f>
        <v/>
      </c>
    </row>
    <row r="78" customFormat="false" ht="15" hidden="false" customHeight="false" outlineLevel="0" collapsed="false">
      <c r="AA78" s="33" t="n">
        <f aca="false">IF(OR('Score Log'!$C78="",'Score Log'!$E78=""),0,IF(COUNTIFS('Score Log'!$C$4:$C78,'Score Log'!$C78,'Score Log'!$E$4:$E78,'Score Log'!$E78)=1,1,0))</f>
        <v>0</v>
      </c>
      <c r="AB78" s="33" t="str">
        <f aca="false">IF($AA78=1,SUM($AA$4:$AA78),"")</f>
        <v/>
      </c>
    </row>
    <row r="79" customFormat="false" ht="15" hidden="false" customHeight="false" outlineLevel="0" collapsed="false">
      <c r="AA79" s="33" t="n">
        <f aca="false">IF(OR('Score Log'!$C79="",'Score Log'!$E79=""),0,IF(COUNTIFS('Score Log'!$C$4:$C79,'Score Log'!$C79,'Score Log'!$E$4:$E79,'Score Log'!$E79)=1,1,0))</f>
        <v>0</v>
      </c>
      <c r="AB79" s="33" t="str">
        <f aca="false">IF($AA79=1,SUM($AA$4:$AA79),"")</f>
        <v/>
      </c>
    </row>
    <row r="80" customFormat="false" ht="15" hidden="false" customHeight="false" outlineLevel="0" collapsed="false">
      <c r="AA80" s="33" t="n">
        <f aca="false">IF(OR('Score Log'!$C80="",'Score Log'!$E80=""),0,IF(COUNTIFS('Score Log'!$C$4:$C80,'Score Log'!$C80,'Score Log'!$E$4:$E80,'Score Log'!$E80)=1,1,0))</f>
        <v>0</v>
      </c>
      <c r="AB80" s="33" t="str">
        <f aca="false">IF($AA80=1,SUM($AA$4:$AA80),"")</f>
        <v/>
      </c>
    </row>
    <row r="81" customFormat="false" ht="15" hidden="false" customHeight="false" outlineLevel="0" collapsed="false">
      <c r="AA81" s="33" t="n">
        <f aca="false">IF(OR('Score Log'!$C81="",'Score Log'!$E81=""),0,IF(COUNTIFS('Score Log'!$C$4:$C81,'Score Log'!$C81,'Score Log'!$E$4:$E81,'Score Log'!$E81)=1,1,0))</f>
        <v>0</v>
      </c>
      <c r="AB81" s="33" t="str">
        <f aca="false">IF($AA81=1,SUM($AA$4:$AA81),"")</f>
        <v/>
      </c>
    </row>
    <row r="82" customFormat="false" ht="15" hidden="false" customHeight="false" outlineLevel="0" collapsed="false">
      <c r="AA82" s="33" t="n">
        <f aca="false">IF(OR('Score Log'!$C82="",'Score Log'!$E82=""),0,IF(COUNTIFS('Score Log'!$C$4:$C82,'Score Log'!$C82,'Score Log'!$E$4:$E82,'Score Log'!$E82)=1,1,0))</f>
        <v>0</v>
      </c>
      <c r="AB82" s="33" t="str">
        <f aca="false">IF($AA82=1,SUM($AA$4:$AA82),"")</f>
        <v/>
      </c>
    </row>
    <row r="83" customFormat="false" ht="15" hidden="false" customHeight="false" outlineLevel="0" collapsed="false">
      <c r="AA83" s="33" t="n">
        <f aca="false">IF(OR('Score Log'!$C83="",'Score Log'!$E83=""),0,IF(COUNTIFS('Score Log'!$C$4:$C83,'Score Log'!$C83,'Score Log'!$E$4:$E83,'Score Log'!$E83)=1,1,0))</f>
        <v>0</v>
      </c>
      <c r="AB83" s="33" t="str">
        <f aca="false">IF($AA83=1,SUM($AA$4:$AA83),"")</f>
        <v/>
      </c>
    </row>
    <row r="84" customFormat="false" ht="15" hidden="false" customHeight="false" outlineLevel="0" collapsed="false">
      <c r="AA84" s="33" t="n">
        <f aca="false">IF(OR('Score Log'!$C84="",'Score Log'!$E84=""),0,IF(COUNTIFS('Score Log'!$C$4:$C84,'Score Log'!$C84,'Score Log'!$E$4:$E84,'Score Log'!$E84)=1,1,0))</f>
        <v>0</v>
      </c>
      <c r="AB84" s="33" t="str">
        <f aca="false">IF($AA84=1,SUM($AA$4:$AA84),"")</f>
        <v/>
      </c>
    </row>
    <row r="85" customFormat="false" ht="15" hidden="false" customHeight="false" outlineLevel="0" collapsed="false">
      <c r="AA85" s="33" t="n">
        <f aca="false">IF(OR('Score Log'!$C85="",'Score Log'!$E85=""),0,IF(COUNTIFS('Score Log'!$C$4:$C85,'Score Log'!$C85,'Score Log'!$E$4:$E85,'Score Log'!$E85)=1,1,0))</f>
        <v>0</v>
      </c>
      <c r="AB85" s="33" t="str">
        <f aca="false">IF($AA85=1,SUM($AA$4:$AA85),"")</f>
        <v/>
      </c>
    </row>
    <row r="86" customFormat="false" ht="15" hidden="false" customHeight="false" outlineLevel="0" collapsed="false">
      <c r="AA86" s="33" t="n">
        <f aca="false">IF(OR('Score Log'!$C86="",'Score Log'!$E86=""),0,IF(COUNTIFS('Score Log'!$C$4:$C86,'Score Log'!$C86,'Score Log'!$E$4:$E86,'Score Log'!$E86)=1,1,0))</f>
        <v>0</v>
      </c>
      <c r="AB86" s="33" t="str">
        <f aca="false">IF($AA86=1,SUM($AA$4:$AA86),"")</f>
        <v/>
      </c>
    </row>
    <row r="87" customFormat="false" ht="15" hidden="false" customHeight="false" outlineLevel="0" collapsed="false">
      <c r="AA87" s="33" t="n">
        <f aca="false">IF(OR('Score Log'!$C87="",'Score Log'!$E87=""),0,IF(COUNTIFS('Score Log'!$C$4:$C87,'Score Log'!$C87,'Score Log'!$E$4:$E87,'Score Log'!$E87)=1,1,0))</f>
        <v>0</v>
      </c>
      <c r="AB87" s="33" t="str">
        <f aca="false">IF($AA87=1,SUM($AA$4:$AA87),"")</f>
        <v/>
      </c>
    </row>
    <row r="88" customFormat="false" ht="15" hidden="false" customHeight="false" outlineLevel="0" collapsed="false">
      <c r="AA88" s="33" t="n">
        <f aca="false">IF(OR('Score Log'!$C88="",'Score Log'!$E88=""),0,IF(COUNTIFS('Score Log'!$C$4:$C88,'Score Log'!$C88,'Score Log'!$E$4:$E88,'Score Log'!$E88)=1,1,0))</f>
        <v>0</v>
      </c>
      <c r="AB88" s="33" t="str">
        <f aca="false">IF($AA88=1,SUM($AA$4:$AA88),"")</f>
        <v/>
      </c>
    </row>
    <row r="89" customFormat="false" ht="15" hidden="false" customHeight="false" outlineLevel="0" collapsed="false">
      <c r="AA89" s="33" t="n">
        <f aca="false">IF(OR('Score Log'!$C89="",'Score Log'!$E89=""),0,IF(COUNTIFS('Score Log'!$C$4:$C89,'Score Log'!$C89,'Score Log'!$E$4:$E89,'Score Log'!$E89)=1,1,0))</f>
        <v>0</v>
      </c>
      <c r="AB89" s="33" t="str">
        <f aca="false">IF($AA89=1,SUM($AA$4:$AA89),"")</f>
        <v/>
      </c>
    </row>
    <row r="90" customFormat="false" ht="15" hidden="false" customHeight="false" outlineLevel="0" collapsed="false">
      <c r="AA90" s="33" t="n">
        <f aca="false">IF(OR('Score Log'!$C90="",'Score Log'!$E90=""),0,IF(COUNTIFS('Score Log'!$C$4:$C90,'Score Log'!$C90,'Score Log'!$E$4:$E90,'Score Log'!$E90)=1,1,0))</f>
        <v>0</v>
      </c>
      <c r="AB90" s="33" t="str">
        <f aca="false">IF($AA90=1,SUM($AA$4:$AA90),"")</f>
        <v/>
      </c>
    </row>
    <row r="91" customFormat="false" ht="15" hidden="false" customHeight="false" outlineLevel="0" collapsed="false">
      <c r="AA91" s="33" t="n">
        <f aca="false">IF(OR('Score Log'!$C91="",'Score Log'!$E91=""),0,IF(COUNTIFS('Score Log'!$C$4:$C91,'Score Log'!$C91,'Score Log'!$E$4:$E91,'Score Log'!$E91)=1,1,0))</f>
        <v>0</v>
      </c>
      <c r="AB91" s="33" t="str">
        <f aca="false">IF($AA91=1,SUM($AA$4:$AA91),"")</f>
        <v/>
      </c>
    </row>
    <row r="92" customFormat="false" ht="15" hidden="false" customHeight="false" outlineLevel="0" collapsed="false">
      <c r="AA92" s="33" t="n">
        <f aca="false">IF(OR('Score Log'!$C92="",'Score Log'!$E92=""),0,IF(COUNTIFS('Score Log'!$C$4:$C92,'Score Log'!$C92,'Score Log'!$E$4:$E92,'Score Log'!$E92)=1,1,0))</f>
        <v>0</v>
      </c>
      <c r="AB92" s="33" t="str">
        <f aca="false">IF($AA92=1,SUM($AA$4:$AA92),"")</f>
        <v/>
      </c>
    </row>
    <row r="93" customFormat="false" ht="15" hidden="false" customHeight="false" outlineLevel="0" collapsed="false">
      <c r="AA93" s="33" t="n">
        <f aca="false">IF(OR('Score Log'!$C93="",'Score Log'!$E93=""),0,IF(COUNTIFS('Score Log'!$C$4:$C93,'Score Log'!$C93,'Score Log'!$E$4:$E93,'Score Log'!$E93)=1,1,0))</f>
        <v>0</v>
      </c>
      <c r="AB93" s="33" t="str">
        <f aca="false">IF($AA93=1,SUM($AA$4:$AA93),"")</f>
        <v/>
      </c>
    </row>
    <row r="94" customFormat="false" ht="15" hidden="false" customHeight="false" outlineLevel="0" collapsed="false">
      <c r="AA94" s="33" t="n">
        <f aca="false">IF(OR('Score Log'!$C94="",'Score Log'!$E94=""),0,IF(COUNTIFS('Score Log'!$C$4:$C94,'Score Log'!$C94,'Score Log'!$E$4:$E94,'Score Log'!$E94)=1,1,0))</f>
        <v>0</v>
      </c>
      <c r="AB94" s="33" t="str">
        <f aca="false">IF($AA94=1,SUM($AA$4:$AA94),"")</f>
        <v/>
      </c>
    </row>
    <row r="95" customFormat="false" ht="15" hidden="false" customHeight="false" outlineLevel="0" collapsed="false">
      <c r="AA95" s="33" t="n">
        <f aca="false">IF(OR('Score Log'!$C95="",'Score Log'!$E95=""),0,IF(COUNTIFS('Score Log'!$C$4:$C95,'Score Log'!$C95,'Score Log'!$E$4:$E95,'Score Log'!$E95)=1,1,0))</f>
        <v>0</v>
      </c>
      <c r="AB95" s="33" t="str">
        <f aca="false">IF($AA95=1,SUM($AA$4:$AA95),"")</f>
        <v/>
      </c>
    </row>
    <row r="96" customFormat="false" ht="15" hidden="false" customHeight="false" outlineLevel="0" collapsed="false">
      <c r="AA96" s="33" t="n">
        <f aca="false">IF(OR('Score Log'!$C96="",'Score Log'!$E96=""),0,IF(COUNTIFS('Score Log'!$C$4:$C96,'Score Log'!$C96,'Score Log'!$E$4:$E96,'Score Log'!$E96)=1,1,0))</f>
        <v>0</v>
      </c>
      <c r="AB96" s="33" t="str">
        <f aca="false">IF($AA96=1,SUM($AA$4:$AA96),"")</f>
        <v/>
      </c>
    </row>
    <row r="97" customFormat="false" ht="15" hidden="false" customHeight="false" outlineLevel="0" collapsed="false">
      <c r="AA97" s="33" t="n">
        <f aca="false">IF(OR('Score Log'!$C97="",'Score Log'!$E97=""),0,IF(COUNTIFS('Score Log'!$C$4:$C97,'Score Log'!$C97,'Score Log'!$E$4:$E97,'Score Log'!$E97)=1,1,0))</f>
        <v>0</v>
      </c>
      <c r="AB97" s="33" t="str">
        <f aca="false">IF($AA97=1,SUM($AA$4:$AA97),"")</f>
        <v/>
      </c>
    </row>
    <row r="98" customFormat="false" ht="15" hidden="false" customHeight="false" outlineLevel="0" collapsed="false">
      <c r="AA98" s="33" t="n">
        <f aca="false">IF(OR('Score Log'!$C98="",'Score Log'!$E98=""),0,IF(COUNTIFS('Score Log'!$C$4:$C98,'Score Log'!$C98,'Score Log'!$E$4:$E98,'Score Log'!$E98)=1,1,0))</f>
        <v>0</v>
      </c>
      <c r="AB98" s="33" t="str">
        <f aca="false">IF($AA98=1,SUM($AA$4:$AA98),"")</f>
        <v/>
      </c>
    </row>
    <row r="99" customFormat="false" ht="15" hidden="false" customHeight="false" outlineLevel="0" collapsed="false">
      <c r="AA99" s="33" t="n">
        <f aca="false">IF(OR('Score Log'!$C99="",'Score Log'!$E99=""),0,IF(COUNTIFS('Score Log'!$C$4:$C99,'Score Log'!$C99,'Score Log'!$E$4:$E99,'Score Log'!$E99)=1,1,0))</f>
        <v>0</v>
      </c>
      <c r="AB99" s="33" t="str">
        <f aca="false">IF($AA99=1,SUM($AA$4:$AA99),"")</f>
        <v/>
      </c>
    </row>
    <row r="100" customFormat="false" ht="15" hidden="false" customHeight="false" outlineLevel="0" collapsed="false">
      <c r="AA100" s="33" t="n">
        <f aca="false">IF(OR('Score Log'!$C100="",'Score Log'!$E100=""),0,IF(COUNTIFS('Score Log'!$C$4:$C100,'Score Log'!$C100,'Score Log'!$E$4:$E100,'Score Log'!$E100)=1,1,0))</f>
        <v>0</v>
      </c>
      <c r="AB100" s="33" t="str">
        <f aca="false">IF($AA100=1,SUM($AA$4:$AA100),"")</f>
        <v/>
      </c>
    </row>
    <row r="101" customFormat="false" ht="15" hidden="false" customHeight="false" outlineLevel="0" collapsed="false">
      <c r="AA101" s="33" t="n">
        <f aca="false">IF(OR('Score Log'!$C101="",'Score Log'!$E101=""),0,IF(COUNTIFS('Score Log'!$C$4:$C101,'Score Log'!$C101,'Score Log'!$E$4:$E101,'Score Log'!$E101)=1,1,0))</f>
        <v>0</v>
      </c>
      <c r="AB101" s="33" t="str">
        <f aca="false">IF($AA101=1,SUM($AA$4:$AA101),"")</f>
        <v/>
      </c>
    </row>
    <row r="102" customFormat="false" ht="15" hidden="false" customHeight="false" outlineLevel="0" collapsed="false">
      <c r="AA102" s="33" t="n">
        <f aca="false">IF(OR('Score Log'!$C102="",'Score Log'!$E102=""),0,IF(COUNTIFS('Score Log'!$C$4:$C102,'Score Log'!$C102,'Score Log'!$E$4:$E102,'Score Log'!$E102)=1,1,0))</f>
        <v>0</v>
      </c>
      <c r="AB102" s="33" t="str">
        <f aca="false">IF($AA102=1,SUM($AA$4:$AA102),"")</f>
        <v/>
      </c>
    </row>
    <row r="103" customFormat="false" ht="15" hidden="false" customHeight="false" outlineLevel="0" collapsed="false">
      <c r="AA103" s="33" t="n">
        <f aca="false">IF(OR('Score Log'!$C103="",'Score Log'!$E103=""),0,IF(COUNTIFS('Score Log'!$C$4:$C103,'Score Log'!$C103,'Score Log'!$E$4:$E103,'Score Log'!$E103)=1,1,0))</f>
        <v>0</v>
      </c>
      <c r="AB103" s="33" t="str">
        <f aca="false">IF($AA103=1,SUM($AA$4:$AA103),"")</f>
        <v/>
      </c>
    </row>
    <row r="104" customFormat="false" ht="15" hidden="false" customHeight="false" outlineLevel="0" collapsed="false">
      <c r="AA104" s="33" t="n">
        <f aca="false">IF(OR('Score Log'!$C104="",'Score Log'!$E104=""),0,IF(COUNTIFS('Score Log'!$C$4:$C104,'Score Log'!$C104,'Score Log'!$E$4:$E104,'Score Log'!$E104)=1,1,0))</f>
        <v>0</v>
      </c>
      <c r="AB104" s="33" t="str">
        <f aca="false">IF($AA104=1,SUM($AA$4:$AA104),"")</f>
        <v/>
      </c>
    </row>
    <row r="105" customFormat="false" ht="15" hidden="false" customHeight="false" outlineLevel="0" collapsed="false">
      <c r="AA105" s="33" t="n">
        <f aca="false">IF(OR('Score Log'!$C105="",'Score Log'!$E105=""),0,IF(COUNTIFS('Score Log'!$C$4:$C105,'Score Log'!$C105,'Score Log'!$E$4:$E105,'Score Log'!$E105)=1,1,0))</f>
        <v>0</v>
      </c>
      <c r="AB105" s="33" t="str">
        <f aca="false">IF($AA105=1,SUM($AA$4:$AA105),"")</f>
        <v/>
      </c>
    </row>
    <row r="106" customFormat="false" ht="15" hidden="false" customHeight="false" outlineLevel="0" collapsed="false">
      <c r="AA106" s="33" t="n">
        <f aca="false">IF(OR('Score Log'!$C106="",'Score Log'!$E106=""),0,IF(COUNTIFS('Score Log'!$C$4:$C106,'Score Log'!$C106,'Score Log'!$E$4:$E106,'Score Log'!$E106)=1,1,0))</f>
        <v>0</v>
      </c>
      <c r="AB106" s="33" t="str">
        <f aca="false">IF($AA106=1,SUM($AA$4:$AA106),"")</f>
        <v/>
      </c>
    </row>
    <row r="107" customFormat="false" ht="15" hidden="false" customHeight="false" outlineLevel="0" collapsed="false">
      <c r="AA107" s="33" t="n">
        <f aca="false">IF(OR('Score Log'!$C107="",'Score Log'!$E107=""),0,IF(COUNTIFS('Score Log'!$C$4:$C107,'Score Log'!$C107,'Score Log'!$E$4:$E107,'Score Log'!$E107)=1,1,0))</f>
        <v>0</v>
      </c>
      <c r="AB107" s="33" t="str">
        <f aca="false">IF($AA107=1,SUM($AA$4:$AA107),"")</f>
        <v/>
      </c>
    </row>
    <row r="108" customFormat="false" ht="15" hidden="false" customHeight="false" outlineLevel="0" collapsed="false">
      <c r="AA108" s="33" t="n">
        <f aca="false">IF(OR('Score Log'!$C108="",'Score Log'!$E108=""),0,IF(COUNTIFS('Score Log'!$C$4:$C108,'Score Log'!$C108,'Score Log'!$E$4:$E108,'Score Log'!$E108)=1,1,0))</f>
        <v>0</v>
      </c>
      <c r="AB108" s="33" t="str">
        <f aca="false">IF($AA108=1,SUM($AA$4:$AA108),"")</f>
        <v/>
      </c>
    </row>
    <row r="109" customFormat="false" ht="15" hidden="false" customHeight="false" outlineLevel="0" collapsed="false">
      <c r="AA109" s="33" t="n">
        <f aca="false">IF(OR('Score Log'!$C109="",'Score Log'!$E109=""),0,IF(COUNTIFS('Score Log'!$C$4:$C109,'Score Log'!$C109,'Score Log'!$E$4:$E109,'Score Log'!$E109)=1,1,0))</f>
        <v>0</v>
      </c>
      <c r="AB109" s="33" t="str">
        <f aca="false">IF($AA109=1,SUM($AA$4:$AA109),"")</f>
        <v/>
      </c>
    </row>
    <row r="110" customFormat="false" ht="15" hidden="false" customHeight="false" outlineLevel="0" collapsed="false">
      <c r="AA110" s="33" t="n">
        <f aca="false">IF(OR('Score Log'!$C110="",'Score Log'!$E110=""),0,IF(COUNTIFS('Score Log'!$C$4:$C110,'Score Log'!$C110,'Score Log'!$E$4:$E110,'Score Log'!$E110)=1,1,0))</f>
        <v>0</v>
      </c>
      <c r="AB110" s="33" t="str">
        <f aca="false">IF($AA110=1,SUM($AA$4:$AA110),"")</f>
        <v/>
      </c>
    </row>
    <row r="111" customFormat="false" ht="15" hidden="false" customHeight="false" outlineLevel="0" collapsed="false">
      <c r="AA111" s="33" t="n">
        <f aca="false">IF(OR('Score Log'!$C111="",'Score Log'!$E111=""),0,IF(COUNTIFS('Score Log'!$C$4:$C111,'Score Log'!$C111,'Score Log'!$E$4:$E111,'Score Log'!$E111)=1,1,0))</f>
        <v>0</v>
      </c>
      <c r="AB111" s="33" t="str">
        <f aca="false">IF($AA111=1,SUM($AA$4:$AA111),"")</f>
        <v/>
      </c>
    </row>
    <row r="112" customFormat="false" ht="15" hidden="false" customHeight="false" outlineLevel="0" collapsed="false">
      <c r="AA112" s="33" t="n">
        <f aca="false">IF(OR('Score Log'!$C112="",'Score Log'!$E112=""),0,IF(COUNTIFS('Score Log'!$C$4:$C112,'Score Log'!$C112,'Score Log'!$E$4:$E112,'Score Log'!$E112)=1,1,0))</f>
        <v>0</v>
      </c>
      <c r="AB112" s="33" t="str">
        <f aca="false">IF($AA112=1,SUM($AA$4:$AA112),"")</f>
        <v/>
      </c>
    </row>
    <row r="113" customFormat="false" ht="15" hidden="false" customHeight="false" outlineLevel="0" collapsed="false">
      <c r="AA113" s="33" t="n">
        <f aca="false">IF(OR('Score Log'!$C113="",'Score Log'!$E113=""),0,IF(COUNTIFS('Score Log'!$C$4:$C113,'Score Log'!$C113,'Score Log'!$E$4:$E113,'Score Log'!$E113)=1,1,0))</f>
        <v>0</v>
      </c>
      <c r="AB113" s="33" t="str">
        <f aca="false">IF($AA113=1,SUM($AA$4:$AA113),"")</f>
        <v/>
      </c>
    </row>
    <row r="114" customFormat="false" ht="15" hidden="false" customHeight="false" outlineLevel="0" collapsed="false">
      <c r="AA114" s="33" t="n">
        <f aca="false">IF(OR('Score Log'!$C114="",'Score Log'!$E114=""),0,IF(COUNTIFS('Score Log'!$C$4:$C114,'Score Log'!$C114,'Score Log'!$E$4:$E114,'Score Log'!$E114)=1,1,0))</f>
        <v>0</v>
      </c>
      <c r="AB114" s="33" t="str">
        <f aca="false">IF($AA114=1,SUM($AA$4:$AA114),"")</f>
        <v/>
      </c>
    </row>
    <row r="115" customFormat="false" ht="15" hidden="false" customHeight="false" outlineLevel="0" collapsed="false">
      <c r="AA115" s="33" t="n">
        <f aca="false">IF(OR('Score Log'!$C115="",'Score Log'!$E115=""),0,IF(COUNTIFS('Score Log'!$C$4:$C115,'Score Log'!$C115,'Score Log'!$E$4:$E115,'Score Log'!$E115)=1,1,0))</f>
        <v>0</v>
      </c>
      <c r="AB115" s="33" t="str">
        <f aca="false">IF($AA115=1,SUM($AA$4:$AA115),"")</f>
        <v/>
      </c>
    </row>
    <row r="116" customFormat="false" ht="15" hidden="false" customHeight="false" outlineLevel="0" collapsed="false">
      <c r="AA116" s="33" t="n">
        <f aca="false">IF(OR('Score Log'!$C116="",'Score Log'!$E116=""),0,IF(COUNTIFS('Score Log'!$C$4:$C116,'Score Log'!$C116,'Score Log'!$E$4:$E116,'Score Log'!$E116)=1,1,0))</f>
        <v>0</v>
      </c>
      <c r="AB116" s="33" t="str">
        <f aca="false">IF($AA116=1,SUM($AA$4:$AA116),"")</f>
        <v/>
      </c>
    </row>
    <row r="117" customFormat="false" ht="15" hidden="false" customHeight="false" outlineLevel="0" collapsed="false">
      <c r="AA117" s="33" t="n">
        <f aca="false">IF(OR('Score Log'!$C117="",'Score Log'!$E117=""),0,IF(COUNTIFS('Score Log'!$C$4:$C117,'Score Log'!$C117,'Score Log'!$E$4:$E117,'Score Log'!$E117)=1,1,0))</f>
        <v>0</v>
      </c>
      <c r="AB117" s="33" t="str">
        <f aca="false">IF($AA117=1,SUM($AA$4:$AA117),"")</f>
        <v/>
      </c>
    </row>
    <row r="118" customFormat="false" ht="15" hidden="false" customHeight="false" outlineLevel="0" collapsed="false">
      <c r="AA118" s="33" t="n">
        <f aca="false">IF(OR('Score Log'!$C118="",'Score Log'!$E118=""),0,IF(COUNTIFS('Score Log'!$C$4:$C118,'Score Log'!$C118,'Score Log'!$E$4:$E118,'Score Log'!$E118)=1,1,0))</f>
        <v>0</v>
      </c>
      <c r="AB118" s="33" t="str">
        <f aca="false">IF($AA118=1,SUM($AA$4:$AA118),"")</f>
        <v/>
      </c>
    </row>
    <row r="119" customFormat="false" ht="15" hidden="false" customHeight="false" outlineLevel="0" collapsed="false">
      <c r="AA119" s="33" t="n">
        <f aca="false">IF(OR('Score Log'!$C119="",'Score Log'!$E119=""),0,IF(COUNTIFS('Score Log'!$C$4:$C119,'Score Log'!$C119,'Score Log'!$E$4:$E119,'Score Log'!$E119)=1,1,0))</f>
        <v>0</v>
      </c>
      <c r="AB119" s="33" t="str">
        <f aca="false">IF($AA119=1,SUM($AA$4:$AA119),"")</f>
        <v/>
      </c>
    </row>
    <row r="120" customFormat="false" ht="15" hidden="false" customHeight="false" outlineLevel="0" collapsed="false">
      <c r="AA120" s="33" t="n">
        <f aca="false">IF(OR('Score Log'!$C120="",'Score Log'!$E120=""),0,IF(COUNTIFS('Score Log'!$C$4:$C120,'Score Log'!$C120,'Score Log'!$E$4:$E120,'Score Log'!$E120)=1,1,0))</f>
        <v>0</v>
      </c>
      <c r="AB120" s="33" t="str">
        <f aca="false">IF($AA120=1,SUM($AA$4:$AA120),"")</f>
        <v/>
      </c>
    </row>
    <row r="121" customFormat="false" ht="15" hidden="false" customHeight="false" outlineLevel="0" collapsed="false">
      <c r="AA121" s="33" t="n">
        <f aca="false">IF(OR('Score Log'!$C121="",'Score Log'!$E121=""),0,IF(COUNTIFS('Score Log'!$C$4:$C121,'Score Log'!$C121,'Score Log'!$E$4:$E121,'Score Log'!$E121)=1,1,0))</f>
        <v>0</v>
      </c>
      <c r="AB121" s="33" t="str">
        <f aca="false">IF($AA121=1,SUM($AA$4:$AA121),"")</f>
        <v/>
      </c>
    </row>
    <row r="122" customFormat="false" ht="15" hidden="false" customHeight="false" outlineLevel="0" collapsed="false">
      <c r="AA122" s="33" t="n">
        <f aca="false">IF(OR('Score Log'!$C122="",'Score Log'!$E122=""),0,IF(COUNTIFS('Score Log'!$C$4:$C122,'Score Log'!$C122,'Score Log'!$E$4:$E122,'Score Log'!$E122)=1,1,0))</f>
        <v>0</v>
      </c>
      <c r="AB122" s="33" t="str">
        <f aca="false">IF($AA122=1,SUM($AA$4:$AA122),"")</f>
        <v/>
      </c>
    </row>
    <row r="123" customFormat="false" ht="15" hidden="false" customHeight="false" outlineLevel="0" collapsed="false">
      <c r="AA123" s="33" t="n">
        <f aca="false">IF(OR('Score Log'!$C123="",'Score Log'!$E123=""),0,IF(COUNTIFS('Score Log'!$C$4:$C123,'Score Log'!$C123,'Score Log'!$E$4:$E123,'Score Log'!$E123)=1,1,0))</f>
        <v>0</v>
      </c>
      <c r="AB123" s="33" t="str">
        <f aca="false">IF($AA123=1,SUM($AA$4:$AA123),"")</f>
        <v/>
      </c>
    </row>
    <row r="124" customFormat="false" ht="15" hidden="false" customHeight="false" outlineLevel="0" collapsed="false">
      <c r="AA124" s="33" t="n">
        <f aca="false">IF(OR('Score Log'!$C124="",'Score Log'!$E124=""),0,IF(COUNTIFS('Score Log'!$C$4:$C124,'Score Log'!$C124,'Score Log'!$E$4:$E124,'Score Log'!$E124)=1,1,0))</f>
        <v>0</v>
      </c>
      <c r="AB124" s="33" t="str">
        <f aca="false">IF($AA124=1,SUM($AA$4:$AA124),"")</f>
        <v/>
      </c>
    </row>
    <row r="125" customFormat="false" ht="15" hidden="false" customHeight="false" outlineLevel="0" collapsed="false">
      <c r="AA125" s="33" t="n">
        <f aca="false">IF(OR('Score Log'!$C125="",'Score Log'!$E125=""),0,IF(COUNTIFS('Score Log'!$C$4:$C125,'Score Log'!$C125,'Score Log'!$E$4:$E125,'Score Log'!$E125)=1,1,0))</f>
        <v>0</v>
      </c>
      <c r="AB125" s="33" t="str">
        <f aca="false">IF($AA125=1,SUM($AA$4:$AA125),"")</f>
        <v/>
      </c>
    </row>
    <row r="126" customFormat="false" ht="15" hidden="false" customHeight="false" outlineLevel="0" collapsed="false">
      <c r="AA126" s="33" t="n">
        <f aca="false">IF(OR('Score Log'!$C126="",'Score Log'!$E126=""),0,IF(COUNTIFS('Score Log'!$C$4:$C126,'Score Log'!$C126,'Score Log'!$E$4:$E126,'Score Log'!$E126)=1,1,0))</f>
        <v>0</v>
      </c>
      <c r="AB126" s="33" t="str">
        <f aca="false">IF($AA126=1,SUM($AA$4:$AA126),"")</f>
        <v/>
      </c>
    </row>
    <row r="127" customFormat="false" ht="15" hidden="false" customHeight="false" outlineLevel="0" collapsed="false">
      <c r="AA127" s="33" t="n">
        <f aca="false">IF(OR('Score Log'!$C127="",'Score Log'!$E127=""),0,IF(COUNTIFS('Score Log'!$C$4:$C127,'Score Log'!$C127,'Score Log'!$E$4:$E127,'Score Log'!$E127)=1,1,0))</f>
        <v>0</v>
      </c>
      <c r="AB127" s="33" t="str">
        <f aca="false">IF($AA127=1,SUM($AA$4:$AA127),"")</f>
        <v/>
      </c>
    </row>
    <row r="128" customFormat="false" ht="15" hidden="false" customHeight="false" outlineLevel="0" collapsed="false">
      <c r="AA128" s="33" t="n">
        <f aca="false">IF(OR('Score Log'!$C128="",'Score Log'!$E128=""),0,IF(COUNTIFS('Score Log'!$C$4:$C128,'Score Log'!$C128,'Score Log'!$E$4:$E128,'Score Log'!$E128)=1,1,0))</f>
        <v>0</v>
      </c>
      <c r="AB128" s="33" t="str">
        <f aca="false">IF($AA128=1,SUM($AA$4:$AA128),"")</f>
        <v/>
      </c>
    </row>
    <row r="129" customFormat="false" ht="15" hidden="false" customHeight="false" outlineLevel="0" collapsed="false">
      <c r="AA129" s="33" t="n">
        <f aca="false">IF(OR('Score Log'!$C129="",'Score Log'!$E129=""),0,IF(COUNTIFS('Score Log'!$C$4:$C129,'Score Log'!$C129,'Score Log'!$E$4:$E129,'Score Log'!$E129)=1,1,0))</f>
        <v>0</v>
      </c>
      <c r="AB129" s="33" t="str">
        <f aca="false">IF($AA129=1,SUM($AA$4:$AA129),"")</f>
        <v/>
      </c>
    </row>
    <row r="130" customFormat="false" ht="15" hidden="false" customHeight="false" outlineLevel="0" collapsed="false">
      <c r="AA130" s="33" t="n">
        <f aca="false">IF(OR('Score Log'!$C130="",'Score Log'!$E130=""),0,IF(COUNTIFS('Score Log'!$C$4:$C130,'Score Log'!$C130,'Score Log'!$E$4:$E130,'Score Log'!$E130)=1,1,0))</f>
        <v>0</v>
      </c>
      <c r="AB130" s="33" t="str">
        <f aca="false">IF($AA130=1,SUM($AA$4:$AA130),"")</f>
        <v/>
      </c>
    </row>
    <row r="131" customFormat="false" ht="15" hidden="false" customHeight="false" outlineLevel="0" collapsed="false">
      <c r="AA131" s="33" t="n">
        <f aca="false">IF(OR('Score Log'!$C131="",'Score Log'!$E131=""),0,IF(COUNTIFS('Score Log'!$C$4:$C131,'Score Log'!$C131,'Score Log'!$E$4:$E131,'Score Log'!$E131)=1,1,0))</f>
        <v>0</v>
      </c>
      <c r="AB131" s="33" t="str">
        <f aca="false">IF($AA131=1,SUM($AA$4:$AA131),"")</f>
        <v/>
      </c>
    </row>
    <row r="132" customFormat="false" ht="15" hidden="false" customHeight="false" outlineLevel="0" collapsed="false">
      <c r="AA132" s="33" t="n">
        <f aca="false">IF(OR('Score Log'!$C132="",'Score Log'!$E132=""),0,IF(COUNTIFS('Score Log'!$C$4:$C132,'Score Log'!$C132,'Score Log'!$E$4:$E132,'Score Log'!$E132)=1,1,0))</f>
        <v>0</v>
      </c>
      <c r="AB132" s="33" t="str">
        <f aca="false">IF($AA132=1,SUM($AA$4:$AA132),"")</f>
        <v/>
      </c>
    </row>
    <row r="133" customFormat="false" ht="15" hidden="false" customHeight="false" outlineLevel="0" collapsed="false">
      <c r="AA133" s="33" t="n">
        <f aca="false">IF(OR('Score Log'!$C133="",'Score Log'!$E133=""),0,IF(COUNTIFS('Score Log'!$C$4:$C133,'Score Log'!$C133,'Score Log'!$E$4:$E133,'Score Log'!$E133)=1,1,0))</f>
        <v>0</v>
      </c>
      <c r="AB133" s="33" t="str">
        <f aca="false">IF($AA133=1,SUM($AA$4:$AA133),"")</f>
        <v/>
      </c>
    </row>
    <row r="134" customFormat="false" ht="15" hidden="false" customHeight="false" outlineLevel="0" collapsed="false">
      <c r="AA134" s="33" t="n">
        <f aca="false">IF(OR('Score Log'!$C134="",'Score Log'!$E134=""),0,IF(COUNTIFS('Score Log'!$C$4:$C134,'Score Log'!$C134,'Score Log'!$E$4:$E134,'Score Log'!$E134)=1,1,0))</f>
        <v>0</v>
      </c>
      <c r="AB134" s="33" t="str">
        <f aca="false">IF($AA134=1,SUM($AA$4:$AA134),"")</f>
        <v/>
      </c>
    </row>
    <row r="135" customFormat="false" ht="15" hidden="false" customHeight="false" outlineLevel="0" collapsed="false">
      <c r="AA135" s="33" t="n">
        <f aca="false">IF(OR('Score Log'!$C135="",'Score Log'!$E135=""),0,IF(COUNTIFS('Score Log'!$C$4:$C135,'Score Log'!$C135,'Score Log'!$E$4:$E135,'Score Log'!$E135)=1,1,0))</f>
        <v>0</v>
      </c>
      <c r="AB135" s="33" t="str">
        <f aca="false">IF($AA135=1,SUM($AA$4:$AA135),"")</f>
        <v/>
      </c>
    </row>
    <row r="136" customFormat="false" ht="15" hidden="false" customHeight="false" outlineLevel="0" collapsed="false">
      <c r="AA136" s="33" t="n">
        <f aca="false">IF(OR('Score Log'!$C136="",'Score Log'!$E136=""),0,IF(COUNTIFS('Score Log'!$C$4:$C136,'Score Log'!$C136,'Score Log'!$E$4:$E136,'Score Log'!$E136)=1,1,0))</f>
        <v>0</v>
      </c>
      <c r="AB136" s="33" t="str">
        <f aca="false">IF($AA136=1,SUM($AA$4:$AA136),"")</f>
        <v/>
      </c>
    </row>
    <row r="137" customFormat="false" ht="15" hidden="false" customHeight="false" outlineLevel="0" collapsed="false">
      <c r="AA137" s="33" t="n">
        <f aca="false">IF(OR('Score Log'!$C137="",'Score Log'!$E137=""),0,IF(COUNTIFS('Score Log'!$C$4:$C137,'Score Log'!$C137,'Score Log'!$E$4:$E137,'Score Log'!$E137)=1,1,0))</f>
        <v>0</v>
      </c>
      <c r="AB137" s="33" t="str">
        <f aca="false">IF($AA137=1,SUM($AA$4:$AA137),"")</f>
        <v/>
      </c>
    </row>
    <row r="138" customFormat="false" ht="15" hidden="false" customHeight="false" outlineLevel="0" collapsed="false">
      <c r="AA138" s="33" t="n">
        <f aca="false">IF(OR('Score Log'!$C138="",'Score Log'!$E138=""),0,IF(COUNTIFS('Score Log'!$C$4:$C138,'Score Log'!$C138,'Score Log'!$E$4:$E138,'Score Log'!$E138)=1,1,0))</f>
        <v>0</v>
      </c>
      <c r="AB138" s="33" t="str">
        <f aca="false">IF($AA138=1,SUM($AA$4:$AA138),"")</f>
        <v/>
      </c>
    </row>
    <row r="139" customFormat="false" ht="15" hidden="false" customHeight="false" outlineLevel="0" collapsed="false">
      <c r="AA139" s="33" t="n">
        <f aca="false">IF(OR('Score Log'!$C139="",'Score Log'!$E139=""),0,IF(COUNTIFS('Score Log'!$C$4:$C139,'Score Log'!$C139,'Score Log'!$E$4:$E139,'Score Log'!$E139)=1,1,0))</f>
        <v>0</v>
      </c>
      <c r="AB139" s="33" t="str">
        <f aca="false">IF($AA139=1,SUM($AA$4:$AA139),"")</f>
        <v/>
      </c>
    </row>
    <row r="140" customFormat="false" ht="15" hidden="false" customHeight="false" outlineLevel="0" collapsed="false">
      <c r="AA140" s="33" t="n">
        <f aca="false">IF(OR('Score Log'!$C140="",'Score Log'!$E140=""),0,IF(COUNTIFS('Score Log'!$C$4:$C140,'Score Log'!$C140,'Score Log'!$E$4:$E140,'Score Log'!$E140)=1,1,0))</f>
        <v>0</v>
      </c>
      <c r="AB140" s="33" t="str">
        <f aca="false">IF($AA140=1,SUM($AA$4:$AA140),"")</f>
        <v/>
      </c>
    </row>
    <row r="141" customFormat="false" ht="15" hidden="false" customHeight="false" outlineLevel="0" collapsed="false">
      <c r="AA141" s="33" t="n">
        <f aca="false">IF(OR('Score Log'!$C141="",'Score Log'!$E141=""),0,IF(COUNTIFS('Score Log'!$C$4:$C141,'Score Log'!$C141,'Score Log'!$E$4:$E141,'Score Log'!$E141)=1,1,0))</f>
        <v>0</v>
      </c>
      <c r="AB141" s="33" t="str">
        <f aca="false">IF($AA141=1,SUM($AA$4:$AA141),"")</f>
        <v/>
      </c>
    </row>
    <row r="142" customFormat="false" ht="15" hidden="false" customHeight="false" outlineLevel="0" collapsed="false">
      <c r="AA142" s="33" t="n">
        <f aca="false">IF(OR('Score Log'!$C142="",'Score Log'!$E142=""),0,IF(COUNTIFS('Score Log'!$C$4:$C142,'Score Log'!$C142,'Score Log'!$E$4:$E142,'Score Log'!$E142)=1,1,0))</f>
        <v>0</v>
      </c>
      <c r="AB142" s="33" t="str">
        <f aca="false">IF($AA142=1,SUM($AA$4:$AA142),"")</f>
        <v/>
      </c>
    </row>
    <row r="143" customFormat="false" ht="15" hidden="false" customHeight="false" outlineLevel="0" collapsed="false">
      <c r="AA143" s="33" t="n">
        <f aca="false">IF(OR('Score Log'!$C143="",'Score Log'!$E143=""),0,IF(COUNTIFS('Score Log'!$C$4:$C143,'Score Log'!$C143,'Score Log'!$E$4:$E143,'Score Log'!$E143)=1,1,0))</f>
        <v>0</v>
      </c>
      <c r="AB143" s="33" t="str">
        <f aca="false">IF($AA143=1,SUM($AA$4:$AA143),"")</f>
        <v/>
      </c>
    </row>
    <row r="144" customFormat="false" ht="15" hidden="false" customHeight="false" outlineLevel="0" collapsed="false">
      <c r="AA144" s="33" t="n">
        <f aca="false">IF(OR('Score Log'!$C144="",'Score Log'!$E144=""),0,IF(COUNTIFS('Score Log'!$C$4:$C144,'Score Log'!$C144,'Score Log'!$E$4:$E144,'Score Log'!$E144)=1,1,0))</f>
        <v>0</v>
      </c>
      <c r="AB144" s="33" t="str">
        <f aca="false">IF($AA144=1,SUM($AA$4:$AA144),"")</f>
        <v/>
      </c>
    </row>
    <row r="145" customFormat="false" ht="15" hidden="false" customHeight="false" outlineLevel="0" collapsed="false">
      <c r="AA145" s="33" t="n">
        <f aca="false">IF(OR('Score Log'!$C145="",'Score Log'!$E145=""),0,IF(COUNTIFS('Score Log'!$C$4:$C145,'Score Log'!$C145,'Score Log'!$E$4:$E145,'Score Log'!$E145)=1,1,0))</f>
        <v>0</v>
      </c>
      <c r="AB145" s="33" t="str">
        <f aca="false">IF($AA145=1,SUM($AA$4:$AA145),"")</f>
        <v/>
      </c>
    </row>
    <row r="146" customFormat="false" ht="15" hidden="false" customHeight="false" outlineLevel="0" collapsed="false">
      <c r="AA146" s="33" t="n">
        <f aca="false">IF(OR('Score Log'!$C146="",'Score Log'!$E146=""),0,IF(COUNTIFS('Score Log'!$C$4:$C146,'Score Log'!$C146,'Score Log'!$E$4:$E146,'Score Log'!$E146)=1,1,0))</f>
        <v>0</v>
      </c>
      <c r="AB146" s="33" t="str">
        <f aca="false">IF($AA146=1,SUM($AA$4:$AA146),"")</f>
        <v/>
      </c>
    </row>
    <row r="147" customFormat="false" ht="15" hidden="false" customHeight="false" outlineLevel="0" collapsed="false">
      <c r="AA147" s="33" t="n">
        <f aca="false">IF(OR('Score Log'!$C147="",'Score Log'!$E147=""),0,IF(COUNTIFS('Score Log'!$C$4:$C147,'Score Log'!$C147,'Score Log'!$E$4:$E147,'Score Log'!$E147)=1,1,0))</f>
        <v>0</v>
      </c>
      <c r="AB147" s="33" t="str">
        <f aca="false">IF($AA147=1,SUM($AA$4:$AA147),"")</f>
        <v/>
      </c>
    </row>
    <row r="148" customFormat="false" ht="15" hidden="false" customHeight="false" outlineLevel="0" collapsed="false">
      <c r="AA148" s="33" t="n">
        <f aca="false">IF(OR('Score Log'!$C148="",'Score Log'!$E148=""),0,IF(COUNTIFS('Score Log'!$C$4:$C148,'Score Log'!$C148,'Score Log'!$E$4:$E148,'Score Log'!$E148)=1,1,0))</f>
        <v>0</v>
      </c>
      <c r="AB148" s="33" t="str">
        <f aca="false">IF($AA148=1,SUM($AA$4:$AA148),"")</f>
        <v/>
      </c>
    </row>
    <row r="149" customFormat="false" ht="15" hidden="false" customHeight="false" outlineLevel="0" collapsed="false">
      <c r="AA149" s="33" t="n">
        <f aca="false">IF(OR('Score Log'!$C149="",'Score Log'!$E149=""),0,IF(COUNTIFS('Score Log'!$C$4:$C149,'Score Log'!$C149,'Score Log'!$E$4:$E149,'Score Log'!$E149)=1,1,0))</f>
        <v>0</v>
      </c>
      <c r="AB149" s="33" t="str">
        <f aca="false">IF($AA149=1,SUM($AA$4:$AA149),"")</f>
        <v/>
      </c>
    </row>
    <row r="150" customFormat="false" ht="15" hidden="false" customHeight="false" outlineLevel="0" collapsed="false">
      <c r="AA150" s="33" t="n">
        <f aca="false">IF(OR('Score Log'!$C150="",'Score Log'!$E150=""),0,IF(COUNTIFS('Score Log'!$C$4:$C150,'Score Log'!$C150,'Score Log'!$E$4:$E150,'Score Log'!$E150)=1,1,0))</f>
        <v>0</v>
      </c>
      <c r="AB150" s="33" t="str">
        <f aca="false">IF($AA150=1,SUM($AA$4:$AA150),"")</f>
        <v/>
      </c>
    </row>
    <row r="151" customFormat="false" ht="15" hidden="false" customHeight="false" outlineLevel="0" collapsed="false">
      <c r="AA151" s="33" t="n">
        <f aca="false">IF(OR('Score Log'!$C151="",'Score Log'!$E151=""),0,IF(COUNTIFS('Score Log'!$C$4:$C151,'Score Log'!$C151,'Score Log'!$E$4:$E151,'Score Log'!$E151)=1,1,0))</f>
        <v>0</v>
      </c>
      <c r="AB151" s="33" t="str">
        <f aca="false">IF($AA151=1,SUM($AA$4:$AA151),"")</f>
        <v/>
      </c>
    </row>
    <row r="152" customFormat="false" ht="15" hidden="false" customHeight="false" outlineLevel="0" collapsed="false">
      <c r="AA152" s="33" t="n">
        <f aca="false">IF(OR('Score Log'!$C152="",'Score Log'!$E152=""),0,IF(COUNTIFS('Score Log'!$C$4:$C152,'Score Log'!$C152,'Score Log'!$E$4:$E152,'Score Log'!$E152)=1,1,0))</f>
        <v>0</v>
      </c>
      <c r="AB152" s="33" t="str">
        <f aca="false">IF($AA152=1,SUM($AA$4:$AA152),"")</f>
        <v/>
      </c>
    </row>
    <row r="153" customFormat="false" ht="15" hidden="false" customHeight="false" outlineLevel="0" collapsed="false">
      <c r="AA153" s="33" t="n">
        <f aca="false">IF(OR('Score Log'!$C153="",'Score Log'!$E153=""),0,IF(COUNTIFS('Score Log'!$C$4:$C153,'Score Log'!$C153,'Score Log'!$E$4:$E153,'Score Log'!$E153)=1,1,0))</f>
        <v>0</v>
      </c>
      <c r="AB153" s="33" t="str">
        <f aca="false">IF($AA153=1,SUM($AA$4:$AA153),"")</f>
        <v/>
      </c>
    </row>
    <row r="154" customFormat="false" ht="15" hidden="false" customHeight="false" outlineLevel="0" collapsed="false">
      <c r="AA154" s="33" t="n">
        <f aca="false">IF(OR('Score Log'!$C154="",'Score Log'!$E154=""),0,IF(COUNTIFS('Score Log'!$C$4:$C154,'Score Log'!$C154,'Score Log'!$E$4:$E154,'Score Log'!$E154)=1,1,0))</f>
        <v>0</v>
      </c>
      <c r="AB154" s="33" t="str">
        <f aca="false">IF($AA154=1,SUM($AA$4:$AA154),"")</f>
        <v/>
      </c>
    </row>
    <row r="155" customFormat="false" ht="15" hidden="false" customHeight="false" outlineLevel="0" collapsed="false">
      <c r="AA155" s="33" t="n">
        <f aca="false">IF(OR('Score Log'!$C155="",'Score Log'!$E155=""),0,IF(COUNTIFS('Score Log'!$C$4:$C155,'Score Log'!$C155,'Score Log'!$E$4:$E155,'Score Log'!$E155)=1,1,0))</f>
        <v>0</v>
      </c>
      <c r="AB155" s="33" t="str">
        <f aca="false">IF($AA155=1,SUM($AA$4:$AA155),"")</f>
        <v/>
      </c>
    </row>
    <row r="156" customFormat="false" ht="15" hidden="false" customHeight="false" outlineLevel="0" collapsed="false">
      <c r="AA156" s="33" t="n">
        <f aca="false">IF(OR('Score Log'!$C156="",'Score Log'!$E156=""),0,IF(COUNTIFS('Score Log'!$C$4:$C156,'Score Log'!$C156,'Score Log'!$E$4:$E156,'Score Log'!$E156)=1,1,0))</f>
        <v>0</v>
      </c>
      <c r="AB156" s="33" t="str">
        <f aca="false">IF($AA156=1,SUM($AA$4:$AA156),"")</f>
        <v/>
      </c>
    </row>
    <row r="157" customFormat="false" ht="15" hidden="false" customHeight="false" outlineLevel="0" collapsed="false">
      <c r="AA157" s="33" t="n">
        <f aca="false">IF(OR('Score Log'!$C157="",'Score Log'!$E157=""),0,IF(COUNTIFS('Score Log'!$C$4:$C157,'Score Log'!$C157,'Score Log'!$E$4:$E157,'Score Log'!$E157)=1,1,0))</f>
        <v>0</v>
      </c>
      <c r="AB157" s="33" t="str">
        <f aca="false">IF($AA157=1,SUM($AA$4:$AA157),"")</f>
        <v/>
      </c>
    </row>
    <row r="158" customFormat="false" ht="15" hidden="false" customHeight="false" outlineLevel="0" collapsed="false">
      <c r="AA158" s="33" t="n">
        <f aca="false">IF(OR('Score Log'!$C158="",'Score Log'!$E158=""),0,IF(COUNTIFS('Score Log'!$C$4:$C158,'Score Log'!$C158,'Score Log'!$E$4:$E158,'Score Log'!$E158)=1,1,0))</f>
        <v>0</v>
      </c>
      <c r="AB158" s="33" t="str">
        <f aca="false">IF($AA158=1,SUM($AA$4:$AA158),"")</f>
        <v/>
      </c>
    </row>
    <row r="159" customFormat="false" ht="15" hidden="false" customHeight="false" outlineLevel="0" collapsed="false">
      <c r="AA159" s="33" t="n">
        <f aca="false">IF(OR('Score Log'!$C159="",'Score Log'!$E159=""),0,IF(COUNTIFS('Score Log'!$C$4:$C159,'Score Log'!$C159,'Score Log'!$E$4:$E159,'Score Log'!$E159)=1,1,0))</f>
        <v>0</v>
      </c>
      <c r="AB159" s="33" t="str">
        <f aca="false">IF($AA159=1,SUM($AA$4:$AA159),"")</f>
        <v/>
      </c>
    </row>
    <row r="160" customFormat="false" ht="15" hidden="false" customHeight="false" outlineLevel="0" collapsed="false">
      <c r="AA160" s="33" t="n">
        <f aca="false">IF(OR('Score Log'!$C160="",'Score Log'!$E160=""),0,IF(COUNTIFS('Score Log'!$C$4:$C160,'Score Log'!$C160,'Score Log'!$E$4:$E160,'Score Log'!$E160)=1,1,0))</f>
        <v>0</v>
      </c>
      <c r="AB160" s="33" t="str">
        <f aca="false">IF($AA160=1,SUM($AA$4:$AA160),"")</f>
        <v/>
      </c>
    </row>
    <row r="161" customFormat="false" ht="15" hidden="false" customHeight="false" outlineLevel="0" collapsed="false">
      <c r="AA161" s="33" t="n">
        <f aca="false">IF(OR('Score Log'!$C161="",'Score Log'!$E161=""),0,IF(COUNTIFS('Score Log'!$C$4:$C161,'Score Log'!$C161,'Score Log'!$E$4:$E161,'Score Log'!$E161)=1,1,0))</f>
        <v>0</v>
      </c>
      <c r="AB161" s="33" t="str">
        <f aca="false">IF($AA161=1,SUM($AA$4:$AA161),"")</f>
        <v/>
      </c>
    </row>
    <row r="162" customFormat="false" ht="15" hidden="false" customHeight="false" outlineLevel="0" collapsed="false">
      <c r="AA162" s="33" t="n">
        <f aca="false">IF(OR('Score Log'!$C162="",'Score Log'!$E162=""),0,IF(COUNTIFS('Score Log'!$C$4:$C162,'Score Log'!$C162,'Score Log'!$E$4:$E162,'Score Log'!$E162)=1,1,0))</f>
        <v>0</v>
      </c>
      <c r="AB162" s="33" t="str">
        <f aca="false">IF($AA162=1,SUM($AA$4:$AA162),"")</f>
        <v/>
      </c>
    </row>
    <row r="163" customFormat="false" ht="15" hidden="false" customHeight="false" outlineLevel="0" collapsed="false">
      <c r="AA163" s="33" t="n">
        <f aca="false">IF(OR('Score Log'!$C163="",'Score Log'!$E163=""),0,IF(COUNTIFS('Score Log'!$C$4:$C163,'Score Log'!$C163,'Score Log'!$E$4:$E163,'Score Log'!$E163)=1,1,0))</f>
        <v>0</v>
      </c>
      <c r="AB163" s="33" t="str">
        <f aca="false">IF($AA163=1,SUM($AA$4:$AA163),"")</f>
        <v/>
      </c>
    </row>
    <row r="164" customFormat="false" ht="15" hidden="false" customHeight="false" outlineLevel="0" collapsed="false">
      <c r="AA164" s="33" t="n">
        <f aca="false">IF(OR('Score Log'!$C164="",'Score Log'!$E164=""),0,IF(COUNTIFS('Score Log'!$C$4:$C164,'Score Log'!$C164,'Score Log'!$E$4:$E164,'Score Log'!$E164)=1,1,0))</f>
        <v>0</v>
      </c>
      <c r="AB164" s="33" t="str">
        <f aca="false">IF($AA164=1,SUM($AA$4:$AA164),"")</f>
        <v/>
      </c>
    </row>
    <row r="165" customFormat="false" ht="15" hidden="false" customHeight="false" outlineLevel="0" collapsed="false">
      <c r="AA165" s="33" t="n">
        <f aca="false">IF(OR('Score Log'!$C165="",'Score Log'!$E165=""),0,IF(COUNTIFS('Score Log'!$C$4:$C165,'Score Log'!$C165,'Score Log'!$E$4:$E165,'Score Log'!$E165)=1,1,0))</f>
        <v>0</v>
      </c>
      <c r="AB165" s="33" t="str">
        <f aca="false">IF($AA165=1,SUM($AA$4:$AA165),"")</f>
        <v/>
      </c>
    </row>
    <row r="166" customFormat="false" ht="15" hidden="false" customHeight="false" outlineLevel="0" collapsed="false">
      <c r="AA166" s="33" t="n">
        <f aca="false">IF(OR('Score Log'!$C166="",'Score Log'!$E166=""),0,IF(COUNTIFS('Score Log'!$C$4:$C166,'Score Log'!$C166,'Score Log'!$E$4:$E166,'Score Log'!$E166)=1,1,0))</f>
        <v>0</v>
      </c>
      <c r="AB166" s="33" t="str">
        <f aca="false">IF($AA166=1,SUM($AA$4:$AA166),"")</f>
        <v/>
      </c>
    </row>
    <row r="167" customFormat="false" ht="15" hidden="false" customHeight="false" outlineLevel="0" collapsed="false">
      <c r="AA167" s="33" t="n">
        <f aca="false">IF(OR('Score Log'!$C167="",'Score Log'!$E167=""),0,IF(COUNTIFS('Score Log'!$C$4:$C167,'Score Log'!$C167,'Score Log'!$E$4:$E167,'Score Log'!$E167)=1,1,0))</f>
        <v>0</v>
      </c>
      <c r="AB167" s="33" t="str">
        <f aca="false">IF($AA167=1,SUM($AA$4:$AA167),"")</f>
        <v/>
      </c>
    </row>
    <row r="168" customFormat="false" ht="15" hidden="false" customHeight="false" outlineLevel="0" collapsed="false">
      <c r="AA168" s="33" t="n">
        <f aca="false">IF(OR('Score Log'!$C168="",'Score Log'!$E168=""),0,IF(COUNTIFS('Score Log'!$C$4:$C168,'Score Log'!$C168,'Score Log'!$E$4:$E168,'Score Log'!$E168)=1,1,0))</f>
        <v>0</v>
      </c>
      <c r="AB168" s="33" t="str">
        <f aca="false">IF($AA168=1,SUM($AA$4:$AA168),"")</f>
        <v/>
      </c>
    </row>
    <row r="169" customFormat="false" ht="15" hidden="false" customHeight="false" outlineLevel="0" collapsed="false">
      <c r="AA169" s="33" t="n">
        <f aca="false">IF(OR('Score Log'!$C169="",'Score Log'!$E169=""),0,IF(COUNTIFS('Score Log'!$C$4:$C169,'Score Log'!$C169,'Score Log'!$E$4:$E169,'Score Log'!$E169)=1,1,0))</f>
        <v>0</v>
      </c>
      <c r="AB169" s="33" t="str">
        <f aca="false">IF($AA169=1,SUM($AA$4:$AA169),"")</f>
        <v/>
      </c>
    </row>
    <row r="170" customFormat="false" ht="15" hidden="false" customHeight="false" outlineLevel="0" collapsed="false">
      <c r="AA170" s="33" t="n">
        <f aca="false">IF(OR('Score Log'!$C170="",'Score Log'!$E170=""),0,IF(COUNTIFS('Score Log'!$C$4:$C170,'Score Log'!$C170,'Score Log'!$E$4:$E170,'Score Log'!$E170)=1,1,0))</f>
        <v>0</v>
      </c>
      <c r="AB170" s="33" t="str">
        <f aca="false">IF($AA170=1,SUM($AA$4:$AA170),"")</f>
        <v/>
      </c>
    </row>
    <row r="171" customFormat="false" ht="15" hidden="false" customHeight="false" outlineLevel="0" collapsed="false">
      <c r="AA171" s="33" t="n">
        <f aca="false">IF(OR('Score Log'!$C171="",'Score Log'!$E171=""),0,IF(COUNTIFS('Score Log'!$C$4:$C171,'Score Log'!$C171,'Score Log'!$E$4:$E171,'Score Log'!$E171)=1,1,0))</f>
        <v>0</v>
      </c>
      <c r="AB171" s="33" t="str">
        <f aca="false">IF($AA171=1,SUM($AA$4:$AA171),"")</f>
        <v/>
      </c>
    </row>
    <row r="172" customFormat="false" ht="15" hidden="false" customHeight="false" outlineLevel="0" collapsed="false">
      <c r="AA172" s="33" t="n">
        <f aca="false">IF(OR('Score Log'!$C172="",'Score Log'!$E172=""),0,IF(COUNTIFS('Score Log'!$C$4:$C172,'Score Log'!$C172,'Score Log'!$E$4:$E172,'Score Log'!$E172)=1,1,0))</f>
        <v>0</v>
      </c>
      <c r="AB172" s="33" t="str">
        <f aca="false">IF($AA172=1,SUM($AA$4:$AA172),"")</f>
        <v/>
      </c>
    </row>
    <row r="173" customFormat="false" ht="15" hidden="false" customHeight="false" outlineLevel="0" collapsed="false">
      <c r="AA173" s="33" t="n">
        <f aca="false">IF(OR('Score Log'!$C173="",'Score Log'!$E173=""),0,IF(COUNTIFS('Score Log'!$C$4:$C173,'Score Log'!$C173,'Score Log'!$E$4:$E173,'Score Log'!$E173)=1,1,0))</f>
        <v>0</v>
      </c>
      <c r="AB173" s="33" t="str">
        <f aca="false">IF($AA173=1,SUM($AA$4:$AA173),"")</f>
        <v/>
      </c>
    </row>
    <row r="174" customFormat="false" ht="15" hidden="false" customHeight="false" outlineLevel="0" collapsed="false">
      <c r="AA174" s="33" t="n">
        <f aca="false">IF(OR('Score Log'!$C174="",'Score Log'!$E174=""),0,IF(COUNTIFS('Score Log'!$C$4:$C174,'Score Log'!$C174,'Score Log'!$E$4:$E174,'Score Log'!$E174)=1,1,0))</f>
        <v>0</v>
      </c>
      <c r="AB174" s="33" t="str">
        <f aca="false">IF($AA174=1,SUM($AA$4:$AA174),"")</f>
        <v/>
      </c>
    </row>
    <row r="175" customFormat="false" ht="15" hidden="false" customHeight="false" outlineLevel="0" collapsed="false">
      <c r="AA175" s="33" t="n">
        <f aca="false">IF(OR('Score Log'!$C175="",'Score Log'!$E175=""),0,IF(COUNTIFS('Score Log'!$C$4:$C175,'Score Log'!$C175,'Score Log'!$E$4:$E175,'Score Log'!$E175)=1,1,0))</f>
        <v>0</v>
      </c>
      <c r="AB175" s="33" t="str">
        <f aca="false">IF($AA175=1,SUM($AA$4:$AA175),"")</f>
        <v/>
      </c>
    </row>
    <row r="176" customFormat="false" ht="15" hidden="false" customHeight="false" outlineLevel="0" collapsed="false">
      <c r="AA176" s="33" t="n">
        <f aca="false">IF(OR('Score Log'!$C176="",'Score Log'!$E176=""),0,IF(COUNTIFS('Score Log'!$C$4:$C176,'Score Log'!$C176,'Score Log'!$E$4:$E176,'Score Log'!$E176)=1,1,0))</f>
        <v>0</v>
      </c>
      <c r="AB176" s="33" t="str">
        <f aca="false">IF($AA176=1,SUM($AA$4:$AA176),"")</f>
        <v/>
      </c>
    </row>
    <row r="177" customFormat="false" ht="15" hidden="false" customHeight="false" outlineLevel="0" collapsed="false">
      <c r="AA177" s="33" t="n">
        <f aca="false">IF(OR('Score Log'!$C177="",'Score Log'!$E177=""),0,IF(COUNTIFS('Score Log'!$C$4:$C177,'Score Log'!$C177,'Score Log'!$E$4:$E177,'Score Log'!$E177)=1,1,0))</f>
        <v>0</v>
      </c>
      <c r="AB177" s="33" t="str">
        <f aca="false">IF($AA177=1,SUM($AA$4:$AA177),"")</f>
        <v/>
      </c>
    </row>
    <row r="178" customFormat="false" ht="15" hidden="false" customHeight="false" outlineLevel="0" collapsed="false">
      <c r="AA178" s="33" t="n">
        <f aca="false">IF(OR('Score Log'!$C178="",'Score Log'!$E178=""),0,IF(COUNTIFS('Score Log'!$C$4:$C178,'Score Log'!$C178,'Score Log'!$E$4:$E178,'Score Log'!$E178)=1,1,0))</f>
        <v>0</v>
      </c>
      <c r="AB178" s="33" t="str">
        <f aca="false">IF($AA178=1,SUM($AA$4:$AA178),"")</f>
        <v/>
      </c>
    </row>
    <row r="179" customFormat="false" ht="15" hidden="false" customHeight="false" outlineLevel="0" collapsed="false">
      <c r="AA179" s="33" t="n">
        <f aca="false">IF(OR('Score Log'!$C179="",'Score Log'!$E179=""),0,IF(COUNTIFS('Score Log'!$C$4:$C179,'Score Log'!$C179,'Score Log'!$E$4:$E179,'Score Log'!$E179)=1,1,0))</f>
        <v>0</v>
      </c>
      <c r="AB179" s="33" t="str">
        <f aca="false">IF($AA179=1,SUM($AA$4:$AA179),"")</f>
        <v/>
      </c>
    </row>
    <row r="180" customFormat="false" ht="15" hidden="false" customHeight="false" outlineLevel="0" collapsed="false">
      <c r="AA180" s="33" t="n">
        <f aca="false">IF(OR('Score Log'!$C180="",'Score Log'!$E180=""),0,IF(COUNTIFS('Score Log'!$C$4:$C180,'Score Log'!$C180,'Score Log'!$E$4:$E180,'Score Log'!$E180)=1,1,0))</f>
        <v>0</v>
      </c>
      <c r="AB180" s="33" t="str">
        <f aca="false">IF($AA180=1,SUM($AA$4:$AA180),"")</f>
        <v/>
      </c>
    </row>
    <row r="181" customFormat="false" ht="15" hidden="false" customHeight="false" outlineLevel="0" collapsed="false">
      <c r="AA181" s="33" t="n">
        <f aca="false">IF(OR('Score Log'!$C181="",'Score Log'!$E181=""),0,IF(COUNTIFS('Score Log'!$C$4:$C181,'Score Log'!$C181,'Score Log'!$E$4:$E181,'Score Log'!$E181)=1,1,0))</f>
        <v>0</v>
      </c>
      <c r="AB181" s="33" t="str">
        <f aca="false">IF($AA181=1,SUM($AA$4:$AA181),"")</f>
        <v/>
      </c>
    </row>
    <row r="182" customFormat="false" ht="15" hidden="false" customHeight="false" outlineLevel="0" collapsed="false">
      <c r="AA182" s="33" t="n">
        <f aca="false">IF(OR('Score Log'!$C182="",'Score Log'!$E182=""),0,IF(COUNTIFS('Score Log'!$C$4:$C182,'Score Log'!$C182,'Score Log'!$E$4:$E182,'Score Log'!$E182)=1,1,0))</f>
        <v>0</v>
      </c>
      <c r="AB182" s="33" t="str">
        <f aca="false">IF($AA182=1,SUM($AA$4:$AA182),"")</f>
        <v/>
      </c>
    </row>
    <row r="183" customFormat="false" ht="15" hidden="false" customHeight="false" outlineLevel="0" collapsed="false">
      <c r="AA183" s="33" t="n">
        <f aca="false">IF(OR('Score Log'!$C183="",'Score Log'!$E183=""),0,IF(COUNTIFS('Score Log'!$C$4:$C183,'Score Log'!$C183,'Score Log'!$E$4:$E183,'Score Log'!$E183)=1,1,0))</f>
        <v>0</v>
      </c>
      <c r="AB183" s="33" t="str">
        <f aca="false">IF($AA183=1,SUM($AA$4:$AA183),"")</f>
        <v/>
      </c>
    </row>
    <row r="184" customFormat="false" ht="15" hidden="false" customHeight="false" outlineLevel="0" collapsed="false">
      <c r="AA184" s="33" t="n">
        <f aca="false">IF(OR('Score Log'!$C184="",'Score Log'!$E184=""),0,IF(COUNTIFS('Score Log'!$C$4:$C184,'Score Log'!$C184,'Score Log'!$E$4:$E184,'Score Log'!$E184)=1,1,0))</f>
        <v>0</v>
      </c>
      <c r="AB184" s="33" t="str">
        <f aca="false">IF($AA184=1,SUM($AA$4:$AA184),"")</f>
        <v/>
      </c>
    </row>
    <row r="185" customFormat="false" ht="15" hidden="false" customHeight="false" outlineLevel="0" collapsed="false">
      <c r="AA185" s="33" t="n">
        <f aca="false">IF(OR('Score Log'!$C185="",'Score Log'!$E185=""),0,IF(COUNTIFS('Score Log'!$C$4:$C185,'Score Log'!$C185,'Score Log'!$E$4:$E185,'Score Log'!$E185)=1,1,0))</f>
        <v>0</v>
      </c>
      <c r="AB185" s="33" t="str">
        <f aca="false">IF($AA185=1,SUM($AA$4:$AA185),"")</f>
        <v/>
      </c>
    </row>
    <row r="186" customFormat="false" ht="15" hidden="false" customHeight="false" outlineLevel="0" collapsed="false">
      <c r="AA186" s="33" t="n">
        <f aca="false">IF(OR('Score Log'!$C186="",'Score Log'!$E186=""),0,IF(COUNTIFS('Score Log'!$C$4:$C186,'Score Log'!$C186,'Score Log'!$E$4:$E186,'Score Log'!$E186)=1,1,0))</f>
        <v>0</v>
      </c>
      <c r="AB186" s="33" t="str">
        <f aca="false">IF($AA186=1,SUM($AA$4:$AA186),"")</f>
        <v/>
      </c>
    </row>
    <row r="187" customFormat="false" ht="15" hidden="false" customHeight="false" outlineLevel="0" collapsed="false">
      <c r="AA187" s="33" t="n">
        <f aca="false">IF(OR('Score Log'!$C187="",'Score Log'!$E187=""),0,IF(COUNTIFS('Score Log'!$C$4:$C187,'Score Log'!$C187,'Score Log'!$E$4:$E187,'Score Log'!$E187)=1,1,0))</f>
        <v>0</v>
      </c>
      <c r="AB187" s="33" t="str">
        <f aca="false">IF($AA187=1,SUM($AA$4:$AA187),"")</f>
        <v/>
      </c>
    </row>
    <row r="188" customFormat="false" ht="15" hidden="false" customHeight="false" outlineLevel="0" collapsed="false">
      <c r="AA188" s="33" t="n">
        <f aca="false">IF(OR('Score Log'!$C188="",'Score Log'!$E188=""),0,IF(COUNTIFS('Score Log'!$C$4:$C188,'Score Log'!$C188,'Score Log'!$E$4:$E188,'Score Log'!$E188)=1,1,0))</f>
        <v>0</v>
      </c>
      <c r="AB188" s="33" t="str">
        <f aca="false">IF($AA188=1,SUM($AA$4:$AA188),"")</f>
        <v/>
      </c>
    </row>
    <row r="189" customFormat="false" ht="15" hidden="false" customHeight="false" outlineLevel="0" collapsed="false">
      <c r="AA189" s="33" t="n">
        <f aca="false">IF(OR('Score Log'!$C189="",'Score Log'!$E189=""),0,IF(COUNTIFS('Score Log'!$C$4:$C189,'Score Log'!$C189,'Score Log'!$E$4:$E189,'Score Log'!$E189)=1,1,0))</f>
        <v>0</v>
      </c>
      <c r="AB189" s="33" t="str">
        <f aca="false">IF($AA189=1,SUM($AA$4:$AA189),"")</f>
        <v/>
      </c>
    </row>
    <row r="190" customFormat="false" ht="15" hidden="false" customHeight="false" outlineLevel="0" collapsed="false">
      <c r="AA190" s="33" t="n">
        <f aca="false">IF(OR('Score Log'!$C190="",'Score Log'!$E190=""),0,IF(COUNTIFS('Score Log'!$C$4:$C190,'Score Log'!$C190,'Score Log'!$E$4:$E190,'Score Log'!$E190)=1,1,0))</f>
        <v>0</v>
      </c>
      <c r="AB190" s="33" t="str">
        <f aca="false">IF($AA190=1,SUM($AA$4:$AA190),"")</f>
        <v/>
      </c>
    </row>
    <row r="191" customFormat="false" ht="15" hidden="false" customHeight="false" outlineLevel="0" collapsed="false">
      <c r="AA191" s="33" t="n">
        <f aca="false">IF(OR('Score Log'!$C191="",'Score Log'!$E191=""),0,IF(COUNTIFS('Score Log'!$C$4:$C191,'Score Log'!$C191,'Score Log'!$E$4:$E191,'Score Log'!$E191)=1,1,0))</f>
        <v>0</v>
      </c>
      <c r="AB191" s="33" t="str">
        <f aca="false">IF($AA191=1,SUM($AA$4:$AA191),"")</f>
        <v/>
      </c>
    </row>
    <row r="192" customFormat="false" ht="15" hidden="false" customHeight="false" outlineLevel="0" collapsed="false">
      <c r="AA192" s="33" t="n">
        <f aca="false">IF(OR('Score Log'!$C192="",'Score Log'!$E192=""),0,IF(COUNTIFS('Score Log'!$C$4:$C192,'Score Log'!$C192,'Score Log'!$E$4:$E192,'Score Log'!$E192)=1,1,0))</f>
        <v>0</v>
      </c>
      <c r="AB192" s="33" t="str">
        <f aca="false">IF($AA192=1,SUM($AA$4:$AA192),"")</f>
        <v/>
      </c>
    </row>
    <row r="193" customFormat="false" ht="15" hidden="false" customHeight="false" outlineLevel="0" collapsed="false">
      <c r="AA193" s="33" t="n">
        <f aca="false">IF(OR('Score Log'!$C193="",'Score Log'!$E193=""),0,IF(COUNTIFS('Score Log'!$C$4:$C193,'Score Log'!$C193,'Score Log'!$E$4:$E193,'Score Log'!$E193)=1,1,0))</f>
        <v>0</v>
      </c>
      <c r="AB193" s="33" t="str">
        <f aca="false">IF($AA193=1,SUM($AA$4:$AA193),"")</f>
        <v/>
      </c>
    </row>
    <row r="194" customFormat="false" ht="15" hidden="false" customHeight="false" outlineLevel="0" collapsed="false">
      <c r="AA194" s="33" t="n">
        <f aca="false">IF(OR('Score Log'!$C194="",'Score Log'!$E194=""),0,IF(COUNTIFS('Score Log'!$C$4:$C194,'Score Log'!$C194,'Score Log'!$E$4:$E194,'Score Log'!$E194)=1,1,0))</f>
        <v>0</v>
      </c>
      <c r="AB194" s="33" t="str">
        <f aca="false">IF($AA194=1,SUM($AA$4:$AA194),"")</f>
        <v/>
      </c>
    </row>
    <row r="195" customFormat="false" ht="15" hidden="false" customHeight="false" outlineLevel="0" collapsed="false">
      <c r="AA195" s="33" t="n">
        <f aca="false">IF(OR('Score Log'!$C195="",'Score Log'!$E195=""),0,IF(COUNTIFS('Score Log'!$C$4:$C195,'Score Log'!$C195,'Score Log'!$E$4:$E195,'Score Log'!$E195)=1,1,0))</f>
        <v>0</v>
      </c>
      <c r="AB195" s="33" t="str">
        <f aca="false">IF($AA195=1,SUM($AA$4:$AA195),"")</f>
        <v/>
      </c>
    </row>
    <row r="196" customFormat="false" ht="15" hidden="false" customHeight="false" outlineLevel="0" collapsed="false">
      <c r="AA196" s="33" t="n">
        <f aca="false">IF(OR('Score Log'!$C196="",'Score Log'!$E196=""),0,IF(COUNTIFS('Score Log'!$C$4:$C196,'Score Log'!$C196,'Score Log'!$E$4:$E196,'Score Log'!$E196)=1,1,0))</f>
        <v>0</v>
      </c>
      <c r="AB196" s="33" t="str">
        <f aca="false">IF($AA196=1,SUM($AA$4:$AA196),"")</f>
        <v/>
      </c>
    </row>
    <row r="197" customFormat="false" ht="15" hidden="false" customHeight="false" outlineLevel="0" collapsed="false">
      <c r="AA197" s="33" t="n">
        <f aca="false">IF(OR('Score Log'!$C197="",'Score Log'!$E197=""),0,IF(COUNTIFS('Score Log'!$C$4:$C197,'Score Log'!$C197,'Score Log'!$E$4:$E197,'Score Log'!$E197)=1,1,0))</f>
        <v>0</v>
      </c>
      <c r="AB197" s="33" t="str">
        <f aca="false">IF($AA197=1,SUM($AA$4:$AA197),"")</f>
        <v/>
      </c>
    </row>
    <row r="198" customFormat="false" ht="15" hidden="false" customHeight="false" outlineLevel="0" collapsed="false">
      <c r="AA198" s="33" t="n">
        <f aca="false">IF(OR('Score Log'!$C198="",'Score Log'!$E198=""),0,IF(COUNTIFS('Score Log'!$C$4:$C198,'Score Log'!$C198,'Score Log'!$E$4:$E198,'Score Log'!$E198)=1,1,0))</f>
        <v>0</v>
      </c>
      <c r="AB198" s="33" t="str">
        <f aca="false">IF($AA198=1,SUM($AA$4:$AA198),"")</f>
        <v/>
      </c>
    </row>
    <row r="199" customFormat="false" ht="15" hidden="false" customHeight="false" outlineLevel="0" collapsed="false">
      <c r="AA199" s="33" t="n">
        <f aca="false">IF(OR('Score Log'!$C199="",'Score Log'!$E199=""),0,IF(COUNTIFS('Score Log'!$C$4:$C199,'Score Log'!$C199,'Score Log'!$E$4:$E199,'Score Log'!$E199)=1,1,0))</f>
        <v>0</v>
      </c>
      <c r="AB199" s="33" t="str">
        <f aca="false">IF($AA199=1,SUM($AA$4:$AA199),"")</f>
        <v/>
      </c>
    </row>
    <row r="200" customFormat="false" ht="15" hidden="false" customHeight="false" outlineLevel="0" collapsed="false">
      <c r="AA200" s="33" t="n">
        <f aca="false">IF(OR('Score Log'!$C200="",'Score Log'!$E200=""),0,IF(COUNTIFS('Score Log'!$C$4:$C200,'Score Log'!$C200,'Score Log'!$E$4:$E200,'Score Log'!$E200)=1,1,0))</f>
        <v>0</v>
      </c>
      <c r="AB200" s="33" t="str">
        <f aca="false">IF($AA200=1,SUM($AA$4:$AA200),"")</f>
        <v/>
      </c>
    </row>
    <row r="201" customFormat="false" ht="15" hidden="false" customHeight="false" outlineLevel="0" collapsed="false">
      <c r="AA201" s="33" t="n">
        <f aca="false">IF(OR('Score Log'!$C201="",'Score Log'!$E201=""),0,IF(COUNTIFS('Score Log'!$C$4:$C201,'Score Log'!$C201,'Score Log'!$E$4:$E201,'Score Log'!$E201)=1,1,0))</f>
        <v>0</v>
      </c>
      <c r="AB201" s="33" t="str">
        <f aca="false">IF($AA201=1,SUM($AA$4:$AA201),"")</f>
        <v/>
      </c>
    </row>
    <row r="202" customFormat="false" ht="15" hidden="false" customHeight="false" outlineLevel="0" collapsed="false">
      <c r="AA202" s="33" t="n">
        <f aca="false">IF(OR('Score Log'!$C202="",'Score Log'!$E202=""),0,IF(COUNTIFS('Score Log'!$C$4:$C202,'Score Log'!$C202,'Score Log'!$E$4:$E202,'Score Log'!$E202)=1,1,0))</f>
        <v>0</v>
      </c>
      <c r="AB202" s="33" t="str">
        <f aca="false">IF($AA202=1,SUM($AA$4:$AA202),"")</f>
        <v/>
      </c>
    </row>
    <row r="203" customFormat="false" ht="15" hidden="false" customHeight="false" outlineLevel="0" collapsed="false">
      <c r="AA203" s="33" t="n">
        <f aca="false">IF(OR('Score Log'!$C203="",'Score Log'!$E203=""),0,IF(COUNTIFS('Score Log'!$C$4:$C203,'Score Log'!$C203,'Score Log'!$E$4:$E203,'Score Log'!$E203)=1,1,0))</f>
        <v>0</v>
      </c>
      <c r="AB203" s="33" t="str">
        <f aca="false">IF($AA203=1,SUM($AA$4:$AA203),"")</f>
        <v/>
      </c>
    </row>
  </sheetData>
  <mergeCells count="9">
    <mergeCell ref="A3:C3"/>
    <mergeCell ref="D3:J3"/>
    <mergeCell ref="K3:M3"/>
    <mergeCell ref="A68:M68"/>
    <mergeCell ref="A69:M69"/>
    <mergeCell ref="A70:M70"/>
    <mergeCell ref="A71:M71"/>
    <mergeCell ref="A72:M72"/>
    <mergeCell ref="A73:M73"/>
  </mergeCells>
  <conditionalFormatting sqref="E5:I64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K5:M64">
    <cfRule type="colorScale" priority="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96B0"/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4" activeCellId="0" sqref="C4"/>
    </sheetView>
  </sheetViews>
  <sheetFormatPr defaultColWidth="8.6640625" defaultRowHeight="14.2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8"/>
    <col collapsed="false" customWidth="true" hidden="false" outlineLevel="0" max="4" min="4" style="0" width="26"/>
    <col collapsed="false" customWidth="true" hidden="false" outlineLevel="0" max="5" min="5" style="0" width="54.89"/>
    <col collapsed="false" customWidth="true" hidden="false" outlineLevel="0" max="6" min="6" style="0" width="34"/>
  </cols>
  <sheetData>
    <row r="1" customFormat="false" ht="17.25" hidden="false" customHeight="true" outlineLevel="0" collapsed="false">
      <c r="A1" s="5" t="s">
        <v>96</v>
      </c>
      <c r="D1" s="6" t="s">
        <v>97</v>
      </c>
    </row>
    <row r="2" customFormat="false" ht="14.25" hidden="false" customHeight="false" outlineLevel="0" collapsed="false">
      <c r="A2" s="44" t="s">
        <v>98</v>
      </c>
      <c r="B2" s="44" t="s">
        <v>99</v>
      </c>
      <c r="C2" s="44" t="s">
        <v>100</v>
      </c>
      <c r="D2" s="44" t="s">
        <v>101</v>
      </c>
      <c r="E2" s="44" t="s">
        <v>102</v>
      </c>
      <c r="F2" s="44" t="s">
        <v>103</v>
      </c>
    </row>
    <row r="3" customFormat="false" ht="14.25" hidden="false" customHeight="false" outlineLevel="0" collapsed="false">
      <c r="A3" s="45" t="s">
        <v>48</v>
      </c>
      <c r="B3" s="45"/>
      <c r="C3" s="45" t="s">
        <v>104</v>
      </c>
      <c r="D3" s="46" t="s">
        <v>105</v>
      </c>
      <c r="E3" s="45" t="s">
        <v>106</v>
      </c>
      <c r="F3" s="45"/>
    </row>
    <row r="4" customFormat="false" ht="14.25" hidden="false" customHeight="false" outlineLevel="0" collapsed="false">
      <c r="A4" s="45" t="s">
        <v>57</v>
      </c>
      <c r="B4" s="45"/>
      <c r="C4" s="45"/>
      <c r="D4" s="45"/>
      <c r="E4" s="45"/>
      <c r="F4" s="45"/>
    </row>
    <row r="5" customFormat="false" ht="14.25" hidden="false" customHeight="false" outlineLevel="0" collapsed="false">
      <c r="A5" s="45"/>
      <c r="B5" s="45"/>
      <c r="C5" s="45"/>
      <c r="D5" s="45"/>
      <c r="E5" s="45"/>
      <c r="F5" s="45"/>
    </row>
    <row r="6" customFormat="false" ht="14.25" hidden="false" customHeight="false" outlineLevel="0" collapsed="false">
      <c r="A6" s="47"/>
      <c r="B6" s="47"/>
      <c r="C6" s="47"/>
      <c r="D6" s="47"/>
      <c r="E6" s="47"/>
      <c r="F6" s="47"/>
    </row>
    <row r="7" customFormat="false" ht="14.25" hidden="false" customHeight="false" outlineLevel="0" collapsed="false">
      <c r="A7" s="47"/>
      <c r="B7" s="47"/>
      <c r="C7" s="47"/>
      <c r="D7" s="47"/>
      <c r="E7" s="47"/>
      <c r="F7" s="47"/>
    </row>
    <row r="8" customFormat="false" ht="14.25" hidden="false" customHeight="false" outlineLevel="0" collapsed="false">
      <c r="A8" s="47"/>
      <c r="B8" s="47"/>
      <c r="C8" s="47"/>
      <c r="D8" s="47"/>
      <c r="E8" s="47"/>
      <c r="F8" s="47"/>
    </row>
    <row r="9" customFormat="false" ht="14.25" hidden="false" customHeight="false" outlineLevel="0" collapsed="false">
      <c r="A9" s="47"/>
      <c r="B9" s="47"/>
      <c r="C9" s="47"/>
      <c r="D9" s="47"/>
      <c r="E9" s="47"/>
      <c r="F9" s="47"/>
    </row>
    <row r="10" customFormat="false" ht="14.25" hidden="false" customHeight="false" outlineLevel="0" collapsed="false">
      <c r="A10" s="47"/>
      <c r="B10" s="47"/>
      <c r="C10" s="47"/>
      <c r="D10" s="47"/>
      <c r="E10" s="47"/>
      <c r="F10" s="47"/>
    </row>
    <row r="11" customFormat="false" ht="14.25" hidden="false" customHeight="false" outlineLevel="0" collapsed="false">
      <c r="A11" s="47"/>
      <c r="B11" s="47"/>
      <c r="C11" s="47"/>
      <c r="D11" s="47"/>
      <c r="E11" s="47"/>
      <c r="F11" s="47"/>
    </row>
    <row r="12" customFormat="false" ht="14.25" hidden="false" customHeight="false" outlineLevel="0" collapsed="false">
      <c r="A12" s="47"/>
      <c r="B12" s="47"/>
      <c r="C12" s="47"/>
      <c r="D12" s="47"/>
      <c r="E12" s="47"/>
      <c r="F12" s="47"/>
    </row>
    <row r="13" customFormat="false" ht="14.25" hidden="false" customHeight="false" outlineLevel="0" collapsed="false">
      <c r="A13" s="47"/>
      <c r="B13" s="47"/>
      <c r="C13" s="47"/>
      <c r="D13" s="47"/>
      <c r="E13" s="47"/>
      <c r="F13" s="47"/>
    </row>
    <row r="14" customFormat="false" ht="14.25" hidden="false" customHeight="false" outlineLevel="0" collapsed="false">
      <c r="A14" s="47"/>
      <c r="B14" s="47"/>
      <c r="C14" s="47"/>
      <c r="D14" s="47"/>
      <c r="E14" s="47"/>
      <c r="F14" s="47"/>
    </row>
    <row r="15" customFormat="false" ht="14.25" hidden="false" customHeight="false" outlineLevel="0" collapsed="false">
      <c r="A15" s="47"/>
      <c r="B15" s="47"/>
      <c r="C15" s="47"/>
      <c r="D15" s="47"/>
      <c r="E15" s="47"/>
      <c r="F15" s="47"/>
    </row>
    <row r="16" customFormat="false" ht="14.25" hidden="false" customHeight="false" outlineLevel="0" collapsed="false">
      <c r="A16" s="47"/>
      <c r="B16" s="47"/>
      <c r="C16" s="47"/>
      <c r="D16" s="47"/>
      <c r="E16" s="47"/>
      <c r="F16" s="47"/>
    </row>
    <row r="17" customFormat="false" ht="14.25" hidden="false" customHeight="false" outlineLevel="0" collapsed="false">
      <c r="A17" s="47"/>
      <c r="B17" s="47"/>
      <c r="C17" s="47"/>
      <c r="D17" s="47"/>
      <c r="E17" s="47"/>
      <c r="F17" s="47"/>
    </row>
    <row r="18" customFormat="false" ht="14.25" hidden="false" customHeight="false" outlineLevel="0" collapsed="false">
      <c r="A18" s="47"/>
      <c r="B18" s="47"/>
      <c r="C18" s="47"/>
      <c r="D18" s="47"/>
      <c r="E18" s="47"/>
      <c r="F18" s="47"/>
    </row>
    <row r="19" customFormat="false" ht="14.25" hidden="false" customHeight="false" outlineLevel="0" collapsed="false">
      <c r="A19" s="47"/>
      <c r="B19" s="47"/>
      <c r="C19" s="47"/>
      <c r="D19" s="47"/>
      <c r="E19" s="47"/>
      <c r="F19" s="47"/>
    </row>
    <row r="20" customFormat="false" ht="14.25" hidden="false" customHeight="false" outlineLevel="0" collapsed="false">
      <c r="A20" s="47"/>
      <c r="B20" s="47"/>
      <c r="C20" s="47"/>
      <c r="D20" s="47"/>
      <c r="E20" s="47"/>
      <c r="F20" s="47"/>
    </row>
    <row r="21" customFormat="false" ht="14.25" hidden="false" customHeight="false" outlineLevel="0" collapsed="false">
      <c r="A21" s="47"/>
      <c r="B21" s="47"/>
      <c r="C21" s="47"/>
      <c r="D21" s="47"/>
      <c r="E21" s="47"/>
      <c r="F21" s="47"/>
    </row>
    <row r="22" customFormat="false" ht="14.25" hidden="false" customHeight="false" outlineLevel="0" collapsed="false">
      <c r="A22" s="47"/>
      <c r="B22" s="47"/>
      <c r="C22" s="47"/>
      <c r="D22" s="47"/>
      <c r="E22" s="47"/>
      <c r="F22" s="47"/>
    </row>
    <row r="23" customFormat="false" ht="14.25" hidden="false" customHeight="false" outlineLevel="0" collapsed="false">
      <c r="A23" s="47"/>
      <c r="B23" s="47"/>
      <c r="C23" s="47"/>
      <c r="D23" s="47"/>
      <c r="E23" s="47"/>
      <c r="F23" s="47"/>
    </row>
    <row r="24" customFormat="false" ht="14.25" hidden="false" customHeight="false" outlineLevel="0" collapsed="false">
      <c r="A24" s="47"/>
      <c r="B24" s="47"/>
      <c r="C24" s="47"/>
      <c r="D24" s="47"/>
      <c r="E24" s="47"/>
      <c r="F24" s="47"/>
    </row>
    <row r="25" customFormat="false" ht="14.25" hidden="false" customHeight="false" outlineLevel="0" collapsed="false">
      <c r="A25" s="47"/>
      <c r="B25" s="47"/>
      <c r="C25" s="47"/>
      <c r="D25" s="47"/>
      <c r="E25" s="47"/>
      <c r="F25" s="47"/>
    </row>
    <row r="26" customFormat="false" ht="14.25" hidden="false" customHeight="false" outlineLevel="0" collapsed="false">
      <c r="A26" s="47"/>
      <c r="B26" s="47"/>
      <c r="C26" s="47"/>
      <c r="D26" s="47"/>
      <c r="E26" s="47"/>
      <c r="F26" s="47"/>
    </row>
    <row r="27" customFormat="false" ht="14.25" hidden="false" customHeight="false" outlineLevel="0" collapsed="false">
      <c r="A27" s="47"/>
      <c r="B27" s="47"/>
      <c r="C27" s="47"/>
      <c r="D27" s="47"/>
      <c r="E27" s="47"/>
      <c r="F27" s="47"/>
    </row>
    <row r="28" customFormat="false" ht="14.25" hidden="false" customHeight="false" outlineLevel="0" collapsed="false">
      <c r="A28" s="47"/>
      <c r="B28" s="47"/>
      <c r="C28" s="47"/>
      <c r="D28" s="47"/>
      <c r="E28" s="47"/>
      <c r="F28" s="47"/>
    </row>
    <row r="29" customFormat="false" ht="14.25" hidden="false" customHeight="false" outlineLevel="0" collapsed="false">
      <c r="A29" s="47"/>
      <c r="B29" s="47"/>
      <c r="C29" s="47"/>
      <c r="D29" s="47"/>
      <c r="E29" s="47"/>
      <c r="F29" s="47"/>
    </row>
    <row r="30" customFormat="false" ht="14.25" hidden="false" customHeight="false" outlineLevel="0" collapsed="false">
      <c r="A30" s="47"/>
      <c r="B30" s="47"/>
      <c r="C30" s="47"/>
      <c r="D30" s="47"/>
      <c r="E30" s="47"/>
      <c r="F30" s="47"/>
    </row>
    <row r="31" customFormat="false" ht="14.25" hidden="false" customHeight="false" outlineLevel="0" collapsed="false">
      <c r="A31" s="47"/>
      <c r="B31" s="47"/>
      <c r="C31" s="47"/>
      <c r="D31" s="47"/>
      <c r="E31" s="47"/>
      <c r="F31" s="47"/>
    </row>
    <row r="32" customFormat="false" ht="14.25" hidden="false" customHeight="false" outlineLevel="0" collapsed="false">
      <c r="A32" s="47"/>
      <c r="B32" s="47"/>
      <c r="C32" s="47"/>
      <c r="D32" s="47"/>
      <c r="E32" s="47"/>
      <c r="F32" s="47"/>
    </row>
  </sheetData>
  <hyperlinks>
    <hyperlink ref="D3" r:id="rId1" display="zoran.savic@fictiv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640625" defaultRowHeight="14.2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34"/>
  </cols>
  <sheetData>
    <row r="1" customFormat="false" ht="17.25" hidden="false" customHeight="true" outlineLevel="0" collapsed="false">
      <c r="A1" s="5" t="s">
        <v>107</v>
      </c>
    </row>
    <row r="2" customFormat="false" ht="14.25" hidden="false" customHeight="false" outlineLevel="0" collapsed="false">
      <c r="A2" s="6" t="s">
        <v>108</v>
      </c>
    </row>
    <row r="4" customFormat="false" ht="14.25" hidden="false" customHeight="false" outlineLevel="0" collapsed="false">
      <c r="A4" s="44" t="s">
        <v>109</v>
      </c>
      <c r="B4" s="44" t="s">
        <v>110</v>
      </c>
      <c r="C4" s="44" t="s">
        <v>111</v>
      </c>
      <c r="D4" s="44" t="s">
        <v>112</v>
      </c>
      <c r="E4" s="44" t="s">
        <v>113</v>
      </c>
      <c r="F4" s="44" t="s">
        <v>114</v>
      </c>
    </row>
    <row r="5" customFormat="false" ht="61.5" hidden="false" customHeight="true" outlineLevel="0" collapsed="false">
      <c r="A5" s="48" t="s">
        <v>115</v>
      </c>
      <c r="B5" s="49" t="s">
        <v>116</v>
      </c>
      <c r="C5" s="49" t="s">
        <v>117</v>
      </c>
      <c r="D5" s="49" t="s">
        <v>118</v>
      </c>
      <c r="E5" s="49" t="s">
        <v>119</v>
      </c>
      <c r="F5" s="49" t="s">
        <v>120</v>
      </c>
    </row>
    <row r="6" customFormat="false" ht="61.5" hidden="false" customHeight="true" outlineLevel="0" collapsed="false">
      <c r="A6" s="48" t="s">
        <v>121</v>
      </c>
      <c r="B6" s="49" t="s">
        <v>122</v>
      </c>
      <c r="C6" s="49" t="s">
        <v>123</v>
      </c>
      <c r="D6" s="49" t="s">
        <v>124</v>
      </c>
      <c r="E6" s="49" t="s">
        <v>125</v>
      </c>
      <c r="F6" s="49" t="s">
        <v>126</v>
      </c>
    </row>
    <row r="7" customFormat="false" ht="61.5" hidden="false" customHeight="true" outlineLevel="0" collapsed="false">
      <c r="A7" s="48" t="s">
        <v>127</v>
      </c>
      <c r="B7" s="49" t="s">
        <v>128</v>
      </c>
      <c r="C7" s="49" t="s">
        <v>129</v>
      </c>
      <c r="D7" s="49" t="s">
        <v>130</v>
      </c>
      <c r="E7" s="49" t="s">
        <v>131</v>
      </c>
      <c r="F7" s="49" t="s">
        <v>132</v>
      </c>
    </row>
    <row r="8" customFormat="false" ht="61.5" hidden="false" customHeight="true" outlineLevel="0" collapsed="false">
      <c r="A8" s="48" t="s">
        <v>133</v>
      </c>
      <c r="B8" s="49" t="s">
        <v>134</v>
      </c>
      <c r="C8" s="49" t="s">
        <v>135</v>
      </c>
      <c r="D8" s="49" t="s">
        <v>136</v>
      </c>
      <c r="E8" s="49" t="s">
        <v>137</v>
      </c>
      <c r="F8" s="49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640625" defaultRowHeight="14.2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4"/>
    <col collapsed="false" customWidth="true" hidden="false" outlineLevel="0" max="4" min="4" style="0" width="30"/>
  </cols>
  <sheetData>
    <row r="1" customFormat="false" ht="17.25" hidden="false" customHeight="true" outlineLevel="0" collapsed="false">
      <c r="A1" s="5" t="s">
        <v>139</v>
      </c>
    </row>
    <row r="3" customFormat="false" ht="14.25" hidden="false" customHeight="false" outlineLevel="0" collapsed="false">
      <c r="A3" s="25" t="s">
        <v>140</v>
      </c>
      <c r="C3" s="6" t="s">
        <v>141</v>
      </c>
      <c r="D3" s="25" t="s">
        <v>142</v>
      </c>
    </row>
    <row r="4" customFormat="false" ht="14.25" hidden="false" customHeight="false" outlineLevel="0" collapsed="false">
      <c r="A4" s="50" t="s">
        <v>115</v>
      </c>
      <c r="B4" s="51" t="n">
        <v>0.25</v>
      </c>
      <c r="D4" s="52" t="s">
        <v>58</v>
      </c>
    </row>
    <row r="5" customFormat="false" ht="14.25" hidden="false" customHeight="false" outlineLevel="0" collapsed="false">
      <c r="A5" s="50" t="s">
        <v>121</v>
      </c>
      <c r="B5" s="51" t="n">
        <v>0.3</v>
      </c>
      <c r="D5" s="52" t="s">
        <v>49</v>
      </c>
    </row>
    <row r="6" customFormat="false" ht="14.25" hidden="false" customHeight="false" outlineLevel="0" collapsed="false">
      <c r="A6" s="50" t="s">
        <v>127</v>
      </c>
      <c r="B6" s="51" t="n">
        <v>0.25</v>
      </c>
      <c r="D6" s="52" t="s">
        <v>143</v>
      </c>
    </row>
    <row r="7" customFormat="false" ht="14.25" hidden="false" customHeight="false" outlineLevel="0" collapsed="false">
      <c r="A7" s="50" t="s">
        <v>133</v>
      </c>
      <c r="B7" s="51" t="n">
        <v>0.2</v>
      </c>
      <c r="D7" s="52" t="s">
        <v>144</v>
      </c>
    </row>
    <row r="8" customFormat="false" ht="14.25" hidden="false" customHeight="false" outlineLevel="0" collapsed="false">
      <c r="A8" s="53" t="s">
        <v>145</v>
      </c>
      <c r="B8" s="54" t="n">
        <f aca="false">SUM(B4:B7)</f>
        <v>1</v>
      </c>
      <c r="D8" s="52" t="s">
        <v>146</v>
      </c>
    </row>
    <row r="9" customFormat="false" ht="14.25" hidden="false" customHeight="false" outlineLevel="0" collapsed="false">
      <c r="D9" s="52" t="s">
        <v>147</v>
      </c>
    </row>
    <row r="10" customFormat="false" ht="14.25" hidden="false" customHeight="false" outlineLevel="0" collapsed="false">
      <c r="D10" s="52" t="s">
        <v>148</v>
      </c>
    </row>
    <row r="11" customFormat="false" ht="14.25" hidden="false" customHeight="false" outlineLevel="0" collapsed="false">
      <c r="D11" s="52" t="s">
        <v>149</v>
      </c>
    </row>
    <row r="12" customFormat="false" ht="14.25" hidden="false" customHeight="false" outlineLevel="0" collapsed="false">
      <c r="D12" s="52" t="s">
        <v>150</v>
      </c>
    </row>
    <row r="13" customFormat="false" ht="14.25" hidden="false" customHeight="false" outlineLevel="0" collapsed="false">
      <c r="D13" s="52" t="s">
        <v>151</v>
      </c>
    </row>
    <row r="14" customFormat="false" ht="14.25" hidden="false" customHeight="false" outlineLevel="0" collapsed="false">
      <c r="D14" s="52" t="s">
        <v>152</v>
      </c>
    </row>
    <row r="15" customFormat="false" ht="14.25" hidden="false" customHeight="false" outlineLevel="0" collapsed="false">
      <c r="D15" s="52" t="s">
        <v>153</v>
      </c>
    </row>
    <row r="16" customFormat="false" ht="14.25" hidden="false" customHeight="false" outlineLevel="0" collapsed="false">
      <c r="D16" s="52" t="s">
        <v>154</v>
      </c>
    </row>
    <row r="17" customFormat="false" ht="14.25" hidden="false" customHeight="false" outlineLevel="0" collapsed="false">
      <c r="D17" s="52"/>
    </row>
    <row r="18" customFormat="false" ht="14.25" hidden="false" customHeight="false" outlineLevel="0" collapsed="false">
      <c r="D18" s="52"/>
    </row>
    <row r="19" customFormat="false" ht="14.25" hidden="false" customHeight="false" outlineLevel="0" collapsed="false">
      <c r="D19" s="52"/>
    </row>
    <row r="20" customFormat="false" ht="14.25" hidden="false" customHeight="false" outlineLevel="0" collapsed="false">
      <c r="D20" s="52"/>
    </row>
    <row r="21" customFormat="false" ht="14.25" hidden="false" customHeight="false" outlineLevel="0" collapsed="false">
      <c r="D21" s="52"/>
    </row>
    <row r="22" customFormat="false" ht="14.25" hidden="false" customHeight="false" outlineLevel="0" collapsed="false">
      <c r="D22" s="52"/>
    </row>
    <row r="23" customFormat="false" ht="14.25" hidden="false" customHeight="false" outlineLevel="0" collapsed="false">
      <c r="D23" s="52"/>
    </row>
    <row r="24" customFormat="false" ht="14.25" hidden="false" customHeight="false" outlineLevel="0" collapsed="false">
      <c r="D24" s="52"/>
    </row>
    <row r="25" customFormat="false" ht="14.25" hidden="false" customHeight="false" outlineLevel="0" collapsed="false">
      <c r="D25" s="52"/>
    </row>
    <row r="26" customFormat="false" ht="14.25" hidden="false" customHeight="false" outlineLevel="0" collapsed="false">
      <c r="D26" s="52"/>
    </row>
    <row r="27" customFormat="false" ht="14.25" hidden="false" customHeight="false" outlineLevel="0" collapsed="false">
      <c r="D27" s="52"/>
    </row>
    <row r="28" customFormat="false" ht="14.25" hidden="false" customHeight="false" outlineLevel="0" collapsed="false">
      <c r="D28" s="52"/>
    </row>
    <row r="29" customFormat="false" ht="14.25" hidden="false" customHeight="false" outlineLevel="0" collapsed="false">
      <c r="D29" s="52"/>
    </row>
    <row r="30" customFormat="false" ht="14.25" hidden="false" customHeight="false" outlineLevel="0" collapsed="false">
      <c r="D30" s="52"/>
    </row>
    <row r="31" customFormat="false" ht="14.25" hidden="false" customHeight="false" outlineLevel="0" collapsed="false">
      <c r="D31" s="52"/>
    </row>
    <row r="32" customFormat="false" ht="14.25" hidden="false" customHeight="false" outlineLevel="0" collapsed="false">
      <c r="D32" s="52"/>
    </row>
    <row r="33" customFormat="false" ht="14.25" hidden="false" customHeight="false" outlineLevel="0" collapsed="false">
      <c r="D33" s="52"/>
    </row>
  </sheetData>
  <conditionalFormatting sqref="B8">
    <cfRule type="expression" priority="2" aboveAverage="0" equalAverage="0" bottom="0" percent="0" rank="0" text="" dxfId="12">
      <formula>ABS(B8-1)&gt;0.005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2026-07-25T19:43:27Z</dcterms:created>
  <dc:creator>openpyxl</dc:creator>
  <dc:description/>
  <dc:language>en-US</dc:language>
  <cp:lastModifiedBy/>
  <dcterms:modified xsi:type="dcterms:W3CDTF">2026-08-11T19:08:01Z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