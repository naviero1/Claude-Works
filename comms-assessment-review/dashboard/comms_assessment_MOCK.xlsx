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alLens" sheetId="1" state="visible" r:id="rId3"/>
    <sheet name="Findings" sheetId="2" state="visible" r:id="rId4"/>
    <sheet name="WhiteSpace" sheetId="3" state="visible" r:id="rId5"/>
    <sheet name="README" sheetId="4" state="visible" r:id="rId6"/>
    <sheet name="Goals" sheetId="5" state="visible" r:id="rId7"/>
    <sheet name="Topics" sheetId="6" state="visible" r:id="rId8"/>
    <sheet name="Stakeholders" sheetId="7" state="visible" r:id="rId9"/>
    <sheet name="Channels" sheetId="8" state="visible" r:id="rId10"/>
    <sheet name="Rituals" sheetId="9" state="visible" r:id="rId11"/>
    <sheet name="Criteria" sheetId="10" state="visible" r:id="rId12"/>
    <sheet name="Flows" sheetId="11" state="visible" r:id="rId13"/>
    <sheet name="Carriers" sheetId="12" state="visible" r:id="rId14"/>
    <sheet name="Decisions" sheetId="13" state="visible" r:id="rId15"/>
    <sheet name="Alignment" sheetId="14" state="visible" r:id="rId16"/>
    <sheet name="Frameworks" sheetId="15" state="visible" r:id="rId17"/>
    <sheet name="Lists" sheetId="16" state="hidden" r:id="rId18"/>
    <sheet name="MeetingRoles" sheetId="17" state="visible" r:id="rId19"/>
  </sheets>
  <definedNames>
    <definedName function="false" hidden="false" localSheetId="1" name="_xlnm.Print_Area" vbProcedure="false">Findings!$A$1:$J$55</definedName>
    <definedName function="false" hidden="false" localSheetId="0" name="_xlnm.Print_Area" vbProcedure="false">GoalLens!$A$1:$H$67</definedName>
    <definedName function="false" hidden="false" localSheetId="2" name="_xlnm.Print_Area" vbProcedure="false">WhiteSpace!$A$1:$F$10</definedName>
    <definedName function="false" hidden="false" name="CadenceList" vbProcedure="false">Lists!$A$2:$A$8</definedName>
    <definedName function="false" hidden="false" name="GoalIds" vbProcedure="false">Goals!$A$2:$A$5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<sst xmlns="http://schemas.openxmlformats.org/spreadsheetml/2006/main" count="1290" uniqueCount="615">
  <si>
    <t xml:space="preserve">Goal Lens — pick a goal, see everything that serves it</t>
  </si>
  <si>
    <t xml:space="preserve">Pick a goal →</t>
  </si>
  <si>
    <t xml:space="preserve">G1</t>
  </si>
  <si>
    <t xml:space="preserve">Owner:</t>
  </si>
  <si>
    <t xml:space="preserve">Required flows</t>
  </si>
  <si>
    <t xml:space="preserve">Covered</t>
  </si>
  <si>
    <t xml:space="preserve">Coverage</t>
  </si>
  <si>
    <t xml:space="preserve">Defects</t>
  </si>
  <si>
    <t xml:space="preserve">Meetings claiming w/o contributing</t>
  </si>
  <si>
    <t xml:space="preserve">Unclaimed contributors</t>
  </si>
  <si>
    <t xml:space="preserve">OPERATIONS / TOPICS THAT DERIVE FROM THIS GOAL</t>
  </si>
  <si>
    <t xml:space="preserve">topic_id</t>
  </si>
  <si>
    <t xml:space="preserve">operation</t>
  </si>
  <si>
    <t xml:space="preserve">topic</t>
  </si>
  <si>
    <t xml:space="preserve">required flows</t>
  </si>
  <si>
    <t xml:space="preserve">covered</t>
  </si>
  <si>
    <t xml:space="preserve">REQUIRED FLOWS FOR THIS GOAL — status computed from the data sheets</t>
  </si>
  <si>
    <t xml:space="preserve">flow_id</t>
  </si>
  <si>
    <t xml:space="preserve">from (required)</t>
  </si>
  <si>
    <t xml:space="preserve">to</t>
  </si>
  <si>
    <t xml:space="preserve">crit</t>
  </si>
  <si>
    <t xml:space="preserve">status</t>
  </si>
  <si>
    <t xml:space="preserve">priority</t>
  </si>
  <si>
    <t xml:space="preserve">carriers found</t>
  </si>
  <si>
    <t xml:space="preserve">REQUIRED STAKEHOLDERS OF THIS GOAL</t>
  </si>
  <si>
    <t xml:space="preserve">stakeholder</t>
  </si>
  <si>
    <t xml:space="preserve">role</t>
  </si>
  <si>
    <t xml:space="preserve">group</t>
  </si>
  <si>
    <t xml:space="preserve">power</t>
  </si>
  <si>
    <t xml:space="preserve">status for this goal</t>
  </si>
  <si>
    <t xml:space="preserve">MEETINGS SERVING (OR CLAIMING) THIS GOAL — claimed vs computed</t>
  </si>
  <si>
    <t xml:space="preserve">meeting</t>
  </si>
  <si>
    <t xml:space="preserve">claimed?</t>
  </si>
  <si>
    <t xml:space="preserve">flows carried</t>
  </si>
  <si>
    <t xml:space="preserve">decisions</t>
  </si>
  <si>
    <t xml:space="preserve">stakeholders present</t>
  </si>
  <si>
    <t xml:space="preserve">criteria score</t>
  </si>
  <si>
    <t xml:space="preserve">verdict</t>
  </si>
  <si>
    <t xml:space="preserve">CHANNELS CARRYING THIS GOAL'S FLOWS</t>
  </si>
  <si>
    <t xml:space="preserve">channel</t>
  </si>
  <si>
    <t xml:space="preserve">type</t>
  </si>
  <si>
    <t xml:space="preserve">persistence</t>
  </si>
  <si>
    <t xml:space="preserve">effective cadence</t>
  </si>
  <si>
    <t xml:space="preserve">flows for this goal</t>
  </si>
  <si>
    <t xml:space="preserve">Everything on this sheet recomputes from the data sheets. The yellow cell (B3) is the only input here. Slots show up to 6 topics / 10 flows / 12 stakeholders / 8 meetings — extend by copying the last slot row's formulas downward.</t>
  </si>
  <si>
    <t xml:space="preserve">Findings — the readout</t>
  </si>
  <si>
    <t xml:space="preserve">Computed live from the data sheets. Every finding traces to a goal: defect → required flow → topic → goal. Details on Flows, Alignment, Decisions; goal-first view on GoalLens.</t>
  </si>
  <si>
    <t xml:space="preserve">Open defects</t>
  </si>
  <si>
    <t xml:space="preserve">Theater claims</t>
  </si>
  <si>
    <t xml:space="preserve">Unclaimed</t>
  </si>
  <si>
    <t xml:space="preserve">Decision defects</t>
  </si>
  <si>
    <t xml:space="preserve">Disputed</t>
  </si>
  <si>
    <t xml:space="preserve">BY GOAL — where each goal stands (all findings below roll up to these rows)   → open</t>
  </si>
  <si>
    <t xml:space="preserve">goal</t>
  </si>
  <si>
    <t xml:space="preserve">name</t>
  </si>
  <si>
    <t xml:space="preserve">required</t>
  </si>
  <si>
    <t xml:space="preserve">open</t>
  </si>
  <si>
    <t xml:space="preserve">theater</t>
  </si>
  <si>
    <t xml:space="preserve">unclaimed</t>
  </si>
  <si>
    <t xml:space="preserve">TOP DEFECTS — required flows, ranked by priority (criticality × status weight)   → open</t>
  </si>
  <si>
    <t xml:space="preserve">#</t>
  </si>
  <si>
    <t xml:space="preserve">carriers / note</t>
  </si>
  <si>
    <t xml:space="preserve">why it matters (owner-signed rationale)</t>
  </si>
  <si>
    <t xml:space="preserve">ALIGNMENT THEATER — meetings claiming a goal they do nothing for   → open</t>
  </si>
  <si>
    <t xml:space="preserve">UNCLAIMED CONTRIBUTORS — real dependency, missing paperwork (update goal_ids)   → open</t>
  </si>
  <si>
    <t xml:space="preserve">contribution</t>
  </si>
  <si>
    <t xml:space="preserve">DECISION DEFECTS — rights on paper vs where deciding actually happens   → open</t>
  </si>
  <si>
    <t xml:space="preserve">decision</t>
  </si>
  <si>
    <t xml:space="preserve">defect</t>
  </si>
  <si>
    <t xml:space="preserve">owner</t>
  </si>
  <si>
    <t xml:space="preserve">actual venue</t>
  </si>
  <si>
    <t xml:space="preserve">SINGLE-CARRIER RISKS — critical flows with one source and no system of record   → open</t>
  </si>
  <si>
    <t xml:space="preserve">sole producer</t>
  </si>
  <si>
    <t xml:space="preserve">mitigation</t>
  </si>
  <si>
    <t xml:space="preserve">The network-centrality corroboration of these risks runs in the Python pipeline (spof_list.csv); this sheet shows the primary, formula-computable test. Slots show the top entries — extend by copying the last row. For any goal's full picture, pick it on GoalLens.</t>
  </si>
  <si>
    <t xml:space="preserve">White-space matrix — required flows between functions (Rummler &amp; Brache view)</t>
  </si>
  <si>
    <t xml:space="preserve">from \ to</t>
  </si>
  <si>
    <t xml:space="preserve">Engineering</t>
  </si>
  <si>
    <t xml:space="preserve">Quality</t>
  </si>
  <si>
    <t xml:space="preserve">Operations</t>
  </si>
  <si>
    <t xml:space="preserve">Supply Chain</t>
  </si>
  <si>
    <t xml:space="preserve">External</t>
  </si>
  <si>
    <t xml:space="preserve">Diagonal cells = flows inside one function; everything else crosses the white space between functions — where hand-offs break. Counts recompute from the Flows sheet. The rendered lane view of this matrix is output/process_map.svg.</t>
  </si>
  <si>
    <t xml:space="preserve">Communication Process Assessment — workbook</t>
  </si>
  <si>
    <t xml:space="preserve">WHAT THIS IS</t>
  </si>
  <si>
    <t xml:space="preserve">The full framework (SPEC v1.1 + v1.2) as a live Excel model. Data sheets hold the model; every status, verdict, and score is a formula, so editing data recomputes everything. Ships with synthetic supplier-quality seed data containing planted defects — replace it with your team's.</t>
  </si>
  <si>
    <t xml:space="preserve">HOW TO USE — start on GoalLens</t>
  </si>
  <si>
    <t xml:space="preserve">1. GoalLens: pick a goal in the yellow cell (B3). You get: its operations/topics, its required flows with computed status, its stakeholders (flagged when cut off), the meetings claiming vs actually serving it, and the channels carrying it.</t>
  </si>
  <si>
    <t xml:space="preserve">2. To run it on your team: fill Goals → Topics (one row per thing-people-must-know, tied to a goal) → Stakeholders → Flows (required rows first = who needs what; then actual rows = what interviews found) → Rituals (+ the six criteria columns) → Carriers (which meeting/channel carries each actual flow) → Decisions.</t>
  </si>
  <si>
    <t xml:space="preserve">3. Statuses follow the locked rubric: missing → wrong_producer → latency_gap → channel_mismatch → covered. Disputed actual flows are quarantined from every count automatically.</t>
  </si>
  <si>
    <t xml:space="preserve">CELL LEGEND</t>
  </si>
  <si>
    <t xml:space="preserve">PALE YELLOW = type here. Every input cell on every data sheet is pale yellow, including the empty yellow rows below the seed data — that is where new entries go (dropdowns provided). BRIGHT YELLOW = the GoalLens picker, the one input on a view sheet. GRAY ITALIC = computed — never type over these (they extend by copying the formula down). Anything not yellow is not meant to be edited.</t>
  </si>
  <si>
    <t xml:space="preserve">SHEET MAP → framework components</t>
  </si>
  <si>
    <t xml:space="preserve">Goals/Topics (component 1) · Stakeholders (2) · Flows (1+3, diff computed) · Rituals+Criteria (5) · Alignment (6, the meeting↔goal scored edges) · Decisions (7) · Carriers+Channels (4) · WhiteSpace (4, the Rummler function-to-function matrix) · GoalLens (the working view) · Frameworks (the source library, components 1–9).</t>
  </si>
  <si>
    <t xml:space="preserve">LIMITS (honest ones)</t>
  </si>
  <si>
    <t xml:space="preserve">Adding goals beyond the seeded four: add the goal row, then copy one involvement column on Stakeholders (H:K block) and re-point its header. Adding criteria: insert a column left of criteria_pct and extend the formulas. Network analytics (SPOF betweenness screen) stay in the Python repo — the direct sole-carrier logic here covers the primary test. Slot tables on GoalLens show the first N matches; copy the last row down for more.</t>
  </si>
  <si>
    <t xml:space="preserve">Generated by analysis/make_workbook.py from /data — regenerate any time; the Python pipeline and this workbook compute the same statuses from the same CSVs.</t>
  </si>
  <si>
    <t xml:space="preserve">goal_id</t>
  </si>
  <si>
    <t xml:space="preserve">owner_actor_id</t>
  </si>
  <si>
    <t xml:space="preserve">goal_class</t>
  </si>
  <si>
    <t xml:space="preserve">Reduce supplier defect rate (PPM) by 30%</t>
  </si>
  <si>
    <t xml:space="preserve">A1</t>
  </si>
  <si>
    <t xml:space="preserve">1</t>
  </si>
  <si>
    <t xml:space="preserve">core</t>
  </si>
  <si>
    <t xml:space="preserve">G2</t>
  </si>
  <si>
    <t xml:space="preserve">Cut NCR resolution time to under 10 days</t>
  </si>
  <si>
    <t xml:space="preserve">A2</t>
  </si>
  <si>
    <t xml:space="preserve">2</t>
  </si>
  <si>
    <t xml:space="preserve">G3</t>
  </si>
  <si>
    <t xml:space="preserve">Qualify two second-source suppliers for critical components</t>
  </si>
  <si>
    <t xml:space="preserve">A4</t>
  </si>
  <si>
    <t xml:space="preserve">3</t>
  </si>
  <si>
    <t xml:space="preserve">G4</t>
  </si>
  <si>
    <t xml:space="preserve">Pass ISO 9001 surveillance audit with zero major findings</t>
  </si>
  <si>
    <t xml:space="preserve">4</t>
  </si>
  <si>
    <t xml:space="preserve">G5</t>
  </si>
  <si>
    <t xml:space="preserve">Build SQE bench strength: two engineers certified as supplier auditors</t>
  </si>
  <si>
    <t xml:space="preserve">5</t>
  </si>
  <si>
    <t xml:space="preserve">aspirational</t>
  </si>
  <si>
    <t xml:space="preserve">description</t>
  </si>
  <si>
    <t xml:space="preserve">lens_rank</t>
  </si>
  <si>
    <t xml:space="preserve">T1</t>
  </si>
  <si>
    <t xml:space="preserve">incoming_inspection_results</t>
  </si>
  <si>
    <t xml:space="preserve">quality monitoring</t>
  </si>
  <si>
    <t xml:space="preserve">Incoming inspection defect data by supplier and part</t>
  </si>
  <si>
    <t xml:space="preserve">T2</t>
  </si>
  <si>
    <t xml:space="preserve">ncr_status</t>
  </si>
  <si>
    <t xml:space="preserve">NCR &amp; corrective action</t>
  </si>
  <si>
    <t xml:space="preserve">Open non-conformance reports: status and aging</t>
  </si>
  <si>
    <t xml:space="preserve">T3</t>
  </si>
  <si>
    <t xml:space="preserve">supplier_capa_status</t>
  </si>
  <si>
    <t xml:space="preserve">Corrective action (CAPA) progress at suppliers</t>
  </si>
  <si>
    <t xml:space="preserve">T4</t>
  </si>
  <si>
    <t xml:space="preserve">design_change_notice</t>
  </si>
  <si>
    <t xml:space="preserve">change control</t>
  </si>
  <si>
    <t xml:space="preserve">ECN / spec changes affecting supplied parts</t>
  </si>
  <si>
    <t xml:space="preserve">T5</t>
  </si>
  <si>
    <t xml:space="preserve">supplier_scorecard</t>
  </si>
  <si>
    <t xml:space="preserve">supplier performance mgmt</t>
  </si>
  <si>
    <t xml:space="preserve">Monthly supplier performance scorecard</t>
  </si>
  <si>
    <t xml:space="preserve">T6</t>
  </si>
  <si>
    <t xml:space="preserve">qualification_progress</t>
  </si>
  <si>
    <t xml:space="preserve">second-sourcing</t>
  </si>
  <si>
    <t xml:space="preserve">Second-source qualification status</t>
  </si>
  <si>
    <t xml:space="preserve">T7</t>
  </si>
  <si>
    <t xml:space="preserve">audit_readiness</t>
  </si>
  <si>
    <t xml:space="preserve">audit preparation</t>
  </si>
  <si>
    <t xml:space="preserve">Audit findings and readiness status</t>
  </si>
  <si>
    <t xml:space="preserve">T8</t>
  </si>
  <si>
    <t xml:space="preserve">containment_actions</t>
  </si>
  <si>
    <t xml:space="preserve">incident containment</t>
  </si>
  <si>
    <t xml:space="preserve">Containment decisions during active quality incidents</t>
  </si>
  <si>
    <t xml:space="preserve">T9</t>
  </si>
  <si>
    <t xml:space="preserve">production_line_defects</t>
  </si>
  <si>
    <t xml:space="preserve">Line fallout data attributable to supplied parts</t>
  </si>
  <si>
    <t xml:space="preserve">T10</t>
  </si>
  <si>
    <t xml:space="preserve">supplier_auditor_training_status</t>
  </si>
  <si>
    <t xml:space="preserve">capability building</t>
  </si>
  <si>
    <t xml:space="preserve">Progress of SQE engineers through the supplier-auditor certification path</t>
  </si>
  <si>
    <t xml:space="preserve">actor_id</t>
  </si>
  <si>
    <t xml:space="preserve">kind</t>
  </si>
  <si>
    <t xml:space="preserve">interest</t>
  </si>
  <si>
    <t xml:space="preserve">involved_pick</t>
  </si>
  <si>
    <t xml:space="preserve">defective_pick</t>
  </si>
  <si>
    <t xml:space="preserve">Leia Organa</t>
  </si>
  <si>
    <t xml:space="preserve">Quality Manager</t>
  </si>
  <si>
    <t xml:space="preserve">person</t>
  </si>
  <si>
    <t xml:space="preserve">Frodo Baggins</t>
  </si>
  <si>
    <t xml:space="preserve">Supplier Quality Engineer Lead</t>
  </si>
  <si>
    <t xml:space="preserve">A3</t>
  </si>
  <si>
    <t xml:space="preserve">Samwise Gamgee</t>
  </si>
  <si>
    <t xml:space="preserve">Supplier Quality Engineer</t>
  </si>
  <si>
    <t xml:space="preserve">Han Solo</t>
  </si>
  <si>
    <t xml:space="preserve">Procurement Lead</t>
  </si>
  <si>
    <t xml:space="preserve">A5</t>
  </si>
  <si>
    <t xml:space="preserve">Gimli</t>
  </si>
  <si>
    <t xml:space="preserve">Incoming Inspection Lead</t>
  </si>
  <si>
    <t xml:space="preserve">A6</t>
  </si>
  <si>
    <t xml:space="preserve">Aragorn</t>
  </si>
  <si>
    <t xml:space="preserve">Production Supervisor</t>
  </si>
  <si>
    <t xml:space="preserve">A7</t>
  </si>
  <si>
    <t xml:space="preserve">Gandalf</t>
  </si>
  <si>
    <t xml:space="preserve">Design Engineer</t>
  </si>
  <si>
    <t xml:space="preserve">A8</t>
  </si>
  <si>
    <t xml:space="preserve">Yoda</t>
  </si>
  <si>
    <t xml:space="preserve">Plant Manager</t>
  </si>
  <si>
    <t xml:space="preserve">A9</t>
  </si>
  <si>
    <t xml:space="preserve">Lando Calrissian (Cloud City)</t>
  </si>
  <si>
    <t xml:space="preserve">Supplier Account Manager</t>
  </si>
  <si>
    <t xml:space="preserve">external</t>
  </si>
  <si>
    <t xml:space="preserve">A10</t>
  </si>
  <si>
    <t xml:space="preserve">C-3PO</t>
  </si>
  <si>
    <t xml:space="preserve">Compliance Officer</t>
  </si>
  <si>
    <t xml:space="preserve">A11</t>
  </si>
  <si>
    <t xml:space="preserve">The Fellowship</t>
  </si>
  <si>
    <t xml:space="preserve">Line Operators</t>
  </si>
  <si>
    <t xml:space="preserve">channel_id</t>
  </si>
  <si>
    <t xml:space="preserve">synchrony</t>
  </si>
  <si>
    <t xml:space="preserve">effective_cadence</t>
  </si>
  <si>
    <t xml:space="preserve">flows_for_picked_goal</t>
  </si>
  <si>
    <t xml:space="preserve">C1</t>
  </si>
  <si>
    <t xml:space="preserve">Email</t>
  </si>
  <si>
    <t xml:space="preserve">email</t>
  </si>
  <si>
    <t xml:space="preserve">async</t>
  </si>
  <si>
    <t xml:space="preserve">searchable</t>
  </si>
  <si>
    <t xml:space="preserve">continuous</t>
  </si>
  <si>
    <t xml:space="preserve">C2</t>
  </si>
  <si>
    <t xml:space="preserve">Teams chat</t>
  </si>
  <si>
    <t xml:space="preserve">chat</t>
  </si>
  <si>
    <t xml:space="preserve">ephemeral</t>
  </si>
  <si>
    <t xml:space="preserve">C3</t>
  </si>
  <si>
    <t xml:space="preserve">QMS ticket system</t>
  </si>
  <si>
    <t xml:space="preserve">ticket</t>
  </si>
  <si>
    <t xml:space="preserve">system_of_record</t>
  </si>
  <si>
    <t xml:space="preserve">C4</t>
  </si>
  <si>
    <t xml:space="preserve">Quality dashboard</t>
  </si>
  <si>
    <t xml:space="preserve">dashboard</t>
  </si>
  <si>
    <t xml:space="preserve">daily</t>
  </si>
  <si>
    <t xml:space="preserve">C5</t>
  </si>
  <si>
    <t xml:space="preserve">Shared drive reports</t>
  </si>
  <si>
    <t xml:space="preserve">doc</t>
  </si>
  <si>
    <t xml:space="preserve">weekly</t>
  </si>
  <si>
    <t xml:space="preserve">C6</t>
  </si>
  <si>
    <t xml:space="preserve">Hallway / ad hoc</t>
  </si>
  <si>
    <t xml:space="preserve">in_person</t>
  </si>
  <si>
    <t xml:space="preserve">sync</t>
  </si>
  <si>
    <t xml:space="preserve">ad_hoc</t>
  </si>
  <si>
    <t xml:space="preserve">ritual_id</t>
  </si>
  <si>
    <t xml:space="preserve">attendee_ids</t>
  </si>
  <si>
    <t xml:space="preserve">cadence</t>
  </si>
  <si>
    <t xml:space="preserve">duration_min</t>
  </si>
  <si>
    <t xml:space="preserve">inputs</t>
  </si>
  <si>
    <t xml:space="preserve">outputs</t>
  </si>
  <si>
    <t xml:space="preserve">goal_ids</t>
  </si>
  <si>
    <t xml:space="preserve">compliance_required</t>
  </si>
  <si>
    <t xml:space="preserve">written_purpose_evidence</t>
  </si>
  <si>
    <t xml:space="preserve">output_evidence</t>
  </si>
  <si>
    <t xml:space="preserve">CR1</t>
  </si>
  <si>
    <t xml:space="preserve">CR2</t>
  </si>
  <si>
    <t xml:space="preserve">CR3</t>
  </si>
  <si>
    <t xml:space="preserve">CR4</t>
  </si>
  <si>
    <t xml:space="preserve">CR5</t>
  </si>
  <si>
    <t xml:space="preserve">CR6</t>
  </si>
  <si>
    <t xml:space="preserve">criteria_pct</t>
  </si>
  <si>
    <t xml:space="preserve">failed_criteria</t>
  </si>
  <si>
    <t xml:space="preserve">attendee_count</t>
  </si>
  <si>
    <t xml:space="preserve">per_week</t>
  </si>
  <si>
    <t xml:space="preserve">person_min_per_wk</t>
  </si>
  <si>
    <t xml:space="preserve">t1</t>
  </si>
  <si>
    <t xml:space="preserve">t2</t>
  </si>
  <si>
    <t xml:space="preserve">t3</t>
  </si>
  <si>
    <t xml:space="preserve">classification</t>
  </si>
  <si>
    <t xml:space="preserve">members</t>
  </si>
  <si>
    <t xml:space="preserve">R1</t>
  </si>
  <si>
    <t xml:space="preserve">Daily Production Standup</t>
  </si>
  <si>
    <t xml:space="preserve">A6;A11;A5;A3</t>
  </si>
  <si>
    <t xml:space="preserve">line status board</t>
  </si>
  <si>
    <t xml:space="preserve">line status + escalations</t>
  </si>
  <si>
    <t xml:space="preserve">false</t>
  </si>
  <si>
    <t xml:space="preserve">standup charter on wiki</t>
  </si>
  <si>
    <t xml:space="preserve">status board updated daily</t>
  </si>
  <si>
    <t xml:space="preserve">R2</t>
  </si>
  <si>
    <t xml:space="preserve">Weekly Supplier Quality Review</t>
  </si>
  <si>
    <t xml:space="preserve">A2;A3;A1;A5</t>
  </si>
  <si>
    <t xml:space="preserve">NCR log; inspection data</t>
  </si>
  <si>
    <t xml:space="preserve">NCR priorities + CAPA assignments</t>
  </si>
  <si>
    <t xml:space="preserve">G1;G2</t>
  </si>
  <si>
    <t xml:space="preserve">standing agenda doc</t>
  </si>
  <si>
    <t xml:space="preserve">decision log in QMS</t>
  </si>
  <si>
    <t xml:space="preserve">R3</t>
  </si>
  <si>
    <t xml:space="preserve">Monthly Supplier Business Review</t>
  </si>
  <si>
    <t xml:space="preserve">A4;A1;A2;A9;A8</t>
  </si>
  <si>
    <t xml:space="preserve">monthly</t>
  </si>
  <si>
    <t xml:space="preserve">scorecard; open NCR summary</t>
  </si>
  <si>
    <t xml:space="preserve">commercial actions + scorecard review</t>
  </si>
  <si>
    <t xml:space="preserve">G1;G3</t>
  </si>
  <si>
    <t xml:space="preserve">SBR template deck</t>
  </si>
  <si>
    <t xml:space="preserve">minutes with action register</t>
  </si>
  <si>
    <t xml:space="preserve">R4</t>
  </si>
  <si>
    <t xml:space="preserve">NCR Triage</t>
  </si>
  <si>
    <t xml:space="preserve">A3;A5;A6</t>
  </si>
  <si>
    <t xml:space="preserve">new NCRs</t>
  </si>
  <si>
    <t xml:space="preserve">triage dispositions</t>
  </si>
  <si>
    <t xml:space="preserve">triage SOP QP-014</t>
  </si>
  <si>
    <t xml:space="preserve">dispositions logged in QMS</t>
  </si>
  <si>
    <t xml:space="preserve">R5</t>
  </si>
  <si>
    <t xml:space="preserve">Legacy Metrics Review</t>
  </si>
  <si>
    <t xml:space="preserve">A10;A3;A5;A6</t>
  </si>
  <si>
    <t xml:space="preserve">ops metrics pack</t>
  </si>
  <si>
    <t xml:space="preserve">none recorded</t>
  </si>
  <si>
    <t xml:space="preserve">2019 charter (stale)</t>
  </si>
  <si>
    <t xml:space="preserve">no outputs in last 3 occurrences</t>
  </si>
  <si>
    <t xml:space="preserve">R6</t>
  </si>
  <si>
    <t xml:space="preserve">Audit Readiness Checkpoint</t>
  </si>
  <si>
    <t xml:space="preserve">A10;A1;A2</t>
  </si>
  <si>
    <t xml:space="preserve">findings tracker</t>
  </si>
  <si>
    <t xml:space="preserve">readiness tracker updates</t>
  </si>
  <si>
    <t xml:space="preserve">audit program doc</t>
  </si>
  <si>
    <t xml:space="preserve">tracker updated each session</t>
  </si>
  <si>
    <t xml:space="preserve">R7</t>
  </si>
  <si>
    <t xml:space="preserve">Engineering Change Board</t>
  </si>
  <si>
    <t xml:space="preserve">A7;A6;A4</t>
  </si>
  <si>
    <t xml:space="preserve">biweekly</t>
  </si>
  <si>
    <t xml:space="preserve">pending ECNs</t>
  </si>
  <si>
    <t xml:space="preserve">ECN approvals</t>
  </si>
  <si>
    <t xml:space="preserve">ECB procedure EP-007</t>
  </si>
  <si>
    <t xml:space="preserve">ECN log</t>
  </si>
  <si>
    <t xml:space="preserve">R8</t>
  </si>
  <si>
    <t xml:space="preserve">Timecard &amp; Ops Compliance Review</t>
  </si>
  <si>
    <t xml:space="preserve">A10;A6</t>
  </si>
  <si>
    <t xml:space="preserve">timecard exceptions</t>
  </si>
  <si>
    <t xml:space="preserve">compliance sign-off</t>
  </si>
  <si>
    <t xml:space="preserve">true</t>
  </si>
  <si>
    <t xml:space="preserve">corporate policy HR-221</t>
  </si>
  <si>
    <t xml:space="preserve">sign-off records</t>
  </si>
  <si>
    <t xml:space="preserve">R9</t>
  </si>
  <si>
    <t xml:space="preserve">Monthly Ops Status Meeting</t>
  </si>
  <si>
    <t xml:space="preserve">A8;A6;A4;A1;A10</t>
  </si>
  <si>
    <t xml:space="preserve">status deck</t>
  </si>
  <si>
    <t xml:space="preserve">status shared; no actions logged</t>
  </si>
  <si>
    <t xml:space="preserve">standing deck template</t>
  </si>
  <si>
    <t xml:space="preserve">no action items or decisions in last 3 decks</t>
  </si>
  <si>
    <t xml:space="preserve">criterion_id</t>
  </si>
  <si>
    <t xml:space="preserve">question</t>
  </si>
  <si>
    <t xml:space="preserve">evidence_expected</t>
  </si>
  <si>
    <t xml:space="preserve">written_purpose</t>
  </si>
  <si>
    <t xml:space="preserve">Does a written purpose / standing agenda exist?</t>
  </si>
  <si>
    <t xml:space="preserve">charter or agenda doc</t>
  </si>
  <si>
    <t xml:space="preserve">action_items</t>
  </si>
  <si>
    <t xml:space="preserve">Do action items leave the meeting with an owner and a date - and get logged?</t>
  </si>
  <si>
    <t xml:space="preserve">action log covering last 3 occurrences</t>
  </si>
  <si>
    <t xml:space="preserve">decision_log</t>
  </si>
  <si>
    <t xml:space="preserve">Are decisions recorded where a non-attendee can find them?</t>
  </si>
  <si>
    <t xml:space="preserve">minutes / QMS / tracker entries</t>
  </si>
  <si>
    <t xml:space="preserve">goal_traceable</t>
  </si>
  <si>
    <t xml:space="preserve">Do the outputs trace to a named goal in the model?</t>
  </si>
  <si>
    <t xml:space="preserve">output feeds a modeled flow or decision</t>
  </si>
  <si>
    <t xml:space="preserve">right_attendees</t>
  </si>
  <si>
    <t xml:space="preserve">Are the required stakeholders of its claimed goals in the room - without chronic spectators?</t>
  </si>
  <si>
    <t xml:space="preserve">attendee list vs goal stakeholder set</t>
  </si>
  <si>
    <t xml:space="preserve">inputs_precirculated</t>
  </si>
  <si>
    <t xml:space="preserve">Do inputs exist before the meeting (pre-read / dashboard) rather than live status retelling?</t>
  </si>
  <si>
    <t xml:space="preserve">pre-read or system of record referenced</t>
  </si>
  <si>
    <t xml:space="preserve">state</t>
  </si>
  <si>
    <t xml:space="preserve">from_actor</t>
  </si>
  <si>
    <t xml:space="preserve">to_actor</t>
  </si>
  <si>
    <t xml:space="preserve">criticality</t>
  </si>
  <si>
    <t xml:space="preserve">required_max_latency</t>
  </si>
  <si>
    <t xml:space="preserve">channel_class_required</t>
  </si>
  <si>
    <t xml:space="preserve">confidence</t>
  </si>
  <si>
    <t xml:space="preserve">evidence</t>
  </si>
  <si>
    <t xml:space="preserve">rationale</t>
  </si>
  <si>
    <t xml:space="preserve">matched</t>
  </si>
  <si>
    <t xml:space="preserve">producer_ok</t>
  </si>
  <si>
    <t xml:space="preserve">carrier_cnt</t>
  </si>
  <si>
    <t xml:space="preserve">best_rank</t>
  </si>
  <si>
    <t xml:space="preserve">req_rank</t>
  </si>
  <si>
    <t xml:space="preserve">sync_ok</t>
  </si>
  <si>
    <t xml:space="preserve">pull_only</t>
  </si>
  <si>
    <t xml:space="preserve">from_group</t>
  </si>
  <si>
    <t xml:space="preserve">to_group</t>
  </si>
  <si>
    <t xml:space="preserve">defect_rank</t>
  </si>
  <si>
    <t xml:space="preserve">risk_rank</t>
  </si>
  <si>
    <t xml:space="preserve">FR01</t>
  </si>
  <si>
    <t xml:space="preserve">any</t>
  </si>
  <si>
    <t xml:space="preserve">SQE lead needs source inspection data to spot supplier trends</t>
  </si>
  <si>
    <t xml:space="preserve">FR02</t>
  </si>
  <si>
    <t xml:space="preserve">QM needs inspection summary from the source for goal tracking</t>
  </si>
  <si>
    <t xml:space="preserve">FR03</t>
  </si>
  <si>
    <t xml:space="preserve">SQE needs line fallout data to attribute defects to suppliers</t>
  </si>
  <si>
    <t xml:space="preserve">FR04</t>
  </si>
  <si>
    <t xml:space="preserve">Supplier parts must match current spec; late ECN notice causes mass NCRs</t>
  </si>
  <si>
    <t xml:space="preserve">FR05</t>
  </si>
  <si>
    <t xml:space="preserve">Procurement needs scorecard for commercial leverage</t>
  </si>
  <si>
    <t xml:space="preserve">FR06</t>
  </si>
  <si>
    <t xml:space="preserve">Supplier cannot improve against a scorecard they never see</t>
  </si>
  <si>
    <t xml:space="preserve">FR07</t>
  </si>
  <si>
    <t xml:space="preserve">SQE lead needs NCR aging to steer CAPA priorities</t>
  </si>
  <si>
    <t xml:space="preserve">FR08</t>
  </si>
  <si>
    <t xml:space="preserve">Procurement needs weekly NCR aging to pressure suppliers in-cycle</t>
  </si>
  <si>
    <t xml:space="preserve">FR09</t>
  </si>
  <si>
    <t xml:space="preserve">CAPA progress at supplier gates NCR closure</t>
  </si>
  <si>
    <t xml:space="preserve">FR10</t>
  </si>
  <si>
    <t xml:space="preserve">Containment must reach the line same-day during incidents</t>
  </si>
  <si>
    <t xml:space="preserve">FR11</t>
  </si>
  <si>
    <t xml:space="preserve">Containment must reach incoming inspection same-day during incidents</t>
  </si>
  <si>
    <t xml:space="preserve">FR12</t>
  </si>
  <si>
    <t xml:space="preserve">Procurement steers qualification commercials on engineering progress</t>
  </si>
  <si>
    <t xml:space="preserve">FR13</t>
  </si>
  <si>
    <t xml:space="preserve">Plant manager tracks second-source risk posture</t>
  </si>
  <si>
    <t xml:space="preserve">FR14</t>
  </si>
  <si>
    <t xml:space="preserve">QM owns audit goal; needs findings status monthly</t>
  </si>
  <si>
    <t xml:space="preserve">FR15</t>
  </si>
  <si>
    <t xml:space="preserve">Ops owns physical corrective items; needs findings that touch the floor</t>
  </si>
  <si>
    <t xml:space="preserve">FA01</t>
  </si>
  <si>
    <t xml:space="preserve">actual</t>
  </si>
  <si>
    <t xml:space="preserve">confirmed</t>
  </si>
  <si>
    <t xml:space="preserve">R2 agenda item 2 + dashboard</t>
  </si>
  <si>
    <t xml:space="preserve">FA02</t>
  </si>
  <si>
    <t xml:space="preserve">relayed verbally in R2</t>
  </si>
  <si>
    <t xml:space="preserve">FA03</t>
  </si>
  <si>
    <t xml:space="preserve">standup board photo</t>
  </si>
  <si>
    <t xml:space="preserve">FA04</t>
  </si>
  <si>
    <t xml:space="preserve">SBR deck section 1</t>
  </si>
  <si>
    <t xml:space="preserve">FA05</t>
  </si>
  <si>
    <t xml:space="preserve">FA06</t>
  </si>
  <si>
    <t xml:space="preserve">R2 + R4 agendas + weekly email digest</t>
  </si>
  <si>
    <t xml:space="preserve">FA07</t>
  </si>
  <si>
    <t xml:space="preserve">SBR deck appendix</t>
  </si>
  <si>
    <t xml:space="preserve">FA08</t>
  </si>
  <si>
    <t xml:space="preserve">claimed</t>
  </si>
  <si>
    <t xml:space="preserve">Frodo reports weekly email; supplier not interviewed</t>
  </si>
  <si>
    <t xml:space="preserve">FA09</t>
  </si>
  <si>
    <t xml:space="preserve">raised in R2 when incidents open</t>
  </si>
  <si>
    <t xml:space="preserve">FA10</t>
  </si>
  <si>
    <t xml:space="preserve">Teams DM thread</t>
  </si>
  <si>
    <t xml:space="preserve">FA11</t>
  </si>
  <si>
    <t xml:space="preserve">biweekly email update</t>
  </si>
  <si>
    <t xml:space="preserve">FA12</t>
  </si>
  <si>
    <t xml:space="preserve">SBR minutes</t>
  </si>
  <si>
    <t xml:space="preserve">FA13</t>
  </si>
  <si>
    <t xml:space="preserve">R6 tracker</t>
  </si>
  <si>
    <t xml:space="preserve">FA14</t>
  </si>
  <si>
    <t xml:space="preserve">daily output report email</t>
  </si>
  <si>
    <t xml:space="preserve">FA15</t>
  </si>
  <si>
    <t xml:space="preserve">R5 metrics pack</t>
  </si>
  <si>
    <t xml:space="preserve">FA16</t>
  </si>
  <si>
    <t xml:space="preserve">disputed</t>
  </si>
  <si>
    <t xml:space="preserve">Aragorn claims weekly send; Han denies receiving</t>
  </si>
  <si>
    <t xml:space="preserve">FR16</t>
  </si>
  <si>
    <t xml:space="preserve">SQE lead needs certification progress to schedule audit shadowing</t>
  </si>
  <si>
    <t xml:space="preserve">FR17</t>
  </si>
  <si>
    <t xml:space="preserve">Plant manager needs training progress for capacity planning</t>
  </si>
  <si>
    <t xml:space="preserve">FA17</t>
  </si>
  <si>
    <t xml:space="preserve">training tracker sheet linked in team wiki</t>
  </si>
  <si>
    <t xml:space="preserve">carrier_type</t>
  </si>
  <si>
    <t xml:space="preserve">carrier_id</t>
  </si>
  <si>
    <t xml:space="preserve">mode</t>
  </si>
  <si>
    <t xml:space="preserve">carrier_name</t>
  </si>
  <si>
    <t xml:space="preserve">cad_rank</t>
  </si>
  <si>
    <t xml:space="preserve">flow_state</t>
  </si>
  <si>
    <t xml:space="preserve">usable</t>
  </si>
  <si>
    <t xml:space="preserve">req_exists</t>
  </si>
  <si>
    <t xml:space="preserve">ritual</t>
  </si>
  <si>
    <t xml:space="preserve">push</t>
  </si>
  <si>
    <t xml:space="preserve">pull</t>
  </si>
  <si>
    <t xml:space="preserve">decision_id</t>
  </si>
  <si>
    <t xml:space="preserve">accountable</t>
  </si>
  <si>
    <t xml:space="preserve">responsible</t>
  </si>
  <si>
    <t xml:space="preserve">consulted</t>
  </si>
  <si>
    <t xml:space="preserve">informed</t>
  </si>
  <si>
    <t xml:space="preserve">actual_venue_type</t>
  </si>
  <si>
    <t xml:space="preserve">actual_venue_id</t>
  </si>
  <si>
    <t xml:space="preserve">venue_members</t>
  </si>
  <si>
    <t xml:space="preserve">D1</t>
  </si>
  <si>
    <t xml:space="preserve">Line stop on supplier defect</t>
  </si>
  <si>
    <t xml:space="preserve">D2</t>
  </si>
  <si>
    <t xml:space="preserve">Supplier disqualification / new-business hold</t>
  </si>
  <si>
    <t xml:space="preserve">A1;A8</t>
  </si>
  <si>
    <t xml:space="preserve">D3</t>
  </si>
  <si>
    <t xml:space="preserve">ECN approval</t>
  </si>
  <si>
    <t xml:space="preserve">A6;A4</t>
  </si>
  <si>
    <t xml:space="preserve">D4</t>
  </si>
  <si>
    <t xml:space="preserve">CAPA closure acceptance</t>
  </si>
  <si>
    <t xml:space="preserve">none_observed</t>
  </si>
  <si>
    <t xml:space="preserve">D5</t>
  </si>
  <si>
    <t xml:space="preserve">Second-source qualification go/no-go</t>
  </si>
  <si>
    <t xml:space="preserve">flows_carried</t>
  </si>
  <si>
    <t xml:space="preserve">decisions_decided</t>
  </si>
  <si>
    <t xml:space="preserve">stakeholder_pct</t>
  </si>
  <si>
    <t xml:space="preserve">theater_rank</t>
  </si>
  <si>
    <t xml:space="preserve">unclaimed_rank</t>
  </si>
  <si>
    <t xml:space="preserve">Source</t>
  </si>
  <si>
    <t xml:space="preserve">Type</t>
  </si>
  <si>
    <t xml:space="preserve">Author / year</t>
  </si>
  <si>
    <t xml:space="preserve">Components</t>
  </si>
  <si>
    <t xml:space="preserve">What to extract into this workbook</t>
  </si>
  <si>
    <t xml:space="preserve">Verification</t>
  </si>
  <si>
    <t xml:space="preserve">Auditing Organizational Communication (handbook)</t>
  </si>
  <si>
    <t xml:space="preserve">Book — communication-audit tradition</t>
  </si>
  <si>
    <t xml:space="preserve">Hargie &amp; Tourish (eds.), 2nd ed., Routledge 2009</t>
  </si>
  <si>
    <t xml:space="preserve">3, 4, 9</t>
  </si>
  <si>
    <t xml:space="preserve">The audit mindset + ready instruments: questionnaire, interview, focus-group, log-sheet and SNA chapters (Part 2). Part 3 includes a communication-event redesign chapter. Feeds Flows confidence/evidence discipline.</t>
  </si>
  <si>
    <t xml:space="preserve">verified — primary text</t>
  </si>
  <si>
    <t xml:space="preserve">Assessing Organizational Communication</t>
  </si>
  <si>
    <t xml:space="preserve">Downs &amp; Adrian, Guilford 2004</t>
  </si>
  <si>
    <t xml:space="preserve">3, 9</t>
  </si>
  <si>
    <t xml:space="preserve">The instrument shelf: ICA survey, Downs-Hazen CSQ, critical incidents, ECCO, network diagnosis (chs. 7-11). Feeds interview guide + Phase 5 baseline.</t>
  </si>
  <si>
    <t xml:space="preserve">Evaluating the CSQ as an audit tool</t>
  </si>
  <si>
    <t xml:space="preserve">Peer-reviewed validation study</t>
  </si>
  <si>
    <t xml:space="preserve">Zwijze-Koning &amp; de Jong, MCQ 20(3) 2007</t>
  </si>
  <si>
    <t xml:space="preserve">Why a survey alone can't diagnose: CSQ misses decision making, top-down/bottom-up flows, responsibilities. The evidence for pairing any satisfaction pulse with flow mapping — this workbook's premise.</t>
  </si>
  <si>
    <t xml:space="preserve">verified — primary abstract</t>
  </si>
  <si>
    <t xml:space="preserve">ICA Communication Audit</t>
  </si>
  <si>
    <t xml:space="preserve">Instrument</t>
  </si>
  <si>
    <t xml:space="preserve">International Communication Association (Goldhaber et al., 1977)</t>
  </si>
  <si>
    <t xml:space="preserve">The 'information needed vs information received' item pattern — the ancestor of required-vs-actual. Normed: 13 orgs / 3,808 respondents by 1977, reliabilities ~.70-.90. Lift items into interviews.</t>
  </si>
  <si>
    <t xml:space="preserve">ECCO analysis</t>
  </si>
  <si>
    <t xml:space="preserve">Davis (episodic communication channels)</t>
  </si>
  <si>
    <t xml:space="preserve">3, 4</t>
  </si>
  <si>
    <t xml:space="preserve">Trace ONE message through the org to validate the map cheaply on a single topic.</t>
  </si>
  <si>
    <t xml:space="preserve">verified via Downs &amp; Adrian ch. 10</t>
  </si>
  <si>
    <t xml:space="preserve">Network analysis as a communication audit instrument</t>
  </si>
  <si>
    <t xml:space="preserve">Peer-reviewed instrument</t>
  </si>
  <si>
    <t xml:space="preserve">Zwijze-Koning &amp; de Jong, JBTC 29(1) 2015</t>
  </si>
  <si>
    <t xml:space="preserve">3, 4, 8</t>
  </si>
  <si>
    <t xml:space="preserve">Roster-based contact survey (frequency notation, topic-split networks: coordination/strategic/personal) feeding betweenness/degree — bridges audit tradition to the SPOF analysis.</t>
  </si>
  <si>
    <t xml:space="preserve">Improving Performance: Managing the White Space</t>
  </si>
  <si>
    <t xml:space="preserve">Book — process school</t>
  </si>
  <si>
    <t xml:space="preserve">Rummler &amp; Brache, 3rd ed., Jossey-Bass 2012</t>
  </si>
  <si>
    <t xml:space="preserve">1, 4</t>
  </si>
  <si>
    <t xml:space="preserve">Relationship maps: input-output flows BETWEEN functions — the process-map foundation. The 'Disconnects' list = closest published analog to the Flows defect taxonomy; Ch. 12 links goals to measures.</t>
  </si>
  <si>
    <t xml:space="preserve">fetched — publisher page</t>
  </si>
  <si>
    <t xml:space="preserve">The Basics of Process Mapping</t>
  </si>
  <si>
    <t xml:space="preserve">Damelio, 2nd ed., Productivity Press 2011</t>
  </si>
  <si>
    <t xml:space="preserve">Relationship map vs cross-functional map vs flowchart — when to use which for the comm layer.</t>
  </si>
  <si>
    <t xml:space="preserve">Learning to See</t>
  </si>
  <si>
    <t xml:space="preserve">Book — lean</t>
  </si>
  <si>
    <t xml:space="preserve">Rother &amp; Shook</t>
  </si>
  <si>
    <t xml:space="preserve">VSM information-flow notation (the dotted lines) + the discipline of current-state before future-state.</t>
  </si>
  <si>
    <t xml:space="preserve">not researched (see next row)</t>
  </si>
  <si>
    <t xml:space="preserve">The Complete Lean Enterprise</t>
  </si>
  <si>
    <t xml:space="preserve">Book — lean office VSM</t>
  </si>
  <si>
    <t xml:space="preserve">Keyte &amp; Locher, 2nd ed., Productivity Press 2015</t>
  </si>
  <si>
    <t xml:space="preserve">4, 9</t>
  </si>
  <si>
    <t xml:space="preserve">VSM extended to office/information work: current-state sequence (customer info needs → processes → metrics → map) + sustainment practices (PDCA, visual mgmt) for Phase 5.</t>
  </si>
  <si>
    <t xml:space="preserve">Makigami</t>
  </si>
  <si>
    <t xml:space="preserve">Method — lean office</t>
  </si>
  <si>
    <t xml:space="preserve">— (lean-office name for swimlane mapping)</t>
  </si>
  <si>
    <t xml:space="preserve">Office-process mapping with explicit information carriers per step. Research finding: makigami IS the swimlane / Rummler-Brache diagram under a lean name (lit. 'roll of paper').</t>
  </si>
  <si>
    <t xml:space="preserve">fetched — case study + blog</t>
  </si>
  <si>
    <t xml:space="preserve">Designing Organizations / Star Model</t>
  </si>
  <si>
    <t xml:space="preserve">Book — org design</t>
  </si>
  <si>
    <t xml:space="preserve">Galbraith (later Kates &amp; Galbraith)</t>
  </si>
  <si>
    <t xml:space="preserve">1, 2</t>
  </si>
  <si>
    <t xml:space="preserve">Organizations as information processors: goals set information-processing REQUIREMENTS — the theory behind sheet Flows' required state.</t>
  </si>
  <si>
    <t xml:space="preserve">not researched yet</t>
  </si>
  <si>
    <t xml:space="preserve">The Hidden Power of Social Networks</t>
  </si>
  <si>
    <t xml:space="preserve">Book — ONA</t>
  </si>
  <si>
    <t xml:space="preserve">Cross &amp; Parker, HBS Press 2004</t>
  </si>
  <si>
    <t xml:space="preserve">4, 8</t>
  </si>
  <si>
    <t xml:space="preserve">Network survey craft (two step-by-step appendixes) + how to feed back individual-level findings safely (SPOF ethics).</t>
  </si>
  <si>
    <t xml:space="preserve">fetched — secondary listing</t>
  </si>
  <si>
    <t xml:space="preserve">Beyond Collaboration Overload</t>
  </si>
  <si>
    <t xml:space="preserve">Cross, HBR Press 2021</t>
  </si>
  <si>
    <t xml:space="preserve">8, 9</t>
  </si>
  <si>
    <t xml:space="preserve">Overload diagnosis + re-audit cadence for collaboration load (Rituals person_min_per_wk). 3-5% of people carry 20-35% of value-adding collaboration.</t>
  </si>
  <si>
    <t xml:space="preserve">The Surprising Science of Meetings</t>
  </si>
  <si>
    <t xml:space="preserve">Book — meeting science</t>
  </si>
  <si>
    <t xml:space="preserve">Rogelberg, Oxford University Press 2019</t>
  </si>
  <si>
    <t xml:space="preserve">Evidence-based meeting criteria; ships a Meeting Quality Self-Assessment + engagement-survey and 360 items. Criteria cross-check done — see research report §5.</t>
  </si>
  <si>
    <t xml:space="preserve">Death by Meeting</t>
  </si>
  <si>
    <t xml:space="preserve">Book — meeting design</t>
  </si>
  <si>
    <t xml:space="preserve">Lencioni</t>
  </si>
  <si>
    <t xml:space="preserve">Meeting-type portfolio (daily/tactical/strategic/offsite) — a target-state pattern for Phase 4 redesign.</t>
  </si>
  <si>
    <t xml:space="preserve">High Output Management</t>
  </si>
  <si>
    <t xml:space="preserve">Book — operating cadence</t>
  </si>
  <si>
    <t xml:space="preserve">Grove</t>
  </si>
  <si>
    <t xml:space="preserve">5, 6</t>
  </si>
  <si>
    <t xml:space="preserve">Meetings as the medium of managerial work; process vs mission meetings; forecast the lens: every ritual is a production step with an output.</t>
  </si>
  <si>
    <t xml:space="preserve">Time, Talent, Energy (+ Bain time audits)</t>
  </si>
  <si>
    <t xml:space="preserve">Book + firm methodology</t>
  </si>
  <si>
    <t xml:space="preserve">Mankins &amp; Garton (Bain), HBR Press 2017</t>
  </si>
  <si>
    <t xml:space="preserve">5, 9</t>
  </si>
  <si>
    <t xml:space="preserve">Organizational-time audit: meeting-load costing (already in Rituals), calendar mining as passive re-audit, governance to keep calendars clean. 17-company evidence base in the 2014 HBR article.</t>
  </si>
  <si>
    <t xml:space="preserve">fetched — publisher + Bain pages</t>
  </si>
  <si>
    <t xml:space="preserve">Decide &amp; Deliver (RAPID)</t>
  </si>
  <si>
    <t xml:space="preserve">Blenko, Mankins &amp; Rogers (Bain)</t>
  </si>
  <si>
    <t xml:space="preserve">Decision-rights redesign language for Phase 4 fixes on the Decisions sheet (Recommend vs Decide, scarce vetoes). Bain's rule: chart high-value/high-frequency decisions first, not all.</t>
  </si>
  <si>
    <t xml:space="preserve">fetched — bain.com RAPID page</t>
  </si>
  <si>
    <t xml:space="preserve">Fit-for-purpose interactions (+ DARE)</t>
  </si>
  <si>
    <t xml:space="preserve">Article — firm methodology</t>
  </si>
  <si>
    <t xml:space="preserve">McKinsey 2022</t>
  </si>
  <si>
    <t xml:space="preserve">5, 7</t>
  </si>
  <si>
    <t xml:space="preserve">Type each ritual: decide / create-coordinate / inform — and run each differently; cancel one-way info meetings; DARE (deciders are the only voters) as the RACI alternative.</t>
  </si>
  <si>
    <t xml:space="preserve">fetched — mckinsey.com</t>
  </si>
  <si>
    <t xml:space="preserve">Hoshin Kanri / catchball</t>
  </si>
  <si>
    <t xml:space="preserve">Method — strategy deployment</t>
  </si>
  <si>
    <t xml:space="preserve">Pascal Dennis, 'Getting the Right Things Done', LEI 2006</t>
  </si>
  <si>
    <t xml:space="preserve">1, 6</t>
  </si>
  <si>
    <t xml:space="preserve">Catchball = the goal-owner sign-off loop, formalized; X-matrix links goals→tactics→owners like GoalLens links goals→flows→meetings.</t>
  </si>
  <si>
    <t xml:space="preserve">Team of Teams</t>
  </si>
  <si>
    <t xml:space="preserve">Book — comms architecture</t>
  </si>
  <si>
    <t xml:space="preserve">McChrystal</t>
  </si>
  <si>
    <t xml:space="preserve">4, 6</t>
  </si>
  <si>
    <t xml:space="preserve">The O&amp;I forum pattern: one high-cadence, all-stakeholder ritual as the backbone carrier for critical flows.</t>
  </si>
  <si>
    <t xml:space="preserve">Team Topologies</t>
  </si>
  <si>
    <t xml:space="preserve">Book — org/software design</t>
  </si>
  <si>
    <t xml:space="preserve">Skelton &amp; Pais</t>
  </si>
  <si>
    <t xml:space="preserve">4, 7</t>
  </si>
  <si>
    <t xml:space="preserve">Interaction modes (collaboration / X-as-a-service / facilitating) as explicit communication CONTRACTS between teams — vocabulary for target-state carriers.</t>
  </si>
  <si>
    <t xml:space="preserve">The 4 Disciplines of Execution</t>
  </si>
  <si>
    <t xml:space="preserve">Book — execution cadence</t>
  </si>
  <si>
    <t xml:space="preserve">McChesney, Covey &amp; Huling (FranklinCovey)</t>
  </si>
  <si>
    <t xml:space="preserve">6, 9</t>
  </si>
  <si>
    <t xml:space="preserve">Cadence of accountability: a weekly goal-scoped ritual (≤20 min, fixed 3-part agenda) whose agenda IS the goal — the positive template the theater verdict tests against.</t>
  </si>
  <si>
    <t xml:space="preserve">fetched — franklincovey.com</t>
  </si>
  <si>
    <t xml:space="preserve">PMBOK communications management</t>
  </si>
  <si>
    <t xml:space="preserve">Standard</t>
  </si>
  <si>
    <t xml:space="preserve">PMI</t>
  </si>
  <si>
    <t xml:space="preserve">1, 3</t>
  </si>
  <si>
    <t xml:space="preserve">Communication requirements analysis: channels = n(n-1)/2 discipline; comms management plan fields for Carriers.</t>
  </si>
  <si>
    <t xml:space="preserve">Component key: 1 required flows from goals · 2 stakeholders/power · 3 actual-flow capture · 4 communication map (process/network) · 5 meeting audit criteria · 6 meeting↔goal alignment · 7 decision rights vs reality · 8 SPOF/overload · 9 sustain/re-audit. Verification column (research run completed — full evidence in docs/framework_research_report.md): 'verified' = checked against the primary text and it survived attempted refutation · 'fetched' = citation and claims read from the cited page but not independently re-checked · 'not researched yet' = included on practitioner knowledge, citation unchecked.</t>
  </si>
  <si>
    <t xml:space="preserve">rank</t>
  </si>
  <si>
    <t xml:space="preserve">weight</t>
  </si>
  <si>
    <t xml:space="preserve">misc</t>
  </si>
  <si>
    <t xml:space="preserve">missing</t>
  </si>
  <si>
    <t xml:space="preserve">wrong_producer</t>
  </si>
  <si>
    <t xml:space="preserve">latency_gap</t>
  </si>
  <si>
    <t xml:space="preserve">channel_mismatch</t>
  </si>
  <si>
    <t xml:space="preserve">quarterly</t>
  </si>
  <si>
    <t xml:space="preserve">A</t>
  </si>
  <si>
    <t xml:space="preserve">R</t>
  </si>
  <si>
    <t xml:space="preserve">C</t>
  </si>
  <si>
    <t xml:space="preserve">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</si>
</sst>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10.5"/>
      <color rgb="FF1C5CAB"/>
      <name val="Arial"/>
      <family val="0"/>
      <charset val="1"/>
    </font>
    <font>
      <b val="true"/>
      <sz val="10"/>
      <color rgb="FF1C5CA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9878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B8"/>
        <bgColor rgb="FFFFF7DE"/>
      </patternFill>
    </fill>
    <fill>
      <patternFill patternType="solid">
        <fgColor rgb="FF404040"/>
        <bgColor rgb="FF52514E"/>
      </patternFill>
    </fill>
    <fill>
      <patternFill patternType="solid">
        <fgColor rgb="FFFFF7DE"/>
        <bgColor rgb="FFF2F2F0"/>
      </patternFill>
    </fill>
    <fill>
      <patternFill patternType="solid">
        <fgColor rgb="FF808080"/>
        <bgColor rgb="FF898781"/>
      </patternFill>
    </fill>
    <fill>
      <patternFill patternType="solid">
        <fgColor rgb="FFF2F2F0"/>
        <bgColor rgb="FFFFF7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FFFFFF"/>
        <sz val="10"/>
      </font>
      <fill>
        <patternFill>
          <bgColor rgb="FFD03B3B"/>
        </patternFill>
      </fill>
    </dxf>
    <dxf>
      <font>
        <name val="Arial"/>
        <charset val="1"/>
        <family val="0"/>
        <color rgb="FF0B0B0B"/>
        <sz val="10"/>
      </font>
      <fill>
        <patternFill>
          <bgColor rgb="FFEC835A"/>
        </patternFill>
      </fill>
    </dxf>
    <dxf>
      <font>
        <name val="Arial"/>
        <charset val="1"/>
        <family val="0"/>
        <color rgb="FF0B0B0B"/>
        <sz val="10"/>
      </font>
      <fill>
        <patternFill>
          <bgColor rgb="FFF5C6A5"/>
        </patternFill>
      </fill>
    </dxf>
    <dxf>
      <font>
        <name val="Arial"/>
        <charset val="1"/>
        <family val="0"/>
        <color rgb="FF0B5C0B"/>
        <sz val="10"/>
      </font>
      <fill>
        <patternFill>
          <bgColor rgb="FFDDF0DD"/>
        </patternFill>
      </fill>
    </dxf>
    <dxf>
      <font>
        <name val="Arial"/>
        <charset val="1"/>
        <family val="0"/>
        <color rgb="FFB02525"/>
        <sz val="10"/>
      </font>
      <fill>
        <patternFill>
          <bgColor rgb="FFF8E0E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D03B3B"/>
        </patternFill>
      </fill>
    </dxf>
    <dxf>
      <font>
        <name val="Arial"/>
        <charset val="1"/>
        <family val="0"/>
        <b val="1"/>
        <color rgb="FF0B0B0B"/>
        <sz val="10"/>
      </font>
      <fill>
        <patternFill>
          <bgColor rgb="FFEC835A"/>
        </patternFill>
      </fill>
    </dxf>
    <dxf>
      <font>
        <name val="Arial"/>
        <charset val="1"/>
        <family val="0"/>
        <color rgb="FFB02525"/>
        <sz val="10"/>
      </font>
      <fill>
        <patternFill>
          <bgColor rgb="FFF8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F8D9D9"/>
      <rgbColor rgb="FF808080"/>
      <rgbColor rgb="FF9999FF"/>
      <rgbColor rgb="FFD03B3B"/>
      <rgbColor rgb="FFFFF7DE"/>
      <rgbColor rgb="FFF2F2F0"/>
      <rgbColor rgb="FF660066"/>
      <rgbColor rgb="FFEC835A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0E0"/>
      <rgbColor rgb="FFDDF0DD"/>
      <rgbColor rgb="FFFFF2B8"/>
      <rgbColor rgb="FF99CCFF"/>
      <rgbColor rgb="FFFF99CC"/>
      <rgbColor rgb="FFCC99FF"/>
      <rgbColor rgb="FFF5C6A5"/>
      <rgbColor rgb="FF3366FF"/>
      <rgbColor rgb="FF33CCCC"/>
      <rgbColor rgb="FF99CC00"/>
      <rgbColor rgb="FFFFCC00"/>
      <rgbColor rgb="FFFF9900"/>
      <rgbColor rgb="FFFF6600"/>
      <rgbColor rgb="FF52514E"/>
      <rgbColor rgb="FF898781"/>
      <rgbColor rgb="FF003366"/>
      <rgbColor rgb="FF339966"/>
      <rgbColor rgb="FF0B0B0B"/>
      <rgbColor rgb="FF0B5C0B"/>
      <rgbColor rgb="FFB02525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comms_assessment_workbook.xlsx" TargetMode="External"/><Relationship Id="rId2" Type="http://schemas.openxmlformats.org/officeDocument/2006/relationships/hyperlink" Target="comms_assessment_workbook.xlsx" TargetMode="External"/><Relationship Id="rId3" Type="http://schemas.openxmlformats.org/officeDocument/2006/relationships/hyperlink" Target="comms_assessment_workbook.xlsx" TargetMode="External"/><Relationship Id="rId4" Type="http://schemas.openxmlformats.org/officeDocument/2006/relationships/hyperlink" Target="comms_assessment_workbook.xlsx" TargetMode="External"/><Relationship Id="rId5" Type="http://schemas.openxmlformats.org/officeDocument/2006/relationships/hyperlink" Target="comms_assessment_workbook.xlsx" TargetMode="External"/><Relationship Id="rId6" Type="http://schemas.openxmlformats.org/officeDocument/2006/relationships/hyperlink" Target="comms_assessment_workboo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5CAB"/>
    <pageSetUpPr fitToPage="true"/>
  </sheetPr>
  <dimension ref="A1:H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15"/>
    <col collapsed="false" customWidth="true" hidden="false" outlineLevel="0" max="3" min="3" style="1" width="23"/>
    <col collapsed="false" customWidth="true" hidden="false" outlineLevel="0" max="4" min="4" style="1" width="21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2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4" t="s">
        <v>2</v>
      </c>
      <c r="C3" s="5" t="str">
        <f aca="false">IFERROR(INDEX(Goals!$B$2:$B$20,MATCH($B$3,Goals!$A$2:$A$20,0)),"")</f>
        <v>Reduce supplier defect rate (PPM) by 30%</v>
      </c>
      <c r="D3" s="5"/>
      <c r="E3" s="5"/>
      <c r="F3" s="5"/>
      <c r="G3" s="6" t="s">
        <v>3</v>
      </c>
      <c r="H3" s="6" t="str">
        <f aca="false">IFERROR(INDEX(Stakeholders!$B$2:$B$50,MATCH(INDEX(Goals!$C$2:$C$20,MATCH($B$3,Goals!$A$2:$A$20,0)),Stakeholders!$A$2:$A$50,0)),"")</f>
        <v>Leia Organa</v>
      </c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25.5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6"/>
      <c r="H5" s="6"/>
    </row>
    <row r="6" customFormat="false" ht="19.5" hidden="false" customHeight="true" outlineLevel="0" collapsed="false">
      <c r="A6" s="8" t="n">
        <f aca="false">COUNTIFS(Flows!$B$2:$B$400,"required",Flows!$L$2:$L$400,$B$3)</f>
        <v>6</v>
      </c>
      <c r="B6" s="8" t="n">
        <f aca="false">COUNTIFS(Flows!$B$2:$B$400,"required",Flows!$L$2:$L$400,$B$3,Flows!$T$2:$T$400,"covered")</f>
        <v>4</v>
      </c>
      <c r="C6" s="9" t="n">
        <f aca="false">IF($A$6=0,0,$B$6/$A$6)</f>
        <v>0.666666666666667</v>
      </c>
      <c r="D6" s="8" t="n">
        <f aca="false">$A$6-$B$6</f>
        <v>2</v>
      </c>
      <c r="E6" s="8" t="n">
        <f aca="false">COUNTIFS(Alignment!$A$2:$A$50,$B$3,Alignment!$J$2:$J$50,"claims_no_contribution")</f>
        <v>1</v>
      </c>
      <c r="F6" s="8" t="n">
        <f aca="false">COUNTIFS(Alignment!$A$2:$A$50,$B$3,Alignment!$J$2:$J$50,"unclaimed_contributor")</f>
        <v>0</v>
      </c>
      <c r="G6" s="6"/>
      <c r="H6" s="6"/>
    </row>
    <row r="7" customFormat="false" ht="15" hidden="false" customHeight="true" outlineLevel="0" collapsed="false">
      <c r="A7" s="10" t="str">
        <f aca="false">IF($A$6=0,"No required flows defined for this goal yet — add them on the Flows sheet.",IF($B$6=$A$6,"Every required flow for this goal has a working communication channel."&amp;IF($E$6&gt;0," But "&amp;TEXT($E$6,"0")&amp;" meeting(s) claim this goal without contributing — see below.",""),TEXT($B$6,"0")&amp;" of "&amp;TEXT($A$6,"0")&amp;" required flows have a working channel — "&amp;TEXT($D$6,"0")&amp;" defect(s) listed below."))</f>
        <v>4 of 6 required flows have a working channel — 2 defect(s) listed below.</v>
      </c>
      <c r="B7" s="10"/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11" t="s">
        <v>10</v>
      </c>
      <c r="B9" s="6"/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12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/>
      <c r="G10" s="12"/>
      <c r="H10" s="12"/>
    </row>
    <row r="11" customFormat="false" ht="15" hidden="false" customHeight="true" outlineLevel="0" collapsed="false">
      <c r="A11" s="6" t="str">
        <f aca="false">IFERROR(INDEX(Topics!$A$2:$A$100,MATCH(ROWS($A$11:$A11),Topics!$F$2:$F$100,0)),"")</f>
        <v>T1</v>
      </c>
      <c r="B11" s="6" t="str">
        <f aca="false">IF($A11="","",INDEX(Topics!$D$2:$D$100,MATCH($A11,Topics!$A$2:$A$100,0)))</f>
        <v>quality monitoring</v>
      </c>
      <c r="C11" s="6" t="str">
        <f aca="false">IF($A11="","",INDEX(Topics!$B$2:$B$100,MATCH($A11,Topics!$A$2:$A$100,0)))</f>
        <v>incoming_inspection_results</v>
      </c>
      <c r="D11" s="6" t="n">
        <f aca="false">IF($A11="","",COUNTIFS(Flows!$C$2:$C$400,$A11,Flows!$B$2:$B$400,"required"))</f>
        <v>2</v>
      </c>
      <c r="E11" s="6" t="n">
        <f aca="false">IF($A11="","",COUNTIFS(Flows!$C$2:$C$400,$A11,Flows!$B$2:$B$400,"required",Flows!$T$2:$T$400,"covered"))</f>
        <v>1</v>
      </c>
      <c r="F11" s="6"/>
      <c r="G11" s="6"/>
      <c r="H11" s="6"/>
    </row>
    <row r="12" customFormat="false" ht="15" hidden="false" customHeight="true" outlineLevel="0" collapsed="false">
      <c r="A12" s="6" t="str">
        <f aca="false">IFERROR(INDEX(Topics!$A$2:$A$100,MATCH(ROWS($A$11:$A12),Topics!$F$2:$F$100,0)),"")</f>
        <v>T4</v>
      </c>
      <c r="B12" s="6" t="str">
        <f aca="false">IF($A12="","",INDEX(Topics!$D$2:$D$100,MATCH($A12,Topics!$A$2:$A$100,0)))</f>
        <v>change control</v>
      </c>
      <c r="C12" s="6" t="str">
        <f aca="false">IF($A12="","",INDEX(Topics!$B$2:$B$100,MATCH($A12,Topics!$A$2:$A$100,0)))</f>
        <v>design_change_notice</v>
      </c>
      <c r="D12" s="6" t="n">
        <f aca="false">IF($A12="","",COUNTIFS(Flows!$C$2:$C$400,$A12,Flows!$B$2:$B$400,"required"))</f>
        <v>1</v>
      </c>
      <c r="E12" s="6" t="n">
        <f aca="false">IF($A12="","",COUNTIFS(Flows!$C$2:$C$400,$A12,Flows!$B$2:$B$400,"required",Flows!$T$2:$T$400,"covered"))</f>
        <v>0</v>
      </c>
      <c r="F12" s="6"/>
      <c r="G12" s="6"/>
      <c r="H12" s="6"/>
    </row>
    <row r="13" customFormat="false" ht="15" hidden="false" customHeight="true" outlineLevel="0" collapsed="false">
      <c r="A13" s="6" t="str">
        <f aca="false">IFERROR(INDEX(Topics!$A$2:$A$100,MATCH(ROWS($A$11:$A13),Topics!$F$2:$F$100,0)),"")</f>
        <v>T5</v>
      </c>
      <c r="B13" s="6" t="str">
        <f aca="false">IF($A13="","",INDEX(Topics!$D$2:$D$100,MATCH($A13,Topics!$A$2:$A$100,0)))</f>
        <v>supplier performance mgmt</v>
      </c>
      <c r="C13" s="6" t="str">
        <f aca="false">IF($A13="","",INDEX(Topics!$B$2:$B$100,MATCH($A13,Topics!$A$2:$A$100,0)))</f>
        <v>supplier_scorecard</v>
      </c>
      <c r="D13" s="6" t="n">
        <f aca="false">IF($A13="","",COUNTIFS(Flows!$C$2:$C$400,$A13,Flows!$B$2:$B$400,"required"))</f>
        <v>2</v>
      </c>
      <c r="E13" s="6" t="n">
        <f aca="false">IF($A13="","",COUNTIFS(Flows!$C$2:$C$400,$A13,Flows!$B$2:$B$400,"required",Flows!$T$2:$T$400,"covered"))</f>
        <v>2</v>
      </c>
      <c r="F13" s="6"/>
      <c r="G13" s="6"/>
      <c r="H13" s="6"/>
    </row>
    <row r="14" customFormat="false" ht="15" hidden="false" customHeight="true" outlineLevel="0" collapsed="false">
      <c r="A14" s="6" t="str">
        <f aca="false">IFERROR(INDEX(Topics!$A$2:$A$100,MATCH(ROWS($A$11:$A14),Topics!$F$2:$F$100,0)),"")</f>
        <v>T9</v>
      </c>
      <c r="B14" s="6" t="str">
        <f aca="false">IF($A14="","",INDEX(Topics!$D$2:$D$100,MATCH($A14,Topics!$A$2:$A$100,0)))</f>
        <v>quality monitoring</v>
      </c>
      <c r="C14" s="6" t="str">
        <f aca="false">IF($A14="","",INDEX(Topics!$B$2:$B$100,MATCH($A14,Topics!$A$2:$A$100,0)))</f>
        <v>production_line_defects</v>
      </c>
      <c r="D14" s="6" t="n">
        <f aca="false">IF($A14="","",COUNTIFS(Flows!$C$2:$C$400,$A14,Flows!$B$2:$B$400,"required"))</f>
        <v>1</v>
      </c>
      <c r="E14" s="6" t="n">
        <f aca="false">IF($A14="","",COUNTIFS(Flows!$C$2:$C$400,$A14,Flows!$B$2:$B$400,"required",Flows!$T$2:$T$400,"covered"))</f>
        <v>1</v>
      </c>
      <c r="F14" s="6"/>
      <c r="G14" s="6"/>
      <c r="H14" s="6"/>
    </row>
    <row r="15" customFormat="false" ht="15" hidden="false" customHeight="true" outlineLevel="0" collapsed="false">
      <c r="A15" s="6" t="str">
        <f aca="false">IFERROR(INDEX(Topics!$A$2:$A$100,MATCH(ROWS($A$11:$A15),Topics!$F$2:$F$100,0)),"")</f>
        <v/>
      </c>
      <c r="B15" s="6" t="str">
        <f aca="false">IF($A15="","",INDEX(Topics!$D$2:$D$100,MATCH($A15,Topics!$A$2:$A$100,0)))</f>
        <v/>
      </c>
      <c r="C15" s="6" t="str">
        <f aca="false">IF($A15="","",INDEX(Topics!$B$2:$B$100,MATCH($A15,Topics!$A$2:$A$100,0)))</f>
        <v/>
      </c>
      <c r="D15" s="6" t="str">
        <f aca="false">IF($A15="","",COUNTIFS(Flows!$C$2:$C$400,$A15,Flows!$B$2:$B$400,"required"))</f>
        <v/>
      </c>
      <c r="E15" s="6" t="str">
        <f aca="false">IF($A15="","",COUNTIFS(Flows!$C$2:$C$400,$A15,Flows!$B$2:$B$400,"required",Flows!$T$2:$T$400,"covered"))</f>
        <v/>
      </c>
      <c r="F15" s="6"/>
      <c r="G15" s="6"/>
      <c r="H15" s="6"/>
    </row>
    <row r="16" customFormat="false" ht="15" hidden="false" customHeight="true" outlineLevel="0" collapsed="false">
      <c r="A16" s="6" t="str">
        <f aca="false">IFERROR(INDEX(Topics!$A$2:$A$100,MATCH(ROWS($A$11:$A16),Topics!$F$2:$F$100,0)),"")</f>
        <v/>
      </c>
      <c r="B16" s="6" t="str">
        <f aca="false">IF($A16="","",INDEX(Topics!$D$2:$D$100,MATCH($A16,Topics!$A$2:$A$100,0)))</f>
        <v/>
      </c>
      <c r="C16" s="6" t="str">
        <f aca="false">IF($A16="","",INDEX(Topics!$B$2:$B$100,MATCH($A16,Topics!$A$2:$A$100,0)))</f>
        <v/>
      </c>
      <c r="D16" s="6" t="str">
        <f aca="false">IF($A16="","",COUNTIFS(Flows!$C$2:$C$400,$A16,Flows!$B$2:$B$400,"required"))</f>
        <v/>
      </c>
      <c r="E16" s="6" t="str">
        <f aca="false">IF($A16="","",COUNTIFS(Flows!$C$2:$C$400,$A16,Flows!$B$2:$B$400,"required",Flows!$T$2:$T$400,"covered"))</f>
        <v/>
      </c>
      <c r="F16" s="6"/>
      <c r="G16" s="6"/>
      <c r="H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true" outlineLevel="0" collapsed="false">
      <c r="A18" s="11" t="s">
        <v>16</v>
      </c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12" t="s">
        <v>17</v>
      </c>
      <c r="B19" s="12" t="s">
        <v>13</v>
      </c>
      <c r="C19" s="12" t="s">
        <v>18</v>
      </c>
      <c r="D19" s="12" t="s">
        <v>19</v>
      </c>
      <c r="E19" s="12" t="s">
        <v>20</v>
      </c>
      <c r="F19" s="12" t="s">
        <v>21</v>
      </c>
      <c r="G19" s="12" t="s">
        <v>22</v>
      </c>
      <c r="H19" s="12" t="s">
        <v>23</v>
      </c>
    </row>
    <row r="20" customFormat="false" ht="15" hidden="false" customHeight="true" outlineLevel="0" collapsed="false">
      <c r="A20" s="6" t="str">
        <f aca="false">IFERROR(INDEX(Flows!$A$2:$A$400,MATCH(ROWS($A$20:$A20),Flows!$V$2:$V$400,0)),"")</f>
        <v>FR01</v>
      </c>
      <c r="B20" s="6" t="str">
        <f aca="false">IF($A20="","",INDEX(Topics!$B$2:$B$100,MATCH(INDEX(Flows!$C$2:$C$400,MATCH($A20,Flows!$A$2:$A$400,0)),Topics!$A$2:$A$100,0)))</f>
        <v>incoming_inspection_results</v>
      </c>
      <c r="C20" s="6" t="str">
        <f aca="false">IF($A20="","",IFERROR(INDEX(Stakeholders!$B$2:$B$50,MATCH(INDEX(Flows!$D$2:$D$400,MATCH($A20,Flows!$A$2:$A$400,0)),Stakeholders!$A$2:$A$50,0)),""))</f>
        <v>Gimli</v>
      </c>
      <c r="D20" s="6" t="str">
        <f aca="false">IF($A20="","",IFERROR(INDEX(Stakeholders!$B$2:$B$50,MATCH(INDEX(Flows!$E$2:$E$400,MATCH($A20,Flows!$A$2:$A$400,0)),Stakeholders!$A$2:$A$50,0)),""))</f>
        <v>Frodo Baggins</v>
      </c>
      <c r="E20" s="6" t="n">
        <f aca="false">IF($A20="","",INDEX(Flows!$F$2:$F$400,MATCH($A20,Flows!$A$2:$A$400,0)))</f>
        <v>4</v>
      </c>
      <c r="F20" s="6" t="str">
        <f aca="false">IF($A20="","",INDEX(Flows!$T$2:$T$400,MATCH($A20,Flows!$A$2:$A$400,0)))</f>
        <v>covered</v>
      </c>
      <c r="G20" s="6" t="n">
        <f aca="false">IF($A20="","",INDEX(Flows!$U$2:$U$400,MATCH($A20,Flows!$A$2:$A$400,0)))</f>
        <v>0</v>
      </c>
      <c r="H20" s="6" t="n">
        <f aca="false">IF($A20="","",INDEX(Flows!$O$2:$O$400,MATCH($A20,Flows!$A$2:$A$400,0)))</f>
        <v>2</v>
      </c>
    </row>
    <row r="21" customFormat="false" ht="15" hidden="false" customHeight="true" outlineLevel="0" collapsed="false">
      <c r="A21" s="6" t="str">
        <f aca="false">IFERROR(INDEX(Flows!$A$2:$A$400,MATCH(ROWS($A$20:$A21),Flows!$V$2:$V$400,0)),"")</f>
        <v>FR02</v>
      </c>
      <c r="B21" s="6" t="str">
        <f aca="false">IF($A21="","",INDEX(Topics!$B$2:$B$100,MATCH(INDEX(Flows!$C$2:$C$400,MATCH($A21,Flows!$A$2:$A$400,0)),Topics!$A$2:$A$100,0)))</f>
        <v>incoming_inspection_results</v>
      </c>
      <c r="C21" s="6" t="str">
        <f aca="false">IF($A21="","",IFERROR(INDEX(Stakeholders!$B$2:$B$50,MATCH(INDEX(Flows!$D$2:$D$400,MATCH($A21,Flows!$A$2:$A$400,0)),Stakeholders!$A$2:$A$50,0)),""))</f>
        <v>Gimli</v>
      </c>
      <c r="D21" s="6" t="str">
        <f aca="false">IF($A21="","",IFERROR(INDEX(Stakeholders!$B$2:$B$50,MATCH(INDEX(Flows!$E$2:$E$400,MATCH($A21,Flows!$A$2:$A$400,0)),Stakeholders!$A$2:$A$50,0)),""))</f>
        <v>Leia Organa</v>
      </c>
      <c r="E21" s="6" t="n">
        <f aca="false">IF($A21="","",INDEX(Flows!$F$2:$F$400,MATCH($A21,Flows!$A$2:$A$400,0)))</f>
        <v>3</v>
      </c>
      <c r="F21" s="6" t="str">
        <f aca="false">IF($A21="","",INDEX(Flows!$T$2:$T$400,MATCH($A21,Flows!$A$2:$A$400,0)))</f>
        <v>wrong_producer</v>
      </c>
      <c r="G21" s="6" t="n">
        <f aca="false">IF($A21="","",INDEX(Flows!$U$2:$U$400,MATCH($A21,Flows!$A$2:$A$400,0)))</f>
        <v>6</v>
      </c>
      <c r="H21" s="6" t="n">
        <f aca="false">IF($A21="","",INDEX(Flows!$O$2:$O$400,MATCH($A21,Flows!$A$2:$A$400,0)))</f>
        <v>1</v>
      </c>
    </row>
    <row r="22" customFormat="false" ht="15" hidden="false" customHeight="true" outlineLevel="0" collapsed="false">
      <c r="A22" s="6" t="str">
        <f aca="false">IFERROR(INDEX(Flows!$A$2:$A$400,MATCH(ROWS($A$20:$A22),Flows!$V$2:$V$400,0)),"")</f>
        <v>FR03</v>
      </c>
      <c r="B22" s="6" t="str">
        <f aca="false">IF($A22="","",INDEX(Topics!$B$2:$B$100,MATCH(INDEX(Flows!$C$2:$C$400,MATCH($A22,Flows!$A$2:$A$400,0)),Topics!$A$2:$A$100,0)))</f>
        <v>production_line_defects</v>
      </c>
      <c r="C22" s="6" t="str">
        <f aca="false">IF($A22="","",IFERROR(INDEX(Stakeholders!$B$2:$B$50,MATCH(INDEX(Flows!$D$2:$D$400,MATCH($A22,Flows!$A$2:$A$400,0)),Stakeholders!$A$2:$A$50,0)),""))</f>
        <v>Aragorn</v>
      </c>
      <c r="D22" s="6" t="str">
        <f aca="false">IF($A22="","",IFERROR(INDEX(Stakeholders!$B$2:$B$50,MATCH(INDEX(Flows!$E$2:$E$400,MATCH($A22,Flows!$A$2:$A$400,0)),Stakeholders!$A$2:$A$50,0)),""))</f>
        <v>Samwise Gamgee</v>
      </c>
      <c r="E22" s="6" t="n">
        <f aca="false">IF($A22="","",INDEX(Flows!$F$2:$F$400,MATCH($A22,Flows!$A$2:$A$400,0)))</f>
        <v>3</v>
      </c>
      <c r="F22" s="6" t="str">
        <f aca="false">IF($A22="","",INDEX(Flows!$T$2:$T$400,MATCH($A22,Flows!$A$2:$A$400,0)))</f>
        <v>covered</v>
      </c>
      <c r="G22" s="6" t="n">
        <f aca="false">IF($A22="","",INDEX(Flows!$U$2:$U$400,MATCH($A22,Flows!$A$2:$A$400,0)))</f>
        <v>0</v>
      </c>
      <c r="H22" s="6" t="n">
        <f aca="false">IF($A22="","",INDEX(Flows!$O$2:$O$400,MATCH($A22,Flows!$A$2:$A$400,0)))</f>
        <v>1</v>
      </c>
    </row>
    <row r="23" customFormat="false" ht="15" hidden="false" customHeight="true" outlineLevel="0" collapsed="false">
      <c r="A23" s="6" t="str">
        <f aca="false">IFERROR(INDEX(Flows!$A$2:$A$400,MATCH(ROWS($A$20:$A23),Flows!$V$2:$V$400,0)),"")</f>
        <v>FR04</v>
      </c>
      <c r="B23" s="6" t="str">
        <f aca="false">IF($A23="","",INDEX(Topics!$B$2:$B$100,MATCH(INDEX(Flows!$C$2:$C$400,MATCH($A23,Flows!$A$2:$A$400,0)),Topics!$A$2:$A$100,0)))</f>
        <v>design_change_notice</v>
      </c>
      <c r="C23" s="6" t="str">
        <f aca="false">IF($A23="","",IFERROR(INDEX(Stakeholders!$B$2:$B$50,MATCH(INDEX(Flows!$D$2:$D$400,MATCH($A23,Flows!$A$2:$A$400,0)),Stakeholders!$A$2:$A$50,0)),""))</f>
        <v>Gandalf</v>
      </c>
      <c r="D23" s="6" t="str">
        <f aca="false">IF($A23="","",IFERROR(INDEX(Stakeholders!$B$2:$B$50,MATCH(INDEX(Flows!$E$2:$E$400,MATCH($A23,Flows!$A$2:$A$400,0)),Stakeholders!$A$2:$A$50,0)),""))</f>
        <v>Frodo Baggins</v>
      </c>
      <c r="E23" s="6" t="n">
        <f aca="false">IF($A23="","",INDEX(Flows!$F$2:$F$400,MATCH($A23,Flows!$A$2:$A$400,0)))</f>
        <v>5</v>
      </c>
      <c r="F23" s="6" t="str">
        <f aca="false">IF($A23="","",INDEX(Flows!$T$2:$T$400,MATCH($A23,Flows!$A$2:$A$400,0)))</f>
        <v>missing</v>
      </c>
      <c r="G23" s="6" t="n">
        <f aca="false">IF($A23="","",INDEX(Flows!$U$2:$U$400,MATCH($A23,Flows!$A$2:$A$400,0)))</f>
        <v>15</v>
      </c>
      <c r="H23" s="6" t="n">
        <f aca="false">IF($A23="","",INDEX(Flows!$O$2:$O$400,MATCH($A23,Flows!$A$2:$A$400,0)))</f>
        <v>0</v>
      </c>
    </row>
    <row r="24" customFormat="false" ht="15" hidden="false" customHeight="true" outlineLevel="0" collapsed="false">
      <c r="A24" s="6" t="str">
        <f aca="false">IFERROR(INDEX(Flows!$A$2:$A$400,MATCH(ROWS($A$20:$A24),Flows!$V$2:$V$400,0)),"")</f>
        <v>FR05</v>
      </c>
      <c r="B24" s="6" t="str">
        <f aca="false">IF($A24="","",INDEX(Topics!$B$2:$B$100,MATCH(INDEX(Flows!$C$2:$C$400,MATCH($A24,Flows!$A$2:$A$400,0)),Topics!$A$2:$A$100,0)))</f>
        <v>supplier_scorecard</v>
      </c>
      <c r="C24" s="6" t="str">
        <f aca="false">IF($A24="","",IFERROR(INDEX(Stakeholders!$B$2:$B$50,MATCH(INDEX(Flows!$D$2:$D$400,MATCH($A24,Flows!$A$2:$A$400,0)),Stakeholders!$A$2:$A$50,0)),""))</f>
        <v>Frodo Baggins</v>
      </c>
      <c r="D24" s="6" t="str">
        <f aca="false">IF($A24="","",IFERROR(INDEX(Stakeholders!$B$2:$B$50,MATCH(INDEX(Flows!$E$2:$E$400,MATCH($A24,Flows!$A$2:$A$400,0)),Stakeholders!$A$2:$A$50,0)),""))</f>
        <v>Han Solo</v>
      </c>
      <c r="E24" s="6" t="n">
        <f aca="false">IF($A24="","",INDEX(Flows!$F$2:$F$400,MATCH($A24,Flows!$A$2:$A$400,0)))</f>
        <v>3</v>
      </c>
      <c r="F24" s="6" t="str">
        <f aca="false">IF($A24="","",INDEX(Flows!$T$2:$T$400,MATCH($A24,Flows!$A$2:$A$400,0)))</f>
        <v>covered</v>
      </c>
      <c r="G24" s="6" t="n">
        <f aca="false">IF($A24="","",INDEX(Flows!$U$2:$U$400,MATCH($A24,Flows!$A$2:$A$400,0)))</f>
        <v>0</v>
      </c>
      <c r="H24" s="6" t="n">
        <f aca="false">IF($A24="","",INDEX(Flows!$O$2:$O$400,MATCH($A24,Flows!$A$2:$A$400,0)))</f>
        <v>1</v>
      </c>
    </row>
    <row r="25" customFormat="false" ht="15" hidden="false" customHeight="true" outlineLevel="0" collapsed="false">
      <c r="A25" s="6" t="str">
        <f aca="false">IFERROR(INDEX(Flows!$A$2:$A$400,MATCH(ROWS($A$20:$A25),Flows!$V$2:$V$400,0)),"")</f>
        <v>FR06</v>
      </c>
      <c r="B25" s="6" t="str">
        <f aca="false">IF($A25="","",INDEX(Topics!$B$2:$B$100,MATCH(INDEX(Flows!$C$2:$C$400,MATCH($A25,Flows!$A$2:$A$400,0)),Topics!$A$2:$A$100,0)))</f>
        <v>supplier_scorecard</v>
      </c>
      <c r="C25" s="6" t="str">
        <f aca="false">IF($A25="","",IFERROR(INDEX(Stakeholders!$B$2:$B$50,MATCH(INDEX(Flows!$D$2:$D$400,MATCH($A25,Flows!$A$2:$A$400,0)),Stakeholders!$A$2:$A$50,0)),""))</f>
        <v>Frodo Baggins</v>
      </c>
      <c r="D25" s="6" t="str">
        <f aca="false">IF($A25="","",IFERROR(INDEX(Stakeholders!$B$2:$B$50,MATCH(INDEX(Flows!$E$2:$E$400,MATCH($A25,Flows!$A$2:$A$400,0)),Stakeholders!$A$2:$A$50,0)),""))</f>
        <v>Lando Calrissian (Cloud City)</v>
      </c>
      <c r="E25" s="6" t="n">
        <f aca="false">IF($A25="","",INDEX(Flows!$F$2:$F$400,MATCH($A25,Flows!$A$2:$A$400,0)))</f>
        <v>4</v>
      </c>
      <c r="F25" s="6" t="str">
        <f aca="false">IF($A25="","",INDEX(Flows!$T$2:$T$400,MATCH($A25,Flows!$A$2:$A$400,0)))</f>
        <v>covered</v>
      </c>
      <c r="G25" s="6" t="n">
        <f aca="false">IF($A25="","",INDEX(Flows!$U$2:$U$400,MATCH($A25,Flows!$A$2:$A$400,0)))</f>
        <v>0</v>
      </c>
      <c r="H25" s="6" t="n">
        <f aca="false">IF($A25="","",INDEX(Flows!$O$2:$O$400,MATCH($A25,Flows!$A$2:$A$400,0)))</f>
        <v>1</v>
      </c>
    </row>
    <row r="26" customFormat="false" ht="15" hidden="false" customHeight="true" outlineLevel="0" collapsed="false">
      <c r="A26" s="6" t="str">
        <f aca="false">IFERROR(INDEX(Flows!$A$2:$A$400,MATCH(ROWS($A$20:$A26),Flows!$V$2:$V$400,0)),"")</f>
        <v/>
      </c>
      <c r="B26" s="6" t="str">
        <f aca="false">IF($A26="","",INDEX(Topics!$B$2:$B$100,MATCH(INDEX(Flows!$C$2:$C$400,MATCH($A26,Flows!$A$2:$A$400,0)),Topics!$A$2:$A$100,0)))</f>
        <v/>
      </c>
      <c r="C26" s="6" t="str">
        <f aca="false">IF($A26="","",IFERROR(INDEX(Stakeholders!$B$2:$B$50,MATCH(INDEX(Flows!$D$2:$D$400,MATCH($A26,Flows!$A$2:$A$400,0)),Stakeholders!$A$2:$A$50,0)),""))</f>
        <v/>
      </c>
      <c r="D26" s="6" t="str">
        <f aca="false">IF($A26="","",IFERROR(INDEX(Stakeholders!$B$2:$B$50,MATCH(INDEX(Flows!$E$2:$E$400,MATCH($A26,Flows!$A$2:$A$400,0)),Stakeholders!$A$2:$A$50,0)),""))</f>
        <v/>
      </c>
      <c r="E26" s="6" t="str">
        <f aca="false">IF($A26="","",INDEX(Flows!$F$2:$F$400,MATCH($A26,Flows!$A$2:$A$400,0)))</f>
        <v/>
      </c>
      <c r="F26" s="6" t="str">
        <f aca="false">IF($A26="","",INDEX(Flows!$T$2:$T$400,MATCH($A26,Flows!$A$2:$A$400,0)))</f>
        <v/>
      </c>
      <c r="G26" s="6" t="str">
        <f aca="false">IF($A26="","",INDEX(Flows!$U$2:$U$400,MATCH($A26,Flows!$A$2:$A$400,0)))</f>
        <v/>
      </c>
      <c r="H26" s="6" t="str">
        <f aca="false">IF($A26="","",INDEX(Flows!$O$2:$O$400,MATCH($A26,Flows!$A$2:$A$400,0)))</f>
        <v/>
      </c>
    </row>
    <row r="27" customFormat="false" ht="15" hidden="false" customHeight="true" outlineLevel="0" collapsed="false">
      <c r="A27" s="6" t="str">
        <f aca="false">IFERROR(INDEX(Flows!$A$2:$A$400,MATCH(ROWS($A$20:$A27),Flows!$V$2:$V$400,0)),"")</f>
        <v/>
      </c>
      <c r="B27" s="6" t="str">
        <f aca="false">IF($A27="","",INDEX(Topics!$B$2:$B$100,MATCH(INDEX(Flows!$C$2:$C$400,MATCH($A27,Flows!$A$2:$A$400,0)),Topics!$A$2:$A$100,0)))</f>
        <v/>
      </c>
      <c r="C27" s="6" t="str">
        <f aca="false">IF($A27="","",IFERROR(INDEX(Stakeholders!$B$2:$B$50,MATCH(INDEX(Flows!$D$2:$D$400,MATCH($A27,Flows!$A$2:$A$400,0)),Stakeholders!$A$2:$A$50,0)),""))</f>
        <v/>
      </c>
      <c r="D27" s="6" t="str">
        <f aca="false">IF($A27="","",IFERROR(INDEX(Stakeholders!$B$2:$B$50,MATCH(INDEX(Flows!$E$2:$E$400,MATCH($A27,Flows!$A$2:$A$400,0)),Stakeholders!$A$2:$A$50,0)),""))</f>
        <v/>
      </c>
      <c r="E27" s="6" t="str">
        <f aca="false">IF($A27="","",INDEX(Flows!$F$2:$F$400,MATCH($A27,Flows!$A$2:$A$400,0)))</f>
        <v/>
      </c>
      <c r="F27" s="6" t="str">
        <f aca="false">IF($A27="","",INDEX(Flows!$T$2:$T$400,MATCH($A27,Flows!$A$2:$A$400,0)))</f>
        <v/>
      </c>
      <c r="G27" s="6" t="str">
        <f aca="false">IF($A27="","",INDEX(Flows!$U$2:$U$400,MATCH($A27,Flows!$A$2:$A$400,0)))</f>
        <v/>
      </c>
      <c r="H27" s="6" t="str">
        <f aca="false">IF($A27="","",INDEX(Flows!$O$2:$O$400,MATCH($A27,Flows!$A$2:$A$400,0)))</f>
        <v/>
      </c>
    </row>
    <row r="28" customFormat="false" ht="15" hidden="false" customHeight="true" outlineLevel="0" collapsed="false">
      <c r="A28" s="6" t="str">
        <f aca="false">IFERROR(INDEX(Flows!$A$2:$A$400,MATCH(ROWS($A$20:$A28),Flows!$V$2:$V$400,0)),"")</f>
        <v/>
      </c>
      <c r="B28" s="6" t="str">
        <f aca="false">IF($A28="","",INDEX(Topics!$B$2:$B$100,MATCH(INDEX(Flows!$C$2:$C$400,MATCH($A28,Flows!$A$2:$A$400,0)),Topics!$A$2:$A$100,0)))</f>
        <v/>
      </c>
      <c r="C28" s="6" t="str">
        <f aca="false">IF($A28="","",IFERROR(INDEX(Stakeholders!$B$2:$B$50,MATCH(INDEX(Flows!$D$2:$D$400,MATCH($A28,Flows!$A$2:$A$400,0)),Stakeholders!$A$2:$A$50,0)),""))</f>
        <v/>
      </c>
      <c r="D28" s="6" t="str">
        <f aca="false">IF($A28="","",IFERROR(INDEX(Stakeholders!$B$2:$B$50,MATCH(INDEX(Flows!$E$2:$E$400,MATCH($A28,Flows!$A$2:$A$400,0)),Stakeholders!$A$2:$A$50,0)),""))</f>
        <v/>
      </c>
      <c r="E28" s="6" t="str">
        <f aca="false">IF($A28="","",INDEX(Flows!$F$2:$F$400,MATCH($A28,Flows!$A$2:$A$400,0)))</f>
        <v/>
      </c>
      <c r="F28" s="6" t="str">
        <f aca="false">IF($A28="","",INDEX(Flows!$T$2:$T$400,MATCH($A28,Flows!$A$2:$A$400,0)))</f>
        <v/>
      </c>
      <c r="G28" s="6" t="str">
        <f aca="false">IF($A28="","",INDEX(Flows!$U$2:$U$400,MATCH($A28,Flows!$A$2:$A$400,0)))</f>
        <v/>
      </c>
      <c r="H28" s="6" t="str">
        <f aca="false">IF($A28="","",INDEX(Flows!$O$2:$O$400,MATCH($A28,Flows!$A$2:$A$400,0)))</f>
        <v/>
      </c>
    </row>
    <row r="29" customFormat="false" ht="15" hidden="false" customHeight="true" outlineLevel="0" collapsed="false">
      <c r="A29" s="6" t="str">
        <f aca="false">IFERROR(INDEX(Flows!$A$2:$A$400,MATCH(ROWS($A$20:$A29),Flows!$V$2:$V$400,0)),"")</f>
        <v/>
      </c>
      <c r="B29" s="6" t="str">
        <f aca="false">IF($A29="","",INDEX(Topics!$B$2:$B$100,MATCH(INDEX(Flows!$C$2:$C$400,MATCH($A29,Flows!$A$2:$A$400,0)),Topics!$A$2:$A$100,0)))</f>
        <v/>
      </c>
      <c r="C29" s="6" t="str">
        <f aca="false">IF($A29="","",IFERROR(INDEX(Stakeholders!$B$2:$B$50,MATCH(INDEX(Flows!$D$2:$D$400,MATCH($A29,Flows!$A$2:$A$400,0)),Stakeholders!$A$2:$A$50,0)),""))</f>
        <v/>
      </c>
      <c r="D29" s="6" t="str">
        <f aca="false">IF($A29="","",IFERROR(INDEX(Stakeholders!$B$2:$B$50,MATCH(INDEX(Flows!$E$2:$E$400,MATCH($A29,Flows!$A$2:$A$400,0)),Stakeholders!$A$2:$A$50,0)),""))</f>
        <v/>
      </c>
      <c r="E29" s="6" t="str">
        <f aca="false">IF($A29="","",INDEX(Flows!$F$2:$F$400,MATCH($A29,Flows!$A$2:$A$400,0)))</f>
        <v/>
      </c>
      <c r="F29" s="6" t="str">
        <f aca="false">IF($A29="","",INDEX(Flows!$T$2:$T$400,MATCH($A29,Flows!$A$2:$A$400,0)))</f>
        <v/>
      </c>
      <c r="G29" s="6" t="str">
        <f aca="false">IF($A29="","",INDEX(Flows!$U$2:$U$400,MATCH($A29,Flows!$A$2:$A$400,0)))</f>
        <v/>
      </c>
      <c r="H29" s="6" t="str">
        <f aca="false">IF($A29="","",INDEX(Flows!$O$2:$O$400,MATCH($A29,Flows!$A$2:$A$400,0)))</f>
        <v/>
      </c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A31" s="11" t="s">
        <v>24</v>
      </c>
      <c r="B31" s="6"/>
      <c r="C31" s="6"/>
      <c r="D31" s="6"/>
      <c r="E31" s="6"/>
      <c r="F31" s="6"/>
      <c r="G31" s="6"/>
      <c r="H31" s="6"/>
    </row>
    <row r="32" customFormat="false" ht="15" hidden="false" customHeight="true" outlineLevel="0" collapsed="false">
      <c r="A32" s="12" t="s">
        <v>25</v>
      </c>
      <c r="B32" s="12" t="s">
        <v>26</v>
      </c>
      <c r="C32" s="12" t="s">
        <v>27</v>
      </c>
      <c r="D32" s="12" t="s">
        <v>28</v>
      </c>
      <c r="E32" s="12" t="s">
        <v>29</v>
      </c>
      <c r="F32" s="12"/>
      <c r="G32" s="12"/>
      <c r="H32" s="12"/>
    </row>
    <row r="33" customFormat="false" ht="15" hidden="false" customHeight="true" outlineLevel="0" collapsed="false">
      <c r="A33" s="6" t="str">
        <f aca="false">IFERROR(INDEX(Stakeholders!$B$2:$B$50,MATCH(ROWS($A$33:$A33),Stakeholders!$N$2:$N$50,0)),"")</f>
        <v>Leia Organa</v>
      </c>
      <c r="B33" s="6" t="str">
        <f aca="false">IF($A33="","",INDEX(Stakeholders!$C$2:$C$50,MATCH(ROWS($A$33:$A33),Stakeholders!$N$2:$N$50,0)))</f>
        <v>Quality Manager</v>
      </c>
      <c r="C33" s="6" t="str">
        <f aca="false">IF($A33="","",INDEX(Stakeholders!$D$2:$D$50,MATCH(ROWS($A$33:$A33),Stakeholders!$N$2:$N$50,0)))</f>
        <v>Quality</v>
      </c>
      <c r="D33" s="6" t="str">
        <f aca="false">IF($A33="","",INDEX(Stakeholders!$F$2:$F$50,MATCH(ROWS($A$33:$A33),Stakeholders!$N$2:$N$50,0)))</f>
        <v>4</v>
      </c>
      <c r="E33" s="6" t="str">
        <f aca="false">IF($A33="","",IF(INDEX(Stakeholders!$M$2:$M$50,MATCH(ROWS($A$33:$A33),Stakeholders!$N$2:$N$50,0))=1,"⚠ affected by a defect","ok"))</f>
        <v>⚠ affected by a defect</v>
      </c>
      <c r="F33" s="6"/>
      <c r="G33" s="6"/>
      <c r="H33" s="6"/>
    </row>
    <row r="34" customFormat="false" ht="15" hidden="false" customHeight="true" outlineLevel="0" collapsed="false">
      <c r="A34" s="6" t="str">
        <f aca="false">IFERROR(INDEX(Stakeholders!$B$2:$B$50,MATCH(ROWS($A$33:$A34),Stakeholders!$N$2:$N$50,0)),"")</f>
        <v>Frodo Baggins</v>
      </c>
      <c r="B34" s="6" t="str">
        <f aca="false">IF($A34="","",INDEX(Stakeholders!$C$2:$C$50,MATCH(ROWS($A$33:$A34),Stakeholders!$N$2:$N$50,0)))</f>
        <v>Supplier Quality Engineer Lead</v>
      </c>
      <c r="C34" s="6" t="str">
        <f aca="false">IF($A34="","",INDEX(Stakeholders!$D$2:$D$50,MATCH(ROWS($A$33:$A34),Stakeholders!$N$2:$N$50,0)))</f>
        <v>Quality</v>
      </c>
      <c r="D34" s="6" t="str">
        <f aca="false">IF($A34="","",INDEX(Stakeholders!$F$2:$F$50,MATCH(ROWS($A$33:$A34),Stakeholders!$N$2:$N$50,0)))</f>
        <v>3</v>
      </c>
      <c r="E34" s="6" t="str">
        <f aca="false">IF($A34="","",IF(INDEX(Stakeholders!$M$2:$M$50,MATCH(ROWS($A$33:$A34),Stakeholders!$N$2:$N$50,0))=1,"⚠ affected by a defect","ok"))</f>
        <v>⚠ affected by a defect</v>
      </c>
      <c r="F34" s="6"/>
      <c r="G34" s="6"/>
      <c r="H34" s="6"/>
    </row>
    <row r="35" customFormat="false" ht="15" hidden="false" customHeight="true" outlineLevel="0" collapsed="false">
      <c r="A35" s="6" t="str">
        <f aca="false">IFERROR(INDEX(Stakeholders!$B$2:$B$50,MATCH(ROWS($A$33:$A35),Stakeholders!$N$2:$N$50,0)),"")</f>
        <v>Samwise Gamgee</v>
      </c>
      <c r="B35" s="6" t="str">
        <f aca="false">IF($A35="","",INDEX(Stakeholders!$C$2:$C$50,MATCH(ROWS($A$33:$A35),Stakeholders!$N$2:$N$50,0)))</f>
        <v>Supplier Quality Engineer</v>
      </c>
      <c r="C35" s="6" t="str">
        <f aca="false">IF($A35="","",INDEX(Stakeholders!$D$2:$D$50,MATCH(ROWS($A$33:$A35),Stakeholders!$N$2:$N$50,0)))</f>
        <v>Quality</v>
      </c>
      <c r="D35" s="6" t="str">
        <f aca="false">IF($A35="","",INDEX(Stakeholders!$F$2:$F$50,MATCH(ROWS($A$33:$A35),Stakeholders!$N$2:$N$50,0)))</f>
        <v>2</v>
      </c>
      <c r="E35" s="6" t="str">
        <f aca="false">IF($A35="","",IF(INDEX(Stakeholders!$M$2:$M$50,MATCH(ROWS($A$33:$A35),Stakeholders!$N$2:$N$50,0))=1,"⚠ affected by a defect","ok"))</f>
        <v>ok</v>
      </c>
      <c r="F35" s="6"/>
      <c r="G35" s="6"/>
      <c r="H35" s="6"/>
    </row>
    <row r="36" customFormat="false" ht="15" hidden="false" customHeight="true" outlineLevel="0" collapsed="false">
      <c r="A36" s="6" t="str">
        <f aca="false">IFERROR(INDEX(Stakeholders!$B$2:$B$50,MATCH(ROWS($A$33:$A36),Stakeholders!$N$2:$N$50,0)),"")</f>
        <v>Han Solo</v>
      </c>
      <c r="B36" s="6" t="str">
        <f aca="false">IF($A36="","",INDEX(Stakeholders!$C$2:$C$50,MATCH(ROWS($A$33:$A36),Stakeholders!$N$2:$N$50,0)))</f>
        <v>Procurement Lead</v>
      </c>
      <c r="C36" s="6" t="str">
        <f aca="false">IF($A36="","",INDEX(Stakeholders!$D$2:$D$50,MATCH(ROWS($A$33:$A36),Stakeholders!$N$2:$N$50,0)))</f>
        <v>Supply Chain</v>
      </c>
      <c r="D36" s="6" t="str">
        <f aca="false">IF($A36="","",INDEX(Stakeholders!$F$2:$F$50,MATCH(ROWS($A$33:$A36),Stakeholders!$N$2:$N$50,0)))</f>
        <v>4</v>
      </c>
      <c r="E36" s="6" t="str">
        <f aca="false">IF($A36="","",IF(INDEX(Stakeholders!$M$2:$M$50,MATCH(ROWS($A$33:$A36),Stakeholders!$N$2:$N$50,0))=1,"⚠ affected by a defect","ok"))</f>
        <v>ok</v>
      </c>
      <c r="F36" s="6"/>
      <c r="G36" s="6"/>
      <c r="H36" s="6"/>
    </row>
    <row r="37" customFormat="false" ht="15" hidden="false" customHeight="true" outlineLevel="0" collapsed="false">
      <c r="A37" s="6" t="str">
        <f aca="false">IFERROR(INDEX(Stakeholders!$B$2:$B$50,MATCH(ROWS($A$33:$A37),Stakeholders!$N$2:$N$50,0)),"")</f>
        <v>Gimli</v>
      </c>
      <c r="B37" s="6" t="str">
        <f aca="false">IF($A37="","",INDEX(Stakeholders!$C$2:$C$50,MATCH(ROWS($A$33:$A37),Stakeholders!$N$2:$N$50,0)))</f>
        <v>Incoming Inspection Lead</v>
      </c>
      <c r="C37" s="6" t="str">
        <f aca="false">IF($A37="","",INDEX(Stakeholders!$D$2:$D$50,MATCH(ROWS($A$33:$A37),Stakeholders!$N$2:$N$50,0)))</f>
        <v>Quality</v>
      </c>
      <c r="D37" s="6" t="str">
        <f aca="false">IF($A37="","",INDEX(Stakeholders!$F$2:$F$50,MATCH(ROWS($A$33:$A37),Stakeholders!$N$2:$N$50,0)))</f>
        <v>2</v>
      </c>
      <c r="E37" s="6" t="str">
        <f aca="false">IF($A37="","",IF(INDEX(Stakeholders!$M$2:$M$50,MATCH(ROWS($A$33:$A37),Stakeholders!$N$2:$N$50,0))=1,"⚠ affected by a defect","ok"))</f>
        <v>⚠ affected by a defect</v>
      </c>
      <c r="F37" s="6"/>
      <c r="G37" s="6"/>
      <c r="H37" s="6"/>
    </row>
    <row r="38" customFormat="false" ht="15" hidden="false" customHeight="true" outlineLevel="0" collapsed="false">
      <c r="A38" s="6" t="str">
        <f aca="false">IFERROR(INDEX(Stakeholders!$B$2:$B$50,MATCH(ROWS($A$33:$A38),Stakeholders!$N$2:$N$50,0)),"")</f>
        <v>Aragorn</v>
      </c>
      <c r="B38" s="6" t="str">
        <f aca="false">IF($A38="","",INDEX(Stakeholders!$C$2:$C$50,MATCH(ROWS($A$33:$A38),Stakeholders!$N$2:$N$50,0)))</f>
        <v>Production Supervisor</v>
      </c>
      <c r="C38" s="6" t="str">
        <f aca="false">IF($A38="","",INDEX(Stakeholders!$D$2:$D$50,MATCH(ROWS($A$33:$A38),Stakeholders!$N$2:$N$50,0)))</f>
        <v>Operations</v>
      </c>
      <c r="D38" s="6" t="str">
        <f aca="false">IF($A38="","",INDEX(Stakeholders!$F$2:$F$50,MATCH(ROWS($A$33:$A38),Stakeholders!$N$2:$N$50,0)))</f>
        <v>3</v>
      </c>
      <c r="E38" s="6" t="str">
        <f aca="false">IF($A38="","",IF(INDEX(Stakeholders!$M$2:$M$50,MATCH(ROWS($A$33:$A38),Stakeholders!$N$2:$N$50,0))=1,"⚠ affected by a defect","ok"))</f>
        <v>ok</v>
      </c>
      <c r="F38" s="6"/>
      <c r="G38" s="6"/>
      <c r="H38" s="6"/>
    </row>
    <row r="39" customFormat="false" ht="15" hidden="false" customHeight="true" outlineLevel="0" collapsed="false">
      <c r="A39" s="6" t="str">
        <f aca="false">IFERROR(INDEX(Stakeholders!$B$2:$B$50,MATCH(ROWS($A$33:$A39),Stakeholders!$N$2:$N$50,0)),"")</f>
        <v>Gandalf</v>
      </c>
      <c r="B39" s="6" t="str">
        <f aca="false">IF($A39="","",INDEX(Stakeholders!$C$2:$C$50,MATCH(ROWS($A$33:$A39),Stakeholders!$N$2:$N$50,0)))</f>
        <v>Design Engineer</v>
      </c>
      <c r="C39" s="6" t="str">
        <f aca="false">IF($A39="","",INDEX(Stakeholders!$D$2:$D$50,MATCH(ROWS($A$33:$A39),Stakeholders!$N$2:$N$50,0)))</f>
        <v>Engineering</v>
      </c>
      <c r="D39" s="6" t="str">
        <f aca="false">IF($A39="","",INDEX(Stakeholders!$F$2:$F$50,MATCH(ROWS($A$33:$A39),Stakeholders!$N$2:$N$50,0)))</f>
        <v>3</v>
      </c>
      <c r="E39" s="6" t="str">
        <f aca="false">IF($A39="","",IF(INDEX(Stakeholders!$M$2:$M$50,MATCH(ROWS($A$33:$A39),Stakeholders!$N$2:$N$50,0))=1,"⚠ affected by a defect","ok"))</f>
        <v>⚠ affected by a defect</v>
      </c>
      <c r="F39" s="6"/>
      <c r="G39" s="6"/>
      <c r="H39" s="6"/>
    </row>
    <row r="40" customFormat="false" ht="15" hidden="false" customHeight="true" outlineLevel="0" collapsed="false">
      <c r="A40" s="6" t="str">
        <f aca="false">IFERROR(INDEX(Stakeholders!$B$2:$B$50,MATCH(ROWS($A$33:$A40),Stakeholders!$N$2:$N$50,0)),"")</f>
        <v>Lando Calrissian (Cloud City)</v>
      </c>
      <c r="B40" s="6" t="str">
        <f aca="false">IF($A40="","",INDEX(Stakeholders!$C$2:$C$50,MATCH(ROWS($A$33:$A40),Stakeholders!$N$2:$N$50,0)))</f>
        <v>Supplier Account Manager</v>
      </c>
      <c r="C40" s="6" t="str">
        <f aca="false">IF($A40="","",INDEX(Stakeholders!$D$2:$D$50,MATCH(ROWS($A$33:$A40),Stakeholders!$N$2:$N$50,0)))</f>
        <v>External</v>
      </c>
      <c r="D40" s="6" t="str">
        <f aca="false">IF($A40="","",INDEX(Stakeholders!$F$2:$F$50,MATCH(ROWS($A$33:$A40),Stakeholders!$N$2:$N$50,0)))</f>
        <v>3</v>
      </c>
      <c r="E40" s="6" t="str">
        <f aca="false">IF($A40="","",IF(INDEX(Stakeholders!$M$2:$M$50,MATCH(ROWS($A$33:$A40),Stakeholders!$N$2:$N$50,0))=1,"⚠ affected by a defect","ok"))</f>
        <v>ok</v>
      </c>
      <c r="F40" s="6"/>
      <c r="G40" s="6"/>
      <c r="H40" s="6"/>
    </row>
    <row r="41" customFormat="false" ht="15" hidden="false" customHeight="true" outlineLevel="0" collapsed="false">
      <c r="A41" s="6" t="str">
        <f aca="false">IFERROR(INDEX(Stakeholders!$B$2:$B$50,MATCH(ROWS($A$33:$A41),Stakeholders!$N$2:$N$50,0)),"")</f>
        <v/>
      </c>
      <c r="B41" s="6" t="str">
        <f aca="false">IF($A41="","",INDEX(Stakeholders!$C$2:$C$50,MATCH(ROWS($A$33:$A41),Stakeholders!$N$2:$N$50,0)))</f>
        <v/>
      </c>
      <c r="C41" s="6" t="str">
        <f aca="false">IF($A41="","",INDEX(Stakeholders!$D$2:$D$50,MATCH(ROWS($A$33:$A41),Stakeholders!$N$2:$N$50,0)))</f>
        <v/>
      </c>
      <c r="D41" s="6" t="str">
        <f aca="false">IF($A41="","",INDEX(Stakeholders!$F$2:$F$50,MATCH(ROWS($A$33:$A41),Stakeholders!$N$2:$N$50,0)))</f>
        <v/>
      </c>
      <c r="E41" s="6" t="str">
        <f aca="false">IF($A41="","",IF(INDEX(Stakeholders!$M$2:$M$50,MATCH(ROWS($A$33:$A41),Stakeholders!$N$2:$N$50,0))=1,"⚠ affected by a defect","ok"))</f>
        <v/>
      </c>
      <c r="F41" s="6"/>
      <c r="G41" s="6"/>
      <c r="H41" s="6"/>
    </row>
    <row r="42" customFormat="false" ht="15" hidden="false" customHeight="true" outlineLevel="0" collapsed="false">
      <c r="A42" s="6" t="str">
        <f aca="false">IFERROR(INDEX(Stakeholders!$B$2:$B$50,MATCH(ROWS($A$33:$A42),Stakeholders!$N$2:$N$50,0)),"")</f>
        <v/>
      </c>
      <c r="B42" s="6" t="str">
        <f aca="false">IF($A42="","",INDEX(Stakeholders!$C$2:$C$50,MATCH(ROWS($A$33:$A42),Stakeholders!$N$2:$N$50,0)))</f>
        <v/>
      </c>
      <c r="C42" s="6" t="str">
        <f aca="false">IF($A42="","",INDEX(Stakeholders!$D$2:$D$50,MATCH(ROWS($A$33:$A42),Stakeholders!$N$2:$N$50,0)))</f>
        <v/>
      </c>
      <c r="D42" s="6" t="str">
        <f aca="false">IF($A42="","",INDEX(Stakeholders!$F$2:$F$50,MATCH(ROWS($A$33:$A42),Stakeholders!$N$2:$N$50,0)))</f>
        <v/>
      </c>
      <c r="E42" s="6" t="str">
        <f aca="false">IF($A42="","",IF(INDEX(Stakeholders!$M$2:$M$50,MATCH(ROWS($A$33:$A42),Stakeholders!$N$2:$N$50,0))=1,"⚠ affected by a defect","ok"))</f>
        <v/>
      </c>
      <c r="F42" s="6"/>
      <c r="G42" s="6"/>
      <c r="H42" s="6"/>
    </row>
    <row r="43" customFormat="false" ht="15" hidden="false" customHeight="true" outlineLevel="0" collapsed="false">
      <c r="A43" s="6" t="str">
        <f aca="false">IFERROR(INDEX(Stakeholders!$B$2:$B$50,MATCH(ROWS($A$33:$A43),Stakeholders!$N$2:$N$50,0)),"")</f>
        <v/>
      </c>
      <c r="B43" s="6" t="str">
        <f aca="false">IF($A43="","",INDEX(Stakeholders!$C$2:$C$50,MATCH(ROWS($A$33:$A43),Stakeholders!$N$2:$N$50,0)))</f>
        <v/>
      </c>
      <c r="C43" s="6" t="str">
        <f aca="false">IF($A43="","",INDEX(Stakeholders!$D$2:$D$50,MATCH(ROWS($A$33:$A43),Stakeholders!$N$2:$N$50,0)))</f>
        <v/>
      </c>
      <c r="D43" s="6" t="str">
        <f aca="false">IF($A43="","",INDEX(Stakeholders!$F$2:$F$50,MATCH(ROWS($A$33:$A43),Stakeholders!$N$2:$N$50,0)))</f>
        <v/>
      </c>
      <c r="E43" s="6" t="str">
        <f aca="false">IF($A43="","",IF(INDEX(Stakeholders!$M$2:$M$50,MATCH(ROWS($A$33:$A43),Stakeholders!$N$2:$N$50,0))=1,"⚠ affected by a defect","ok"))</f>
        <v/>
      </c>
      <c r="F43" s="6"/>
      <c r="G43" s="6"/>
      <c r="H43" s="6"/>
    </row>
    <row r="44" customFormat="false" ht="15" hidden="false" customHeight="true" outlineLevel="0" collapsed="false">
      <c r="A44" s="6" t="str">
        <f aca="false">IFERROR(INDEX(Stakeholders!$B$2:$B$50,MATCH(ROWS($A$33:$A44),Stakeholders!$N$2:$N$50,0)),"")</f>
        <v/>
      </c>
      <c r="B44" s="6" t="str">
        <f aca="false">IF($A44="","",INDEX(Stakeholders!$C$2:$C$50,MATCH(ROWS($A$33:$A44),Stakeholders!$N$2:$N$50,0)))</f>
        <v/>
      </c>
      <c r="C44" s="6" t="str">
        <f aca="false">IF($A44="","",INDEX(Stakeholders!$D$2:$D$50,MATCH(ROWS($A$33:$A44),Stakeholders!$N$2:$N$50,0)))</f>
        <v/>
      </c>
      <c r="D44" s="6" t="str">
        <f aca="false">IF($A44="","",INDEX(Stakeholders!$F$2:$F$50,MATCH(ROWS($A$33:$A44),Stakeholders!$N$2:$N$50,0)))</f>
        <v/>
      </c>
      <c r="E44" s="6" t="str">
        <f aca="false">IF($A44="","",IF(INDEX(Stakeholders!$M$2:$M$50,MATCH(ROWS($A$33:$A44),Stakeholders!$N$2:$N$50,0))=1,"⚠ affected by a defect","ok"))</f>
        <v/>
      </c>
      <c r="F44" s="6"/>
      <c r="G44" s="6"/>
      <c r="H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true" outlineLevel="0" collapsed="false">
      <c r="A46" s="11" t="s">
        <v>30</v>
      </c>
      <c r="B46" s="6"/>
      <c r="C46" s="6"/>
      <c r="D46" s="6"/>
      <c r="E46" s="6"/>
      <c r="F46" s="6"/>
      <c r="G46" s="6"/>
      <c r="H46" s="6"/>
    </row>
    <row r="47" customFormat="false" ht="15" hidden="false" customHeight="true" outlineLevel="0" collapsed="false">
      <c r="A47" s="12" t="s">
        <v>31</v>
      </c>
      <c r="B47" s="12" t="s">
        <v>32</v>
      </c>
      <c r="C47" s="12" t="s">
        <v>33</v>
      </c>
      <c r="D47" s="12" t="s">
        <v>34</v>
      </c>
      <c r="E47" s="12" t="s">
        <v>35</v>
      </c>
      <c r="F47" s="12" t="s">
        <v>36</v>
      </c>
      <c r="G47" s="12" t="s">
        <v>37</v>
      </c>
      <c r="H47" s="12"/>
    </row>
    <row r="48" customFormat="false" ht="15" hidden="false" customHeight="true" outlineLevel="0" collapsed="false">
      <c r="A48" s="6" t="str">
        <f aca="false">IFERROR(INDEX(Alignment!$C$2:$C$50,MATCH(ROWS($A$48:$A48),Alignment!$K$2:$K$50,0)),"")</f>
        <v>Daily Production Standup</v>
      </c>
      <c r="B48" s="6" t="str">
        <f aca="false">IF($A48="","",IF(INDEX(Alignment!$D$2:$D$50,MATCH(ROWS($A$48:$A48),Alignment!$K$2:$K$50,0))=TRUE(),"yes","no"))</f>
        <v>yes</v>
      </c>
      <c r="C48" s="6" t="n">
        <f aca="false">IF($A48="","",INDEX(Alignment!$E$2:$E$50,MATCH(ROWS($A$48:$A48),Alignment!$K$2:$K$50,0)))</f>
        <v>1</v>
      </c>
      <c r="D48" s="6" t="n">
        <f aca="false">IF($A48="","",INDEX(Alignment!$F$2:$F$50,MATCH(ROWS($A$48:$A48),Alignment!$K$2:$K$50,0)))</f>
        <v>1</v>
      </c>
      <c r="E48" s="13" t="n">
        <f aca="false">IF($A48="","",INDEX(Alignment!$H$2:$H$50,MATCH(ROWS($A$48:$A48),Alignment!$K$2:$K$50,0)))</f>
        <v>0.38</v>
      </c>
      <c r="F48" s="13" t="n">
        <f aca="false">IF($A48="","",INDEX(Alignment!$I$2:$I$50,MATCH(ROWS($A$48:$A48),Alignment!$K$2:$K$50,0)))</f>
        <v>0.833333333333333</v>
      </c>
      <c r="G48" s="6" t="str">
        <f aca="false">IF($A48="","",INDEX(Alignment!$J$2:$J$50,MATCH(ROWS($A$48:$A48),Alignment!$K$2:$K$50,0)))</f>
        <v>aligned</v>
      </c>
      <c r="H48" s="6"/>
    </row>
    <row r="49" customFormat="false" ht="15" hidden="false" customHeight="true" outlineLevel="0" collapsed="false">
      <c r="A49" s="6" t="str">
        <f aca="false">IFERROR(INDEX(Alignment!$C$2:$C$50,MATCH(ROWS($A$48:$A49),Alignment!$K$2:$K$50,0)),"")</f>
        <v>Weekly Supplier Quality Review</v>
      </c>
      <c r="B49" s="6" t="str">
        <f aca="false">IF($A49="","",IF(INDEX(Alignment!$D$2:$D$50,MATCH(ROWS($A$48:$A49),Alignment!$K$2:$K$50,0))=TRUE(),"yes","no"))</f>
        <v>yes</v>
      </c>
      <c r="C49" s="6" t="n">
        <f aca="false">IF($A49="","",INDEX(Alignment!$E$2:$E$50,MATCH(ROWS($A$48:$A49),Alignment!$K$2:$K$50,0)))</f>
        <v>2</v>
      </c>
      <c r="D49" s="6" t="n">
        <f aca="false">IF($A49="","",INDEX(Alignment!$F$2:$F$50,MATCH(ROWS($A$48:$A49),Alignment!$K$2:$K$50,0)))</f>
        <v>1</v>
      </c>
      <c r="E49" s="13" t="n">
        <f aca="false">IF($A49="","",INDEX(Alignment!$H$2:$H$50,MATCH(ROWS($A$48:$A49),Alignment!$K$2:$K$50,0)))</f>
        <v>0.5</v>
      </c>
      <c r="F49" s="13" t="n">
        <f aca="false">IF($A49="","",INDEX(Alignment!$I$2:$I$50,MATCH(ROWS($A$48:$A49),Alignment!$K$2:$K$50,0)))</f>
        <v>1</v>
      </c>
      <c r="G49" s="6" t="str">
        <f aca="false">IF($A49="","",INDEX(Alignment!$J$2:$J$50,MATCH(ROWS($A$48:$A49),Alignment!$K$2:$K$50,0)))</f>
        <v>aligned</v>
      </c>
      <c r="H49" s="6"/>
    </row>
    <row r="50" customFormat="false" ht="15" hidden="false" customHeight="true" outlineLevel="0" collapsed="false">
      <c r="A50" s="6" t="str">
        <f aca="false">IFERROR(INDEX(Alignment!$C$2:$C$50,MATCH(ROWS($A$48:$A50),Alignment!$K$2:$K$50,0)),"")</f>
        <v>Monthly Supplier Business Review</v>
      </c>
      <c r="B50" s="6" t="str">
        <f aca="false">IF($A50="","",IF(INDEX(Alignment!$D$2:$D$50,MATCH(ROWS($A$48:$A50),Alignment!$K$2:$K$50,0))=TRUE(),"yes","no"))</f>
        <v>yes</v>
      </c>
      <c r="C50" s="6" t="n">
        <f aca="false">IF($A50="","",INDEX(Alignment!$E$2:$E$50,MATCH(ROWS($A$48:$A50),Alignment!$K$2:$K$50,0)))</f>
        <v>2</v>
      </c>
      <c r="D50" s="6" t="n">
        <f aca="false">IF($A50="","",INDEX(Alignment!$F$2:$F$50,MATCH(ROWS($A$48:$A50),Alignment!$K$2:$K$50,0)))</f>
        <v>0</v>
      </c>
      <c r="E50" s="13" t="n">
        <f aca="false">IF($A50="","",INDEX(Alignment!$H$2:$H$50,MATCH(ROWS($A$48:$A50),Alignment!$K$2:$K$50,0)))</f>
        <v>0.5</v>
      </c>
      <c r="F50" s="13" t="n">
        <f aca="false">IF($A50="","",INDEX(Alignment!$I$2:$I$50,MATCH(ROWS($A$48:$A50),Alignment!$K$2:$K$50,0)))</f>
        <v>0.833333333333333</v>
      </c>
      <c r="G50" s="6" t="str">
        <f aca="false">IF($A50="","",INDEX(Alignment!$J$2:$J$50,MATCH(ROWS($A$48:$A50),Alignment!$K$2:$K$50,0)))</f>
        <v>aligned</v>
      </c>
      <c r="H50" s="6"/>
    </row>
    <row r="51" customFormat="false" ht="15" hidden="false" customHeight="true" outlineLevel="0" collapsed="false">
      <c r="A51" s="6" t="str">
        <f aca="false">IFERROR(INDEX(Alignment!$C$2:$C$50,MATCH(ROWS($A$48:$A51),Alignment!$K$2:$K$50,0)),"")</f>
        <v>Engineering Change Board</v>
      </c>
      <c r="B51" s="6" t="str">
        <f aca="false">IF($A51="","",IF(INDEX(Alignment!$D$2:$D$50,MATCH(ROWS($A$48:$A51),Alignment!$K$2:$K$50,0))=TRUE(),"yes","no"))</f>
        <v>yes</v>
      </c>
      <c r="C51" s="6" t="n">
        <f aca="false">IF($A51="","",INDEX(Alignment!$E$2:$E$50,MATCH(ROWS($A$48:$A51),Alignment!$K$2:$K$50,0)))</f>
        <v>0</v>
      </c>
      <c r="D51" s="6" t="n">
        <f aca="false">IF($A51="","",INDEX(Alignment!$F$2:$F$50,MATCH(ROWS($A$48:$A51),Alignment!$K$2:$K$50,0)))</f>
        <v>1</v>
      </c>
      <c r="E51" s="13" t="n">
        <f aca="false">IF($A51="","",INDEX(Alignment!$H$2:$H$50,MATCH(ROWS($A$48:$A51),Alignment!$K$2:$K$50,0)))</f>
        <v>0.38</v>
      </c>
      <c r="F51" s="13" t="n">
        <f aca="false">IF($A51="","",INDEX(Alignment!$I$2:$I$50,MATCH(ROWS($A$48:$A51),Alignment!$K$2:$K$50,0)))</f>
        <v>0.833333333333333</v>
      </c>
      <c r="G51" s="6" t="str">
        <f aca="false">IF($A51="","",INDEX(Alignment!$J$2:$J$50,MATCH(ROWS($A$48:$A51),Alignment!$K$2:$K$50,0)))</f>
        <v>aligned</v>
      </c>
      <c r="H51" s="6"/>
    </row>
    <row r="52" customFormat="false" ht="15" hidden="false" customHeight="true" outlineLevel="0" collapsed="false">
      <c r="A52" s="6" t="str">
        <f aca="false">IFERROR(INDEX(Alignment!$C$2:$C$50,MATCH(ROWS($A$48:$A52),Alignment!$K$2:$K$50,0)),"")</f>
        <v>Monthly Ops Status Meeting</v>
      </c>
      <c r="B52" s="6" t="str">
        <f aca="false">IF($A52="","",IF(INDEX(Alignment!$D$2:$D$50,MATCH(ROWS($A$48:$A52),Alignment!$K$2:$K$50,0))=TRUE(),"yes","no"))</f>
        <v>yes</v>
      </c>
      <c r="C52" s="6" t="n">
        <f aca="false">IF($A52="","",INDEX(Alignment!$E$2:$E$50,MATCH(ROWS($A$48:$A52),Alignment!$K$2:$K$50,0)))</f>
        <v>0</v>
      </c>
      <c r="D52" s="6" t="n">
        <f aca="false">IF($A52="","",INDEX(Alignment!$F$2:$F$50,MATCH(ROWS($A$48:$A52),Alignment!$K$2:$K$50,0)))</f>
        <v>0</v>
      </c>
      <c r="E52" s="13" t="n">
        <f aca="false">IF($A52="","",INDEX(Alignment!$H$2:$H$50,MATCH(ROWS($A$48:$A52),Alignment!$K$2:$K$50,0)))</f>
        <v>0.38</v>
      </c>
      <c r="F52" s="13" t="n">
        <f aca="false">IF($A52="","",INDEX(Alignment!$I$2:$I$50,MATCH(ROWS($A$48:$A52),Alignment!$K$2:$K$50,0)))</f>
        <v>0.166666666666667</v>
      </c>
      <c r="G52" s="6" t="str">
        <f aca="false">IF($A52="","",INDEX(Alignment!$J$2:$J$50,MATCH(ROWS($A$48:$A52),Alignment!$K$2:$K$50,0)))</f>
        <v>claims_no_contribution</v>
      </c>
      <c r="H52" s="6"/>
    </row>
    <row r="53" customFormat="false" ht="15" hidden="false" customHeight="true" outlineLevel="0" collapsed="false">
      <c r="A53" s="6" t="str">
        <f aca="false">IFERROR(INDEX(Alignment!$C$2:$C$50,MATCH(ROWS($A$48:$A53),Alignment!$K$2:$K$50,0)),"")</f>
        <v/>
      </c>
      <c r="B53" s="6" t="str">
        <f aca="false">IF($A53="","",IF(INDEX(Alignment!$D$2:$D$50,MATCH(ROWS($A$48:$A53),Alignment!$K$2:$K$50,0))=TRUE(),"yes","no"))</f>
        <v/>
      </c>
      <c r="C53" s="6" t="str">
        <f aca="false">IF($A53="","",INDEX(Alignment!$E$2:$E$50,MATCH(ROWS($A$48:$A53),Alignment!$K$2:$K$50,0)))</f>
        <v/>
      </c>
      <c r="D53" s="6" t="str">
        <f aca="false">IF($A53="","",INDEX(Alignment!$F$2:$F$50,MATCH(ROWS($A$48:$A53),Alignment!$K$2:$K$50,0)))</f>
        <v/>
      </c>
      <c r="E53" s="13" t="str">
        <f aca="false">IF($A53="","",INDEX(Alignment!$H$2:$H$50,MATCH(ROWS($A$48:$A53),Alignment!$K$2:$K$50,0)))</f>
        <v/>
      </c>
      <c r="F53" s="13" t="str">
        <f aca="false">IF($A53="","",INDEX(Alignment!$I$2:$I$50,MATCH(ROWS($A$48:$A53),Alignment!$K$2:$K$50,0)))</f>
        <v/>
      </c>
      <c r="G53" s="6" t="str">
        <f aca="false">IF($A53="","",INDEX(Alignment!$J$2:$J$50,MATCH(ROWS($A$48:$A53),Alignment!$K$2:$K$50,0)))</f>
        <v/>
      </c>
      <c r="H53" s="6"/>
    </row>
    <row r="54" customFormat="false" ht="15" hidden="false" customHeight="true" outlineLevel="0" collapsed="false">
      <c r="A54" s="6" t="str">
        <f aca="false">IFERROR(INDEX(Alignment!$C$2:$C$50,MATCH(ROWS($A$48:$A54),Alignment!$K$2:$K$50,0)),"")</f>
        <v/>
      </c>
      <c r="B54" s="6" t="str">
        <f aca="false">IF($A54="","",IF(INDEX(Alignment!$D$2:$D$50,MATCH(ROWS($A$48:$A54),Alignment!$K$2:$K$50,0))=TRUE(),"yes","no"))</f>
        <v/>
      </c>
      <c r="C54" s="6" t="str">
        <f aca="false">IF($A54="","",INDEX(Alignment!$E$2:$E$50,MATCH(ROWS($A$48:$A54),Alignment!$K$2:$K$50,0)))</f>
        <v/>
      </c>
      <c r="D54" s="6" t="str">
        <f aca="false">IF($A54="","",INDEX(Alignment!$F$2:$F$50,MATCH(ROWS($A$48:$A54),Alignment!$K$2:$K$50,0)))</f>
        <v/>
      </c>
      <c r="E54" s="13" t="str">
        <f aca="false">IF($A54="","",INDEX(Alignment!$H$2:$H$50,MATCH(ROWS($A$48:$A54),Alignment!$K$2:$K$50,0)))</f>
        <v/>
      </c>
      <c r="F54" s="13" t="str">
        <f aca="false">IF($A54="","",INDEX(Alignment!$I$2:$I$50,MATCH(ROWS($A$48:$A54),Alignment!$K$2:$K$50,0)))</f>
        <v/>
      </c>
      <c r="G54" s="6" t="str">
        <f aca="false">IF($A54="","",INDEX(Alignment!$J$2:$J$50,MATCH(ROWS($A$48:$A54),Alignment!$K$2:$K$50,0)))</f>
        <v/>
      </c>
      <c r="H54" s="6"/>
    </row>
    <row r="55" customFormat="false" ht="15" hidden="false" customHeight="true" outlineLevel="0" collapsed="false">
      <c r="A55" s="6" t="str">
        <f aca="false">IFERROR(INDEX(Alignment!$C$2:$C$50,MATCH(ROWS($A$48:$A55),Alignment!$K$2:$K$50,0)),"")</f>
        <v/>
      </c>
      <c r="B55" s="6" t="str">
        <f aca="false">IF($A55="","",IF(INDEX(Alignment!$D$2:$D$50,MATCH(ROWS($A$48:$A55),Alignment!$K$2:$K$50,0))=TRUE(),"yes","no"))</f>
        <v/>
      </c>
      <c r="C55" s="6" t="str">
        <f aca="false">IF($A55="","",INDEX(Alignment!$E$2:$E$50,MATCH(ROWS($A$48:$A55),Alignment!$K$2:$K$50,0)))</f>
        <v/>
      </c>
      <c r="D55" s="6" t="str">
        <f aca="false">IF($A55="","",INDEX(Alignment!$F$2:$F$50,MATCH(ROWS($A$48:$A55),Alignment!$K$2:$K$50,0)))</f>
        <v/>
      </c>
      <c r="E55" s="13" t="str">
        <f aca="false">IF($A55="","",INDEX(Alignment!$H$2:$H$50,MATCH(ROWS($A$48:$A55),Alignment!$K$2:$K$50,0)))</f>
        <v/>
      </c>
      <c r="F55" s="13" t="str">
        <f aca="false">IF($A55="","",INDEX(Alignment!$I$2:$I$50,MATCH(ROWS($A$48:$A55),Alignment!$K$2:$K$50,0)))</f>
        <v/>
      </c>
      <c r="G55" s="6" t="str">
        <f aca="false">IF($A55="","",INDEX(Alignment!$J$2:$J$50,MATCH(ROWS($A$48:$A55),Alignment!$K$2:$K$50,0)))</f>
        <v/>
      </c>
      <c r="H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</row>
    <row r="57" customFormat="false" ht="15" hidden="false" customHeight="true" outlineLevel="0" collapsed="false">
      <c r="A57" s="11" t="s">
        <v>38</v>
      </c>
      <c r="B57" s="6"/>
      <c r="C57" s="6"/>
      <c r="D57" s="6"/>
      <c r="E57" s="6"/>
      <c r="F57" s="6"/>
      <c r="G57" s="6"/>
      <c r="H57" s="6"/>
    </row>
    <row r="58" customFormat="false" ht="15" hidden="false" customHeight="true" outlineLevel="0" collapsed="false">
      <c r="A58" s="12" t="s">
        <v>39</v>
      </c>
      <c r="B58" s="12" t="s">
        <v>40</v>
      </c>
      <c r="C58" s="12" t="s">
        <v>41</v>
      </c>
      <c r="D58" s="12" t="s">
        <v>42</v>
      </c>
      <c r="E58" s="12" t="s">
        <v>43</v>
      </c>
      <c r="F58" s="12"/>
      <c r="G58" s="12"/>
      <c r="H58" s="12"/>
    </row>
    <row r="59" customFormat="false" ht="15" hidden="false" customHeight="true" outlineLevel="0" collapsed="false">
      <c r="A59" s="6" t="str">
        <f aca="false">IF(Channels!$A2="","",Channels!$B2)</f>
        <v>Email</v>
      </c>
      <c r="B59" s="6" t="str">
        <f aca="false">IF(Channels!$A2="","",Channels!$C2)</f>
        <v>email</v>
      </c>
      <c r="C59" s="6" t="str">
        <f aca="false">IF(Channels!$A2="","",Channels!$E2)</f>
        <v>searchable</v>
      </c>
      <c r="D59" s="6" t="str">
        <f aca="false">IF(Channels!$A2="","",Channels!$F2)</f>
        <v>continuous</v>
      </c>
      <c r="E59" s="14" t="n">
        <f aca="false">IF(Channels!$A2="","",Channels!$G2)</f>
        <v>0</v>
      </c>
      <c r="F59" s="6"/>
      <c r="G59" s="6"/>
      <c r="H59" s="6"/>
    </row>
    <row r="60" customFormat="false" ht="15" hidden="false" customHeight="true" outlineLevel="0" collapsed="false">
      <c r="A60" s="6" t="str">
        <f aca="false">IF(Channels!$A3="","",Channels!$B3)</f>
        <v>Teams chat</v>
      </c>
      <c r="B60" s="6" t="str">
        <f aca="false">IF(Channels!$A3="","",Channels!$C3)</f>
        <v>chat</v>
      </c>
      <c r="C60" s="6" t="str">
        <f aca="false">IF(Channels!$A3="","",Channels!$E3)</f>
        <v>ephemeral</v>
      </c>
      <c r="D60" s="6" t="str">
        <f aca="false">IF(Channels!$A3="","",Channels!$F3)</f>
        <v>continuous</v>
      </c>
      <c r="E60" s="14" t="n">
        <f aca="false">IF(Channels!$A3="","",Channels!$G3)</f>
        <v>0</v>
      </c>
      <c r="F60" s="6"/>
      <c r="G60" s="6"/>
      <c r="H60" s="6"/>
    </row>
    <row r="61" customFormat="false" ht="15" hidden="false" customHeight="true" outlineLevel="0" collapsed="false">
      <c r="A61" s="6" t="str">
        <f aca="false">IF(Channels!$A4="","",Channels!$B4)</f>
        <v>QMS ticket system</v>
      </c>
      <c r="B61" s="6" t="str">
        <f aca="false">IF(Channels!$A4="","",Channels!$C4)</f>
        <v>ticket</v>
      </c>
      <c r="C61" s="6" t="str">
        <f aca="false">IF(Channels!$A4="","",Channels!$E4)</f>
        <v>system_of_record</v>
      </c>
      <c r="D61" s="6" t="str">
        <f aca="false">IF(Channels!$A4="","",Channels!$F4)</f>
        <v>continuous</v>
      </c>
      <c r="E61" s="14" t="n">
        <f aca="false">IF(Channels!$A4="","",Channels!$G4)</f>
        <v>0</v>
      </c>
      <c r="F61" s="6"/>
      <c r="G61" s="6"/>
      <c r="H61" s="6"/>
    </row>
    <row r="62" customFormat="false" ht="15" hidden="false" customHeight="true" outlineLevel="0" collapsed="false">
      <c r="A62" s="6" t="str">
        <f aca="false">IF(Channels!$A5="","",Channels!$B5)</f>
        <v>Quality dashboard</v>
      </c>
      <c r="B62" s="6" t="str">
        <f aca="false">IF(Channels!$A5="","",Channels!$C5)</f>
        <v>dashboard</v>
      </c>
      <c r="C62" s="6" t="str">
        <f aca="false">IF(Channels!$A5="","",Channels!$E5)</f>
        <v>system_of_record</v>
      </c>
      <c r="D62" s="6" t="str">
        <f aca="false">IF(Channels!$A5="","",Channels!$F5)</f>
        <v>daily</v>
      </c>
      <c r="E62" s="14" t="n">
        <f aca="false">IF(Channels!$A5="","",Channels!$G5)</f>
        <v>1</v>
      </c>
      <c r="F62" s="6"/>
      <c r="G62" s="6"/>
      <c r="H62" s="6"/>
    </row>
    <row r="63" customFormat="false" ht="15" hidden="false" customHeight="true" outlineLevel="0" collapsed="false">
      <c r="A63" s="6" t="str">
        <f aca="false">IF(Channels!$A6="","",Channels!$B6)</f>
        <v>Shared drive reports</v>
      </c>
      <c r="B63" s="6" t="str">
        <f aca="false">IF(Channels!$A6="","",Channels!$C6)</f>
        <v>doc</v>
      </c>
      <c r="C63" s="6" t="str">
        <f aca="false">IF(Channels!$A6="","",Channels!$E6)</f>
        <v>searchable</v>
      </c>
      <c r="D63" s="6" t="str">
        <f aca="false">IF(Channels!$A6="","",Channels!$F6)</f>
        <v>weekly</v>
      </c>
      <c r="E63" s="14" t="n">
        <f aca="false">IF(Channels!$A6="","",Channels!$G6)</f>
        <v>0</v>
      </c>
      <c r="F63" s="6"/>
      <c r="G63" s="6"/>
      <c r="H63" s="6"/>
    </row>
    <row r="64" customFormat="false" ht="15" hidden="false" customHeight="true" outlineLevel="0" collapsed="false">
      <c r="A64" s="6" t="str">
        <f aca="false">IF(Channels!$A7="","",Channels!$B7)</f>
        <v>Hallway / ad hoc</v>
      </c>
      <c r="B64" s="6" t="str">
        <f aca="false">IF(Channels!$A7="","",Channels!$C7)</f>
        <v>in_person</v>
      </c>
      <c r="C64" s="6" t="str">
        <f aca="false">IF(Channels!$A7="","",Channels!$E7)</f>
        <v>ephemeral</v>
      </c>
      <c r="D64" s="6" t="str">
        <f aca="false">IF(Channels!$A7="","",Channels!$F7)</f>
        <v>ad_hoc</v>
      </c>
      <c r="E64" s="14" t="n">
        <f aca="false">IF(Channels!$A7="","",Channels!$G7)</f>
        <v>0</v>
      </c>
      <c r="F64" s="6"/>
      <c r="G64" s="6"/>
      <c r="H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true" outlineLevel="0" collapsed="false">
      <c r="A67" s="15" t="s">
        <v>44</v>
      </c>
      <c r="B67" s="15"/>
      <c r="C67" s="15"/>
      <c r="D67" s="15"/>
      <c r="E67" s="15"/>
      <c r="F67" s="15"/>
      <c r="G67" s="15"/>
      <c r="H67" s="15"/>
    </row>
  </sheetData>
  <mergeCells count="4">
    <mergeCell ref="A1:H1"/>
    <mergeCell ref="C3:F3"/>
    <mergeCell ref="A7:H7"/>
    <mergeCell ref="A67:H67"/>
  </mergeCells>
  <conditionalFormatting sqref="F20:F29">
    <cfRule type="cellIs" priority="2" operator="equal" aboveAverage="0" equalAverage="0" bottom="0" percent="0" rank="0" text="" dxfId="0">
      <formula>"missing"</formula>
    </cfRule>
    <cfRule type="cellIs" priority="3" operator="equal" aboveAverage="0" equalAverage="0" bottom="0" percent="0" rank="0" text="" dxfId="1">
      <formula>"wrong_producer"</formula>
    </cfRule>
    <cfRule type="cellIs" priority="4" operator="equal" aboveAverage="0" equalAverage="0" bottom="0" percent="0" rank="0" text="" dxfId="1">
      <formula>"latency_gap"</formula>
    </cfRule>
    <cfRule type="cellIs" priority="5" operator="equal" aboveAverage="0" equalAverage="0" bottom="0" percent="0" rank="0" text="" dxfId="2">
      <formula>"channel_mismatch"</formula>
    </cfRule>
    <cfRule type="cellIs" priority="6" operator="equal" aboveAverage="0" equalAverage="0" bottom="0" percent="0" rank="0" text="" dxfId="3">
      <formula>"covered"</formula>
    </cfRule>
  </conditionalFormatting>
  <conditionalFormatting sqref="E33:E44">
    <cfRule type="cellIs" priority="7" operator="equal" aboveAverage="0" equalAverage="0" bottom="0" percent="0" rank="0" text="" dxfId="4">
      <formula>"⚠ affected by a defect"</formula>
    </cfRule>
  </conditionalFormatting>
  <conditionalFormatting sqref="G48:G55">
    <cfRule type="cellIs" priority="8" operator="equal" aboveAverage="0" equalAverage="0" bottom="0" percent="0" rank="0" text="" dxfId="0">
      <formula>"claims_no_contribution"</formula>
    </cfRule>
    <cfRule type="cellIs" priority="9" operator="equal" aboveAverage="0" equalAverage="0" bottom="0" percent="0" rank="0" text="" dxfId="1">
      <formula>"unclaimed_contributor"</formula>
    </cfRule>
    <cfRule type="cellIs" priority="10" operator="equal" aboveAverage="0" equalAverage="0" bottom="0" percent="0" rank="0" text="" dxfId="3">
      <formula>"aligned"</formula>
    </cfRule>
  </conditionalFormatting>
  <conditionalFormatting sqref="E59:E64">
    <cfRule type="expression" priority="11" aboveAverage="0" equalAverage="0" bottom="0" percent="0" rank="0" text="" dxfId="3">
      <formula>AND(ISNUMBER(E59),E59&gt;0)</formula>
    </cfRule>
  </conditionalFormatting>
  <dataValidations count="1">
    <dataValidation allowBlank="true" errorStyle="stop" operator="between" showDropDown="false" showErrorMessage="false" showInputMessage="false" sqref="B3" type="list">
      <formula1>GoalIds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5CAB"/>
    <pageSetUpPr fitToPage="tru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5" min="4" style="1" width="19"/>
    <col collapsed="false" customWidth="true" hidden="false" outlineLevel="0" max="6" min="6" style="1" width="6"/>
    <col collapsed="false" customWidth="true" hidden="false" outlineLevel="0" max="7" min="7" style="1" width="15"/>
    <col collapsed="false" customWidth="true" hidden="false" outlineLevel="0" max="8" min="8" style="1" width="9"/>
    <col collapsed="false" customWidth="true" hidden="false" outlineLevel="0" max="9" min="9" style="1" width="24"/>
    <col collapsed="false" customWidth="true" hidden="false" outlineLevel="0" max="10" min="10" style="1" width="30"/>
  </cols>
  <sheetData>
    <row r="1" customFormat="false" ht="15.75" hidden="false" customHeight="true" outlineLevel="0" collapsed="false">
      <c r="A1" s="16" t="s">
        <v>45</v>
      </c>
    </row>
    <row r="2" customFormat="false" ht="15" hidden="false" customHeight="true" outlineLevel="0" collapsed="false">
      <c r="A2" s="17" t="s">
        <v>46</v>
      </c>
    </row>
    <row r="4" customFormat="false" ht="25.5" hidden="false" customHeight="true" outlineLevel="0" collapsed="false">
      <c r="A4" s="7" t="s">
        <v>6</v>
      </c>
      <c r="B4" s="7" t="s">
        <v>47</v>
      </c>
      <c r="C4" s="7" t="s">
        <v>48</v>
      </c>
      <c r="D4" s="7" t="s">
        <v>49</v>
      </c>
      <c r="E4" s="7" t="s">
        <v>50</v>
      </c>
      <c r="G4" s="7" t="s">
        <v>51</v>
      </c>
    </row>
    <row r="5" customFormat="false" ht="18" hidden="false" customHeight="true" outlineLevel="0" collapsed="false">
      <c r="A5" s="18" t="n">
        <f aca="false">IF(COUNTIFS(Flows!$B$2:$B$400,"required")=0,0,COUNTIFS(Flows!$B$2:$B$400,"required",Flows!$T$2:$T$400,"covered")/COUNTIFS(Flows!$B$2:$B$400,"required"))</f>
        <v>0.588235294117647</v>
      </c>
      <c r="B5" s="19" t="n">
        <f aca="false">COUNTIFS(Flows!$B$2:$B$400,"required",Flows!$T$2:$T$400,"&lt;&gt;covered",Flows!$T$2:$T$400,"&lt;&gt;")</f>
        <v>7</v>
      </c>
      <c r="C5" s="19" t="n">
        <f aca="false">COUNTIF(Alignment!$J$2:$J$50,"claims_no_contribution")</f>
        <v>2</v>
      </c>
      <c r="D5" s="19" t="n">
        <f aca="false">COUNTIF(Alignment!$J$2:$J$50,"unclaimed_contributor")</f>
        <v>1</v>
      </c>
      <c r="E5" s="19" t="n">
        <f aca="false">SUMPRODUCT((Decisions!$L$2:$L$50&lt;&gt;"aligned")*(Decisions!$L$2:$L$50&lt;&gt;""))</f>
        <v>3</v>
      </c>
      <c r="G5" s="19" t="n">
        <f aca="false">COUNTIFS(Flows!$B$2:$B$400,"actual",Flows!$I$2:$I$400,"disputed")</f>
        <v>1</v>
      </c>
    </row>
    <row r="7" customFormat="false" ht="15" hidden="false" customHeight="true" outlineLevel="0" collapsed="false">
      <c r="A7" s="11" t="s">
        <v>52</v>
      </c>
    </row>
    <row r="8" customFormat="false" ht="15" hidden="false" customHeight="true" outlineLevel="0" collapsed="false">
      <c r="A8" s="12" t="s">
        <v>53</v>
      </c>
      <c r="B8" s="20" t="s">
        <v>54</v>
      </c>
      <c r="C8" s="20"/>
      <c r="D8" s="12" t="s">
        <v>55</v>
      </c>
      <c r="E8" s="12" t="s">
        <v>15</v>
      </c>
      <c r="F8" s="12" t="s">
        <v>56</v>
      </c>
      <c r="G8" s="12" t="s">
        <v>57</v>
      </c>
      <c r="H8" s="12" t="s">
        <v>58</v>
      </c>
      <c r="I8" s="12"/>
      <c r="J8" s="12"/>
    </row>
    <row r="9" customFormat="false" ht="15" hidden="false" customHeight="true" outlineLevel="0" collapsed="false">
      <c r="A9" s="6" t="str">
        <f aca="false">IF(Goals!$A2="","",Goals!$A2)</f>
        <v>G1</v>
      </c>
      <c r="B9" s="21" t="str">
        <f aca="false">IF($A9="","",INDEX(Goals!$B$2:$B$20,MATCH($A9,Goals!$A$2:$A$20,0)))</f>
        <v>Reduce supplier defect rate (PPM) by 30%</v>
      </c>
      <c r="C9" s="21"/>
      <c r="D9" s="6" t="n">
        <f aca="false">IF($A9="","",COUNTIFS(Flows!$B$2:$B$400,"required",Flows!$L$2:$L$400,$A9))</f>
        <v>6</v>
      </c>
      <c r="E9" s="6" t="n">
        <f aca="false">IF($A9="","",COUNTIFS(Flows!$B$2:$B$400,"required",Flows!$L$2:$L$400,$A9,Flows!$T$2:$T$400,"covered"))</f>
        <v>4</v>
      </c>
      <c r="F9" s="6" t="n">
        <f aca="false">IF($A9="","",$D9-$E9)</f>
        <v>2</v>
      </c>
      <c r="G9" s="6" t="n">
        <f aca="false">IF($A9="","",COUNTIFS(Alignment!$A$2:$A$50,$A9,Alignment!$J$2:$J$50,"claims_no_contribution"))</f>
        <v>1</v>
      </c>
      <c r="H9" s="6" t="n">
        <f aca="false">IF($A9="","",COUNTIFS(Alignment!$A$2:$A$50,$A9,Alignment!$J$2:$J$50,"unclaimed_contributor"))</f>
        <v>0</v>
      </c>
      <c r="I9" s="6"/>
      <c r="J9" s="6"/>
    </row>
    <row r="10" customFormat="false" ht="15" hidden="false" customHeight="true" outlineLevel="0" collapsed="false">
      <c r="A10" s="6" t="str">
        <f aca="false">IF(Goals!$A3="","",Goals!$A3)</f>
        <v>G2</v>
      </c>
      <c r="B10" s="21" t="str">
        <f aca="false">IF($A10="","",INDEX(Goals!$B$2:$B$20,MATCH($A10,Goals!$A$2:$A$20,0)))</f>
        <v>Cut NCR resolution time to under 10 days</v>
      </c>
      <c r="C10" s="21"/>
      <c r="D10" s="6" t="n">
        <f aca="false">IF($A10="","",COUNTIFS(Flows!$B$2:$B$400,"required",Flows!$L$2:$L$400,$A10))</f>
        <v>5</v>
      </c>
      <c r="E10" s="6" t="n">
        <f aca="false">IF($A10="","",COUNTIFS(Flows!$B$2:$B$400,"required",Flows!$L$2:$L$400,$A10,Flows!$T$2:$T$400,"covered"))</f>
        <v>2</v>
      </c>
      <c r="F10" s="6" t="n">
        <f aca="false">IF($A10="","",$D10-$E10)</f>
        <v>3</v>
      </c>
      <c r="G10" s="6" t="n">
        <f aca="false">IF($A10="","",COUNTIFS(Alignment!$A$2:$A$50,$A10,Alignment!$J$2:$J$50,"claims_no_contribution"))</f>
        <v>0</v>
      </c>
      <c r="H10" s="6" t="n">
        <f aca="false">IF($A10="","",COUNTIFS(Alignment!$A$2:$A$50,$A10,Alignment!$J$2:$J$50,"unclaimed_contributor"))</f>
        <v>1</v>
      </c>
      <c r="I10" s="6"/>
      <c r="J10" s="6"/>
    </row>
    <row r="11" customFormat="false" ht="15" hidden="false" customHeight="true" outlineLevel="0" collapsed="false">
      <c r="A11" s="6" t="str">
        <f aca="false">IF(Goals!$A4="","",Goals!$A4)</f>
        <v>G3</v>
      </c>
      <c r="B11" s="21" t="str">
        <f aca="false">IF($A11="","",INDEX(Goals!$B$2:$B$20,MATCH($A11,Goals!$A$2:$A$20,0)))</f>
        <v>Qualify two second-source suppliers for critical components</v>
      </c>
      <c r="C11" s="21"/>
      <c r="D11" s="6" t="n">
        <f aca="false">IF($A11="","",COUNTIFS(Flows!$B$2:$B$400,"required",Flows!$L$2:$L$400,$A11))</f>
        <v>2</v>
      </c>
      <c r="E11" s="6" t="n">
        <f aca="false">IF($A11="","",COUNTIFS(Flows!$B$2:$B$400,"required",Flows!$L$2:$L$400,$A11,Flows!$T$2:$T$400,"covered"))</f>
        <v>2</v>
      </c>
      <c r="F11" s="6" t="n">
        <f aca="false">IF($A11="","",$D11-$E11)</f>
        <v>0</v>
      </c>
      <c r="G11" s="6" t="n">
        <f aca="false">IF($A11="","",COUNTIFS(Alignment!$A$2:$A$50,$A11,Alignment!$J$2:$J$50,"claims_no_contribution"))</f>
        <v>1</v>
      </c>
      <c r="H11" s="6" t="n">
        <f aca="false">IF($A11="","",COUNTIFS(Alignment!$A$2:$A$50,$A11,Alignment!$J$2:$J$50,"unclaimed_contributor"))</f>
        <v>0</v>
      </c>
      <c r="I11" s="6"/>
      <c r="J11" s="6"/>
    </row>
    <row r="12" customFormat="false" ht="15" hidden="false" customHeight="true" outlineLevel="0" collapsed="false">
      <c r="A12" s="6" t="str">
        <f aca="false">IF(Goals!$A5="","",Goals!$A5)</f>
        <v>G4</v>
      </c>
      <c r="B12" s="21" t="str">
        <f aca="false">IF($A12="","",INDEX(Goals!$B$2:$B$20,MATCH($A12,Goals!$A$2:$A$20,0)))</f>
        <v>Pass ISO 9001 surveillance audit with zero major findings</v>
      </c>
      <c r="C12" s="21"/>
      <c r="D12" s="6" t="n">
        <f aca="false">IF($A12="","",COUNTIFS(Flows!$B$2:$B$400,"required",Flows!$L$2:$L$400,$A12))</f>
        <v>2</v>
      </c>
      <c r="E12" s="6" t="n">
        <f aca="false">IF($A12="","",COUNTIFS(Flows!$B$2:$B$400,"required",Flows!$L$2:$L$400,$A12,Flows!$T$2:$T$400,"covered"))</f>
        <v>1</v>
      </c>
      <c r="F12" s="6" t="n">
        <f aca="false">IF($A12="","",$D12-$E12)</f>
        <v>1</v>
      </c>
      <c r="G12" s="6" t="n">
        <f aca="false">IF($A12="","",COUNTIFS(Alignment!$A$2:$A$50,$A12,Alignment!$J$2:$J$50,"claims_no_contribution"))</f>
        <v>0</v>
      </c>
      <c r="H12" s="6" t="n">
        <f aca="false">IF($A12="","",COUNTIFS(Alignment!$A$2:$A$50,$A12,Alignment!$J$2:$J$50,"unclaimed_contributor"))</f>
        <v>0</v>
      </c>
      <c r="I12" s="6"/>
      <c r="J12" s="6"/>
    </row>
    <row r="13" customFormat="false" ht="15" hidden="false" customHeight="true" outlineLevel="0" collapsed="false">
      <c r="A13" s="6" t="str">
        <f aca="false">IF(Goals!$A6="","",Goals!$A6)</f>
        <v>G5</v>
      </c>
      <c r="B13" s="21" t="str">
        <f aca="false">IF($A13="","",INDEX(Goals!$B$2:$B$20,MATCH($A13,Goals!$A$2:$A$20,0)))</f>
        <v>Build SQE bench strength: two engineers certified as supplier auditors</v>
      </c>
      <c r="C13" s="21"/>
      <c r="D13" s="6" t="n">
        <f aca="false">IF($A13="","",COUNTIFS(Flows!$B$2:$B$400,"required",Flows!$L$2:$L$400,$A13))</f>
        <v>2</v>
      </c>
      <c r="E13" s="6" t="n">
        <f aca="false">IF($A13="","",COUNTIFS(Flows!$B$2:$B$400,"required",Flows!$L$2:$L$400,$A13,Flows!$T$2:$T$400,"covered"))</f>
        <v>1</v>
      </c>
      <c r="F13" s="6" t="n">
        <f aca="false">IF($A13="","",$D13-$E13)</f>
        <v>1</v>
      </c>
      <c r="G13" s="6" t="n">
        <f aca="false">IF($A13="","",COUNTIFS(Alignment!$A$2:$A$50,$A13,Alignment!$J$2:$J$50,"claims_no_contribution"))</f>
        <v>0</v>
      </c>
      <c r="H13" s="6" t="n">
        <f aca="false">IF($A13="","",COUNTIFS(Alignment!$A$2:$A$50,$A13,Alignment!$J$2:$J$50,"unclaimed_contributor"))</f>
        <v>0</v>
      </c>
      <c r="I13" s="6"/>
      <c r="J13" s="6"/>
    </row>
    <row r="14" customFormat="false" ht="15" hidden="false" customHeight="true" outlineLevel="0" collapsed="false">
      <c r="A14" s="6" t="str">
        <f aca="false">IF(Goals!$A7="","",Goals!$A7)</f>
        <v/>
      </c>
      <c r="B14" s="21" t="str">
        <f aca="false">IF($A14="","",INDEX(Goals!$B$2:$B$20,MATCH($A14,Goals!$A$2:$A$20,0)))</f>
        <v/>
      </c>
      <c r="C14" s="21"/>
      <c r="D14" s="6" t="str">
        <f aca="false">IF($A14="","",COUNTIFS(Flows!$B$2:$B$400,"required",Flows!$L$2:$L$400,$A14))</f>
        <v/>
      </c>
      <c r="E14" s="6" t="str">
        <f aca="false">IF($A14="","",COUNTIFS(Flows!$B$2:$B$400,"required",Flows!$L$2:$L$400,$A14,Flows!$T$2:$T$400,"covered"))</f>
        <v/>
      </c>
      <c r="F14" s="6" t="str">
        <f aca="false">IF($A14="","",$D14-$E14)</f>
        <v/>
      </c>
      <c r="G14" s="6" t="str">
        <f aca="false">IF($A14="","",COUNTIFS(Alignment!$A$2:$A$50,$A14,Alignment!$J$2:$J$50,"claims_no_contribution"))</f>
        <v/>
      </c>
      <c r="H14" s="6" t="str">
        <f aca="false">IF($A14="","",COUNTIFS(Alignment!$A$2:$A$50,$A14,Alignment!$J$2:$J$50,"unclaimed_contributor"))</f>
        <v/>
      </c>
      <c r="I14" s="6"/>
      <c r="J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true" outlineLevel="0" collapsed="false">
      <c r="A16" s="11" t="s">
        <v>59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true" outlineLevel="0" collapsed="false">
      <c r="A17" s="12" t="s">
        <v>60</v>
      </c>
      <c r="B17" s="12" t="s">
        <v>53</v>
      </c>
      <c r="C17" s="12" t="s">
        <v>13</v>
      </c>
      <c r="D17" s="12" t="s">
        <v>18</v>
      </c>
      <c r="E17" s="12" t="s">
        <v>19</v>
      </c>
      <c r="F17" s="12" t="s">
        <v>20</v>
      </c>
      <c r="G17" s="12" t="s">
        <v>21</v>
      </c>
      <c r="H17" s="12" t="s">
        <v>22</v>
      </c>
      <c r="I17" s="12" t="s">
        <v>61</v>
      </c>
      <c r="J17" s="12" t="s">
        <v>62</v>
      </c>
    </row>
    <row r="18" customFormat="false" ht="15" hidden="false" customHeight="true" outlineLevel="0" collapsed="false">
      <c r="A18" s="6" t="n">
        <f aca="false">IF(ISNA(MATCH(ROWS($A$18:$A18),Flows!$Y$2:$Y$400,0)),"",ROWS($A$18:$A18))</f>
        <v>1</v>
      </c>
      <c r="B18" s="6" t="str">
        <f aca="false">IFERROR(INDEX(Flows!$L$2:$L$400,MATCH(ROWS($A$18:$A18),Flows!$Y$2:$Y$400,0)),"")</f>
        <v>G1</v>
      </c>
      <c r="C18" s="6" t="str">
        <f aca="false">IFERROR(INDEX(Topics!$B$2:$B$100,MATCH(INDEX(Flows!$C$2:$C$400,MATCH(ROWS($A$18:$A18),Flows!$Y$2:$Y$400,0)),Topics!$A$2:$A$100,0)),"")</f>
        <v>design_change_notice</v>
      </c>
      <c r="D18" s="6" t="str">
        <f aca="false">IFERROR(INDEX(Stakeholders!$B$2:$B$50,MATCH(INDEX(Flows!$D$2:$D$400,MATCH(ROWS($A$18:$A18),Flows!$Y$2:$Y$400,0)),Stakeholders!$A$2:$A$50,0)),"")</f>
        <v>Gandalf</v>
      </c>
      <c r="E18" s="6" t="str">
        <f aca="false">IFERROR(INDEX(Stakeholders!$B$2:$B$50,MATCH(INDEX(Flows!$E$2:$E$400,MATCH(ROWS($A$18:$A18),Flows!$Y$2:$Y$400,0)),Stakeholders!$A$2:$A$50,0)),"")</f>
        <v>Frodo Baggins</v>
      </c>
      <c r="F18" s="6" t="n">
        <f aca="false">IFERROR(INDEX(Flows!$F$2:$F$400,MATCH(ROWS($A$18:$A18),Flows!$Y$2:$Y$400,0)),"")</f>
        <v>5</v>
      </c>
      <c r="G18" s="14" t="str">
        <f aca="false">IFERROR(INDEX(Flows!$T$2:$T$400,MATCH(ROWS($A$18:$A18),Flows!$Y$2:$Y$400,0)),"")</f>
        <v>missing</v>
      </c>
      <c r="H18" s="6" t="n">
        <f aca="false">IFERROR(INDEX(Flows!$U$2:$U$400,MATCH(ROWS($A$18:$A18),Flows!$Y$2:$Y$400,0)),"")</f>
        <v>15</v>
      </c>
      <c r="I18" s="6" t="str">
        <f aca="false">IF($G18="","",IF($G18="missing","no carrier — create the flow",INDEX(Flows!$O$2:$O$400,MATCH(ROWS($A$18:$A18),Flows!$Y$2:$Y$400,0))&amp;" carrier link(s) — see Flows"))</f>
        <v>no carrier — create the flow</v>
      </c>
      <c r="J18" s="6" t="str">
        <f aca="false">IFERROR(INDEX(Flows!$K$2:$K$400,MATCH(ROWS($A$18:$A18),Flows!$Y$2:$Y$400,0)),"")</f>
        <v>Supplier parts must match current spec; late ECN notice causes mass NCRs</v>
      </c>
    </row>
    <row r="19" customFormat="false" ht="15" hidden="false" customHeight="true" outlineLevel="0" collapsed="false">
      <c r="A19" s="6" t="n">
        <f aca="false">IF(ISNA(MATCH(ROWS($A$18:$A19),Flows!$Y$2:$Y$400,0)),"",ROWS($A$18:$A19))</f>
        <v>2</v>
      </c>
      <c r="B19" s="6" t="str">
        <f aca="false">IFERROR(INDEX(Flows!$L$2:$L$400,MATCH(ROWS($A$18:$A19),Flows!$Y$2:$Y$400,0)),"")</f>
        <v>G2</v>
      </c>
      <c r="C19" s="6" t="str">
        <f aca="false">IFERROR(INDEX(Topics!$B$2:$B$100,MATCH(INDEX(Flows!$C$2:$C$400,MATCH(ROWS($A$18:$A19),Flows!$Y$2:$Y$400,0)),Topics!$A$2:$A$100,0)),"")</f>
        <v>containment_actions</v>
      </c>
      <c r="D19" s="6" t="str">
        <f aca="false">IFERROR(INDEX(Stakeholders!$B$2:$B$50,MATCH(INDEX(Flows!$D$2:$D$400,MATCH(ROWS($A$18:$A19),Flows!$Y$2:$Y$400,0)),Stakeholders!$A$2:$A$50,0)),"")</f>
        <v>Frodo Baggins</v>
      </c>
      <c r="E19" s="6" t="str">
        <f aca="false">IFERROR(INDEX(Stakeholders!$B$2:$B$50,MATCH(INDEX(Flows!$E$2:$E$400,MATCH(ROWS($A$18:$A19),Flows!$Y$2:$Y$400,0)),Stakeholders!$A$2:$A$50,0)),"")</f>
        <v>Aragorn</v>
      </c>
      <c r="F19" s="6" t="n">
        <f aca="false">IFERROR(INDEX(Flows!$F$2:$F$400,MATCH(ROWS($A$18:$A19),Flows!$Y$2:$Y$400,0)),"")</f>
        <v>5</v>
      </c>
      <c r="G19" s="14" t="str">
        <f aca="false">IFERROR(INDEX(Flows!$T$2:$T$400,MATCH(ROWS($A$18:$A19),Flows!$Y$2:$Y$400,0)),"")</f>
        <v>latency_gap</v>
      </c>
      <c r="H19" s="6" t="n">
        <f aca="false">IFERROR(INDEX(Flows!$U$2:$U$400,MATCH(ROWS($A$18:$A19),Flows!$Y$2:$Y$400,0)),"")</f>
        <v>10</v>
      </c>
      <c r="I19" s="6" t="str">
        <f aca="false">IF($G19="","",IF($G19="missing","no carrier — create the flow",INDEX(Flows!$O$2:$O$400,MATCH(ROWS($A$18:$A19),Flows!$Y$2:$Y$400,0))&amp;" carrier link(s) — see Flows"))</f>
        <v>1 carrier link(s) — see Flows</v>
      </c>
      <c r="J19" s="6" t="str">
        <f aca="false">IFERROR(INDEX(Flows!$K$2:$K$400,MATCH(ROWS($A$18:$A19),Flows!$Y$2:$Y$400,0)),"")</f>
        <v>Containment must reach the line same-day during incidents</v>
      </c>
    </row>
    <row r="20" customFormat="false" ht="15" hidden="false" customHeight="true" outlineLevel="0" collapsed="false">
      <c r="A20" s="6" t="n">
        <f aca="false">IF(ISNA(MATCH(ROWS($A$18:$A20),Flows!$Y$2:$Y$400,0)),"",ROWS($A$18:$A20))</f>
        <v>3</v>
      </c>
      <c r="B20" s="6" t="str">
        <f aca="false">IFERROR(INDEX(Flows!$L$2:$L$400,MATCH(ROWS($A$18:$A20),Flows!$Y$2:$Y$400,0)),"")</f>
        <v>G4</v>
      </c>
      <c r="C20" s="6" t="str">
        <f aca="false">IFERROR(INDEX(Topics!$B$2:$B$100,MATCH(INDEX(Flows!$C$2:$C$400,MATCH(ROWS($A$18:$A20),Flows!$Y$2:$Y$400,0)),Topics!$A$2:$A$100,0)),"")</f>
        <v>audit_readiness</v>
      </c>
      <c r="D20" s="6" t="str">
        <f aca="false">IFERROR(INDEX(Stakeholders!$B$2:$B$50,MATCH(INDEX(Flows!$D$2:$D$400,MATCH(ROWS($A$18:$A20),Flows!$Y$2:$Y$400,0)),Stakeholders!$A$2:$A$50,0)),"")</f>
        <v>C-3PO</v>
      </c>
      <c r="E20" s="6" t="str">
        <f aca="false">IFERROR(INDEX(Stakeholders!$B$2:$B$50,MATCH(INDEX(Flows!$E$2:$E$400,MATCH(ROWS($A$18:$A20),Flows!$Y$2:$Y$400,0)),Stakeholders!$A$2:$A$50,0)),"")</f>
        <v>Aragorn</v>
      </c>
      <c r="F20" s="6" t="n">
        <f aca="false">IFERROR(INDEX(Flows!$F$2:$F$400,MATCH(ROWS($A$18:$A20),Flows!$Y$2:$Y$400,0)),"")</f>
        <v>3</v>
      </c>
      <c r="G20" s="14" t="str">
        <f aca="false">IFERROR(INDEX(Flows!$T$2:$T$400,MATCH(ROWS($A$18:$A20),Flows!$Y$2:$Y$400,0)),"")</f>
        <v>missing</v>
      </c>
      <c r="H20" s="6" t="n">
        <f aca="false">IFERROR(INDEX(Flows!$U$2:$U$400,MATCH(ROWS($A$18:$A20),Flows!$Y$2:$Y$400,0)),"")</f>
        <v>9</v>
      </c>
      <c r="I20" s="6" t="str">
        <f aca="false">IF($G20="","",IF($G20="missing","no carrier — create the flow",INDEX(Flows!$O$2:$O$400,MATCH(ROWS($A$18:$A20),Flows!$Y$2:$Y$400,0))&amp;" carrier link(s) — see Flows"))</f>
        <v>no carrier — create the flow</v>
      </c>
      <c r="J20" s="6" t="str">
        <f aca="false">IFERROR(INDEX(Flows!$K$2:$K$400,MATCH(ROWS($A$18:$A20),Flows!$Y$2:$Y$400,0)),"")</f>
        <v>Ops owns physical corrective items; needs findings that touch the floor</v>
      </c>
    </row>
    <row r="21" customFormat="false" ht="15" hidden="false" customHeight="true" outlineLevel="0" collapsed="false">
      <c r="A21" s="6" t="n">
        <f aca="false">IF(ISNA(MATCH(ROWS($A$18:$A21),Flows!$Y$2:$Y$400,0)),"",ROWS($A$18:$A21))</f>
        <v>4</v>
      </c>
      <c r="B21" s="6" t="str">
        <f aca="false">IFERROR(INDEX(Flows!$L$2:$L$400,MATCH(ROWS($A$18:$A21),Flows!$Y$2:$Y$400,0)),"")</f>
        <v>G2</v>
      </c>
      <c r="C21" s="6" t="str">
        <f aca="false">IFERROR(INDEX(Topics!$B$2:$B$100,MATCH(INDEX(Flows!$C$2:$C$400,MATCH(ROWS($A$18:$A21),Flows!$Y$2:$Y$400,0)),Topics!$A$2:$A$100,0)),"")</f>
        <v>containment_actions</v>
      </c>
      <c r="D21" s="6" t="str">
        <f aca="false">IFERROR(INDEX(Stakeholders!$B$2:$B$50,MATCH(INDEX(Flows!$D$2:$D$400,MATCH(ROWS($A$18:$A21),Flows!$Y$2:$Y$400,0)),Stakeholders!$A$2:$A$50,0)),"")</f>
        <v>Frodo Baggins</v>
      </c>
      <c r="E21" s="6" t="str">
        <f aca="false">IFERROR(INDEX(Stakeholders!$B$2:$B$50,MATCH(INDEX(Flows!$E$2:$E$400,MATCH(ROWS($A$18:$A21),Flows!$Y$2:$Y$400,0)),Stakeholders!$A$2:$A$50,0)),"")</f>
        <v>Gimli</v>
      </c>
      <c r="F21" s="6" t="n">
        <f aca="false">IFERROR(INDEX(Flows!$F$2:$F$400,MATCH(ROWS($A$18:$A21),Flows!$Y$2:$Y$400,0)),"")</f>
        <v>5</v>
      </c>
      <c r="G21" s="14" t="str">
        <f aca="false">IFERROR(INDEX(Flows!$T$2:$T$400,MATCH(ROWS($A$18:$A21),Flows!$Y$2:$Y$400,0)),"")</f>
        <v>channel_mismatch</v>
      </c>
      <c r="H21" s="6" t="n">
        <f aca="false">IFERROR(INDEX(Flows!$U$2:$U$400,MATCH(ROWS($A$18:$A21),Flows!$Y$2:$Y$400,0)),"")</f>
        <v>7.5</v>
      </c>
      <c r="I21" s="6" t="str">
        <f aca="false">IF($G21="","",IF($G21="missing","no carrier — create the flow",INDEX(Flows!$O$2:$O$400,MATCH(ROWS($A$18:$A21),Flows!$Y$2:$Y$400,0))&amp;" carrier link(s) — see Flows"))</f>
        <v>1 carrier link(s) — see Flows</v>
      </c>
      <c r="J21" s="6" t="str">
        <f aca="false">IFERROR(INDEX(Flows!$K$2:$K$400,MATCH(ROWS($A$18:$A21),Flows!$Y$2:$Y$400,0)),"")</f>
        <v>Containment must reach incoming inspection same-day during incidents</v>
      </c>
    </row>
    <row r="22" customFormat="false" ht="15" hidden="false" customHeight="true" outlineLevel="0" collapsed="false">
      <c r="A22" s="6" t="n">
        <f aca="false">IF(ISNA(MATCH(ROWS($A$18:$A22),Flows!$Y$2:$Y$400,0)),"",ROWS($A$18:$A22))</f>
        <v>5</v>
      </c>
      <c r="B22" s="6" t="str">
        <f aca="false">IFERROR(INDEX(Flows!$L$2:$L$400,MATCH(ROWS($A$18:$A22),Flows!$Y$2:$Y$400,0)),"")</f>
        <v>G1</v>
      </c>
      <c r="C22" s="6" t="str">
        <f aca="false">IFERROR(INDEX(Topics!$B$2:$B$100,MATCH(INDEX(Flows!$C$2:$C$400,MATCH(ROWS($A$18:$A22),Flows!$Y$2:$Y$400,0)),Topics!$A$2:$A$100,0)),"")</f>
        <v>incoming_inspection_results</v>
      </c>
      <c r="D22" s="6" t="str">
        <f aca="false">IFERROR(INDEX(Stakeholders!$B$2:$B$50,MATCH(INDEX(Flows!$D$2:$D$400,MATCH(ROWS($A$18:$A22),Flows!$Y$2:$Y$400,0)),Stakeholders!$A$2:$A$50,0)),"")</f>
        <v>Gimli</v>
      </c>
      <c r="E22" s="6" t="str">
        <f aca="false">IFERROR(INDEX(Stakeholders!$B$2:$B$50,MATCH(INDEX(Flows!$E$2:$E$400,MATCH(ROWS($A$18:$A22),Flows!$Y$2:$Y$400,0)),Stakeholders!$A$2:$A$50,0)),"")</f>
        <v>Leia Organa</v>
      </c>
      <c r="F22" s="6" t="n">
        <f aca="false">IFERROR(INDEX(Flows!$F$2:$F$400,MATCH(ROWS($A$18:$A22),Flows!$Y$2:$Y$400,0)),"")</f>
        <v>3</v>
      </c>
      <c r="G22" s="14" t="str">
        <f aca="false">IFERROR(INDEX(Flows!$T$2:$T$400,MATCH(ROWS($A$18:$A22),Flows!$Y$2:$Y$400,0)),"")</f>
        <v>wrong_producer</v>
      </c>
      <c r="H22" s="6" t="n">
        <f aca="false">IFERROR(INDEX(Flows!$U$2:$U$400,MATCH(ROWS($A$18:$A22),Flows!$Y$2:$Y$400,0)),"")</f>
        <v>6</v>
      </c>
      <c r="I22" s="6" t="str">
        <f aca="false">IF($G22="","",IF($G22="missing","no carrier — create the flow",INDEX(Flows!$O$2:$O$400,MATCH(ROWS($A$18:$A22),Flows!$Y$2:$Y$400,0))&amp;" carrier link(s) — see Flows"))</f>
        <v>1 carrier link(s) — see Flows</v>
      </c>
      <c r="J22" s="6" t="str">
        <f aca="false">IFERROR(INDEX(Flows!$K$2:$K$400,MATCH(ROWS($A$18:$A22),Flows!$Y$2:$Y$400,0)),"")</f>
        <v>QM needs inspection summary from the source for goal tracking</v>
      </c>
    </row>
    <row r="23" customFormat="false" ht="15" hidden="false" customHeight="true" outlineLevel="0" collapsed="false">
      <c r="A23" s="6" t="n">
        <f aca="false">IF(ISNA(MATCH(ROWS($A$18:$A23),Flows!$Y$2:$Y$400,0)),"",ROWS($A$18:$A23))</f>
        <v>6</v>
      </c>
      <c r="B23" s="6" t="str">
        <f aca="false">IFERROR(INDEX(Flows!$L$2:$L$400,MATCH(ROWS($A$18:$A23),Flows!$Y$2:$Y$400,0)),"")</f>
        <v>G2</v>
      </c>
      <c r="C23" s="6" t="str">
        <f aca="false">IFERROR(INDEX(Topics!$B$2:$B$100,MATCH(INDEX(Flows!$C$2:$C$400,MATCH(ROWS($A$18:$A23),Flows!$Y$2:$Y$400,0)),Topics!$A$2:$A$100,0)),"")</f>
        <v>ncr_status</v>
      </c>
      <c r="D23" s="6" t="str">
        <f aca="false">IFERROR(INDEX(Stakeholders!$B$2:$B$50,MATCH(INDEX(Flows!$D$2:$D$400,MATCH(ROWS($A$18:$A23),Flows!$Y$2:$Y$400,0)),Stakeholders!$A$2:$A$50,0)),"")</f>
        <v>Samwise Gamgee</v>
      </c>
      <c r="E23" s="6" t="str">
        <f aca="false">IFERROR(INDEX(Stakeholders!$B$2:$B$50,MATCH(INDEX(Flows!$E$2:$E$400,MATCH(ROWS($A$18:$A23),Flows!$Y$2:$Y$400,0)),Stakeholders!$A$2:$A$50,0)),"")</f>
        <v>Han Solo</v>
      </c>
      <c r="F23" s="6" t="n">
        <f aca="false">IFERROR(INDEX(Flows!$F$2:$F$400,MATCH(ROWS($A$18:$A23),Flows!$Y$2:$Y$400,0)),"")</f>
        <v>3</v>
      </c>
      <c r="G23" s="14" t="str">
        <f aca="false">IFERROR(INDEX(Flows!$T$2:$T$400,MATCH(ROWS($A$18:$A23),Flows!$Y$2:$Y$400,0)),"")</f>
        <v>latency_gap</v>
      </c>
      <c r="H23" s="6" t="n">
        <f aca="false">IFERROR(INDEX(Flows!$U$2:$U$400,MATCH(ROWS($A$18:$A23),Flows!$Y$2:$Y$400,0)),"")</f>
        <v>6</v>
      </c>
      <c r="I23" s="6" t="str">
        <f aca="false">IF($G23="","",IF($G23="missing","no carrier — create the flow",INDEX(Flows!$O$2:$O$400,MATCH(ROWS($A$18:$A23),Flows!$Y$2:$Y$400,0))&amp;" carrier link(s) — see Flows"))</f>
        <v>1 carrier link(s) — see Flows</v>
      </c>
      <c r="J23" s="6" t="str">
        <f aca="false">IFERROR(INDEX(Flows!$K$2:$K$400,MATCH(ROWS($A$18:$A23),Flows!$Y$2:$Y$400,0)),"")</f>
        <v>Procurement needs weekly NCR aging to pressure suppliers in-cycle</v>
      </c>
    </row>
    <row r="24" customFormat="false" ht="15" hidden="false" customHeight="true" outlineLevel="0" collapsed="false">
      <c r="A24" s="6" t="n">
        <f aca="false">IF(ISNA(MATCH(ROWS($A$18:$A24),Flows!$Y$2:$Y$400,0)),"",ROWS($A$18:$A24))</f>
        <v>7</v>
      </c>
      <c r="B24" s="6" t="str">
        <f aca="false">IFERROR(INDEX(Flows!$L$2:$L$400,MATCH(ROWS($A$18:$A24),Flows!$Y$2:$Y$400,0)),"")</f>
        <v>G5</v>
      </c>
      <c r="C24" s="6" t="str">
        <f aca="false">IFERROR(INDEX(Topics!$B$2:$B$100,MATCH(INDEX(Flows!$C$2:$C$400,MATCH(ROWS($A$18:$A24),Flows!$Y$2:$Y$400,0)),Topics!$A$2:$A$100,0)),"")</f>
        <v>supplier_auditor_training_status</v>
      </c>
      <c r="D24" s="6" t="str">
        <f aca="false">IFERROR(INDEX(Stakeholders!$B$2:$B$50,MATCH(INDEX(Flows!$D$2:$D$400,MATCH(ROWS($A$18:$A24),Flows!$Y$2:$Y$400,0)),Stakeholders!$A$2:$A$50,0)),"")</f>
        <v>Frodo Baggins</v>
      </c>
      <c r="E24" s="6" t="str">
        <f aca="false">IFERROR(INDEX(Stakeholders!$B$2:$B$50,MATCH(INDEX(Flows!$E$2:$E$400,MATCH(ROWS($A$18:$A24),Flows!$Y$2:$Y$400,0)),Stakeholders!$A$2:$A$50,0)),"")</f>
        <v>The Fellowship</v>
      </c>
      <c r="F24" s="6" t="n">
        <f aca="false">IFERROR(INDEX(Flows!$F$2:$F$400,MATCH(ROWS($A$18:$A24),Flows!$Y$2:$Y$400,0)),"")</f>
        <v>2</v>
      </c>
      <c r="G24" s="14" t="str">
        <f aca="false">IFERROR(INDEX(Flows!$T$2:$T$400,MATCH(ROWS($A$18:$A24),Flows!$Y$2:$Y$400,0)),"")</f>
        <v>missing</v>
      </c>
      <c r="H24" s="6" t="n">
        <f aca="false">IFERROR(INDEX(Flows!$U$2:$U$400,MATCH(ROWS($A$18:$A24),Flows!$Y$2:$Y$400,0)),"")</f>
        <v>6</v>
      </c>
      <c r="I24" s="6" t="str">
        <f aca="false">IF($G24="","",IF($G24="missing","no carrier — create the flow",INDEX(Flows!$O$2:$O$400,MATCH(ROWS($A$18:$A24),Flows!$Y$2:$Y$400,0))&amp;" carrier link(s) — see Flows"))</f>
        <v>no carrier — create the flow</v>
      </c>
      <c r="J24" s="6" t="str">
        <f aca="false">IFERROR(INDEX(Flows!$K$2:$K$400,MATCH(ROWS($A$18:$A24),Flows!$Y$2:$Y$400,0)),"")</f>
        <v>Plant manager needs training progress for capacity planning</v>
      </c>
    </row>
    <row r="25" customFormat="false" ht="15" hidden="false" customHeight="true" outlineLevel="0" collapsed="false">
      <c r="A25" s="6" t="str">
        <f aca="false">IF(ISNA(MATCH(ROWS($A$18:$A25),Flows!$Y$2:$Y$400,0)),"",ROWS($A$18:$A25))</f>
        <v/>
      </c>
      <c r="B25" s="6" t="str">
        <f aca="false">IFERROR(INDEX(Flows!$L$2:$L$400,MATCH(ROWS($A$18:$A25),Flows!$Y$2:$Y$400,0)),"")</f>
        <v/>
      </c>
      <c r="C25" s="6" t="str">
        <f aca="false">IFERROR(INDEX(Topics!$B$2:$B$100,MATCH(INDEX(Flows!$C$2:$C$400,MATCH(ROWS($A$18:$A25),Flows!$Y$2:$Y$400,0)),Topics!$A$2:$A$100,0)),"")</f>
        <v/>
      </c>
      <c r="D25" s="6" t="str">
        <f aca="false">IFERROR(INDEX(Stakeholders!$B$2:$B$50,MATCH(INDEX(Flows!$D$2:$D$400,MATCH(ROWS($A$18:$A25),Flows!$Y$2:$Y$400,0)),Stakeholders!$A$2:$A$50,0)),"")</f>
        <v/>
      </c>
      <c r="E25" s="6" t="str">
        <f aca="false">IFERROR(INDEX(Stakeholders!$B$2:$B$50,MATCH(INDEX(Flows!$E$2:$E$400,MATCH(ROWS($A$18:$A25),Flows!$Y$2:$Y$400,0)),Stakeholders!$A$2:$A$50,0)),"")</f>
        <v/>
      </c>
      <c r="F25" s="6" t="str">
        <f aca="false">IFERROR(INDEX(Flows!$F$2:$F$400,MATCH(ROWS($A$18:$A25),Flows!$Y$2:$Y$400,0)),"")</f>
        <v/>
      </c>
      <c r="G25" s="14" t="str">
        <f aca="false">IFERROR(INDEX(Flows!$T$2:$T$400,MATCH(ROWS($A$18:$A25),Flows!$Y$2:$Y$400,0)),"")</f>
        <v/>
      </c>
      <c r="H25" s="6" t="str">
        <f aca="false">IFERROR(INDEX(Flows!$U$2:$U$400,MATCH(ROWS($A$18:$A25),Flows!$Y$2:$Y$400,0)),"")</f>
        <v/>
      </c>
      <c r="I25" s="6" t="str">
        <f aca="false">IF($G25="","",IF($G25="missing","no carrier — create the flow",INDEX(Flows!$O$2:$O$400,MATCH(ROWS($A$18:$A25),Flows!$Y$2:$Y$400,0))&amp;" carrier link(s) — see Flows"))</f>
        <v/>
      </c>
      <c r="J25" s="6" t="str">
        <f aca="false">IFERROR(INDEX(Flows!$K$2:$K$400,MATCH(ROWS($A$18:$A25),Flows!$Y$2:$Y$400,0)),"")</f>
        <v/>
      </c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true" outlineLevel="0" collapsed="false">
      <c r="A27" s="11" t="s">
        <v>63</v>
      </c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true" outlineLevel="0" collapsed="false">
      <c r="A28" s="12"/>
      <c r="B28" s="12" t="s">
        <v>53</v>
      </c>
      <c r="C28" s="12" t="s">
        <v>31</v>
      </c>
      <c r="D28" s="12" t="s">
        <v>35</v>
      </c>
      <c r="E28" s="12"/>
      <c r="F28" s="12" t="s">
        <v>36</v>
      </c>
      <c r="G28" s="12"/>
      <c r="H28" s="12"/>
      <c r="I28" s="12"/>
      <c r="J28" s="12"/>
    </row>
    <row r="29" customFormat="false" ht="15" hidden="false" customHeight="true" outlineLevel="0" collapsed="false">
      <c r="A29" s="6"/>
      <c r="B29" s="6" t="str">
        <f aca="false">IFERROR(INDEX(Alignment!$A$2:$A$50,MATCH(ROWS($A$29:$A29),Alignment!$L$2:$L$50,0)),"")</f>
        <v>G1</v>
      </c>
      <c r="C29" s="6" t="str">
        <f aca="false">IFERROR(INDEX(Alignment!$C$2:$C$50,MATCH(ROWS($A$29:$A29),Alignment!$L$2:$L$50,0)),"")</f>
        <v>Monthly Ops Status Meeting</v>
      </c>
      <c r="D29" s="13" t="n">
        <f aca="false">IF($C29="","",INDEX(Alignment!$H$2:$H$50,MATCH(ROWS($A$29:$A29),Alignment!$L$2:$L$50,0)))</f>
        <v>0.38</v>
      </c>
      <c r="E29" s="6"/>
      <c r="F29" s="13" t="n">
        <f aca="false">IF($C29="","",INDEX(Alignment!$I$2:$I$50,MATCH(ROWS($A$29:$A29),Alignment!$L$2:$L$50,0)))</f>
        <v>0.166666666666667</v>
      </c>
      <c r="G29" s="6"/>
      <c r="H29" s="6"/>
      <c r="I29" s="6"/>
      <c r="J29" s="6"/>
    </row>
    <row r="30" customFormat="false" ht="15" hidden="false" customHeight="true" outlineLevel="0" collapsed="false">
      <c r="A30" s="6"/>
      <c r="B30" s="6" t="str">
        <f aca="false">IFERROR(INDEX(Alignment!$A$2:$A$50,MATCH(ROWS($A$29:$A30),Alignment!$L$2:$L$50,0)),"")</f>
        <v>G3</v>
      </c>
      <c r="C30" s="6" t="str">
        <f aca="false">IFERROR(INDEX(Alignment!$C$2:$C$50,MATCH(ROWS($A$29:$A30),Alignment!$L$2:$L$50,0)),"")</f>
        <v>Monthly Ops Status Meeting</v>
      </c>
      <c r="D30" s="13" t="n">
        <f aca="false">IF($C30="","",INDEX(Alignment!$H$2:$H$50,MATCH(ROWS($A$29:$A30),Alignment!$L$2:$L$50,0)))</f>
        <v>0.67</v>
      </c>
      <c r="E30" s="6"/>
      <c r="F30" s="13" t="n">
        <f aca="false">IF($C30="","",INDEX(Alignment!$I$2:$I$50,MATCH(ROWS($A$29:$A30),Alignment!$L$2:$L$50,0)))</f>
        <v>0.166666666666667</v>
      </c>
      <c r="G30" s="6"/>
      <c r="H30" s="6"/>
      <c r="I30" s="6"/>
      <c r="J30" s="6"/>
    </row>
    <row r="31" customFormat="false" ht="15" hidden="false" customHeight="true" outlineLevel="0" collapsed="false">
      <c r="A31" s="6"/>
      <c r="B31" s="6" t="str">
        <f aca="false">IFERROR(INDEX(Alignment!$A$2:$A$50,MATCH(ROWS($A$29:$A31),Alignment!$L$2:$L$50,0)),"")</f>
        <v/>
      </c>
      <c r="C31" s="6" t="str">
        <f aca="false">IFERROR(INDEX(Alignment!$C$2:$C$50,MATCH(ROWS($A$29:$A31),Alignment!$L$2:$L$50,0)),"")</f>
        <v/>
      </c>
      <c r="D31" s="13" t="str">
        <f aca="false">IF($C31="","",INDEX(Alignment!$H$2:$H$50,MATCH(ROWS($A$29:$A31),Alignment!$L$2:$L$50,0)))</f>
        <v/>
      </c>
      <c r="E31" s="6"/>
      <c r="F31" s="13" t="str">
        <f aca="false">IF($C31="","",INDEX(Alignment!$I$2:$I$50,MATCH(ROWS($A$29:$A31),Alignment!$L$2:$L$50,0)))</f>
        <v/>
      </c>
      <c r="G31" s="6"/>
      <c r="H31" s="6"/>
      <c r="I31" s="6"/>
      <c r="J31" s="6"/>
    </row>
    <row r="32" customFormat="false" ht="15" hidden="false" customHeight="true" outlineLevel="0" collapsed="false">
      <c r="A32" s="6"/>
      <c r="B32" s="6" t="str">
        <f aca="false">IFERROR(INDEX(Alignment!$A$2:$A$50,MATCH(ROWS($A$29:$A32),Alignment!$L$2:$L$50,0)),"")</f>
        <v/>
      </c>
      <c r="C32" s="6" t="str">
        <f aca="false">IFERROR(INDEX(Alignment!$C$2:$C$50,MATCH(ROWS($A$29:$A32),Alignment!$L$2:$L$50,0)),"")</f>
        <v/>
      </c>
      <c r="D32" s="13" t="str">
        <f aca="false">IF($C32="","",INDEX(Alignment!$H$2:$H$50,MATCH(ROWS($A$29:$A32),Alignment!$L$2:$L$50,0)))</f>
        <v/>
      </c>
      <c r="E32" s="6"/>
      <c r="F32" s="13" t="str">
        <f aca="false">IF($C32="","",INDEX(Alignment!$I$2:$I$50,MATCH(ROWS($A$29:$A32),Alignment!$L$2:$L$50,0)))</f>
        <v/>
      </c>
      <c r="G32" s="6"/>
      <c r="H32" s="6"/>
      <c r="I32" s="6"/>
      <c r="J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true" outlineLevel="0" collapsed="false">
      <c r="A34" s="11" t="s">
        <v>64</v>
      </c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true" outlineLevel="0" collapsed="false">
      <c r="A35" s="12"/>
      <c r="B35" s="12" t="s">
        <v>53</v>
      </c>
      <c r="C35" s="12" t="s">
        <v>31</v>
      </c>
      <c r="D35" s="12" t="s">
        <v>65</v>
      </c>
      <c r="E35" s="12"/>
      <c r="F35" s="12"/>
      <c r="G35" s="12"/>
      <c r="H35" s="12"/>
      <c r="I35" s="12"/>
      <c r="J35" s="12"/>
    </row>
    <row r="36" customFormat="false" ht="15" hidden="false" customHeight="true" outlineLevel="0" collapsed="false">
      <c r="A36" s="6"/>
      <c r="B36" s="6" t="str">
        <f aca="false">IFERROR(INDEX(Alignment!$A$2:$A$50,MATCH(ROWS($A$36:$A36),Alignment!$M$2:$M$50,0)),"")</f>
        <v>G2</v>
      </c>
      <c r="C36" s="6" t="str">
        <f aca="false">IFERROR(INDEX(Alignment!$C$2:$C$50,MATCH(ROWS($A$36:$A36),Alignment!$M$2:$M$50,0)),"")</f>
        <v>Monthly Supplier Business Review</v>
      </c>
      <c r="D36" s="6" t="str">
        <f aca="false">IF($C36="","","carries "&amp;INDEX(Alignment!$E$2:$E$50,MATCH(ROWS($A$36:$A36),Alignment!$M$2:$M$50,0))&amp;" flow(s)")</f>
        <v>carries 1 flow(s)</v>
      </c>
      <c r="E36" s="6"/>
      <c r="F36" s="6"/>
      <c r="G36" s="6"/>
      <c r="H36" s="6"/>
      <c r="I36" s="6"/>
      <c r="J36" s="6"/>
    </row>
    <row r="37" customFormat="false" ht="15" hidden="false" customHeight="true" outlineLevel="0" collapsed="false">
      <c r="A37" s="6"/>
      <c r="B37" s="6" t="str">
        <f aca="false">IFERROR(INDEX(Alignment!$A$2:$A$50,MATCH(ROWS($A$36:$A37),Alignment!$M$2:$M$50,0)),"")</f>
        <v/>
      </c>
      <c r="C37" s="6" t="str">
        <f aca="false">IFERROR(INDEX(Alignment!$C$2:$C$50,MATCH(ROWS($A$36:$A37),Alignment!$M$2:$M$50,0)),"")</f>
        <v/>
      </c>
      <c r="D37" s="6" t="str">
        <f aca="false">IF($C37="","","carries "&amp;INDEX(Alignment!$E$2:$E$50,MATCH(ROWS($A$36:$A37),Alignment!$M$2:$M$50,0))&amp;" flow(s)")</f>
        <v/>
      </c>
      <c r="E37" s="6"/>
      <c r="F37" s="6"/>
      <c r="G37" s="6"/>
      <c r="H37" s="6"/>
      <c r="I37" s="6"/>
      <c r="J37" s="6"/>
    </row>
    <row r="38" customFormat="false" ht="15" hidden="false" customHeight="true" outlineLevel="0" collapsed="false">
      <c r="A38" s="6"/>
      <c r="B38" s="6" t="str">
        <f aca="false">IFERROR(INDEX(Alignment!$A$2:$A$50,MATCH(ROWS($A$36:$A38),Alignment!$M$2:$M$50,0)),"")</f>
        <v/>
      </c>
      <c r="C38" s="6" t="str">
        <f aca="false">IFERROR(INDEX(Alignment!$C$2:$C$50,MATCH(ROWS($A$36:$A38),Alignment!$M$2:$M$50,0)),"")</f>
        <v/>
      </c>
      <c r="D38" s="6" t="str">
        <f aca="false">IF($C38="","","carries "&amp;INDEX(Alignment!$E$2:$E$50,MATCH(ROWS($A$36:$A38),Alignment!$M$2:$M$50,0))&amp;" flow(s)")</f>
        <v/>
      </c>
      <c r="E38" s="6"/>
      <c r="F38" s="6"/>
      <c r="G38" s="6"/>
      <c r="H38" s="6"/>
      <c r="I38" s="6"/>
      <c r="J38" s="6"/>
    </row>
    <row r="39" customFormat="false" ht="15" hidden="false" customHeight="true" outlineLevel="0" collapsed="false">
      <c r="A39" s="11" t="s">
        <v>66</v>
      </c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true" outlineLevel="0" collapsed="false">
      <c r="A40" s="12"/>
      <c r="B40" s="12" t="s">
        <v>53</v>
      </c>
      <c r="C40" s="12" t="s">
        <v>67</v>
      </c>
      <c r="D40" s="12" t="s">
        <v>68</v>
      </c>
      <c r="E40" s="12" t="s">
        <v>69</v>
      </c>
      <c r="F40" s="12"/>
      <c r="G40" s="12" t="s">
        <v>70</v>
      </c>
      <c r="H40" s="12"/>
      <c r="I40" s="12"/>
      <c r="J40" s="12"/>
    </row>
    <row r="41" customFormat="false" ht="15" hidden="false" customHeight="true" outlineLevel="0" collapsed="false">
      <c r="A41" s="6"/>
      <c r="B41" s="6" t="str">
        <f aca="false">IFERROR(INDEX(Decisions!$D$2:$D$50,MATCH(ROWS($A$41:$A41),Decisions!$M$2:$M$50,0)),"")</f>
        <v>G1</v>
      </c>
      <c r="C41" s="6" t="str">
        <f aca="false">IFERROR(INDEX(Decisions!$B$2:$B$50,MATCH(ROWS($A$41:$A41),Decisions!$M$2:$M$50,0)),"")</f>
        <v>Supplier disqualification / new-business hold</v>
      </c>
      <c r="D41" s="6" t="str">
        <f aca="false">IFERROR(INDEX(Decisions!$L$2:$L$50,MATCH(ROWS($A$41:$A41),Decisions!$M$2:$M$50,0)),"")</f>
        <v>a_absent</v>
      </c>
      <c r="E41" s="6" t="str">
        <f aca="false">IF($C41="","",IFERROR(INDEX(Stakeholders!$B$2:$B$50,MATCH(INDEX(Decisions!$E$2:$E$50,MATCH(ROWS($A$41:$A41),Decisions!$M$2:$M$50,0)),Stakeholders!$A$2:$A$50,0)),"— none —"))</f>
        <v>Han Solo</v>
      </c>
      <c r="F41" s="6"/>
      <c r="G41" s="6" t="str">
        <f aca="false">IF($C41="","",IF(INDEX(Decisions!$I$2:$I$50,MATCH(ROWS($A$41:$A41),Decisions!$M$2:$M$50,0))="ritual",IFERROR(INDEX(Rituals!$B$2:$B$50,MATCH(INDEX(Decisions!$J$2:$J$50,MATCH(ROWS($A$41:$A41),Decisions!$M$2:$M$50,0)),Rituals!$A$2:$A$50,0)),""),INDEX(Decisions!$I$2:$I$50,MATCH(ROWS($A$41:$A41),Decisions!$M$2:$M$50,0))))</f>
        <v>Weekly Supplier Quality Review</v>
      </c>
      <c r="H41" s="6"/>
      <c r="I41" s="6"/>
      <c r="J41" s="6"/>
    </row>
    <row r="42" customFormat="false" ht="15" hidden="false" customHeight="true" outlineLevel="0" collapsed="false">
      <c r="A42" s="6"/>
      <c r="B42" s="6" t="str">
        <f aca="false">IFERROR(INDEX(Decisions!$D$2:$D$50,MATCH(ROWS($A$41:$A42),Decisions!$M$2:$M$50,0)),"")</f>
        <v>G2</v>
      </c>
      <c r="C42" s="6" t="str">
        <f aca="false">IFERROR(INDEX(Decisions!$B$2:$B$50,MATCH(ROWS($A$41:$A42),Decisions!$M$2:$M$50,0)),"")</f>
        <v>CAPA closure acceptance</v>
      </c>
      <c r="D42" s="6" t="str">
        <f aca="false">IFERROR(INDEX(Decisions!$L$2:$L$50,MATCH(ROWS($A$41:$A42),Decisions!$M$2:$M$50,0)),"")</f>
        <v>none_observed</v>
      </c>
      <c r="E42" s="6" t="str">
        <f aca="false">IF($C42="","",IFERROR(INDEX(Stakeholders!$B$2:$B$50,MATCH(INDEX(Decisions!$E$2:$E$50,MATCH(ROWS($A$41:$A42),Decisions!$M$2:$M$50,0)),Stakeholders!$A$2:$A$50,0)),"— none —"))</f>
        <v>Frodo Baggins</v>
      </c>
      <c r="F42" s="6"/>
      <c r="G42" s="6" t="str">
        <f aca="false">IF($C42="","",IF(INDEX(Decisions!$I$2:$I$50,MATCH(ROWS($A$41:$A42),Decisions!$M$2:$M$50,0))="ritual",IFERROR(INDEX(Rituals!$B$2:$B$50,MATCH(INDEX(Decisions!$J$2:$J$50,MATCH(ROWS($A$41:$A42),Decisions!$M$2:$M$50,0)),Rituals!$A$2:$A$50,0)),""),INDEX(Decisions!$I$2:$I$50,MATCH(ROWS($A$41:$A42),Decisions!$M$2:$M$50,0))))</f>
        <v>none_observed</v>
      </c>
      <c r="H42" s="6"/>
      <c r="I42" s="6"/>
      <c r="J42" s="6"/>
    </row>
    <row r="43" customFormat="false" ht="15" hidden="false" customHeight="true" outlineLevel="0" collapsed="false">
      <c r="A43" s="6"/>
      <c r="B43" s="6" t="str">
        <f aca="false">IFERROR(INDEX(Decisions!$D$2:$D$50,MATCH(ROWS($A$41:$A43),Decisions!$M$2:$M$50,0)),"")</f>
        <v>G3</v>
      </c>
      <c r="C43" s="6" t="str">
        <f aca="false">IFERROR(INDEX(Decisions!$B$2:$B$50,MATCH(ROWS($A$41:$A43),Decisions!$M$2:$M$50,0)),"")</f>
        <v>Second-source qualification go/no-go</v>
      </c>
      <c r="D43" s="6" t="str">
        <f aca="false">IFERROR(INDEX(Decisions!$L$2:$L$50,MATCH(ROWS($A$41:$A43),Decisions!$M$2:$M$50,0)),"")</f>
        <v>no_accountable</v>
      </c>
      <c r="E43" s="6" t="str">
        <f aca="false">IF($C43="","",IFERROR(INDEX(Stakeholders!$B$2:$B$50,MATCH(INDEX(Decisions!$E$2:$E$50,MATCH(ROWS($A$41:$A43),Decisions!$M$2:$M$50,0)),Stakeholders!$A$2:$A$50,0)),"— none —"))</f>
        <v>— none —</v>
      </c>
      <c r="F43" s="6"/>
      <c r="G43" s="6" t="str">
        <f aca="false">IF($C43="","",IF(INDEX(Decisions!$I$2:$I$50,MATCH(ROWS($A$41:$A43),Decisions!$M$2:$M$50,0))="ritual",IFERROR(INDEX(Rituals!$B$2:$B$50,MATCH(INDEX(Decisions!$J$2:$J$50,MATCH(ROWS($A$41:$A43),Decisions!$M$2:$M$50,0)),Rituals!$A$2:$A$50,0)),""),INDEX(Decisions!$I$2:$I$50,MATCH(ROWS($A$41:$A43),Decisions!$M$2:$M$50,0))))</f>
        <v>Monthly Supplier Business Review</v>
      </c>
      <c r="H43" s="6"/>
      <c r="I43" s="6"/>
      <c r="J43" s="6"/>
    </row>
    <row r="44" customFormat="false" ht="15" hidden="false" customHeight="true" outlineLevel="0" collapsed="false">
      <c r="A44" s="6"/>
      <c r="B44" s="6" t="str">
        <f aca="false">IFERROR(INDEX(Decisions!$D$2:$D$50,MATCH(ROWS($A$41:$A44),Decisions!$M$2:$M$50,0)),"")</f>
        <v/>
      </c>
      <c r="C44" s="6" t="str">
        <f aca="false">IFERROR(INDEX(Decisions!$B$2:$B$50,MATCH(ROWS($A$41:$A44),Decisions!$M$2:$M$50,0)),"")</f>
        <v/>
      </c>
      <c r="D44" s="6" t="str">
        <f aca="false">IFERROR(INDEX(Decisions!$L$2:$L$50,MATCH(ROWS($A$41:$A44),Decisions!$M$2:$M$50,0)),"")</f>
        <v/>
      </c>
      <c r="E44" s="6" t="str">
        <f aca="false">IF($C44="","",IFERROR(INDEX(Stakeholders!$B$2:$B$50,MATCH(INDEX(Decisions!$E$2:$E$50,MATCH(ROWS($A$41:$A44),Decisions!$M$2:$M$50,0)),Stakeholders!$A$2:$A$50,0)),"— none —"))</f>
        <v/>
      </c>
      <c r="F44" s="6"/>
      <c r="G44" s="6" t="str">
        <f aca="false">IF($C44="","",IF(INDEX(Decisions!$I$2:$I$50,MATCH(ROWS($A$41:$A44),Decisions!$M$2:$M$50,0))="ritual",IFERROR(INDEX(Rituals!$B$2:$B$50,MATCH(INDEX(Decisions!$J$2:$J$50,MATCH(ROWS($A$41:$A44),Decisions!$M$2:$M$50,0)),Rituals!$A$2:$A$50,0)),""),INDEX(Decisions!$I$2:$I$50,MATCH(ROWS($A$41:$A44),Decisions!$M$2:$M$50,0))))</f>
        <v/>
      </c>
      <c r="H44" s="6"/>
      <c r="I44" s="6"/>
      <c r="J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true" outlineLevel="0" collapsed="false">
      <c r="A46" s="11" t="s">
        <v>71</v>
      </c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true" outlineLevel="0" collapsed="false">
      <c r="A47" s="12"/>
      <c r="B47" s="12" t="s">
        <v>53</v>
      </c>
      <c r="C47" s="12" t="s">
        <v>13</v>
      </c>
      <c r="D47" s="12" t="s">
        <v>72</v>
      </c>
      <c r="E47" s="12" t="s">
        <v>19</v>
      </c>
      <c r="F47" s="12" t="s">
        <v>20</v>
      </c>
      <c r="G47" s="12" t="s">
        <v>21</v>
      </c>
      <c r="H47" s="12"/>
      <c r="I47" s="12" t="s">
        <v>73</v>
      </c>
      <c r="J47" s="12"/>
    </row>
    <row r="48" customFormat="false" ht="15" hidden="false" customHeight="true" outlineLevel="0" collapsed="false">
      <c r="A48" s="6"/>
      <c r="B48" s="6" t="str">
        <f aca="false">IFERROR(INDEX(Flows!$L$2:$L$400,MATCH(ROWS($A$48:$A48),Flows!$Z$2:$Z$400,0)),"")</f>
        <v>G1</v>
      </c>
      <c r="C48" s="6" t="str">
        <f aca="false">IFERROR(INDEX(Topics!$B$2:$B$100,MATCH(INDEX(Flows!$C$2:$C$400,MATCH(ROWS($A$48:$A48),Flows!$Z$2:$Z$400,0)),Topics!$A$2:$A$100,0)),"")</f>
        <v>supplier_scorecard</v>
      </c>
      <c r="D48" s="6" t="str">
        <f aca="false">IF($C48="","",IFERROR(INDEX(Stakeholders!$B$2:$B$50,MATCH(INDEX(Flows!$D$2:$D$400,MATCH(ROWS($A$48:$A48),Flows!$Z$2:$Z$400,0)),Stakeholders!$A$2:$A$50,0)),""))</f>
        <v>Frodo Baggins</v>
      </c>
      <c r="E48" s="6" t="str">
        <f aca="false">IF($C48="","",IFERROR(INDEX(Stakeholders!$B$2:$B$50,MATCH(INDEX(Flows!$E$2:$E$400,MATCH(ROWS($A$48:$A48),Flows!$Z$2:$Z$400,0)),Stakeholders!$A$2:$A$50,0)),""))</f>
        <v>Lando Calrissian (Cloud City)</v>
      </c>
      <c r="F48" s="6" t="n">
        <f aca="false">IF($C48="","",INDEX(Flows!$F$2:$F$400,MATCH(ROWS($A$48:$A48),Flows!$Z$2:$Z$400,0)))</f>
        <v>4</v>
      </c>
      <c r="G48" s="6" t="str">
        <f aca="false">IF($C48="","",INDEX(Flows!$T$2:$T$400,MATCH(ROWS($A$48:$A48),Flows!$Z$2:$Z$400,0)))</f>
        <v>covered</v>
      </c>
      <c r="H48" s="6"/>
      <c r="I48" s="6" t="str">
        <f aca="false">IF($C48="","","add second producer, or a system-of-record carrier")</f>
        <v>add second producer, or a system-of-record carrier</v>
      </c>
      <c r="J48" s="6"/>
    </row>
    <row r="49" customFormat="false" ht="15" hidden="false" customHeight="true" outlineLevel="0" collapsed="false">
      <c r="A49" s="6"/>
      <c r="B49" s="6" t="str">
        <f aca="false">IFERROR(INDEX(Flows!$L$2:$L$400,MATCH(ROWS($A$48:$A49),Flows!$Z$2:$Z$400,0)),"")</f>
        <v>G2</v>
      </c>
      <c r="C49" s="6" t="str">
        <f aca="false">IFERROR(INDEX(Topics!$B$2:$B$100,MATCH(INDEX(Flows!$C$2:$C$400,MATCH(ROWS($A$48:$A49),Flows!$Z$2:$Z$400,0)),Topics!$A$2:$A$100,0)),"")</f>
        <v>ncr_status</v>
      </c>
      <c r="D49" s="6" t="str">
        <f aca="false">IF($C49="","",IFERROR(INDEX(Stakeholders!$B$2:$B$50,MATCH(INDEX(Flows!$D$2:$D$400,MATCH(ROWS($A$48:$A49),Flows!$Z$2:$Z$400,0)),Stakeholders!$A$2:$A$50,0)),""))</f>
        <v>Samwise Gamgee</v>
      </c>
      <c r="E49" s="6" t="str">
        <f aca="false">IF($C49="","",IFERROR(INDEX(Stakeholders!$B$2:$B$50,MATCH(INDEX(Flows!$E$2:$E$400,MATCH(ROWS($A$48:$A49),Flows!$Z$2:$Z$400,0)),Stakeholders!$A$2:$A$50,0)),""))</f>
        <v>Frodo Baggins</v>
      </c>
      <c r="F49" s="6" t="n">
        <f aca="false">IF($C49="","",INDEX(Flows!$F$2:$F$400,MATCH(ROWS($A$48:$A49),Flows!$Z$2:$Z$400,0)))</f>
        <v>4</v>
      </c>
      <c r="G49" s="6" t="str">
        <f aca="false">IF($C49="","",INDEX(Flows!$T$2:$T$400,MATCH(ROWS($A$48:$A49),Flows!$Z$2:$Z$400,0)))</f>
        <v>covered</v>
      </c>
      <c r="H49" s="6"/>
      <c r="I49" s="6" t="str">
        <f aca="false">IF($C49="","","add second producer, or a system-of-record carrier")</f>
        <v>add second producer, or a system-of-record carrier</v>
      </c>
      <c r="J49" s="6"/>
    </row>
    <row r="50" customFormat="false" ht="15" hidden="false" customHeight="true" outlineLevel="0" collapsed="false">
      <c r="A50" s="6"/>
      <c r="B50" s="6" t="str">
        <f aca="false">IFERROR(INDEX(Flows!$L$2:$L$400,MATCH(ROWS($A$48:$A50),Flows!$Z$2:$Z$400,0)),"")</f>
        <v>G2</v>
      </c>
      <c r="C50" s="6" t="str">
        <f aca="false">IFERROR(INDEX(Topics!$B$2:$B$100,MATCH(INDEX(Flows!$C$2:$C$400,MATCH(ROWS($A$48:$A50),Flows!$Z$2:$Z$400,0)),Topics!$A$2:$A$100,0)),"")</f>
        <v>supplier_capa_status</v>
      </c>
      <c r="D50" s="6" t="str">
        <f aca="false">IF($C50="","",IFERROR(INDEX(Stakeholders!$B$2:$B$50,MATCH(INDEX(Flows!$D$2:$D$400,MATCH(ROWS($A$48:$A50),Flows!$Z$2:$Z$400,0)),Stakeholders!$A$2:$A$50,0)),""))</f>
        <v>Lando Calrissian (Cloud City)</v>
      </c>
      <c r="E50" s="6" t="str">
        <f aca="false">IF($C50="","",IFERROR(INDEX(Stakeholders!$B$2:$B$50,MATCH(INDEX(Flows!$E$2:$E$400,MATCH(ROWS($A$48:$A50),Flows!$Z$2:$Z$400,0)),Stakeholders!$A$2:$A$50,0)),""))</f>
        <v>Frodo Baggins</v>
      </c>
      <c r="F50" s="6" t="n">
        <f aca="false">IF($C50="","",INDEX(Flows!$F$2:$F$400,MATCH(ROWS($A$48:$A50),Flows!$Z$2:$Z$400,0)))</f>
        <v>4</v>
      </c>
      <c r="G50" s="6" t="str">
        <f aca="false">IF($C50="","",INDEX(Flows!$T$2:$T$400,MATCH(ROWS($A$48:$A50),Flows!$Z$2:$Z$400,0)))</f>
        <v>covered</v>
      </c>
      <c r="H50" s="6"/>
      <c r="I50" s="6" t="str">
        <f aca="false">IF($C50="","","add second producer, or a system-of-record carrier")</f>
        <v>add second producer, or a system-of-record carrier</v>
      </c>
      <c r="J50" s="6"/>
    </row>
    <row r="51" customFormat="false" ht="15" hidden="false" customHeight="true" outlineLevel="0" collapsed="false">
      <c r="A51" s="6"/>
      <c r="B51" s="6" t="str">
        <f aca="false">IFERROR(INDEX(Flows!$L$2:$L$400,MATCH(ROWS($A$48:$A51),Flows!$Z$2:$Z$400,0)),"")</f>
        <v>G2</v>
      </c>
      <c r="C51" s="6" t="str">
        <f aca="false">IFERROR(INDEX(Topics!$B$2:$B$100,MATCH(INDEX(Flows!$C$2:$C$400,MATCH(ROWS($A$48:$A51),Flows!$Z$2:$Z$400,0)),Topics!$A$2:$A$100,0)),"")</f>
        <v>containment_actions</v>
      </c>
      <c r="D51" s="6" t="str">
        <f aca="false">IF($C51="","",IFERROR(INDEX(Stakeholders!$B$2:$B$50,MATCH(INDEX(Flows!$D$2:$D$400,MATCH(ROWS($A$48:$A51),Flows!$Z$2:$Z$400,0)),Stakeholders!$A$2:$A$50,0)),""))</f>
        <v>Frodo Baggins</v>
      </c>
      <c r="E51" s="6" t="str">
        <f aca="false">IF($C51="","",IFERROR(INDEX(Stakeholders!$B$2:$B$50,MATCH(INDEX(Flows!$E$2:$E$400,MATCH(ROWS($A$48:$A51),Flows!$Z$2:$Z$400,0)),Stakeholders!$A$2:$A$50,0)),""))</f>
        <v>Aragorn</v>
      </c>
      <c r="F51" s="6" t="n">
        <f aca="false">IF($C51="","",INDEX(Flows!$F$2:$F$400,MATCH(ROWS($A$48:$A51),Flows!$Z$2:$Z$400,0)))</f>
        <v>5</v>
      </c>
      <c r="G51" s="6" t="str">
        <f aca="false">IF($C51="","",INDEX(Flows!$T$2:$T$400,MATCH(ROWS($A$48:$A51),Flows!$Z$2:$Z$400,0)))</f>
        <v>latency_gap</v>
      </c>
      <c r="H51" s="6"/>
      <c r="I51" s="6" t="str">
        <f aca="false">IF($C51="","","add second producer, or a system-of-record carrier")</f>
        <v>add second producer, or a system-of-record carrier</v>
      </c>
      <c r="J51" s="6"/>
    </row>
    <row r="52" customFormat="false" ht="15" hidden="false" customHeight="true" outlineLevel="0" collapsed="false">
      <c r="A52" s="6"/>
      <c r="B52" s="6" t="str">
        <f aca="false">IFERROR(INDEX(Flows!$L$2:$L$400,MATCH(ROWS($A$48:$A52),Flows!$Z$2:$Z$400,0)),"")</f>
        <v>G2</v>
      </c>
      <c r="C52" s="6" t="str">
        <f aca="false">IFERROR(INDEX(Topics!$B$2:$B$100,MATCH(INDEX(Flows!$C$2:$C$400,MATCH(ROWS($A$48:$A52),Flows!$Z$2:$Z$400,0)),Topics!$A$2:$A$100,0)),"")</f>
        <v>containment_actions</v>
      </c>
      <c r="D52" s="6" t="str">
        <f aca="false">IF($C52="","",IFERROR(INDEX(Stakeholders!$B$2:$B$50,MATCH(INDEX(Flows!$D$2:$D$400,MATCH(ROWS($A$48:$A52),Flows!$Z$2:$Z$400,0)),Stakeholders!$A$2:$A$50,0)),""))</f>
        <v>Frodo Baggins</v>
      </c>
      <c r="E52" s="6" t="str">
        <f aca="false">IF($C52="","",IFERROR(INDEX(Stakeholders!$B$2:$B$50,MATCH(INDEX(Flows!$E$2:$E$400,MATCH(ROWS($A$48:$A52),Flows!$Z$2:$Z$400,0)),Stakeholders!$A$2:$A$50,0)),""))</f>
        <v>Gimli</v>
      </c>
      <c r="F52" s="6" t="n">
        <f aca="false">IF($C52="","",INDEX(Flows!$F$2:$F$400,MATCH(ROWS($A$48:$A52),Flows!$Z$2:$Z$400,0)))</f>
        <v>5</v>
      </c>
      <c r="G52" s="6" t="str">
        <f aca="false">IF($C52="","",INDEX(Flows!$T$2:$T$400,MATCH(ROWS($A$48:$A52),Flows!$Z$2:$Z$400,0)))</f>
        <v>channel_mismatch</v>
      </c>
      <c r="H52" s="6"/>
      <c r="I52" s="6" t="str">
        <f aca="false">IF($C52="","","add second producer, or a system-of-record carrier")</f>
        <v>add second producer, or a system-of-record carrier</v>
      </c>
      <c r="J52" s="6"/>
    </row>
    <row r="53" customFormat="false" ht="15" hidden="false" customHeight="true" outlineLevel="0" collapsed="false">
      <c r="A53" s="6"/>
      <c r="B53" s="6" t="str">
        <f aca="false">IFERROR(INDEX(Flows!$L$2:$L$400,MATCH(ROWS($A$48:$A53),Flows!$Z$2:$Z$400,0)),"")</f>
        <v>G4</v>
      </c>
      <c r="C53" s="6" t="str">
        <f aca="false">IFERROR(INDEX(Topics!$B$2:$B$100,MATCH(INDEX(Flows!$C$2:$C$400,MATCH(ROWS($A$48:$A53),Flows!$Z$2:$Z$400,0)),Topics!$A$2:$A$100,0)),"")</f>
        <v>audit_readiness</v>
      </c>
      <c r="D53" s="6" t="str">
        <f aca="false">IF($C53="","",IFERROR(INDEX(Stakeholders!$B$2:$B$50,MATCH(INDEX(Flows!$D$2:$D$400,MATCH(ROWS($A$48:$A53),Flows!$Z$2:$Z$400,0)),Stakeholders!$A$2:$A$50,0)),""))</f>
        <v>C-3PO</v>
      </c>
      <c r="E53" s="6" t="str">
        <f aca="false">IF($C53="","",IFERROR(INDEX(Stakeholders!$B$2:$B$50,MATCH(INDEX(Flows!$E$2:$E$400,MATCH(ROWS($A$48:$A53),Flows!$Z$2:$Z$400,0)),Stakeholders!$A$2:$A$50,0)),""))</f>
        <v>Leia Organa</v>
      </c>
      <c r="F53" s="6" t="n">
        <f aca="false">IF($C53="","",INDEX(Flows!$F$2:$F$400,MATCH(ROWS($A$48:$A53),Flows!$Z$2:$Z$400,0)))</f>
        <v>4</v>
      </c>
      <c r="G53" s="6" t="str">
        <f aca="false">IF($C53="","",INDEX(Flows!$T$2:$T$400,MATCH(ROWS($A$48:$A53),Flows!$Z$2:$Z$400,0)))</f>
        <v>covered</v>
      </c>
      <c r="H53" s="6"/>
      <c r="I53" s="6" t="str">
        <f aca="false">IF($C53="","","add second producer, or a system-of-record carrier")</f>
        <v>add second producer, or a system-of-record carrier</v>
      </c>
      <c r="J53" s="6"/>
    </row>
    <row r="55" customFormat="false" ht="15" hidden="false" customHeight="true" outlineLevel="0" collapsed="false">
      <c r="A55" s="17" t="s">
        <v>74</v>
      </c>
    </row>
  </sheetData>
  <mergeCells count="7">
    <mergeCell ref="B8:C8"/>
    <mergeCell ref="B9:C9"/>
    <mergeCell ref="B10:C10"/>
    <mergeCell ref="B11:C11"/>
    <mergeCell ref="B12:C12"/>
    <mergeCell ref="B13:C13"/>
    <mergeCell ref="B14:C14"/>
  </mergeCells>
  <conditionalFormatting sqref="F9:F14">
    <cfRule type="expression" priority="2" aboveAverage="0" equalAverage="0" bottom="0" percent="0" rank="0" text="" dxfId="5">
      <formula>AND(ISNUMBER(F9),F9&gt;0)</formula>
    </cfRule>
  </conditionalFormatting>
  <conditionalFormatting sqref="G9:G14">
    <cfRule type="expression" priority="3" aboveAverage="0" equalAverage="0" bottom="0" percent="0" rank="0" text="" dxfId="5">
      <formula>AND(ISNUMBER(G9),G9&gt;0)</formula>
    </cfRule>
  </conditionalFormatting>
  <conditionalFormatting sqref="H9:H14">
    <cfRule type="expression" priority="4" aboveAverage="0" equalAverage="0" bottom="0" percent="0" rank="0" text="" dxfId="6">
      <formula>AND(ISNUMBER(H9),H9&gt;0)</formula>
    </cfRule>
  </conditionalFormatting>
  <conditionalFormatting sqref="G18:G25">
    <cfRule type="cellIs" priority="5" operator="equal" aboveAverage="0" equalAverage="0" bottom="0" percent="0" rank="0" text="" dxfId="0">
      <formula>"missing"</formula>
    </cfRule>
    <cfRule type="cellIs" priority="6" operator="equal" aboveAverage="0" equalAverage="0" bottom="0" percent="0" rank="0" text="" dxfId="1">
      <formula>"wrong_producer"</formula>
    </cfRule>
    <cfRule type="cellIs" priority="7" operator="equal" aboveAverage="0" equalAverage="0" bottom="0" percent="0" rank="0" text="" dxfId="1">
      <formula>"latency_gap"</formula>
    </cfRule>
    <cfRule type="cellIs" priority="8" operator="equal" aboveAverage="0" equalAverage="0" bottom="0" percent="0" rank="0" text="" dxfId="2">
      <formula>"channel_mismatch"</formula>
    </cfRule>
  </conditionalFormatting>
  <conditionalFormatting sqref="D41:D44">
    <cfRule type="cellIs" priority="9" operator="notEqual" aboveAverage="0" equalAverage="0" bottom="0" percent="0" rank="0" text="" dxfId="0">
      <formula>""</formula>
    </cfRule>
  </conditionalFormatting>
  <hyperlinks>
    <hyperlink ref="A7" r:id="rId1" location="GoalLens!B3" display="BY GOAL — where each goal stands (all findings below roll up to these rows)   → open"/>
    <hyperlink ref="A16" r:id="rId2" location="Flows!A1" display="TOP DEFECTS — required flows, ranked by priority (criticality × status weight)   → open"/>
    <hyperlink ref="A27" r:id="rId3" location="Alignment!A1" display="ALIGNMENT THEATER — meetings claiming a goal they do nothing for   → open"/>
    <hyperlink ref="A34" r:id="rId4" location="Alignment!A1" display="UNCLAIMED CONTRIBUTORS — real dependency, missing paperwork (update goal_ids)   → open"/>
    <hyperlink ref="A39" r:id="rId5" location="Decisions!A1" display="DECISION DEFECTS — rights on paper vs where deciding actually happens   → open"/>
    <hyperlink ref="A46" r:id="rId6" location="Flows!A1" display="SINGLE-CARRIER RISKS — critical flows with one source and no system of record   → 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5CAB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22"/>
  </cols>
  <sheetData>
    <row r="1" customFormat="false" ht="15.75" hidden="false" customHeight="true" outlineLevel="0" collapsed="false">
      <c r="A1" s="16" t="s">
        <v>75</v>
      </c>
    </row>
    <row r="3" customFormat="false" ht="15" hidden="false" customHeight="true" outlineLevel="0" collapsed="false">
      <c r="A3" s="22" t="s">
        <v>76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</row>
    <row r="4" customFormat="false" ht="24" hidden="false" customHeight="true" outlineLevel="0" collapsed="false">
      <c r="A4" s="23" t="s">
        <v>77</v>
      </c>
      <c r="B4" s="24" t="str">
        <f aca="false">IF(COUNTIFS(Flows!$B$2:$B$400,"required",Flows!$W$2:$W$400,$A4,Flows!$X$2:$X$400,B$3)=0,"—",TEXT(COUNTIFS(Flows!$B$2:$B$400,"required",Flows!$W$2:$W$400,$A4,Flows!$X$2:$X$400,B$3),"0")&amp;" req · "&amp;TEXT(COUNTIFS(Flows!$B$2:$B$400,"required",Flows!$W$2:$W$400,$A4,Flows!$X$2:$X$400,B$3,Flows!$T$2:$T$400,"covered"),"0")&amp;" ok"&amp;IF(COUNTIFS(Flows!$B$2:$B$400,"required",Flows!$W$2:$W$400,$A4,Flows!$X$2:$X$400,B$3)-COUNTIFS(Flows!$B$2:$B$400,"required",Flows!$W$2:$W$400,$A4,Flows!$X$2:$X$400,B$3,Flows!$T$2:$T$400,"covered")&gt;0," · "&amp;TEXT(COUNTIFS(Flows!$B$2:$B$400,"required",Flows!$W$2:$W$400,$A4,Flows!$X$2:$X$400,B$3)-COUNTIFS(Flows!$B$2:$B$400,"required",Flows!$W$2:$W$400,$A4,Flows!$X$2:$X$400,B$3,Flows!$T$2:$T$400,"covered"),"0")&amp;" DEFECT",""))</f>
        <v>—</v>
      </c>
      <c r="C4" s="24" t="str">
        <f aca="false">IF(COUNTIFS(Flows!$B$2:$B$400,"required",Flows!$W$2:$W$400,$A4,Flows!$X$2:$X$400,C$3)=0,"—",TEXT(COUNTIFS(Flows!$B$2:$B$400,"required",Flows!$W$2:$W$400,$A4,Flows!$X$2:$X$400,C$3),"0")&amp;" req · "&amp;TEXT(COUNTIFS(Flows!$B$2:$B$400,"required",Flows!$W$2:$W$400,$A4,Flows!$X$2:$X$400,C$3,Flows!$T$2:$T$400,"covered"),"0")&amp;" ok"&amp;IF(COUNTIFS(Flows!$B$2:$B$400,"required",Flows!$W$2:$W$400,$A4,Flows!$X$2:$X$400,C$3)-COUNTIFS(Flows!$B$2:$B$400,"required",Flows!$W$2:$W$400,$A4,Flows!$X$2:$X$400,C$3,Flows!$T$2:$T$400,"covered")&gt;0," · "&amp;TEXT(COUNTIFS(Flows!$B$2:$B$400,"required",Flows!$W$2:$W$400,$A4,Flows!$X$2:$X$400,C$3)-COUNTIFS(Flows!$B$2:$B$400,"required",Flows!$W$2:$W$400,$A4,Flows!$X$2:$X$400,C$3,Flows!$T$2:$T$400,"covered"),"0")&amp;" DEFECT",""))</f>
        <v>1 req · 0 ok · 1 DEFECT</v>
      </c>
      <c r="D4" s="24" t="str">
        <f aca="false">IF(COUNTIFS(Flows!$B$2:$B$400,"required",Flows!$W$2:$W$400,$A4,Flows!$X$2:$X$400,D$3)=0,"—",TEXT(COUNTIFS(Flows!$B$2:$B$400,"required",Flows!$W$2:$W$400,$A4,Flows!$X$2:$X$400,D$3),"0")&amp;" req · "&amp;TEXT(COUNTIFS(Flows!$B$2:$B$400,"required",Flows!$W$2:$W$400,$A4,Flows!$X$2:$X$400,D$3,Flows!$T$2:$T$400,"covered"),"0")&amp;" ok"&amp;IF(COUNTIFS(Flows!$B$2:$B$400,"required",Flows!$W$2:$W$400,$A4,Flows!$X$2:$X$400,D$3)-COUNTIFS(Flows!$B$2:$B$400,"required",Flows!$W$2:$W$400,$A4,Flows!$X$2:$X$400,D$3,Flows!$T$2:$T$400,"covered")&gt;0," · "&amp;TEXT(COUNTIFS(Flows!$B$2:$B$400,"required",Flows!$W$2:$W$400,$A4,Flows!$X$2:$X$400,D$3)-COUNTIFS(Flows!$B$2:$B$400,"required",Flows!$W$2:$W$400,$A4,Flows!$X$2:$X$400,D$3,Flows!$T$2:$T$400,"covered"),"0")&amp;" DEFECT",""))</f>
        <v>—</v>
      </c>
      <c r="E4" s="24" t="str">
        <f aca="false">IF(COUNTIFS(Flows!$B$2:$B$400,"required",Flows!$W$2:$W$400,$A4,Flows!$X$2:$X$400,E$3)=0,"—",TEXT(COUNTIFS(Flows!$B$2:$B$400,"required",Flows!$W$2:$W$400,$A4,Flows!$X$2:$X$400,E$3),"0")&amp;" req · "&amp;TEXT(COUNTIFS(Flows!$B$2:$B$400,"required",Flows!$W$2:$W$400,$A4,Flows!$X$2:$X$400,E$3,Flows!$T$2:$T$400,"covered"),"0")&amp;" ok"&amp;IF(COUNTIFS(Flows!$B$2:$B$400,"required",Flows!$W$2:$W$400,$A4,Flows!$X$2:$X$400,E$3)-COUNTIFS(Flows!$B$2:$B$400,"required",Flows!$W$2:$W$400,$A4,Flows!$X$2:$X$400,E$3,Flows!$T$2:$T$400,"covered")&gt;0," · "&amp;TEXT(COUNTIFS(Flows!$B$2:$B$400,"required",Flows!$W$2:$W$400,$A4,Flows!$X$2:$X$400,E$3)-COUNTIFS(Flows!$B$2:$B$400,"required",Flows!$W$2:$W$400,$A4,Flows!$X$2:$X$400,E$3,Flows!$T$2:$T$400,"covered"),"0")&amp;" DEFECT",""))</f>
        <v>—</v>
      </c>
      <c r="F4" s="24" t="str">
        <f aca="false">IF(COUNTIFS(Flows!$B$2:$B$400,"required",Flows!$W$2:$W$400,$A4,Flows!$X$2:$X$400,F$3)=0,"—",TEXT(COUNTIFS(Flows!$B$2:$B$400,"required",Flows!$W$2:$W$400,$A4,Flows!$X$2:$X$400,F$3),"0")&amp;" req · "&amp;TEXT(COUNTIFS(Flows!$B$2:$B$400,"required",Flows!$W$2:$W$400,$A4,Flows!$X$2:$X$400,F$3,Flows!$T$2:$T$400,"covered"),"0")&amp;" ok"&amp;IF(COUNTIFS(Flows!$B$2:$B$400,"required",Flows!$W$2:$W$400,$A4,Flows!$X$2:$X$400,F$3)-COUNTIFS(Flows!$B$2:$B$400,"required",Flows!$W$2:$W$400,$A4,Flows!$X$2:$X$400,F$3,Flows!$T$2:$T$400,"covered")&gt;0," · "&amp;TEXT(COUNTIFS(Flows!$B$2:$B$400,"required",Flows!$W$2:$W$400,$A4,Flows!$X$2:$X$400,F$3)-COUNTIFS(Flows!$B$2:$B$400,"required",Flows!$W$2:$W$400,$A4,Flows!$X$2:$X$400,F$3,Flows!$T$2:$T$400,"covered"),"0")&amp;" DEFECT",""))</f>
        <v>—</v>
      </c>
    </row>
    <row r="5" customFormat="false" ht="24" hidden="false" customHeight="true" outlineLevel="0" collapsed="false">
      <c r="A5" s="23" t="s">
        <v>78</v>
      </c>
      <c r="B5" s="24" t="str">
        <f aca="false">IF(COUNTIFS(Flows!$B$2:$B$400,"required",Flows!$W$2:$W$400,$A5,Flows!$X$2:$X$400,B$3)=0,"—",TEXT(COUNTIFS(Flows!$B$2:$B$400,"required",Flows!$W$2:$W$400,$A5,Flows!$X$2:$X$400,B$3),"0")&amp;" req · "&amp;TEXT(COUNTIFS(Flows!$B$2:$B$400,"required",Flows!$W$2:$W$400,$A5,Flows!$X$2:$X$400,B$3,Flows!$T$2:$T$400,"covered"),"0")&amp;" ok"&amp;IF(COUNTIFS(Flows!$B$2:$B$400,"required",Flows!$W$2:$W$400,$A5,Flows!$X$2:$X$400,B$3)-COUNTIFS(Flows!$B$2:$B$400,"required",Flows!$W$2:$W$400,$A5,Flows!$X$2:$X$400,B$3,Flows!$T$2:$T$400,"covered")&gt;0," · "&amp;TEXT(COUNTIFS(Flows!$B$2:$B$400,"required",Flows!$W$2:$W$400,$A5,Flows!$X$2:$X$400,B$3)-COUNTIFS(Flows!$B$2:$B$400,"required",Flows!$W$2:$W$400,$A5,Flows!$X$2:$X$400,B$3,Flows!$T$2:$T$400,"covered"),"0")&amp;" DEFECT",""))</f>
        <v>—</v>
      </c>
      <c r="C5" s="24" t="str">
        <f aca="false">IF(COUNTIFS(Flows!$B$2:$B$400,"required",Flows!$W$2:$W$400,$A5,Flows!$X$2:$X$400,C$3)=0,"—",TEXT(COUNTIFS(Flows!$B$2:$B$400,"required",Flows!$W$2:$W$400,$A5,Flows!$X$2:$X$400,C$3),"0")&amp;" req · "&amp;TEXT(COUNTIFS(Flows!$B$2:$B$400,"required",Flows!$W$2:$W$400,$A5,Flows!$X$2:$X$400,C$3,Flows!$T$2:$T$400,"covered"),"0")&amp;" ok"&amp;IF(COUNTIFS(Flows!$B$2:$B$400,"required",Flows!$W$2:$W$400,$A5,Flows!$X$2:$X$400,C$3)-COUNTIFS(Flows!$B$2:$B$400,"required",Flows!$W$2:$W$400,$A5,Flows!$X$2:$X$400,C$3,Flows!$T$2:$T$400,"covered")&gt;0," · "&amp;TEXT(COUNTIFS(Flows!$B$2:$B$400,"required",Flows!$W$2:$W$400,$A5,Flows!$X$2:$X$400,C$3)-COUNTIFS(Flows!$B$2:$B$400,"required",Flows!$W$2:$W$400,$A5,Flows!$X$2:$X$400,C$3,Flows!$T$2:$T$400,"covered"),"0")&amp;" DEFECT",""))</f>
        <v>6 req · 4 ok · 2 DEFECT</v>
      </c>
      <c r="D5" s="24" t="str">
        <f aca="false">IF(COUNTIFS(Flows!$B$2:$B$400,"required",Flows!$W$2:$W$400,$A5,Flows!$X$2:$X$400,D$3)=0,"—",TEXT(COUNTIFS(Flows!$B$2:$B$400,"required",Flows!$W$2:$W$400,$A5,Flows!$X$2:$X$400,D$3),"0")&amp;" req · "&amp;TEXT(COUNTIFS(Flows!$B$2:$B$400,"required",Flows!$W$2:$W$400,$A5,Flows!$X$2:$X$400,D$3,Flows!$T$2:$T$400,"covered"),"0")&amp;" ok"&amp;IF(COUNTIFS(Flows!$B$2:$B$400,"required",Flows!$W$2:$W$400,$A5,Flows!$X$2:$X$400,D$3)-COUNTIFS(Flows!$B$2:$B$400,"required",Flows!$W$2:$W$400,$A5,Flows!$X$2:$X$400,D$3,Flows!$T$2:$T$400,"covered")&gt;0," · "&amp;TEXT(COUNTIFS(Flows!$B$2:$B$400,"required",Flows!$W$2:$W$400,$A5,Flows!$X$2:$X$400,D$3)-COUNTIFS(Flows!$B$2:$B$400,"required",Flows!$W$2:$W$400,$A5,Flows!$X$2:$X$400,D$3,Flows!$T$2:$T$400,"covered"),"0")&amp;" DEFECT",""))</f>
        <v>3 req · 0 ok · 3 DEFECT</v>
      </c>
      <c r="E5" s="24" t="str">
        <f aca="false">IF(COUNTIFS(Flows!$B$2:$B$400,"required",Flows!$W$2:$W$400,$A5,Flows!$X$2:$X$400,E$3)=0,"—",TEXT(COUNTIFS(Flows!$B$2:$B$400,"required",Flows!$W$2:$W$400,$A5,Flows!$X$2:$X$400,E$3),"0")&amp;" req · "&amp;TEXT(COUNTIFS(Flows!$B$2:$B$400,"required",Flows!$W$2:$W$400,$A5,Flows!$X$2:$X$400,E$3,Flows!$T$2:$T$400,"covered"),"0")&amp;" ok"&amp;IF(COUNTIFS(Flows!$B$2:$B$400,"required",Flows!$W$2:$W$400,$A5,Flows!$X$2:$X$400,E$3)-COUNTIFS(Flows!$B$2:$B$400,"required",Flows!$W$2:$W$400,$A5,Flows!$X$2:$X$400,E$3,Flows!$T$2:$T$400,"covered")&gt;0," · "&amp;TEXT(COUNTIFS(Flows!$B$2:$B$400,"required",Flows!$W$2:$W$400,$A5,Flows!$X$2:$X$400,E$3)-COUNTIFS(Flows!$B$2:$B$400,"required",Flows!$W$2:$W$400,$A5,Flows!$X$2:$X$400,E$3,Flows!$T$2:$T$400,"covered"),"0")&amp;" DEFECT",""))</f>
        <v>3 req · 2 ok · 1 DEFECT</v>
      </c>
      <c r="F5" s="24" t="str">
        <f aca="false">IF(COUNTIFS(Flows!$B$2:$B$400,"required",Flows!$W$2:$W$400,$A5,Flows!$X$2:$X$400,F$3)=0,"—",TEXT(COUNTIFS(Flows!$B$2:$B$400,"required",Flows!$W$2:$W$400,$A5,Flows!$X$2:$X$400,F$3),"0")&amp;" req · "&amp;TEXT(COUNTIFS(Flows!$B$2:$B$400,"required",Flows!$W$2:$W$400,$A5,Flows!$X$2:$X$400,F$3,Flows!$T$2:$T$400,"covered"),"0")&amp;" ok"&amp;IF(COUNTIFS(Flows!$B$2:$B$400,"required",Flows!$W$2:$W$400,$A5,Flows!$X$2:$X$400,F$3)-COUNTIFS(Flows!$B$2:$B$400,"required",Flows!$W$2:$W$400,$A5,Flows!$X$2:$X$400,F$3,Flows!$T$2:$T$400,"covered")&gt;0," · "&amp;TEXT(COUNTIFS(Flows!$B$2:$B$400,"required",Flows!$W$2:$W$400,$A5,Flows!$X$2:$X$400,F$3)-COUNTIFS(Flows!$B$2:$B$400,"required",Flows!$W$2:$W$400,$A5,Flows!$X$2:$X$400,F$3,Flows!$T$2:$T$400,"covered"),"0")&amp;" DEFECT",""))</f>
        <v>1 req · 1 ok</v>
      </c>
    </row>
    <row r="6" customFormat="false" ht="24" hidden="false" customHeight="true" outlineLevel="0" collapsed="false">
      <c r="A6" s="23" t="s">
        <v>79</v>
      </c>
      <c r="B6" s="24" t="str">
        <f aca="false">IF(COUNTIFS(Flows!$B$2:$B$400,"required",Flows!$W$2:$W$400,$A6,Flows!$X$2:$X$400,B$3)=0,"—",TEXT(COUNTIFS(Flows!$B$2:$B$400,"required",Flows!$W$2:$W$400,$A6,Flows!$X$2:$X$400,B$3),"0")&amp;" req · "&amp;TEXT(COUNTIFS(Flows!$B$2:$B$400,"required",Flows!$W$2:$W$400,$A6,Flows!$X$2:$X$400,B$3,Flows!$T$2:$T$400,"covered"),"0")&amp;" ok"&amp;IF(COUNTIFS(Flows!$B$2:$B$400,"required",Flows!$W$2:$W$400,$A6,Flows!$X$2:$X$400,B$3)-COUNTIFS(Flows!$B$2:$B$400,"required",Flows!$W$2:$W$400,$A6,Flows!$X$2:$X$400,B$3,Flows!$T$2:$T$400,"covered")&gt;0," · "&amp;TEXT(COUNTIFS(Flows!$B$2:$B$400,"required",Flows!$W$2:$W$400,$A6,Flows!$X$2:$X$400,B$3)-COUNTIFS(Flows!$B$2:$B$400,"required",Flows!$W$2:$W$400,$A6,Flows!$X$2:$X$400,B$3,Flows!$T$2:$T$400,"covered"),"0")&amp;" DEFECT",""))</f>
        <v>—</v>
      </c>
      <c r="C6" s="24" t="str">
        <f aca="false">IF(COUNTIFS(Flows!$B$2:$B$400,"required",Flows!$W$2:$W$400,$A6,Flows!$X$2:$X$400,C$3)=0,"—",TEXT(COUNTIFS(Flows!$B$2:$B$400,"required",Flows!$W$2:$W$400,$A6,Flows!$X$2:$X$400,C$3),"0")&amp;" req · "&amp;TEXT(COUNTIFS(Flows!$B$2:$B$400,"required",Flows!$W$2:$W$400,$A6,Flows!$X$2:$X$400,C$3,Flows!$T$2:$T$400,"covered"),"0")&amp;" ok"&amp;IF(COUNTIFS(Flows!$B$2:$B$400,"required",Flows!$W$2:$W$400,$A6,Flows!$X$2:$X$400,C$3)-COUNTIFS(Flows!$B$2:$B$400,"required",Flows!$W$2:$W$400,$A6,Flows!$X$2:$X$400,C$3,Flows!$T$2:$T$400,"covered")&gt;0," · "&amp;TEXT(COUNTIFS(Flows!$B$2:$B$400,"required",Flows!$W$2:$W$400,$A6,Flows!$X$2:$X$400,C$3)-COUNTIFS(Flows!$B$2:$B$400,"required",Flows!$W$2:$W$400,$A6,Flows!$X$2:$X$400,C$3,Flows!$T$2:$T$400,"covered"),"0")&amp;" DEFECT",""))</f>
        <v>1 req · 1 ok</v>
      </c>
      <c r="D6" s="24" t="str">
        <f aca="false">IF(COUNTIFS(Flows!$B$2:$B$400,"required",Flows!$W$2:$W$400,$A6,Flows!$X$2:$X$400,D$3)=0,"—",TEXT(COUNTIFS(Flows!$B$2:$B$400,"required",Flows!$W$2:$W$400,$A6,Flows!$X$2:$X$400,D$3),"0")&amp;" req · "&amp;TEXT(COUNTIFS(Flows!$B$2:$B$400,"required",Flows!$W$2:$W$400,$A6,Flows!$X$2:$X$400,D$3,Flows!$T$2:$T$400,"covered"),"0")&amp;" ok"&amp;IF(COUNTIFS(Flows!$B$2:$B$400,"required",Flows!$W$2:$W$400,$A6,Flows!$X$2:$X$400,D$3)-COUNTIFS(Flows!$B$2:$B$400,"required",Flows!$W$2:$W$400,$A6,Flows!$X$2:$X$400,D$3,Flows!$T$2:$T$400,"covered")&gt;0," · "&amp;TEXT(COUNTIFS(Flows!$B$2:$B$400,"required",Flows!$W$2:$W$400,$A6,Flows!$X$2:$X$400,D$3)-COUNTIFS(Flows!$B$2:$B$400,"required",Flows!$W$2:$W$400,$A6,Flows!$X$2:$X$400,D$3,Flows!$T$2:$T$400,"covered"),"0")&amp;" DEFECT",""))</f>
        <v>—</v>
      </c>
      <c r="E6" s="24" t="str">
        <f aca="false">IF(COUNTIFS(Flows!$B$2:$B$400,"required",Flows!$W$2:$W$400,$A6,Flows!$X$2:$X$400,E$3)=0,"—",TEXT(COUNTIFS(Flows!$B$2:$B$400,"required",Flows!$W$2:$W$400,$A6,Flows!$X$2:$X$400,E$3),"0")&amp;" req · "&amp;TEXT(COUNTIFS(Flows!$B$2:$B$400,"required",Flows!$W$2:$W$400,$A6,Flows!$X$2:$X$400,E$3,Flows!$T$2:$T$400,"covered"),"0")&amp;" ok"&amp;IF(COUNTIFS(Flows!$B$2:$B$400,"required",Flows!$W$2:$W$400,$A6,Flows!$X$2:$X$400,E$3)-COUNTIFS(Flows!$B$2:$B$400,"required",Flows!$W$2:$W$400,$A6,Flows!$X$2:$X$400,E$3,Flows!$T$2:$T$400,"covered")&gt;0," · "&amp;TEXT(COUNTIFS(Flows!$B$2:$B$400,"required",Flows!$W$2:$W$400,$A6,Flows!$X$2:$X$400,E$3)-COUNTIFS(Flows!$B$2:$B$400,"required",Flows!$W$2:$W$400,$A6,Flows!$X$2:$X$400,E$3,Flows!$T$2:$T$400,"covered"),"0")&amp;" DEFECT",""))</f>
        <v>—</v>
      </c>
      <c r="F6" s="24" t="str">
        <f aca="false">IF(COUNTIFS(Flows!$B$2:$B$400,"required",Flows!$W$2:$W$400,$A6,Flows!$X$2:$X$400,F$3)=0,"—",TEXT(COUNTIFS(Flows!$B$2:$B$400,"required",Flows!$W$2:$W$400,$A6,Flows!$X$2:$X$400,F$3),"0")&amp;" req · "&amp;TEXT(COUNTIFS(Flows!$B$2:$B$400,"required",Flows!$W$2:$W$400,$A6,Flows!$X$2:$X$400,F$3,Flows!$T$2:$T$400,"covered"),"0")&amp;" ok"&amp;IF(COUNTIFS(Flows!$B$2:$B$400,"required",Flows!$W$2:$W$400,$A6,Flows!$X$2:$X$400,F$3)-COUNTIFS(Flows!$B$2:$B$400,"required",Flows!$W$2:$W$400,$A6,Flows!$X$2:$X$400,F$3,Flows!$T$2:$T$400,"covered")&gt;0," · "&amp;TEXT(COUNTIFS(Flows!$B$2:$B$400,"required",Flows!$W$2:$W$400,$A6,Flows!$X$2:$X$400,F$3)-COUNTIFS(Flows!$B$2:$B$400,"required",Flows!$W$2:$W$400,$A6,Flows!$X$2:$X$400,F$3,Flows!$T$2:$T$400,"covered"),"0")&amp;" DEFECT",""))</f>
        <v>—</v>
      </c>
    </row>
    <row r="7" customFormat="false" ht="24" hidden="false" customHeight="true" outlineLevel="0" collapsed="false">
      <c r="A7" s="23" t="s">
        <v>80</v>
      </c>
      <c r="B7" s="24" t="str">
        <f aca="false">IF(COUNTIFS(Flows!$B$2:$B$400,"required",Flows!$W$2:$W$400,$A7,Flows!$X$2:$X$400,B$3)=0,"—",TEXT(COUNTIFS(Flows!$B$2:$B$400,"required",Flows!$W$2:$W$400,$A7,Flows!$X$2:$X$400,B$3),"0")&amp;" req · "&amp;TEXT(COUNTIFS(Flows!$B$2:$B$400,"required",Flows!$W$2:$W$400,$A7,Flows!$X$2:$X$400,B$3,Flows!$T$2:$T$400,"covered"),"0")&amp;" ok"&amp;IF(COUNTIFS(Flows!$B$2:$B$400,"required",Flows!$W$2:$W$400,$A7,Flows!$X$2:$X$400,B$3)-COUNTIFS(Flows!$B$2:$B$400,"required",Flows!$W$2:$W$400,$A7,Flows!$X$2:$X$400,B$3,Flows!$T$2:$T$400,"covered")&gt;0," · "&amp;TEXT(COUNTIFS(Flows!$B$2:$B$400,"required",Flows!$W$2:$W$400,$A7,Flows!$X$2:$X$400,B$3)-COUNTIFS(Flows!$B$2:$B$400,"required",Flows!$W$2:$W$400,$A7,Flows!$X$2:$X$400,B$3,Flows!$T$2:$T$400,"covered"),"0")&amp;" DEFECT",""))</f>
        <v>—</v>
      </c>
      <c r="C7" s="24" t="str">
        <f aca="false">IF(COUNTIFS(Flows!$B$2:$B$400,"required",Flows!$W$2:$W$400,$A7,Flows!$X$2:$X$400,C$3)=0,"—",TEXT(COUNTIFS(Flows!$B$2:$B$400,"required",Flows!$W$2:$W$400,$A7,Flows!$X$2:$X$400,C$3),"0")&amp;" req · "&amp;TEXT(COUNTIFS(Flows!$B$2:$B$400,"required",Flows!$W$2:$W$400,$A7,Flows!$X$2:$X$400,C$3,Flows!$T$2:$T$400,"covered"),"0")&amp;" ok"&amp;IF(COUNTIFS(Flows!$B$2:$B$400,"required",Flows!$W$2:$W$400,$A7,Flows!$X$2:$X$400,C$3)-COUNTIFS(Flows!$B$2:$B$400,"required",Flows!$W$2:$W$400,$A7,Flows!$X$2:$X$400,C$3,Flows!$T$2:$T$400,"covered")&gt;0," · "&amp;TEXT(COUNTIFS(Flows!$B$2:$B$400,"required",Flows!$W$2:$W$400,$A7,Flows!$X$2:$X$400,C$3)-COUNTIFS(Flows!$B$2:$B$400,"required",Flows!$W$2:$W$400,$A7,Flows!$X$2:$X$400,C$3,Flows!$T$2:$T$400,"covered"),"0")&amp;" DEFECT",""))</f>
        <v>—</v>
      </c>
      <c r="D7" s="24" t="str">
        <f aca="false">IF(COUNTIFS(Flows!$B$2:$B$400,"required",Flows!$W$2:$W$400,$A7,Flows!$X$2:$X$400,D$3)=0,"—",TEXT(COUNTIFS(Flows!$B$2:$B$400,"required",Flows!$W$2:$W$400,$A7,Flows!$X$2:$X$400,D$3),"0")&amp;" req · "&amp;TEXT(COUNTIFS(Flows!$B$2:$B$400,"required",Flows!$W$2:$W$400,$A7,Flows!$X$2:$X$400,D$3,Flows!$T$2:$T$400,"covered"),"0")&amp;" ok"&amp;IF(COUNTIFS(Flows!$B$2:$B$400,"required",Flows!$W$2:$W$400,$A7,Flows!$X$2:$X$400,D$3)-COUNTIFS(Flows!$B$2:$B$400,"required",Flows!$W$2:$W$400,$A7,Flows!$X$2:$X$400,D$3,Flows!$T$2:$T$400,"covered")&gt;0," · "&amp;TEXT(COUNTIFS(Flows!$B$2:$B$400,"required",Flows!$W$2:$W$400,$A7,Flows!$X$2:$X$400,D$3)-COUNTIFS(Flows!$B$2:$B$400,"required",Flows!$W$2:$W$400,$A7,Flows!$X$2:$X$400,D$3,Flows!$T$2:$T$400,"covered"),"0")&amp;" DEFECT",""))</f>
        <v>1 req · 1 ok</v>
      </c>
      <c r="E7" s="24" t="str">
        <f aca="false">IF(COUNTIFS(Flows!$B$2:$B$400,"required",Flows!$W$2:$W$400,$A7,Flows!$X$2:$X$400,E$3)=0,"—",TEXT(COUNTIFS(Flows!$B$2:$B$400,"required",Flows!$W$2:$W$400,$A7,Flows!$X$2:$X$400,E$3),"0")&amp;" req · "&amp;TEXT(COUNTIFS(Flows!$B$2:$B$400,"required",Flows!$W$2:$W$400,$A7,Flows!$X$2:$X$400,E$3,Flows!$T$2:$T$400,"covered"),"0")&amp;" ok"&amp;IF(COUNTIFS(Flows!$B$2:$B$400,"required",Flows!$W$2:$W$400,$A7,Flows!$X$2:$X$400,E$3)-COUNTIFS(Flows!$B$2:$B$400,"required",Flows!$W$2:$W$400,$A7,Flows!$X$2:$X$400,E$3,Flows!$T$2:$T$400,"covered")&gt;0," · "&amp;TEXT(COUNTIFS(Flows!$B$2:$B$400,"required",Flows!$W$2:$W$400,$A7,Flows!$X$2:$X$400,E$3)-COUNTIFS(Flows!$B$2:$B$400,"required",Flows!$W$2:$W$400,$A7,Flows!$X$2:$X$400,E$3,Flows!$T$2:$T$400,"covered"),"0")&amp;" DEFECT",""))</f>
        <v>—</v>
      </c>
      <c r="F7" s="24" t="str">
        <f aca="false">IF(COUNTIFS(Flows!$B$2:$B$400,"required",Flows!$W$2:$W$400,$A7,Flows!$X$2:$X$400,F$3)=0,"—",TEXT(COUNTIFS(Flows!$B$2:$B$400,"required",Flows!$W$2:$W$400,$A7,Flows!$X$2:$X$400,F$3),"0")&amp;" req · "&amp;TEXT(COUNTIFS(Flows!$B$2:$B$400,"required",Flows!$W$2:$W$400,$A7,Flows!$X$2:$X$400,F$3,Flows!$T$2:$T$400,"covered"),"0")&amp;" ok"&amp;IF(COUNTIFS(Flows!$B$2:$B$400,"required",Flows!$W$2:$W$400,$A7,Flows!$X$2:$X$400,F$3)-COUNTIFS(Flows!$B$2:$B$400,"required",Flows!$W$2:$W$400,$A7,Flows!$X$2:$X$400,F$3,Flows!$T$2:$T$400,"covered")&gt;0," · "&amp;TEXT(COUNTIFS(Flows!$B$2:$B$400,"required",Flows!$W$2:$W$400,$A7,Flows!$X$2:$X$400,F$3)-COUNTIFS(Flows!$B$2:$B$400,"required",Flows!$W$2:$W$400,$A7,Flows!$X$2:$X$400,F$3,Flows!$T$2:$T$400,"covered"),"0")&amp;" DEFECT",""))</f>
        <v>—</v>
      </c>
    </row>
    <row r="8" customFormat="false" ht="24" hidden="false" customHeight="true" outlineLevel="0" collapsed="false">
      <c r="A8" s="23" t="s">
        <v>81</v>
      </c>
      <c r="B8" s="24" t="str">
        <f aca="false">IF(COUNTIFS(Flows!$B$2:$B$400,"required",Flows!$W$2:$W$400,$A8,Flows!$X$2:$X$400,B$3)=0,"—",TEXT(COUNTIFS(Flows!$B$2:$B$400,"required",Flows!$W$2:$W$400,$A8,Flows!$X$2:$X$400,B$3),"0")&amp;" req · "&amp;TEXT(COUNTIFS(Flows!$B$2:$B$400,"required",Flows!$W$2:$W$400,$A8,Flows!$X$2:$X$400,B$3,Flows!$T$2:$T$400,"covered"),"0")&amp;" ok"&amp;IF(COUNTIFS(Flows!$B$2:$B$400,"required",Flows!$W$2:$W$400,$A8,Flows!$X$2:$X$400,B$3)-COUNTIFS(Flows!$B$2:$B$400,"required",Flows!$W$2:$W$400,$A8,Flows!$X$2:$X$400,B$3,Flows!$T$2:$T$400,"covered")&gt;0," · "&amp;TEXT(COUNTIFS(Flows!$B$2:$B$400,"required",Flows!$W$2:$W$400,$A8,Flows!$X$2:$X$400,B$3)-COUNTIFS(Flows!$B$2:$B$400,"required",Flows!$W$2:$W$400,$A8,Flows!$X$2:$X$400,B$3,Flows!$T$2:$T$400,"covered"),"0")&amp;" DEFECT",""))</f>
        <v>—</v>
      </c>
      <c r="C8" s="24" t="str">
        <f aca="false">IF(COUNTIFS(Flows!$B$2:$B$400,"required",Flows!$W$2:$W$400,$A8,Flows!$X$2:$X$400,C$3)=0,"—",TEXT(COUNTIFS(Flows!$B$2:$B$400,"required",Flows!$W$2:$W$400,$A8,Flows!$X$2:$X$400,C$3),"0")&amp;" req · "&amp;TEXT(COUNTIFS(Flows!$B$2:$B$400,"required",Flows!$W$2:$W$400,$A8,Flows!$X$2:$X$400,C$3,Flows!$T$2:$T$400,"covered"),"0")&amp;" ok"&amp;IF(COUNTIFS(Flows!$B$2:$B$400,"required",Flows!$W$2:$W$400,$A8,Flows!$X$2:$X$400,C$3)-COUNTIFS(Flows!$B$2:$B$400,"required",Flows!$W$2:$W$400,$A8,Flows!$X$2:$X$400,C$3,Flows!$T$2:$T$400,"covered")&gt;0," · "&amp;TEXT(COUNTIFS(Flows!$B$2:$B$400,"required",Flows!$W$2:$W$400,$A8,Flows!$X$2:$X$400,C$3)-COUNTIFS(Flows!$B$2:$B$400,"required",Flows!$W$2:$W$400,$A8,Flows!$X$2:$X$400,C$3,Flows!$T$2:$T$400,"covered"),"0")&amp;" DEFECT",""))</f>
        <v>1 req · 1 ok</v>
      </c>
      <c r="D8" s="24" t="str">
        <f aca="false">IF(COUNTIFS(Flows!$B$2:$B$400,"required",Flows!$W$2:$W$400,$A8,Flows!$X$2:$X$400,D$3)=0,"—",TEXT(COUNTIFS(Flows!$B$2:$B$400,"required",Flows!$W$2:$W$400,$A8,Flows!$X$2:$X$400,D$3),"0")&amp;" req · "&amp;TEXT(COUNTIFS(Flows!$B$2:$B$400,"required",Flows!$W$2:$W$400,$A8,Flows!$X$2:$X$400,D$3,Flows!$T$2:$T$400,"covered"),"0")&amp;" ok"&amp;IF(COUNTIFS(Flows!$B$2:$B$400,"required",Flows!$W$2:$W$400,$A8,Flows!$X$2:$X$400,D$3)-COUNTIFS(Flows!$B$2:$B$400,"required",Flows!$W$2:$W$400,$A8,Flows!$X$2:$X$400,D$3,Flows!$T$2:$T$400,"covered")&gt;0," · "&amp;TEXT(COUNTIFS(Flows!$B$2:$B$400,"required",Flows!$W$2:$W$400,$A8,Flows!$X$2:$X$400,D$3)-COUNTIFS(Flows!$B$2:$B$400,"required",Flows!$W$2:$W$400,$A8,Flows!$X$2:$X$400,D$3,Flows!$T$2:$T$400,"covered"),"0")&amp;" DEFECT",""))</f>
        <v>—</v>
      </c>
      <c r="E8" s="24" t="str">
        <f aca="false">IF(COUNTIFS(Flows!$B$2:$B$400,"required",Flows!$W$2:$W$400,$A8,Flows!$X$2:$X$400,E$3)=0,"—",TEXT(COUNTIFS(Flows!$B$2:$B$400,"required",Flows!$W$2:$W$400,$A8,Flows!$X$2:$X$400,E$3),"0")&amp;" req · "&amp;TEXT(COUNTIFS(Flows!$B$2:$B$400,"required",Flows!$W$2:$W$400,$A8,Flows!$X$2:$X$400,E$3,Flows!$T$2:$T$400,"covered"),"0")&amp;" ok"&amp;IF(COUNTIFS(Flows!$B$2:$B$400,"required",Flows!$W$2:$W$400,$A8,Flows!$X$2:$X$400,E$3)-COUNTIFS(Flows!$B$2:$B$400,"required",Flows!$W$2:$W$400,$A8,Flows!$X$2:$X$400,E$3,Flows!$T$2:$T$400,"covered")&gt;0," · "&amp;TEXT(COUNTIFS(Flows!$B$2:$B$400,"required",Flows!$W$2:$W$400,$A8,Flows!$X$2:$X$400,E$3)-COUNTIFS(Flows!$B$2:$B$400,"required",Flows!$W$2:$W$400,$A8,Flows!$X$2:$X$400,E$3,Flows!$T$2:$T$400,"covered"),"0")&amp;" DEFECT",""))</f>
        <v>—</v>
      </c>
      <c r="F8" s="24" t="str">
        <f aca="false">IF(COUNTIFS(Flows!$B$2:$B$400,"required",Flows!$W$2:$W$400,$A8,Flows!$X$2:$X$400,F$3)=0,"—",TEXT(COUNTIFS(Flows!$B$2:$B$400,"required",Flows!$W$2:$W$400,$A8,Flows!$X$2:$X$400,F$3),"0")&amp;" req · "&amp;TEXT(COUNTIFS(Flows!$B$2:$B$400,"required",Flows!$W$2:$W$400,$A8,Flows!$X$2:$X$400,F$3,Flows!$T$2:$T$400,"covered"),"0")&amp;" ok"&amp;IF(COUNTIFS(Flows!$B$2:$B$400,"required",Flows!$W$2:$W$400,$A8,Flows!$X$2:$X$400,F$3)-COUNTIFS(Flows!$B$2:$B$400,"required",Flows!$W$2:$W$400,$A8,Flows!$X$2:$X$400,F$3,Flows!$T$2:$T$400,"covered")&gt;0," · "&amp;TEXT(COUNTIFS(Flows!$B$2:$B$400,"required",Flows!$W$2:$W$400,$A8,Flows!$X$2:$X$400,F$3)-COUNTIFS(Flows!$B$2:$B$400,"required",Flows!$W$2:$W$400,$A8,Flows!$X$2:$X$400,F$3,Flows!$T$2:$T$400,"covered"),"0")&amp;" DEFECT",""))</f>
        <v>—</v>
      </c>
    </row>
    <row r="10" customFormat="false" ht="15" hidden="false" customHeight="true" outlineLevel="0" collapsed="false">
      <c r="A10" s="25" t="s">
        <v>82</v>
      </c>
      <c r="B10" s="25"/>
      <c r="C10" s="25"/>
      <c r="D10" s="25"/>
      <c r="E10" s="25"/>
      <c r="F10" s="25"/>
    </row>
  </sheetData>
  <mergeCells count="1">
    <mergeCell ref="A10:F10"/>
  </mergeCells>
  <conditionalFormatting sqref="B4:F8">
    <cfRule type="expression" priority="2" aboveAverage="0" equalAverage="0" bottom="0" percent="0" rank="0" text="" dxfId="7">
      <formula>ISNUMBER(SEARCH("DEFECT",B4))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A30C"/>
    <pageSetUpPr fitToPage="tru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5.75" hidden="false" customHeight="true" outlineLevel="0" collapsed="false">
      <c r="A1" s="26" t="s">
        <v>83</v>
      </c>
    </row>
    <row r="2" customFormat="false" ht="15" hidden="false" customHeight="true" outlineLevel="0" collapsed="false">
      <c r="A2" s="27"/>
    </row>
    <row r="3" customFormat="false" ht="15" hidden="false" customHeight="true" outlineLevel="0" collapsed="false">
      <c r="A3" s="28" t="s">
        <v>84</v>
      </c>
    </row>
    <row r="4" customFormat="false" ht="23.25" hidden="false" customHeight="true" outlineLevel="0" collapsed="false">
      <c r="A4" s="27" t="s">
        <v>85</v>
      </c>
    </row>
    <row r="5" customFormat="false" ht="15" hidden="false" customHeight="true" outlineLevel="0" collapsed="false">
      <c r="A5" s="27"/>
    </row>
    <row r="6" customFormat="false" ht="15" hidden="false" customHeight="true" outlineLevel="0" collapsed="false">
      <c r="A6" s="28" t="s">
        <v>86</v>
      </c>
    </row>
    <row r="7" customFormat="false" ht="23.25" hidden="false" customHeight="true" outlineLevel="0" collapsed="false">
      <c r="A7" s="27" t="s">
        <v>87</v>
      </c>
    </row>
    <row r="8" customFormat="false" ht="23.25" hidden="false" customHeight="true" outlineLevel="0" collapsed="false">
      <c r="A8" s="27" t="s">
        <v>88</v>
      </c>
    </row>
    <row r="9" customFormat="false" ht="15" hidden="false" customHeight="true" outlineLevel="0" collapsed="false">
      <c r="A9" s="27" t="s">
        <v>89</v>
      </c>
    </row>
    <row r="10" customFormat="false" ht="15" hidden="false" customHeight="true" outlineLevel="0" collapsed="false">
      <c r="A10" s="27"/>
    </row>
    <row r="11" customFormat="false" ht="15" hidden="false" customHeight="true" outlineLevel="0" collapsed="false">
      <c r="A11" s="28" t="s">
        <v>90</v>
      </c>
    </row>
    <row r="12" customFormat="false" ht="34.5" hidden="false" customHeight="true" outlineLevel="0" collapsed="false">
      <c r="A12" s="27" t="s">
        <v>91</v>
      </c>
    </row>
    <row r="13" customFormat="false" ht="15" hidden="false" customHeight="true" outlineLevel="0" collapsed="false">
      <c r="A13" s="27"/>
    </row>
    <row r="14" customFormat="false" ht="15" hidden="false" customHeight="true" outlineLevel="0" collapsed="false">
      <c r="A14" s="28" t="s">
        <v>92</v>
      </c>
    </row>
    <row r="15" customFormat="false" ht="23.25" hidden="false" customHeight="true" outlineLevel="0" collapsed="false">
      <c r="A15" s="27" t="s">
        <v>93</v>
      </c>
    </row>
    <row r="16" customFormat="false" ht="15" hidden="false" customHeight="true" outlineLevel="0" collapsed="false">
      <c r="A16" s="27"/>
    </row>
    <row r="17" customFormat="false" ht="15" hidden="false" customHeight="true" outlineLevel="0" collapsed="false">
      <c r="A17" s="28" t="s">
        <v>94</v>
      </c>
    </row>
    <row r="18" customFormat="false" ht="34.5" hidden="false" customHeight="true" outlineLevel="0" collapsed="false">
      <c r="A18" s="27" t="s">
        <v>95</v>
      </c>
    </row>
    <row r="19" customFormat="false" ht="15" hidden="false" customHeight="true" outlineLevel="0" collapsed="false">
      <c r="A19" s="27"/>
    </row>
    <row r="20" customFormat="false" ht="15" hidden="false" customHeight="true" outlineLevel="0" collapsed="false">
      <c r="A20" s="2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9"/>
  </cols>
  <sheetData>
    <row r="1" customFormat="false" ht="30" hidden="false" customHeight="true" outlineLevel="0" collapsed="false">
      <c r="A1" s="30" t="s">
        <v>97</v>
      </c>
      <c r="B1" s="30" t="s">
        <v>54</v>
      </c>
      <c r="C1" s="30" t="s">
        <v>98</v>
      </c>
      <c r="D1" s="30" t="s">
        <v>22</v>
      </c>
      <c r="E1" s="22" t="s">
        <v>99</v>
      </c>
    </row>
    <row r="2" customFormat="false" ht="15" hidden="false" customHeight="true" outlineLevel="0" collapsed="false">
      <c r="A2" s="31" t="s">
        <v>2</v>
      </c>
      <c r="B2" s="31" t="s">
        <v>100</v>
      </c>
      <c r="C2" s="31" t="s">
        <v>101</v>
      </c>
      <c r="D2" s="31" t="s">
        <v>102</v>
      </c>
      <c r="E2" s="31" t="s">
        <v>103</v>
      </c>
    </row>
    <row r="3" customFormat="false" ht="15" hidden="false" customHeight="true" outlineLevel="0" collapsed="false">
      <c r="A3" s="31" t="s">
        <v>104</v>
      </c>
      <c r="B3" s="31" t="s">
        <v>105</v>
      </c>
      <c r="C3" s="31" t="s">
        <v>106</v>
      </c>
      <c r="D3" s="31" t="s">
        <v>107</v>
      </c>
      <c r="E3" s="31" t="s">
        <v>103</v>
      </c>
    </row>
    <row r="4" customFormat="false" ht="15" hidden="false" customHeight="true" outlineLevel="0" collapsed="false">
      <c r="A4" s="31" t="s">
        <v>108</v>
      </c>
      <c r="B4" s="31" t="s">
        <v>109</v>
      </c>
      <c r="C4" s="31" t="s">
        <v>110</v>
      </c>
      <c r="D4" s="31" t="s">
        <v>111</v>
      </c>
      <c r="E4" s="31" t="s">
        <v>103</v>
      </c>
    </row>
    <row r="5" customFormat="false" ht="15" hidden="false" customHeight="true" outlineLevel="0" collapsed="false">
      <c r="A5" s="31" t="s">
        <v>112</v>
      </c>
      <c r="B5" s="31" t="s">
        <v>113</v>
      </c>
      <c r="C5" s="31" t="s">
        <v>101</v>
      </c>
      <c r="D5" s="31" t="s">
        <v>114</v>
      </c>
      <c r="E5" s="31" t="s">
        <v>103</v>
      </c>
    </row>
    <row r="6" customFormat="false" ht="15" hidden="false" customHeight="true" outlineLevel="0" collapsed="false">
      <c r="A6" s="31" t="s">
        <v>115</v>
      </c>
      <c r="B6" s="31" t="s">
        <v>116</v>
      </c>
      <c r="C6" s="31" t="s">
        <v>106</v>
      </c>
      <c r="D6" s="31" t="s">
        <v>117</v>
      </c>
      <c r="E6" s="31" t="s">
        <v>118</v>
      </c>
    </row>
    <row r="7" customFormat="false" ht="15" hidden="false" customHeight="true" outlineLevel="0" collapsed="false">
      <c r="A7" s="32"/>
      <c r="B7" s="32"/>
      <c r="C7" s="32"/>
      <c r="D7" s="32"/>
    </row>
    <row r="8" customFormat="false" ht="15" hidden="false" customHeight="true" outlineLevel="0" collapsed="false">
      <c r="A8" s="32"/>
      <c r="B8" s="32"/>
      <c r="C8" s="32"/>
      <c r="D8" s="32"/>
    </row>
    <row r="9" customFormat="false" ht="15" hidden="false" customHeight="true" outlineLevel="0" collapsed="false">
      <c r="A9" s="32"/>
      <c r="B9" s="32"/>
      <c r="C9" s="32"/>
      <c r="D9" s="32"/>
    </row>
    <row r="10" customFormat="false" ht="15" hidden="false" customHeight="true" outlineLevel="0" collapsed="false">
      <c r="A10" s="32"/>
      <c r="B10" s="32"/>
      <c r="C10" s="32"/>
      <c r="D10" s="32"/>
    </row>
    <row r="11" customFormat="false" ht="15" hidden="false" customHeight="true" outlineLevel="0" collapsed="false">
      <c r="A11" s="32"/>
      <c r="B11" s="32"/>
      <c r="C11" s="32"/>
      <c r="D11" s="32"/>
    </row>
    <row r="12" customFormat="false" ht="15" hidden="false" customHeight="true" outlineLevel="0" collapsed="false">
      <c r="A12" s="32"/>
      <c r="B12" s="32"/>
      <c r="C12" s="32"/>
      <c r="D12" s="32"/>
    </row>
    <row r="13" customFormat="false" ht="15" hidden="false" customHeight="true" outlineLevel="0" collapsed="false">
      <c r="A13" s="32"/>
      <c r="B13" s="32"/>
      <c r="C13" s="32"/>
      <c r="D13" s="32"/>
    </row>
    <row r="14" customFormat="false" ht="15" hidden="false" customHeight="true" outlineLevel="0" collapsed="false">
      <c r="A14" s="32"/>
      <c r="B14" s="32"/>
      <c r="C14" s="32"/>
      <c r="D14" s="32"/>
    </row>
    <row r="15" customFormat="false" ht="15" hidden="false" customHeight="true" outlineLevel="0" collapsed="false">
      <c r="A15" s="32"/>
      <c r="B15" s="32"/>
      <c r="C15" s="32"/>
      <c r="D15" s="32"/>
    </row>
    <row r="16" customFormat="false" ht="15" hidden="false" customHeight="true" outlineLevel="0" collapsed="false">
      <c r="A16" s="32"/>
      <c r="B16" s="32"/>
      <c r="C16" s="32"/>
      <c r="D16" s="32"/>
    </row>
    <row r="17" customFormat="false" ht="15" hidden="false" customHeight="true" outlineLevel="0" collapsed="false">
      <c r="A17" s="32"/>
      <c r="B17" s="32"/>
      <c r="C17" s="32"/>
      <c r="D17" s="32"/>
    </row>
    <row r="18" customFormat="false" ht="15" hidden="false" customHeight="true" outlineLevel="0" collapsed="false">
      <c r="A18" s="32"/>
      <c r="B18" s="32"/>
      <c r="C18" s="32"/>
      <c r="D18" s="32"/>
    </row>
    <row r="19" customFormat="false" ht="15" hidden="false" customHeight="true" outlineLevel="0" collapsed="false">
      <c r="A19" s="32"/>
      <c r="B19" s="32"/>
      <c r="C19" s="32"/>
      <c r="D19" s="32"/>
    </row>
    <row r="20" customFormat="false" ht="15" hidden="false" customHeight="true" outlineLevel="0" collapsed="false">
      <c r="A20" s="32"/>
      <c r="B20" s="32"/>
      <c r="C20" s="32"/>
      <c r="D20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46"/>
    <col collapsed="false" customWidth="true" hidden="false" outlineLevel="0" max="6" min="6" style="1" width="10"/>
  </cols>
  <sheetData>
    <row r="1" customFormat="false" ht="30" hidden="false" customHeight="true" outlineLevel="0" collapsed="false">
      <c r="A1" s="30" t="s">
        <v>11</v>
      </c>
      <c r="B1" s="30" t="s">
        <v>54</v>
      </c>
      <c r="C1" s="30" t="s">
        <v>97</v>
      </c>
      <c r="D1" s="30" t="s">
        <v>12</v>
      </c>
      <c r="E1" s="30" t="s">
        <v>119</v>
      </c>
      <c r="F1" s="33" t="s">
        <v>120</v>
      </c>
    </row>
    <row r="2" customFormat="false" ht="15" hidden="false" customHeight="true" outlineLevel="0" collapsed="false">
      <c r="A2" s="31" t="s">
        <v>121</v>
      </c>
      <c r="B2" s="31" t="s">
        <v>122</v>
      </c>
      <c r="C2" s="31" t="s">
        <v>2</v>
      </c>
      <c r="D2" s="31" t="s">
        <v>123</v>
      </c>
      <c r="E2" s="31" t="s">
        <v>124</v>
      </c>
      <c r="F2" s="34" t="n">
        <f aca="false">IF($C2=GoalLens!$B$3,MAX($F$1:F1)+1,"")</f>
        <v>1</v>
      </c>
    </row>
    <row r="3" customFormat="false" ht="15" hidden="false" customHeight="true" outlineLevel="0" collapsed="false">
      <c r="A3" s="31" t="s">
        <v>125</v>
      </c>
      <c r="B3" s="31" t="s">
        <v>126</v>
      </c>
      <c r="C3" s="31" t="s">
        <v>104</v>
      </c>
      <c r="D3" s="31" t="s">
        <v>127</v>
      </c>
      <c r="E3" s="31" t="s">
        <v>128</v>
      </c>
      <c r="F3" s="34" t="str">
        <f aca="false">IF($C3=GoalLens!$B$3,MAX($F$1:F2)+1,"")</f>
        <v/>
      </c>
    </row>
    <row r="4" customFormat="false" ht="15" hidden="false" customHeight="true" outlineLevel="0" collapsed="false">
      <c r="A4" s="31" t="s">
        <v>129</v>
      </c>
      <c r="B4" s="31" t="s">
        <v>130</v>
      </c>
      <c r="C4" s="31" t="s">
        <v>104</v>
      </c>
      <c r="D4" s="31" t="s">
        <v>127</v>
      </c>
      <c r="E4" s="31" t="s">
        <v>131</v>
      </c>
      <c r="F4" s="34" t="str">
        <f aca="false">IF($C4=GoalLens!$B$3,MAX($F$1:F3)+1,"")</f>
        <v/>
      </c>
    </row>
    <row r="5" customFormat="false" ht="15" hidden="false" customHeight="true" outlineLevel="0" collapsed="false">
      <c r="A5" s="31" t="s">
        <v>132</v>
      </c>
      <c r="B5" s="31" t="s">
        <v>133</v>
      </c>
      <c r="C5" s="31" t="s">
        <v>2</v>
      </c>
      <c r="D5" s="31" t="s">
        <v>134</v>
      </c>
      <c r="E5" s="31" t="s">
        <v>135</v>
      </c>
      <c r="F5" s="34" t="n">
        <f aca="false">IF($C5=GoalLens!$B$3,MAX($F$1:F4)+1,"")</f>
        <v>2</v>
      </c>
    </row>
    <row r="6" customFormat="false" ht="15" hidden="false" customHeight="true" outlineLevel="0" collapsed="false">
      <c r="A6" s="31" t="s">
        <v>136</v>
      </c>
      <c r="B6" s="31" t="s">
        <v>137</v>
      </c>
      <c r="C6" s="31" t="s">
        <v>2</v>
      </c>
      <c r="D6" s="31" t="s">
        <v>138</v>
      </c>
      <c r="E6" s="31" t="s">
        <v>139</v>
      </c>
      <c r="F6" s="34" t="n">
        <f aca="false">IF($C6=GoalLens!$B$3,MAX($F$1:F5)+1,"")</f>
        <v>3</v>
      </c>
    </row>
    <row r="7" customFormat="false" ht="15" hidden="false" customHeight="true" outlineLevel="0" collapsed="false">
      <c r="A7" s="31" t="s">
        <v>140</v>
      </c>
      <c r="B7" s="31" t="s">
        <v>141</v>
      </c>
      <c r="C7" s="31" t="s">
        <v>108</v>
      </c>
      <c r="D7" s="31" t="s">
        <v>142</v>
      </c>
      <c r="E7" s="31" t="s">
        <v>143</v>
      </c>
      <c r="F7" s="34" t="str">
        <f aca="false">IF($C7=GoalLens!$B$3,MAX($F$1:F6)+1,"")</f>
        <v/>
      </c>
    </row>
    <row r="8" customFormat="false" ht="15" hidden="false" customHeight="true" outlineLevel="0" collapsed="false">
      <c r="A8" s="31" t="s">
        <v>144</v>
      </c>
      <c r="B8" s="31" t="s">
        <v>145</v>
      </c>
      <c r="C8" s="31" t="s">
        <v>112</v>
      </c>
      <c r="D8" s="31" t="s">
        <v>146</v>
      </c>
      <c r="E8" s="31" t="s">
        <v>147</v>
      </c>
      <c r="F8" s="34" t="str">
        <f aca="false">IF($C8=GoalLens!$B$3,MAX($F$1:F7)+1,"")</f>
        <v/>
      </c>
    </row>
    <row r="9" customFormat="false" ht="15" hidden="false" customHeight="true" outlineLevel="0" collapsed="false">
      <c r="A9" s="31" t="s">
        <v>148</v>
      </c>
      <c r="B9" s="31" t="s">
        <v>149</v>
      </c>
      <c r="C9" s="31" t="s">
        <v>104</v>
      </c>
      <c r="D9" s="31" t="s">
        <v>150</v>
      </c>
      <c r="E9" s="31" t="s">
        <v>151</v>
      </c>
      <c r="F9" s="34" t="str">
        <f aca="false">IF($C9=GoalLens!$B$3,MAX($F$1:F8)+1,"")</f>
        <v/>
      </c>
    </row>
    <row r="10" customFormat="false" ht="15" hidden="false" customHeight="true" outlineLevel="0" collapsed="false">
      <c r="A10" s="31" t="s">
        <v>152</v>
      </c>
      <c r="B10" s="31" t="s">
        <v>153</v>
      </c>
      <c r="C10" s="31" t="s">
        <v>2</v>
      </c>
      <c r="D10" s="31" t="s">
        <v>123</v>
      </c>
      <c r="E10" s="31" t="s">
        <v>154</v>
      </c>
      <c r="F10" s="34" t="n">
        <f aca="false">IF($C10=GoalLens!$B$3,MAX($F$1:F9)+1,"")</f>
        <v>4</v>
      </c>
    </row>
    <row r="11" customFormat="false" ht="15" hidden="false" customHeight="true" outlineLevel="0" collapsed="false">
      <c r="A11" s="31" t="s">
        <v>155</v>
      </c>
      <c r="B11" s="31" t="s">
        <v>156</v>
      </c>
      <c r="C11" s="31" t="s">
        <v>115</v>
      </c>
      <c r="D11" s="31" t="s">
        <v>157</v>
      </c>
      <c r="E11" s="31" t="s">
        <v>158</v>
      </c>
      <c r="F11" s="34" t="str">
        <f aca="false">IF($C11=GoalLens!$B$3,MAX($F$1:F10)+1,"")</f>
        <v/>
      </c>
    </row>
    <row r="12" customFormat="false" ht="15" hidden="false" customHeight="true" outlineLevel="0" collapsed="false">
      <c r="A12" s="31"/>
      <c r="B12" s="31"/>
      <c r="C12" s="31"/>
      <c r="D12" s="31"/>
      <c r="E12" s="31"/>
      <c r="F12" s="34" t="str">
        <f aca="false">IF($C12=GoalLens!$B$3,MAX($F$1:F11)+1,"")</f>
        <v/>
      </c>
    </row>
    <row r="13" customFormat="false" ht="15" hidden="false" customHeight="true" outlineLevel="0" collapsed="false">
      <c r="A13" s="31"/>
      <c r="B13" s="31"/>
      <c r="C13" s="31"/>
      <c r="D13" s="31"/>
      <c r="E13" s="31"/>
      <c r="F13" s="34" t="str">
        <f aca="false">IF($C13=GoalLens!$B$3,MAX($F$1:F12)+1,"")</f>
        <v/>
      </c>
    </row>
    <row r="14" customFormat="false" ht="15" hidden="false" customHeight="true" outlineLevel="0" collapsed="false">
      <c r="A14" s="31"/>
      <c r="B14" s="31"/>
      <c r="C14" s="31"/>
      <c r="D14" s="31"/>
      <c r="E14" s="31"/>
      <c r="F14" s="34" t="str">
        <f aca="false">IF($C14=GoalLens!$B$3,MAX($F$1:F13)+1,"")</f>
        <v/>
      </c>
    </row>
    <row r="15" customFormat="false" ht="15" hidden="false" customHeight="true" outlineLevel="0" collapsed="false">
      <c r="A15" s="31"/>
      <c r="B15" s="31"/>
      <c r="C15" s="31"/>
      <c r="D15" s="31"/>
      <c r="E15" s="31"/>
      <c r="F15" s="34" t="str">
        <f aca="false">IF($C15=GoalLens!$B$3,MAX($F$1:F14)+1,"")</f>
        <v/>
      </c>
    </row>
    <row r="16" customFormat="false" ht="15" hidden="false" customHeight="true" outlineLevel="0" collapsed="false">
      <c r="A16" s="31"/>
      <c r="B16" s="31"/>
      <c r="C16" s="31"/>
      <c r="D16" s="31"/>
      <c r="E16" s="31"/>
      <c r="F16" s="34" t="str">
        <f aca="false">IF($C16=GoalLens!$B$3,MAX($F$1:F15)+1,"")</f>
        <v/>
      </c>
    </row>
    <row r="17" customFormat="false" ht="15" hidden="false" customHeight="true" outlineLevel="0" collapsed="false">
      <c r="A17" s="31"/>
      <c r="B17" s="31"/>
      <c r="C17" s="31"/>
      <c r="D17" s="31"/>
      <c r="E17" s="31"/>
      <c r="F17" s="34" t="str">
        <f aca="false">IF($C17=GoalLens!$B$3,MAX($F$1:F16)+1,"")</f>
        <v/>
      </c>
    </row>
    <row r="18" customFormat="false" ht="15" hidden="false" customHeight="true" outlineLevel="0" collapsed="false">
      <c r="A18" s="31"/>
      <c r="B18" s="31"/>
      <c r="C18" s="31"/>
      <c r="D18" s="31"/>
      <c r="E18" s="31"/>
      <c r="F18" s="34" t="str">
        <f aca="false">IF($C18=GoalLens!$B$3,MAX($F$1:F17)+1,"")</f>
        <v/>
      </c>
    </row>
    <row r="19" customFormat="false" ht="15" hidden="false" customHeight="true" outlineLevel="0" collapsed="false">
      <c r="A19" s="31"/>
      <c r="B19" s="31"/>
      <c r="C19" s="31"/>
      <c r="D19" s="31"/>
      <c r="E19" s="31"/>
      <c r="F19" s="34" t="str">
        <f aca="false">IF($C19=GoalLens!$B$3,MAX($F$1:F18)+1,"")</f>
        <v/>
      </c>
    </row>
    <row r="20" customFormat="false" ht="15" hidden="false" customHeight="true" outlineLevel="0" collapsed="false">
      <c r="A20" s="31"/>
      <c r="B20" s="31"/>
      <c r="C20" s="31"/>
      <c r="D20" s="31"/>
      <c r="E20" s="31"/>
      <c r="F20" s="34" t="str">
        <f aca="false">IF($C20=GoalLens!$B$3,MAX($F$1:F19)+1,"")</f>
        <v/>
      </c>
    </row>
    <row r="21" customFormat="false" ht="15" hidden="false" customHeight="true" outlineLevel="0" collapsed="false">
      <c r="A21" s="31"/>
      <c r="B21" s="31"/>
      <c r="C21" s="31"/>
      <c r="D21" s="31"/>
      <c r="E21" s="31"/>
      <c r="F21" s="34" t="str">
        <f aca="false">IF($C21=GoalLens!$B$3,MAX($F$1:F20)+1,"")</f>
        <v/>
      </c>
    </row>
    <row r="22" customFormat="false" ht="15" hidden="false" customHeight="true" outlineLevel="0" collapsed="false">
      <c r="A22" s="31"/>
      <c r="B22" s="31"/>
      <c r="C22" s="31"/>
      <c r="D22" s="31"/>
      <c r="E22" s="31"/>
      <c r="F22" s="34" t="str">
        <f aca="false">IF($C22=GoalLens!$B$3,MAX($F$1:F21)+1,"")</f>
        <v/>
      </c>
    </row>
    <row r="23" customFormat="false" ht="15" hidden="false" customHeight="true" outlineLevel="0" collapsed="false">
      <c r="A23" s="31"/>
      <c r="B23" s="31"/>
      <c r="C23" s="31"/>
      <c r="D23" s="31"/>
      <c r="E23" s="31"/>
      <c r="F23" s="34" t="str">
        <f aca="false">IF($C23=GoalLens!$B$3,MAX($F$1:F22)+1,"")</f>
        <v/>
      </c>
    </row>
    <row r="24" customFormat="false" ht="15" hidden="false" customHeight="true" outlineLevel="0" collapsed="false">
      <c r="A24" s="31"/>
      <c r="B24" s="31"/>
      <c r="C24" s="31"/>
      <c r="D24" s="31"/>
      <c r="E24" s="31"/>
      <c r="F24" s="34" t="str">
        <f aca="false">IF($C24=GoalLens!$B$3,MAX($F$1:F23)+1,"")</f>
        <v/>
      </c>
    </row>
    <row r="25" customFormat="false" ht="15" hidden="false" customHeight="true" outlineLevel="0" collapsed="false">
      <c r="A25" s="31"/>
      <c r="B25" s="31"/>
      <c r="C25" s="31"/>
      <c r="D25" s="31"/>
      <c r="E25" s="31"/>
      <c r="F25" s="34" t="str">
        <f aca="false">IF($C25=GoalLens!$B$3,MAX($F$1:F24)+1,"")</f>
        <v/>
      </c>
    </row>
    <row r="26" customFormat="false" ht="15" hidden="false" customHeight="true" outlineLevel="0" collapsed="false">
      <c r="A26" s="31"/>
      <c r="B26" s="31"/>
      <c r="C26" s="31"/>
      <c r="D26" s="31"/>
      <c r="E26" s="31"/>
      <c r="F26" s="34" t="str">
        <f aca="false">IF($C26=GoalLens!$B$3,MAX($F$1:F25)+1,"")</f>
        <v/>
      </c>
    </row>
    <row r="27" customFormat="false" ht="15" hidden="false" customHeight="true" outlineLevel="0" collapsed="false">
      <c r="A27" s="31"/>
      <c r="B27" s="31"/>
      <c r="C27" s="31"/>
      <c r="D27" s="31"/>
      <c r="E27" s="31"/>
      <c r="F27" s="34" t="str">
        <f aca="false">IF($C27=GoalLens!$B$3,MAX($F$1:F26)+1,"")</f>
        <v/>
      </c>
    </row>
    <row r="28" customFormat="false" ht="15" hidden="false" customHeight="true" outlineLevel="0" collapsed="false">
      <c r="A28" s="31"/>
      <c r="B28" s="31"/>
      <c r="C28" s="31"/>
      <c r="D28" s="31"/>
      <c r="E28" s="31"/>
      <c r="F28" s="34" t="str">
        <f aca="false">IF($C28=GoalLens!$B$3,MAX($F$1:F27)+1,"")</f>
        <v/>
      </c>
    </row>
    <row r="29" customFormat="false" ht="15" hidden="false" customHeight="true" outlineLevel="0" collapsed="false">
      <c r="A29" s="31"/>
      <c r="B29" s="31"/>
      <c r="C29" s="31"/>
      <c r="D29" s="31"/>
      <c r="E29" s="31"/>
      <c r="F29" s="34" t="str">
        <f aca="false">IF($C29=GoalLens!$B$3,MAX($F$1:F28)+1,"")</f>
        <v/>
      </c>
    </row>
    <row r="30" customFormat="false" ht="15" hidden="false" customHeight="true" outlineLevel="0" collapsed="false">
      <c r="A30" s="31"/>
      <c r="B30" s="31"/>
      <c r="C30" s="31"/>
      <c r="D30" s="31"/>
      <c r="E30" s="31"/>
      <c r="F30" s="34" t="str">
        <f aca="false">IF($C30=GoalLens!$B$3,MAX($F$1:F29)+1,"")</f>
        <v/>
      </c>
    </row>
    <row r="31" customFormat="false" ht="15" hidden="false" customHeight="true" outlineLevel="0" collapsed="false">
      <c r="A31" s="31"/>
      <c r="B31" s="31"/>
      <c r="C31" s="31"/>
      <c r="D31" s="31"/>
      <c r="E31" s="31"/>
      <c r="F31" s="34" t="str">
        <f aca="false">IF($C31=GoalLens!$B$3,MAX($F$1:F30)+1,"")</f>
        <v/>
      </c>
    </row>
    <row r="32" customFormat="false" ht="15" hidden="false" customHeight="true" outlineLevel="0" collapsed="false">
      <c r="A32" s="31"/>
      <c r="B32" s="31"/>
      <c r="C32" s="31"/>
      <c r="D32" s="31"/>
      <c r="E32" s="31"/>
      <c r="F32" s="34" t="str">
        <f aca="false">IF($C32=GoalLens!$B$3,MAX($F$1:F31)+1,"")</f>
        <v/>
      </c>
    </row>
    <row r="33" customFormat="false" ht="15" hidden="false" customHeight="true" outlineLevel="0" collapsed="false">
      <c r="A33" s="31"/>
      <c r="B33" s="31"/>
      <c r="C33" s="31"/>
      <c r="D33" s="31"/>
      <c r="E33" s="31"/>
      <c r="F33" s="34" t="str">
        <f aca="false">IF($C33=GoalLens!$B$3,MAX($F$1:F32)+1,"")</f>
        <v/>
      </c>
    </row>
    <row r="34" customFormat="false" ht="15" hidden="false" customHeight="true" outlineLevel="0" collapsed="false">
      <c r="A34" s="31"/>
      <c r="B34" s="31"/>
      <c r="C34" s="31"/>
      <c r="D34" s="31"/>
      <c r="E34" s="31"/>
      <c r="F34" s="34" t="str">
        <f aca="false">IF($C34=GoalLens!$B$3,MAX($F$1:F33)+1,"")</f>
        <v/>
      </c>
    </row>
    <row r="35" customFormat="false" ht="15" hidden="false" customHeight="true" outlineLevel="0" collapsed="false">
      <c r="A35" s="31"/>
      <c r="B35" s="31"/>
      <c r="C35" s="31"/>
      <c r="D35" s="31"/>
      <c r="E35" s="31"/>
      <c r="F35" s="34" t="str">
        <f aca="false">IF($C35=GoalLens!$B$3,MAX($F$1:F34)+1,"")</f>
        <v/>
      </c>
    </row>
    <row r="36" customFormat="false" ht="15" hidden="false" customHeight="true" outlineLevel="0" collapsed="false">
      <c r="A36" s="31"/>
      <c r="B36" s="31"/>
      <c r="C36" s="31"/>
      <c r="D36" s="31"/>
      <c r="E36" s="31"/>
      <c r="F36" s="34" t="str">
        <f aca="false">IF($C36=GoalLens!$B$3,MAX($F$1:F35)+1,"")</f>
        <v/>
      </c>
    </row>
    <row r="37" customFormat="false" ht="15" hidden="false" customHeight="true" outlineLevel="0" collapsed="false">
      <c r="A37" s="31"/>
      <c r="B37" s="31"/>
      <c r="C37" s="31"/>
      <c r="D37" s="31"/>
      <c r="E37" s="31"/>
      <c r="F37" s="34" t="str">
        <f aca="false">IF($C37=GoalLens!$B$3,MAX($F$1:F36)+1,"")</f>
        <v/>
      </c>
    </row>
    <row r="38" customFormat="false" ht="15" hidden="false" customHeight="true" outlineLevel="0" collapsed="false">
      <c r="A38" s="31"/>
      <c r="B38" s="31"/>
      <c r="C38" s="31"/>
      <c r="D38" s="31"/>
      <c r="E38" s="31"/>
      <c r="F38" s="34" t="str">
        <f aca="false">IF($C38=GoalLens!$B$3,MAX($F$1:F37)+1,"")</f>
        <v/>
      </c>
    </row>
    <row r="39" customFormat="false" ht="15" hidden="false" customHeight="true" outlineLevel="0" collapsed="false">
      <c r="A39" s="31"/>
      <c r="B39" s="31"/>
      <c r="C39" s="31"/>
      <c r="D39" s="31"/>
      <c r="E39" s="31"/>
      <c r="F39" s="34" t="str">
        <f aca="false">IF($C39=GoalLens!$B$3,MAX($F$1:F38)+1,"")</f>
        <v/>
      </c>
    </row>
    <row r="40" customFormat="false" ht="15" hidden="false" customHeight="true" outlineLevel="0" collapsed="false">
      <c r="A40" s="31"/>
      <c r="B40" s="31"/>
      <c r="C40" s="31"/>
      <c r="D40" s="31"/>
      <c r="E40" s="31"/>
      <c r="F40" s="34" t="str">
        <f aca="false">IF($C40=GoalLens!$B$3,MAX($F$1:F39)+1,"")</f>
        <v/>
      </c>
    </row>
    <row r="41" customFormat="false" ht="15" hidden="false" customHeight="true" outlineLevel="0" collapsed="false">
      <c r="A41" s="31"/>
      <c r="B41" s="31"/>
      <c r="C41" s="31"/>
      <c r="D41" s="31"/>
      <c r="E41" s="31"/>
      <c r="F41" s="34" t="str">
        <f aca="false">IF($C41=GoalLens!$B$3,MAX($F$1:F40)+1,"")</f>
        <v/>
      </c>
    </row>
    <row r="42" customFormat="false" ht="15" hidden="false" customHeight="true" outlineLevel="0" collapsed="false">
      <c r="A42" s="31"/>
      <c r="B42" s="31"/>
      <c r="C42" s="31"/>
      <c r="D42" s="31"/>
      <c r="E42" s="31"/>
      <c r="F42" s="34" t="str">
        <f aca="false">IF($C42=GoalLens!$B$3,MAX($F$1:F41)+1,"")</f>
        <v/>
      </c>
    </row>
    <row r="43" customFormat="false" ht="15" hidden="false" customHeight="true" outlineLevel="0" collapsed="false">
      <c r="A43" s="31"/>
      <c r="B43" s="31"/>
      <c r="C43" s="31"/>
      <c r="D43" s="31"/>
      <c r="E43" s="31"/>
      <c r="F43" s="34" t="str">
        <f aca="false">IF($C43=GoalLens!$B$3,MAX($F$1:F42)+1,"")</f>
        <v/>
      </c>
    </row>
    <row r="44" customFormat="false" ht="15" hidden="false" customHeight="true" outlineLevel="0" collapsed="false">
      <c r="A44" s="31"/>
      <c r="B44" s="31"/>
      <c r="C44" s="31"/>
      <c r="D44" s="31"/>
      <c r="E44" s="31"/>
      <c r="F44" s="34" t="str">
        <f aca="false">IF($C44=GoalLens!$B$3,MAX($F$1:F43)+1,"")</f>
        <v/>
      </c>
    </row>
    <row r="45" customFormat="false" ht="15" hidden="false" customHeight="true" outlineLevel="0" collapsed="false">
      <c r="A45" s="31"/>
      <c r="B45" s="31"/>
      <c r="C45" s="31"/>
      <c r="D45" s="31"/>
      <c r="E45" s="31"/>
      <c r="F45" s="34" t="str">
        <f aca="false">IF($C45=GoalLens!$B$3,MAX($F$1:F44)+1,"")</f>
        <v/>
      </c>
    </row>
    <row r="46" customFormat="false" ht="15" hidden="false" customHeight="true" outlineLevel="0" collapsed="false">
      <c r="A46" s="31"/>
      <c r="B46" s="31"/>
      <c r="C46" s="31"/>
      <c r="D46" s="31"/>
      <c r="E46" s="31"/>
      <c r="F46" s="34" t="str">
        <f aca="false">IF($C46=GoalLens!$B$3,MAX($F$1:F45)+1,"")</f>
        <v/>
      </c>
    </row>
    <row r="47" customFormat="false" ht="15" hidden="false" customHeight="true" outlineLevel="0" collapsed="false">
      <c r="A47" s="31"/>
      <c r="B47" s="31"/>
      <c r="C47" s="31"/>
      <c r="D47" s="31"/>
      <c r="E47" s="31"/>
      <c r="F47" s="34" t="str">
        <f aca="false">IF($C47=GoalLens!$B$3,MAX($F$1:F46)+1,"")</f>
        <v/>
      </c>
    </row>
    <row r="48" customFormat="false" ht="15" hidden="false" customHeight="true" outlineLevel="0" collapsed="false">
      <c r="A48" s="31"/>
      <c r="B48" s="31"/>
      <c r="C48" s="31"/>
      <c r="D48" s="31"/>
      <c r="E48" s="31"/>
      <c r="F48" s="34" t="str">
        <f aca="false">IF($C48=GoalLens!$B$3,MAX($F$1:F47)+1,"")</f>
        <v/>
      </c>
    </row>
    <row r="49" customFormat="false" ht="15" hidden="false" customHeight="true" outlineLevel="0" collapsed="false">
      <c r="A49" s="31"/>
      <c r="B49" s="31"/>
      <c r="C49" s="31"/>
      <c r="D49" s="31"/>
      <c r="E49" s="31"/>
      <c r="F49" s="34" t="str">
        <f aca="false">IF($C49=GoalLens!$B$3,MAX($F$1:F48)+1,"")</f>
        <v/>
      </c>
    </row>
    <row r="50" customFormat="false" ht="15" hidden="false" customHeight="true" outlineLevel="0" collapsed="false">
      <c r="A50" s="31"/>
      <c r="B50" s="31"/>
      <c r="C50" s="31"/>
      <c r="D50" s="31"/>
      <c r="E50" s="31"/>
      <c r="F50" s="34" t="str">
        <f aca="false">IF($C50=GoalLens!$B$3,MAX($F$1:F49)+1,"")</f>
        <v/>
      </c>
    </row>
    <row r="51" customFormat="false" ht="15" hidden="false" customHeight="true" outlineLevel="0" collapsed="false">
      <c r="A51" s="31"/>
      <c r="B51" s="31"/>
      <c r="C51" s="31"/>
      <c r="D51" s="31"/>
      <c r="E51" s="31"/>
      <c r="F51" s="34" t="str">
        <f aca="false">IF($C51=GoalLens!$B$3,MAX($F$1:F50)+1,"")</f>
        <v/>
      </c>
    </row>
    <row r="52" customFormat="false" ht="15" hidden="false" customHeight="true" outlineLevel="0" collapsed="false">
      <c r="A52" s="31"/>
      <c r="B52" s="31"/>
      <c r="C52" s="31"/>
      <c r="D52" s="31"/>
      <c r="E52" s="31"/>
      <c r="F52" s="34" t="str">
        <f aca="false">IF($C52=GoalLens!$B$3,MAX($F$1:F51)+1,"")</f>
        <v/>
      </c>
    </row>
    <row r="53" customFormat="false" ht="15" hidden="false" customHeight="true" outlineLevel="0" collapsed="false">
      <c r="A53" s="31"/>
      <c r="B53" s="31"/>
      <c r="C53" s="31"/>
      <c r="D53" s="31"/>
      <c r="E53" s="31"/>
      <c r="F53" s="34" t="str">
        <f aca="false">IF($C53=GoalLens!$B$3,MAX($F$1:F52)+1,"")</f>
        <v/>
      </c>
    </row>
    <row r="54" customFormat="false" ht="15" hidden="false" customHeight="true" outlineLevel="0" collapsed="false">
      <c r="A54" s="31"/>
      <c r="B54" s="31"/>
      <c r="C54" s="31"/>
      <c r="D54" s="31"/>
      <c r="E54" s="31"/>
      <c r="F54" s="34" t="str">
        <f aca="false">IF($C54=GoalLens!$B$3,MAX($F$1:F53)+1,"")</f>
        <v/>
      </c>
    </row>
    <row r="55" customFormat="false" ht="15" hidden="false" customHeight="true" outlineLevel="0" collapsed="false">
      <c r="A55" s="31"/>
      <c r="B55" s="31"/>
      <c r="C55" s="31"/>
      <c r="D55" s="31"/>
      <c r="E55" s="31"/>
      <c r="F55" s="34" t="str">
        <f aca="false">IF($C55=GoalLens!$B$3,MAX($F$1:F54)+1,"")</f>
        <v/>
      </c>
    </row>
    <row r="56" customFormat="false" ht="15" hidden="false" customHeight="true" outlineLevel="0" collapsed="false">
      <c r="A56" s="31"/>
      <c r="B56" s="31"/>
      <c r="C56" s="31"/>
      <c r="D56" s="31"/>
      <c r="E56" s="31"/>
      <c r="F56" s="34" t="str">
        <f aca="false">IF($C56=GoalLens!$B$3,MAX($F$1:F55)+1,"")</f>
        <v/>
      </c>
    </row>
    <row r="57" customFormat="false" ht="15" hidden="false" customHeight="true" outlineLevel="0" collapsed="false">
      <c r="A57" s="31"/>
      <c r="B57" s="31"/>
      <c r="C57" s="31"/>
      <c r="D57" s="31"/>
      <c r="E57" s="31"/>
      <c r="F57" s="34" t="str">
        <f aca="false">IF($C57=GoalLens!$B$3,MAX($F$1:F56)+1,"")</f>
        <v/>
      </c>
    </row>
    <row r="58" customFormat="false" ht="15" hidden="false" customHeight="true" outlineLevel="0" collapsed="false">
      <c r="A58" s="31"/>
      <c r="B58" s="31"/>
      <c r="C58" s="31"/>
      <c r="D58" s="31"/>
      <c r="E58" s="31"/>
      <c r="F58" s="34" t="str">
        <f aca="false">IF($C58=GoalLens!$B$3,MAX($F$1:F57)+1,"")</f>
        <v/>
      </c>
    </row>
    <row r="59" customFormat="false" ht="15" hidden="false" customHeight="true" outlineLevel="0" collapsed="false">
      <c r="A59" s="31"/>
      <c r="B59" s="31"/>
      <c r="C59" s="31"/>
      <c r="D59" s="31"/>
      <c r="E59" s="31"/>
      <c r="F59" s="34" t="str">
        <f aca="false">IF($C59=GoalLens!$B$3,MAX($F$1:F58)+1,"")</f>
        <v/>
      </c>
    </row>
    <row r="60" customFormat="false" ht="15" hidden="false" customHeight="true" outlineLevel="0" collapsed="false">
      <c r="A60" s="31"/>
      <c r="B60" s="31"/>
      <c r="C60" s="31"/>
      <c r="D60" s="31"/>
      <c r="E60" s="31"/>
      <c r="F60" s="34" t="str">
        <f aca="false">IF($C60=GoalLens!$B$3,MAX($F$1:F59)+1,"")</f>
        <v/>
      </c>
    </row>
    <row r="61" customFormat="false" ht="15" hidden="false" customHeight="true" outlineLevel="0" collapsed="false">
      <c r="A61" s="31"/>
      <c r="B61" s="31"/>
      <c r="C61" s="31"/>
      <c r="D61" s="31"/>
      <c r="E61" s="31"/>
      <c r="F61" s="34" t="str">
        <f aca="false">IF($C61=GoalLens!$B$3,MAX($F$1:F60)+1,"")</f>
        <v/>
      </c>
    </row>
    <row r="62" customFormat="false" ht="15" hidden="false" customHeight="true" outlineLevel="0" collapsed="false">
      <c r="A62" s="31"/>
      <c r="B62" s="31"/>
      <c r="C62" s="31"/>
      <c r="D62" s="31"/>
      <c r="E62" s="31"/>
      <c r="F62" s="34" t="str">
        <f aca="false">IF($C62=GoalLens!$B$3,MAX($F$1:F61)+1,"")</f>
        <v/>
      </c>
    </row>
    <row r="63" customFormat="false" ht="15" hidden="false" customHeight="true" outlineLevel="0" collapsed="false">
      <c r="A63" s="31"/>
      <c r="B63" s="31"/>
      <c r="C63" s="31"/>
      <c r="D63" s="31"/>
      <c r="E63" s="31"/>
      <c r="F63" s="34" t="str">
        <f aca="false">IF($C63=GoalLens!$B$3,MAX($F$1:F62)+1,"")</f>
        <v/>
      </c>
    </row>
    <row r="64" customFormat="false" ht="15" hidden="false" customHeight="true" outlineLevel="0" collapsed="false">
      <c r="A64" s="31"/>
      <c r="B64" s="31"/>
      <c r="C64" s="31"/>
      <c r="D64" s="31"/>
      <c r="E64" s="31"/>
      <c r="F64" s="34" t="str">
        <f aca="false">IF($C64=GoalLens!$B$3,MAX($F$1:F63)+1,"")</f>
        <v/>
      </c>
    </row>
    <row r="65" customFormat="false" ht="15" hidden="false" customHeight="true" outlineLevel="0" collapsed="false">
      <c r="A65" s="31"/>
      <c r="B65" s="31"/>
      <c r="C65" s="31"/>
      <c r="D65" s="31"/>
      <c r="E65" s="31"/>
      <c r="F65" s="34" t="str">
        <f aca="false">IF($C65=GoalLens!$B$3,MAX($F$1:F64)+1,"")</f>
        <v/>
      </c>
    </row>
    <row r="66" customFormat="false" ht="15" hidden="false" customHeight="true" outlineLevel="0" collapsed="false">
      <c r="A66" s="31"/>
      <c r="B66" s="31"/>
      <c r="C66" s="31"/>
      <c r="D66" s="31"/>
      <c r="E66" s="31"/>
      <c r="F66" s="34" t="str">
        <f aca="false">IF($C66=GoalLens!$B$3,MAX($F$1:F65)+1,"")</f>
        <v/>
      </c>
    </row>
    <row r="67" customFormat="false" ht="15" hidden="false" customHeight="true" outlineLevel="0" collapsed="false">
      <c r="A67" s="31"/>
      <c r="B67" s="31"/>
      <c r="C67" s="31"/>
      <c r="D67" s="31"/>
      <c r="E67" s="31"/>
      <c r="F67" s="34" t="str">
        <f aca="false">IF($C67=GoalLens!$B$3,MAX($F$1:F66)+1,"")</f>
        <v/>
      </c>
    </row>
    <row r="68" customFormat="false" ht="15" hidden="false" customHeight="true" outlineLevel="0" collapsed="false">
      <c r="A68" s="31"/>
      <c r="B68" s="31"/>
      <c r="C68" s="31"/>
      <c r="D68" s="31"/>
      <c r="E68" s="31"/>
      <c r="F68" s="34" t="str">
        <f aca="false">IF($C68=GoalLens!$B$3,MAX($F$1:F67)+1,"")</f>
        <v/>
      </c>
    </row>
    <row r="69" customFormat="false" ht="15" hidden="false" customHeight="true" outlineLevel="0" collapsed="false">
      <c r="A69" s="31"/>
      <c r="B69" s="31"/>
      <c r="C69" s="31"/>
      <c r="D69" s="31"/>
      <c r="E69" s="31"/>
      <c r="F69" s="34" t="str">
        <f aca="false">IF($C69=GoalLens!$B$3,MAX($F$1:F68)+1,"")</f>
        <v/>
      </c>
    </row>
    <row r="70" customFormat="false" ht="15" hidden="false" customHeight="true" outlineLevel="0" collapsed="false">
      <c r="A70" s="31"/>
      <c r="B70" s="31"/>
      <c r="C70" s="31"/>
      <c r="D70" s="31"/>
      <c r="E70" s="31"/>
      <c r="F70" s="34" t="str">
        <f aca="false">IF($C70=GoalLens!$B$3,MAX($F$1:F69)+1,"")</f>
        <v/>
      </c>
    </row>
    <row r="71" customFormat="false" ht="15" hidden="false" customHeight="true" outlineLevel="0" collapsed="false">
      <c r="A71" s="31"/>
      <c r="B71" s="31"/>
      <c r="C71" s="31"/>
      <c r="D71" s="31"/>
      <c r="E71" s="31"/>
      <c r="F71" s="34" t="str">
        <f aca="false">IF($C71=GoalLens!$B$3,MAX($F$1:F70)+1,"")</f>
        <v/>
      </c>
    </row>
    <row r="72" customFormat="false" ht="15" hidden="false" customHeight="true" outlineLevel="0" collapsed="false">
      <c r="A72" s="31"/>
      <c r="B72" s="31"/>
      <c r="C72" s="31"/>
      <c r="D72" s="31"/>
      <c r="E72" s="31"/>
      <c r="F72" s="34" t="str">
        <f aca="false">IF($C72=GoalLens!$B$3,MAX($F$1:F71)+1,"")</f>
        <v/>
      </c>
    </row>
    <row r="73" customFormat="false" ht="15" hidden="false" customHeight="true" outlineLevel="0" collapsed="false">
      <c r="A73" s="31"/>
      <c r="B73" s="31"/>
      <c r="C73" s="31"/>
      <c r="D73" s="31"/>
      <c r="E73" s="31"/>
      <c r="F73" s="34" t="str">
        <f aca="false">IF($C73=GoalLens!$B$3,MAX($F$1:F72)+1,"")</f>
        <v/>
      </c>
    </row>
    <row r="74" customFormat="false" ht="15" hidden="false" customHeight="true" outlineLevel="0" collapsed="false">
      <c r="A74" s="31"/>
      <c r="B74" s="31"/>
      <c r="C74" s="31"/>
      <c r="D74" s="31"/>
      <c r="E74" s="31"/>
      <c r="F74" s="34" t="str">
        <f aca="false">IF($C74=GoalLens!$B$3,MAX($F$1:F73)+1,"")</f>
        <v/>
      </c>
    </row>
    <row r="75" customFormat="false" ht="15" hidden="false" customHeight="true" outlineLevel="0" collapsed="false">
      <c r="A75" s="31"/>
      <c r="B75" s="31"/>
      <c r="C75" s="31"/>
      <c r="D75" s="31"/>
      <c r="E75" s="31"/>
      <c r="F75" s="34" t="str">
        <f aca="false">IF($C75=GoalLens!$B$3,MAX($F$1:F74)+1,"")</f>
        <v/>
      </c>
    </row>
    <row r="76" customFormat="false" ht="15" hidden="false" customHeight="true" outlineLevel="0" collapsed="false">
      <c r="A76" s="31"/>
      <c r="B76" s="31"/>
      <c r="C76" s="31"/>
      <c r="D76" s="31"/>
      <c r="E76" s="31"/>
      <c r="F76" s="34" t="str">
        <f aca="false">IF($C76=GoalLens!$B$3,MAX($F$1:F75)+1,"")</f>
        <v/>
      </c>
    </row>
    <row r="77" customFormat="false" ht="15" hidden="false" customHeight="true" outlineLevel="0" collapsed="false">
      <c r="A77" s="31"/>
      <c r="B77" s="31"/>
      <c r="C77" s="31"/>
      <c r="D77" s="31"/>
      <c r="E77" s="31"/>
      <c r="F77" s="34" t="str">
        <f aca="false">IF($C77=GoalLens!$B$3,MAX($F$1:F76)+1,"")</f>
        <v/>
      </c>
    </row>
    <row r="78" customFormat="false" ht="15" hidden="false" customHeight="true" outlineLevel="0" collapsed="false">
      <c r="A78" s="31"/>
      <c r="B78" s="31"/>
      <c r="C78" s="31"/>
      <c r="D78" s="31"/>
      <c r="E78" s="31"/>
      <c r="F78" s="34" t="str">
        <f aca="false">IF($C78=GoalLens!$B$3,MAX($F$1:F77)+1,"")</f>
        <v/>
      </c>
    </row>
    <row r="79" customFormat="false" ht="15" hidden="false" customHeight="true" outlineLevel="0" collapsed="false">
      <c r="A79" s="31"/>
      <c r="B79" s="31"/>
      <c r="C79" s="31"/>
      <c r="D79" s="31"/>
      <c r="E79" s="31"/>
      <c r="F79" s="34" t="str">
        <f aca="false">IF($C79=GoalLens!$B$3,MAX($F$1:F78)+1,"")</f>
        <v/>
      </c>
    </row>
    <row r="80" customFormat="false" ht="15" hidden="false" customHeight="true" outlineLevel="0" collapsed="false">
      <c r="A80" s="31"/>
      <c r="B80" s="31"/>
      <c r="C80" s="31"/>
      <c r="D80" s="31"/>
      <c r="E80" s="31"/>
      <c r="F80" s="34" t="str">
        <f aca="false">IF($C80=GoalLens!$B$3,MAX($F$1:F79)+1,"")</f>
        <v/>
      </c>
    </row>
    <row r="81" customFormat="false" ht="15" hidden="false" customHeight="true" outlineLevel="0" collapsed="false">
      <c r="A81" s="31"/>
      <c r="B81" s="31"/>
      <c r="C81" s="31"/>
      <c r="D81" s="31"/>
      <c r="E81" s="31"/>
      <c r="F81" s="34" t="str">
        <f aca="false">IF($C81=GoalLens!$B$3,MAX($F$1:F80)+1,"")</f>
        <v/>
      </c>
    </row>
    <row r="82" customFormat="false" ht="15" hidden="false" customHeight="true" outlineLevel="0" collapsed="false">
      <c r="A82" s="31"/>
      <c r="B82" s="31"/>
      <c r="C82" s="31"/>
      <c r="D82" s="31"/>
      <c r="E82" s="31"/>
      <c r="F82" s="34" t="str">
        <f aca="false">IF($C82=GoalLens!$B$3,MAX($F$1:F81)+1,"")</f>
        <v/>
      </c>
    </row>
    <row r="83" customFormat="false" ht="15" hidden="false" customHeight="true" outlineLevel="0" collapsed="false">
      <c r="A83" s="31"/>
      <c r="B83" s="31"/>
      <c r="C83" s="31"/>
      <c r="D83" s="31"/>
      <c r="E83" s="31"/>
      <c r="F83" s="34" t="str">
        <f aca="false">IF($C83=GoalLens!$B$3,MAX($F$1:F82)+1,"")</f>
        <v/>
      </c>
    </row>
    <row r="84" customFormat="false" ht="15" hidden="false" customHeight="true" outlineLevel="0" collapsed="false">
      <c r="A84" s="31"/>
      <c r="B84" s="31"/>
      <c r="C84" s="31"/>
      <c r="D84" s="31"/>
      <c r="E84" s="31"/>
      <c r="F84" s="34" t="str">
        <f aca="false">IF($C84=GoalLens!$B$3,MAX($F$1:F83)+1,"")</f>
        <v/>
      </c>
    </row>
    <row r="85" customFormat="false" ht="15" hidden="false" customHeight="true" outlineLevel="0" collapsed="false">
      <c r="A85" s="31"/>
      <c r="B85" s="31"/>
      <c r="C85" s="31"/>
      <c r="D85" s="31"/>
      <c r="E85" s="31"/>
      <c r="F85" s="34" t="str">
        <f aca="false">IF($C85=GoalLens!$B$3,MAX($F$1:F84)+1,"")</f>
        <v/>
      </c>
    </row>
    <row r="86" customFormat="false" ht="15" hidden="false" customHeight="true" outlineLevel="0" collapsed="false">
      <c r="A86" s="31"/>
      <c r="B86" s="31"/>
      <c r="C86" s="31"/>
      <c r="D86" s="31"/>
      <c r="E86" s="31"/>
      <c r="F86" s="34" t="str">
        <f aca="false">IF($C86=GoalLens!$B$3,MAX($F$1:F85)+1,"")</f>
        <v/>
      </c>
    </row>
    <row r="87" customFormat="false" ht="15" hidden="false" customHeight="true" outlineLevel="0" collapsed="false">
      <c r="A87" s="31"/>
      <c r="B87" s="31"/>
      <c r="C87" s="31"/>
      <c r="D87" s="31"/>
      <c r="E87" s="31"/>
      <c r="F87" s="34" t="str">
        <f aca="false">IF($C87=GoalLens!$B$3,MAX($F$1:F86)+1,"")</f>
        <v/>
      </c>
    </row>
    <row r="88" customFormat="false" ht="15" hidden="false" customHeight="true" outlineLevel="0" collapsed="false">
      <c r="A88" s="31"/>
      <c r="B88" s="31"/>
      <c r="C88" s="31"/>
      <c r="D88" s="31"/>
      <c r="E88" s="31"/>
      <c r="F88" s="34" t="str">
        <f aca="false">IF($C88=GoalLens!$B$3,MAX($F$1:F87)+1,"")</f>
        <v/>
      </c>
    </row>
    <row r="89" customFormat="false" ht="15" hidden="false" customHeight="true" outlineLevel="0" collapsed="false">
      <c r="A89" s="31"/>
      <c r="B89" s="31"/>
      <c r="C89" s="31"/>
      <c r="D89" s="31"/>
      <c r="E89" s="31"/>
      <c r="F89" s="34" t="str">
        <f aca="false">IF($C89=GoalLens!$B$3,MAX($F$1:F88)+1,"")</f>
        <v/>
      </c>
    </row>
    <row r="90" customFormat="false" ht="15" hidden="false" customHeight="true" outlineLevel="0" collapsed="false">
      <c r="A90" s="31"/>
      <c r="B90" s="31"/>
      <c r="C90" s="31"/>
      <c r="D90" s="31"/>
      <c r="E90" s="31"/>
      <c r="F90" s="34" t="str">
        <f aca="false">IF($C90=GoalLens!$B$3,MAX($F$1:F89)+1,"")</f>
        <v/>
      </c>
    </row>
    <row r="91" customFormat="false" ht="15" hidden="false" customHeight="true" outlineLevel="0" collapsed="false">
      <c r="A91" s="31"/>
      <c r="B91" s="31"/>
      <c r="C91" s="31"/>
      <c r="D91" s="31"/>
      <c r="E91" s="31"/>
      <c r="F91" s="34" t="str">
        <f aca="false">IF($C91=GoalLens!$B$3,MAX($F$1:F90)+1,"")</f>
        <v/>
      </c>
    </row>
    <row r="92" customFormat="false" ht="15" hidden="false" customHeight="true" outlineLevel="0" collapsed="false">
      <c r="A92" s="31"/>
      <c r="B92" s="31"/>
      <c r="C92" s="31"/>
      <c r="D92" s="31"/>
      <c r="E92" s="31"/>
      <c r="F92" s="34" t="str">
        <f aca="false">IF($C92=GoalLens!$B$3,MAX($F$1:F91)+1,"")</f>
        <v/>
      </c>
    </row>
    <row r="93" customFormat="false" ht="15" hidden="false" customHeight="true" outlineLevel="0" collapsed="false">
      <c r="A93" s="31"/>
      <c r="B93" s="31"/>
      <c r="C93" s="31"/>
      <c r="D93" s="31"/>
      <c r="E93" s="31"/>
      <c r="F93" s="34" t="str">
        <f aca="false">IF($C93=GoalLens!$B$3,MAX($F$1:F92)+1,"")</f>
        <v/>
      </c>
    </row>
    <row r="94" customFormat="false" ht="15" hidden="false" customHeight="true" outlineLevel="0" collapsed="false">
      <c r="A94" s="31"/>
      <c r="B94" s="31"/>
      <c r="C94" s="31"/>
      <c r="D94" s="31"/>
      <c r="E94" s="31"/>
      <c r="F94" s="34" t="str">
        <f aca="false">IF($C94=GoalLens!$B$3,MAX($F$1:F93)+1,"")</f>
        <v/>
      </c>
    </row>
    <row r="95" customFormat="false" ht="15" hidden="false" customHeight="true" outlineLevel="0" collapsed="false">
      <c r="A95" s="31"/>
      <c r="B95" s="31"/>
      <c r="C95" s="31"/>
      <c r="D95" s="31"/>
      <c r="E95" s="31"/>
      <c r="F95" s="34" t="str">
        <f aca="false">IF($C95=GoalLens!$B$3,MAX($F$1:F94)+1,"")</f>
        <v/>
      </c>
    </row>
    <row r="96" customFormat="false" ht="15" hidden="false" customHeight="true" outlineLevel="0" collapsed="false">
      <c r="A96" s="31"/>
      <c r="B96" s="31"/>
      <c r="C96" s="31"/>
      <c r="D96" s="31"/>
      <c r="E96" s="31"/>
      <c r="F96" s="34" t="str">
        <f aca="false">IF($C96=GoalLens!$B$3,MAX($F$1:F95)+1,"")</f>
        <v/>
      </c>
    </row>
    <row r="97" customFormat="false" ht="15" hidden="false" customHeight="true" outlineLevel="0" collapsed="false">
      <c r="A97" s="31"/>
      <c r="B97" s="31"/>
      <c r="C97" s="31"/>
      <c r="D97" s="31"/>
      <c r="E97" s="31"/>
      <c r="F97" s="34" t="str">
        <f aca="false">IF($C97=GoalLens!$B$3,MAX($F$1:F96)+1,"")</f>
        <v/>
      </c>
    </row>
    <row r="98" customFormat="false" ht="15" hidden="false" customHeight="true" outlineLevel="0" collapsed="false">
      <c r="A98" s="31"/>
      <c r="B98" s="31"/>
      <c r="C98" s="31"/>
      <c r="D98" s="31"/>
      <c r="E98" s="31"/>
      <c r="F98" s="34" t="str">
        <f aca="false">IF($C98=GoalLens!$B$3,MAX($F$1:F97)+1,"")</f>
        <v/>
      </c>
    </row>
    <row r="99" customFormat="false" ht="15" hidden="false" customHeight="true" outlineLevel="0" collapsed="false">
      <c r="A99" s="31"/>
      <c r="B99" s="31"/>
      <c r="C99" s="31"/>
      <c r="D99" s="31"/>
      <c r="E99" s="31"/>
      <c r="F99" s="34" t="str">
        <f aca="false">IF($C99=GoalLens!$B$3,MAX($F$1:F98)+1,"")</f>
        <v/>
      </c>
    </row>
    <row r="100" customFormat="false" ht="15" hidden="false" customHeight="true" outlineLevel="0" collapsed="false">
      <c r="A100" s="31"/>
      <c r="B100" s="31"/>
      <c r="C100" s="31"/>
      <c r="D100" s="31"/>
      <c r="E100" s="31"/>
      <c r="F100" s="34" t="str">
        <f aca="false">IF($C100=GoalLens!$B$3,MAX($F$1:F99)+1,"")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11" min="8" style="1" width="6"/>
    <col collapsed="false" customWidth="true" hidden="false" outlineLevel="0" max="13" min="12" style="1" width="12"/>
    <col collapsed="false" customWidth="true" hidden="false" outlineLevel="0" max="14" min="14" style="1" width="10"/>
  </cols>
  <sheetData>
    <row r="1" customFormat="false" ht="30" hidden="false" customHeight="true" outlineLevel="0" collapsed="false">
      <c r="A1" s="30" t="s">
        <v>159</v>
      </c>
      <c r="B1" s="30" t="s">
        <v>54</v>
      </c>
      <c r="C1" s="30" t="s">
        <v>26</v>
      </c>
      <c r="D1" s="30" t="s">
        <v>27</v>
      </c>
      <c r="E1" s="30" t="s">
        <v>160</v>
      </c>
      <c r="F1" s="30" t="s">
        <v>28</v>
      </c>
      <c r="G1" s="30" t="s">
        <v>161</v>
      </c>
      <c r="H1" s="33" t="s">
        <v>2</v>
      </c>
      <c r="I1" s="33" t="s">
        <v>104</v>
      </c>
      <c r="J1" s="33" t="s">
        <v>108</v>
      </c>
      <c r="K1" s="33" t="s">
        <v>112</v>
      </c>
      <c r="L1" s="33" t="s">
        <v>162</v>
      </c>
      <c r="M1" s="33" t="s">
        <v>163</v>
      </c>
      <c r="N1" s="33" t="s">
        <v>120</v>
      </c>
    </row>
    <row r="2" customFormat="false" ht="15" hidden="false" customHeight="true" outlineLevel="0" collapsed="false">
      <c r="A2" s="31" t="s">
        <v>101</v>
      </c>
      <c r="B2" s="31" t="s">
        <v>164</v>
      </c>
      <c r="C2" s="31" t="s">
        <v>165</v>
      </c>
      <c r="D2" s="31" t="s">
        <v>78</v>
      </c>
      <c r="E2" s="31" t="s">
        <v>166</v>
      </c>
      <c r="F2" s="31" t="s">
        <v>114</v>
      </c>
      <c r="G2" s="31" t="s">
        <v>117</v>
      </c>
      <c r="H2" s="34" t="n">
        <f aca="false">IF($A2="","",IF(COUNTIFS(Flows!$B$2:$B$400,"required",Flows!$L$2:$L$400,H$1,Flows!$D$2:$D$400,$A2)+COUNTIFS(Flows!$B$2:$B$400,"required",Flows!$L$2:$L$400,H$1,Flows!$E$2:$E$400,$A2)&gt;0,1,0))</f>
        <v>1</v>
      </c>
      <c r="I2" s="34" t="n">
        <f aca="false">IF($A2="","",IF(COUNTIFS(Flows!$B$2:$B$400,"required",Flows!$L$2:$L$400,I$1,Flows!$D$2:$D$400,$A2)+COUNTIFS(Flows!$B$2:$B$400,"required",Flows!$L$2:$L$400,I$1,Flows!$E$2:$E$400,$A2)&gt;0,1,0))</f>
        <v>0</v>
      </c>
      <c r="J2" s="34" t="n">
        <f aca="false">IF($A2="","",IF(COUNTIFS(Flows!$B$2:$B$400,"required",Flows!$L$2:$L$400,J$1,Flows!$D$2:$D$400,$A2)+COUNTIFS(Flows!$B$2:$B$400,"required",Flows!$L$2:$L$400,J$1,Flows!$E$2:$E$400,$A2)&gt;0,1,0))</f>
        <v>0</v>
      </c>
      <c r="K2" s="34" t="n">
        <f aca="false">IF($A2="","",IF(COUNTIFS(Flows!$B$2:$B$400,"required",Flows!$L$2:$L$400,K$1,Flows!$D$2:$D$400,$A2)+COUNTIFS(Flows!$B$2:$B$400,"required",Flows!$L$2:$L$400,K$1,Flows!$E$2:$E$400,$A2)&gt;0,1,0))</f>
        <v>1</v>
      </c>
      <c r="L2" s="34" t="n">
        <f aca="false">IF($A2="","",IFERROR(INDEX($H2:$K2,MATCH(GoalLens!$B$3,$H$1:$K$1,0)),0))</f>
        <v>1</v>
      </c>
      <c r="M2" s="34" t="n">
        <f aca="false">IF($A2="","",IF(COUNTIFS(Flows!$B$2:$B$400,"required",Flows!$L$2:$L$400,GoalLens!$B$3,Flows!$T$2:$T$400,"&lt;&gt;covered",Flows!$D$2:$D$400,$A2)+COUNTIFS(Flows!$B$2:$B$400,"required",Flows!$L$2:$L$400,GoalLens!$B$3,Flows!$T$2:$T$400,"&lt;&gt;covered",Flows!$E$2:$E$400,$A2)&gt;0,1,0))</f>
        <v>1</v>
      </c>
      <c r="N2" s="34" t="n">
        <f aca="false">IF($L2=1,MAX($N$1:N1)+1,"")</f>
        <v>1</v>
      </c>
    </row>
    <row r="3" customFormat="false" ht="15" hidden="false" customHeight="true" outlineLevel="0" collapsed="false">
      <c r="A3" s="31" t="s">
        <v>106</v>
      </c>
      <c r="B3" s="31" t="s">
        <v>167</v>
      </c>
      <c r="C3" s="31" t="s">
        <v>168</v>
      </c>
      <c r="D3" s="31" t="s">
        <v>78</v>
      </c>
      <c r="E3" s="31" t="s">
        <v>166</v>
      </c>
      <c r="F3" s="31" t="s">
        <v>111</v>
      </c>
      <c r="G3" s="31" t="s">
        <v>117</v>
      </c>
      <c r="H3" s="34" t="n">
        <f aca="false">IF($A3="","",IF(COUNTIFS(Flows!$B$2:$B$400,"required",Flows!$L$2:$L$400,H$1,Flows!$D$2:$D$400,$A3)+COUNTIFS(Flows!$B$2:$B$400,"required",Flows!$L$2:$L$400,H$1,Flows!$E$2:$E$400,$A3)&gt;0,1,0))</f>
        <v>1</v>
      </c>
      <c r="I3" s="34" t="n">
        <f aca="false">IF($A3="","",IF(COUNTIFS(Flows!$B$2:$B$400,"required",Flows!$L$2:$L$400,I$1,Flows!$D$2:$D$400,$A3)+COUNTIFS(Flows!$B$2:$B$400,"required",Flows!$L$2:$L$400,I$1,Flows!$E$2:$E$400,$A3)&gt;0,1,0))</f>
        <v>1</v>
      </c>
      <c r="J3" s="34" t="n">
        <f aca="false">IF($A3="","",IF(COUNTIFS(Flows!$B$2:$B$400,"required",Flows!$L$2:$L$400,J$1,Flows!$D$2:$D$400,$A3)+COUNTIFS(Flows!$B$2:$B$400,"required",Flows!$L$2:$L$400,J$1,Flows!$E$2:$E$400,$A3)&gt;0,1,0))</f>
        <v>0</v>
      </c>
      <c r="K3" s="34" t="n">
        <f aca="false">IF($A3="","",IF(COUNTIFS(Flows!$B$2:$B$400,"required",Flows!$L$2:$L$400,K$1,Flows!$D$2:$D$400,$A3)+COUNTIFS(Flows!$B$2:$B$400,"required",Flows!$L$2:$L$400,K$1,Flows!$E$2:$E$400,$A3)&gt;0,1,0))</f>
        <v>0</v>
      </c>
      <c r="L3" s="34" t="n">
        <f aca="false">IF($A3="","",IFERROR(INDEX($H3:$K3,MATCH(GoalLens!$B$3,$H$1:$K$1,0)),0))</f>
        <v>1</v>
      </c>
      <c r="M3" s="34" t="n">
        <f aca="false">IF($A3="","",IF(COUNTIFS(Flows!$B$2:$B$400,"required",Flows!$L$2:$L$400,GoalLens!$B$3,Flows!$T$2:$T$400,"&lt;&gt;covered",Flows!$D$2:$D$400,$A3)+COUNTIFS(Flows!$B$2:$B$400,"required",Flows!$L$2:$L$400,GoalLens!$B$3,Flows!$T$2:$T$400,"&lt;&gt;covered",Flows!$E$2:$E$400,$A3)&gt;0,1,0))</f>
        <v>1</v>
      </c>
      <c r="N3" s="34" t="n">
        <f aca="false">IF($L3=1,MAX($N$1:N2)+1,"")</f>
        <v>2</v>
      </c>
    </row>
    <row r="4" customFormat="false" ht="15" hidden="false" customHeight="true" outlineLevel="0" collapsed="false">
      <c r="A4" s="31" t="s">
        <v>169</v>
      </c>
      <c r="B4" s="31" t="s">
        <v>170</v>
      </c>
      <c r="C4" s="31" t="s">
        <v>171</v>
      </c>
      <c r="D4" s="31" t="s">
        <v>78</v>
      </c>
      <c r="E4" s="31" t="s">
        <v>166</v>
      </c>
      <c r="F4" s="31" t="s">
        <v>107</v>
      </c>
      <c r="G4" s="31" t="s">
        <v>114</v>
      </c>
      <c r="H4" s="34" t="n">
        <f aca="false">IF($A4="","",IF(COUNTIFS(Flows!$B$2:$B$400,"required",Flows!$L$2:$L$400,H$1,Flows!$D$2:$D$400,$A4)+COUNTIFS(Flows!$B$2:$B$400,"required",Flows!$L$2:$L$400,H$1,Flows!$E$2:$E$400,$A4)&gt;0,1,0))</f>
        <v>1</v>
      </c>
      <c r="I4" s="34" t="n">
        <f aca="false">IF($A4="","",IF(COUNTIFS(Flows!$B$2:$B$400,"required",Flows!$L$2:$L$400,I$1,Flows!$D$2:$D$400,$A4)+COUNTIFS(Flows!$B$2:$B$400,"required",Flows!$L$2:$L$400,I$1,Flows!$E$2:$E$400,$A4)&gt;0,1,0))</f>
        <v>1</v>
      </c>
      <c r="J4" s="34" t="n">
        <f aca="false">IF($A4="","",IF(COUNTIFS(Flows!$B$2:$B$400,"required",Flows!$L$2:$L$400,J$1,Flows!$D$2:$D$400,$A4)+COUNTIFS(Flows!$B$2:$B$400,"required",Flows!$L$2:$L$400,J$1,Flows!$E$2:$E$400,$A4)&gt;0,1,0))</f>
        <v>1</v>
      </c>
      <c r="K4" s="34" t="n">
        <f aca="false">IF($A4="","",IF(COUNTIFS(Flows!$B$2:$B$400,"required",Flows!$L$2:$L$400,K$1,Flows!$D$2:$D$400,$A4)+COUNTIFS(Flows!$B$2:$B$400,"required",Flows!$L$2:$L$400,K$1,Flows!$E$2:$E$400,$A4)&gt;0,1,0))</f>
        <v>0</v>
      </c>
      <c r="L4" s="34" t="n">
        <f aca="false">IF($A4="","",IFERROR(INDEX($H4:$K4,MATCH(GoalLens!$B$3,$H$1:$K$1,0)),0))</f>
        <v>1</v>
      </c>
      <c r="M4" s="34" t="n">
        <f aca="false">IF($A4="","",IF(COUNTIFS(Flows!$B$2:$B$400,"required",Flows!$L$2:$L$400,GoalLens!$B$3,Flows!$T$2:$T$400,"&lt;&gt;covered",Flows!$D$2:$D$400,$A4)+COUNTIFS(Flows!$B$2:$B$400,"required",Flows!$L$2:$L$400,GoalLens!$B$3,Flows!$T$2:$T$400,"&lt;&gt;covered",Flows!$E$2:$E$400,$A4)&gt;0,1,0))</f>
        <v>0</v>
      </c>
      <c r="N4" s="34" t="n">
        <f aca="false">IF($L4=1,MAX($N$1:N3)+1,"")</f>
        <v>3</v>
      </c>
    </row>
    <row r="5" customFormat="false" ht="15" hidden="false" customHeight="true" outlineLevel="0" collapsed="false">
      <c r="A5" s="31" t="s">
        <v>110</v>
      </c>
      <c r="B5" s="31" t="s">
        <v>172</v>
      </c>
      <c r="C5" s="31" t="s">
        <v>173</v>
      </c>
      <c r="D5" s="31" t="s">
        <v>80</v>
      </c>
      <c r="E5" s="31" t="s">
        <v>166</v>
      </c>
      <c r="F5" s="31" t="s">
        <v>114</v>
      </c>
      <c r="G5" s="31" t="s">
        <v>111</v>
      </c>
      <c r="H5" s="34" t="n">
        <f aca="false">IF($A5="","",IF(COUNTIFS(Flows!$B$2:$B$400,"required",Flows!$L$2:$L$400,H$1,Flows!$D$2:$D$400,$A5)+COUNTIFS(Flows!$B$2:$B$400,"required",Flows!$L$2:$L$400,H$1,Flows!$E$2:$E$400,$A5)&gt;0,1,0))</f>
        <v>1</v>
      </c>
      <c r="I5" s="34" t="n">
        <f aca="false">IF($A5="","",IF(COUNTIFS(Flows!$B$2:$B$400,"required",Flows!$L$2:$L$400,I$1,Flows!$D$2:$D$400,$A5)+COUNTIFS(Flows!$B$2:$B$400,"required",Flows!$L$2:$L$400,I$1,Flows!$E$2:$E$400,$A5)&gt;0,1,0))</f>
        <v>1</v>
      </c>
      <c r="J5" s="34" t="n">
        <f aca="false">IF($A5="","",IF(COUNTIFS(Flows!$B$2:$B$400,"required",Flows!$L$2:$L$400,J$1,Flows!$D$2:$D$400,$A5)+COUNTIFS(Flows!$B$2:$B$400,"required",Flows!$L$2:$L$400,J$1,Flows!$E$2:$E$400,$A5)&gt;0,1,0))</f>
        <v>1</v>
      </c>
      <c r="K5" s="34" t="n">
        <f aca="false">IF($A5="","",IF(COUNTIFS(Flows!$B$2:$B$400,"required",Flows!$L$2:$L$400,K$1,Flows!$D$2:$D$400,$A5)+COUNTIFS(Flows!$B$2:$B$400,"required",Flows!$L$2:$L$400,K$1,Flows!$E$2:$E$400,$A5)&gt;0,1,0))</f>
        <v>0</v>
      </c>
      <c r="L5" s="34" t="n">
        <f aca="false">IF($A5="","",IFERROR(INDEX($H5:$K5,MATCH(GoalLens!$B$3,$H$1:$K$1,0)),0))</f>
        <v>1</v>
      </c>
      <c r="M5" s="34" t="n">
        <f aca="false">IF($A5="","",IF(COUNTIFS(Flows!$B$2:$B$400,"required",Flows!$L$2:$L$400,GoalLens!$B$3,Flows!$T$2:$T$400,"&lt;&gt;covered",Flows!$D$2:$D$400,$A5)+COUNTIFS(Flows!$B$2:$B$400,"required",Flows!$L$2:$L$400,GoalLens!$B$3,Flows!$T$2:$T$400,"&lt;&gt;covered",Flows!$E$2:$E$400,$A5)&gt;0,1,0))</f>
        <v>0</v>
      </c>
      <c r="N5" s="34" t="n">
        <f aca="false">IF($L5=1,MAX($N$1:N4)+1,"")</f>
        <v>4</v>
      </c>
    </row>
    <row r="6" customFormat="false" ht="15" hidden="false" customHeight="true" outlineLevel="0" collapsed="false">
      <c r="A6" s="31" t="s">
        <v>174</v>
      </c>
      <c r="B6" s="31" t="s">
        <v>175</v>
      </c>
      <c r="C6" s="31" t="s">
        <v>176</v>
      </c>
      <c r="D6" s="31" t="s">
        <v>78</v>
      </c>
      <c r="E6" s="31" t="s">
        <v>166</v>
      </c>
      <c r="F6" s="31" t="s">
        <v>107</v>
      </c>
      <c r="G6" s="31" t="s">
        <v>114</v>
      </c>
      <c r="H6" s="34" t="n">
        <f aca="false">IF($A6="","",IF(COUNTIFS(Flows!$B$2:$B$400,"required",Flows!$L$2:$L$400,H$1,Flows!$D$2:$D$400,$A6)+COUNTIFS(Flows!$B$2:$B$400,"required",Flows!$L$2:$L$400,H$1,Flows!$E$2:$E$400,$A6)&gt;0,1,0))</f>
        <v>1</v>
      </c>
      <c r="I6" s="34" t="n">
        <f aca="false">IF($A6="","",IF(COUNTIFS(Flows!$B$2:$B$400,"required",Flows!$L$2:$L$400,I$1,Flows!$D$2:$D$400,$A6)+COUNTIFS(Flows!$B$2:$B$400,"required",Flows!$L$2:$L$400,I$1,Flows!$E$2:$E$400,$A6)&gt;0,1,0))</f>
        <v>1</v>
      </c>
      <c r="J6" s="34" t="n">
        <f aca="false">IF($A6="","",IF(COUNTIFS(Flows!$B$2:$B$400,"required",Flows!$L$2:$L$400,J$1,Flows!$D$2:$D$400,$A6)+COUNTIFS(Flows!$B$2:$B$400,"required",Flows!$L$2:$L$400,J$1,Flows!$E$2:$E$400,$A6)&gt;0,1,0))</f>
        <v>0</v>
      </c>
      <c r="K6" s="34" t="n">
        <f aca="false">IF($A6="","",IF(COUNTIFS(Flows!$B$2:$B$400,"required",Flows!$L$2:$L$400,K$1,Flows!$D$2:$D$400,$A6)+COUNTIFS(Flows!$B$2:$B$400,"required",Flows!$L$2:$L$400,K$1,Flows!$E$2:$E$400,$A6)&gt;0,1,0))</f>
        <v>0</v>
      </c>
      <c r="L6" s="34" t="n">
        <f aca="false">IF($A6="","",IFERROR(INDEX($H6:$K6,MATCH(GoalLens!$B$3,$H$1:$K$1,0)),0))</f>
        <v>1</v>
      </c>
      <c r="M6" s="34" t="n">
        <f aca="false">IF($A6="","",IF(COUNTIFS(Flows!$B$2:$B$400,"required",Flows!$L$2:$L$400,GoalLens!$B$3,Flows!$T$2:$T$400,"&lt;&gt;covered",Flows!$D$2:$D$400,$A6)+COUNTIFS(Flows!$B$2:$B$400,"required",Flows!$L$2:$L$400,GoalLens!$B$3,Flows!$T$2:$T$400,"&lt;&gt;covered",Flows!$E$2:$E$400,$A6)&gt;0,1,0))</f>
        <v>1</v>
      </c>
      <c r="N6" s="34" t="n">
        <f aca="false">IF($L6=1,MAX($N$1:N5)+1,"")</f>
        <v>5</v>
      </c>
    </row>
    <row r="7" customFormat="false" ht="15" hidden="false" customHeight="true" outlineLevel="0" collapsed="false">
      <c r="A7" s="31" t="s">
        <v>177</v>
      </c>
      <c r="B7" s="31" t="s">
        <v>178</v>
      </c>
      <c r="C7" s="31" t="s">
        <v>179</v>
      </c>
      <c r="D7" s="31" t="s">
        <v>79</v>
      </c>
      <c r="E7" s="31" t="s">
        <v>166</v>
      </c>
      <c r="F7" s="31" t="s">
        <v>111</v>
      </c>
      <c r="G7" s="31" t="s">
        <v>111</v>
      </c>
      <c r="H7" s="34" t="n">
        <f aca="false">IF($A7="","",IF(COUNTIFS(Flows!$B$2:$B$400,"required",Flows!$L$2:$L$400,H$1,Flows!$D$2:$D$400,$A7)+COUNTIFS(Flows!$B$2:$B$400,"required",Flows!$L$2:$L$400,H$1,Flows!$E$2:$E$400,$A7)&gt;0,1,0))</f>
        <v>1</v>
      </c>
      <c r="I7" s="34" t="n">
        <f aca="false">IF($A7="","",IF(COUNTIFS(Flows!$B$2:$B$400,"required",Flows!$L$2:$L$400,I$1,Flows!$D$2:$D$400,$A7)+COUNTIFS(Flows!$B$2:$B$400,"required",Flows!$L$2:$L$400,I$1,Flows!$E$2:$E$400,$A7)&gt;0,1,0))</f>
        <v>1</v>
      </c>
      <c r="J7" s="34" t="n">
        <f aca="false">IF($A7="","",IF(COUNTIFS(Flows!$B$2:$B$400,"required",Flows!$L$2:$L$400,J$1,Flows!$D$2:$D$400,$A7)+COUNTIFS(Flows!$B$2:$B$400,"required",Flows!$L$2:$L$400,J$1,Flows!$E$2:$E$400,$A7)&gt;0,1,0))</f>
        <v>0</v>
      </c>
      <c r="K7" s="34" t="n">
        <f aca="false">IF($A7="","",IF(COUNTIFS(Flows!$B$2:$B$400,"required",Flows!$L$2:$L$400,K$1,Flows!$D$2:$D$400,$A7)+COUNTIFS(Flows!$B$2:$B$400,"required",Flows!$L$2:$L$400,K$1,Flows!$E$2:$E$400,$A7)&gt;0,1,0))</f>
        <v>1</v>
      </c>
      <c r="L7" s="34" t="n">
        <f aca="false">IF($A7="","",IFERROR(INDEX($H7:$K7,MATCH(GoalLens!$B$3,$H$1:$K$1,0)),0))</f>
        <v>1</v>
      </c>
      <c r="M7" s="34" t="n">
        <f aca="false">IF($A7="","",IF(COUNTIFS(Flows!$B$2:$B$400,"required",Flows!$L$2:$L$400,GoalLens!$B$3,Flows!$T$2:$T$400,"&lt;&gt;covered",Flows!$D$2:$D$400,$A7)+COUNTIFS(Flows!$B$2:$B$400,"required",Flows!$L$2:$L$400,GoalLens!$B$3,Flows!$T$2:$T$400,"&lt;&gt;covered",Flows!$E$2:$E$400,$A7)&gt;0,1,0))</f>
        <v>0</v>
      </c>
      <c r="N7" s="34" t="n">
        <f aca="false">IF($L7=1,MAX($N$1:N6)+1,"")</f>
        <v>6</v>
      </c>
    </row>
    <row r="8" customFormat="false" ht="15" hidden="false" customHeight="true" outlineLevel="0" collapsed="false">
      <c r="A8" s="31" t="s">
        <v>180</v>
      </c>
      <c r="B8" s="31" t="s">
        <v>181</v>
      </c>
      <c r="C8" s="31" t="s">
        <v>182</v>
      </c>
      <c r="D8" s="31" t="s">
        <v>77</v>
      </c>
      <c r="E8" s="31" t="s">
        <v>166</v>
      </c>
      <c r="F8" s="31" t="s">
        <v>111</v>
      </c>
      <c r="G8" s="31" t="s">
        <v>107</v>
      </c>
      <c r="H8" s="34" t="n">
        <f aca="false">IF($A8="","",IF(COUNTIFS(Flows!$B$2:$B$400,"required",Flows!$L$2:$L$400,H$1,Flows!$D$2:$D$400,$A8)+COUNTIFS(Flows!$B$2:$B$400,"required",Flows!$L$2:$L$400,H$1,Flows!$E$2:$E$400,$A8)&gt;0,1,0))</f>
        <v>1</v>
      </c>
      <c r="I8" s="34" t="n">
        <f aca="false">IF($A8="","",IF(COUNTIFS(Flows!$B$2:$B$400,"required",Flows!$L$2:$L$400,I$1,Flows!$D$2:$D$400,$A8)+COUNTIFS(Flows!$B$2:$B$400,"required",Flows!$L$2:$L$400,I$1,Flows!$E$2:$E$400,$A8)&gt;0,1,0))</f>
        <v>0</v>
      </c>
      <c r="J8" s="34" t="n">
        <f aca="false">IF($A8="","",IF(COUNTIFS(Flows!$B$2:$B$400,"required",Flows!$L$2:$L$400,J$1,Flows!$D$2:$D$400,$A8)+COUNTIFS(Flows!$B$2:$B$400,"required",Flows!$L$2:$L$400,J$1,Flows!$E$2:$E$400,$A8)&gt;0,1,0))</f>
        <v>0</v>
      </c>
      <c r="K8" s="34" t="n">
        <f aca="false">IF($A8="","",IF(COUNTIFS(Flows!$B$2:$B$400,"required",Flows!$L$2:$L$400,K$1,Flows!$D$2:$D$400,$A8)+COUNTIFS(Flows!$B$2:$B$400,"required",Flows!$L$2:$L$400,K$1,Flows!$E$2:$E$400,$A8)&gt;0,1,0))</f>
        <v>0</v>
      </c>
      <c r="L8" s="34" t="n">
        <f aca="false">IF($A8="","",IFERROR(INDEX($H8:$K8,MATCH(GoalLens!$B$3,$H$1:$K$1,0)),0))</f>
        <v>1</v>
      </c>
      <c r="M8" s="34" t="n">
        <f aca="false">IF($A8="","",IF(COUNTIFS(Flows!$B$2:$B$400,"required",Flows!$L$2:$L$400,GoalLens!$B$3,Flows!$T$2:$T$400,"&lt;&gt;covered",Flows!$D$2:$D$400,$A8)+COUNTIFS(Flows!$B$2:$B$400,"required",Flows!$L$2:$L$400,GoalLens!$B$3,Flows!$T$2:$T$400,"&lt;&gt;covered",Flows!$E$2:$E$400,$A8)&gt;0,1,0))</f>
        <v>1</v>
      </c>
      <c r="N8" s="34" t="n">
        <f aca="false">IF($L8=1,MAX($N$1:N7)+1,"")</f>
        <v>7</v>
      </c>
    </row>
    <row r="9" customFormat="false" ht="15" hidden="false" customHeight="true" outlineLevel="0" collapsed="false">
      <c r="A9" s="31" t="s">
        <v>183</v>
      </c>
      <c r="B9" s="31" t="s">
        <v>184</v>
      </c>
      <c r="C9" s="31" t="s">
        <v>185</v>
      </c>
      <c r="D9" s="31" t="s">
        <v>79</v>
      </c>
      <c r="E9" s="31" t="s">
        <v>166</v>
      </c>
      <c r="F9" s="31" t="s">
        <v>117</v>
      </c>
      <c r="G9" s="31" t="s">
        <v>111</v>
      </c>
      <c r="H9" s="34" t="n">
        <f aca="false">IF($A9="","",IF(COUNTIFS(Flows!$B$2:$B$400,"required",Flows!$L$2:$L$400,H$1,Flows!$D$2:$D$400,$A9)+COUNTIFS(Flows!$B$2:$B$400,"required",Flows!$L$2:$L$400,H$1,Flows!$E$2:$E$400,$A9)&gt;0,1,0))</f>
        <v>0</v>
      </c>
      <c r="I9" s="34" t="n">
        <f aca="false">IF($A9="","",IF(COUNTIFS(Flows!$B$2:$B$400,"required",Flows!$L$2:$L$400,I$1,Flows!$D$2:$D$400,$A9)+COUNTIFS(Flows!$B$2:$B$400,"required",Flows!$L$2:$L$400,I$1,Flows!$E$2:$E$400,$A9)&gt;0,1,0))</f>
        <v>0</v>
      </c>
      <c r="J9" s="34" t="n">
        <f aca="false">IF($A9="","",IF(COUNTIFS(Flows!$B$2:$B$400,"required",Flows!$L$2:$L$400,J$1,Flows!$D$2:$D$400,$A9)+COUNTIFS(Flows!$B$2:$B$400,"required",Flows!$L$2:$L$400,J$1,Flows!$E$2:$E$400,$A9)&gt;0,1,0))</f>
        <v>1</v>
      </c>
      <c r="K9" s="34" t="n">
        <f aca="false">IF($A9="","",IF(COUNTIFS(Flows!$B$2:$B$400,"required",Flows!$L$2:$L$400,K$1,Flows!$D$2:$D$400,$A9)+COUNTIFS(Flows!$B$2:$B$400,"required",Flows!$L$2:$L$400,K$1,Flows!$E$2:$E$400,$A9)&gt;0,1,0))</f>
        <v>0</v>
      </c>
      <c r="L9" s="34" t="n">
        <f aca="false">IF($A9="","",IFERROR(INDEX($H9:$K9,MATCH(GoalLens!$B$3,$H$1:$K$1,0)),0))</f>
        <v>0</v>
      </c>
      <c r="M9" s="34" t="n">
        <f aca="false">IF($A9="","",IF(COUNTIFS(Flows!$B$2:$B$400,"required",Flows!$L$2:$L$400,GoalLens!$B$3,Flows!$T$2:$T$400,"&lt;&gt;covered",Flows!$D$2:$D$400,$A9)+COUNTIFS(Flows!$B$2:$B$400,"required",Flows!$L$2:$L$400,GoalLens!$B$3,Flows!$T$2:$T$400,"&lt;&gt;covered",Flows!$E$2:$E$400,$A9)&gt;0,1,0))</f>
        <v>0</v>
      </c>
      <c r="N9" s="34" t="str">
        <f aca="false">IF($L9=1,MAX($N$1:N8)+1,"")</f>
        <v/>
      </c>
    </row>
    <row r="10" customFormat="false" ht="15" hidden="false" customHeight="true" outlineLevel="0" collapsed="false">
      <c r="A10" s="31" t="s">
        <v>186</v>
      </c>
      <c r="B10" s="31" t="s">
        <v>187</v>
      </c>
      <c r="C10" s="31" t="s">
        <v>188</v>
      </c>
      <c r="D10" s="31" t="s">
        <v>81</v>
      </c>
      <c r="E10" s="31" t="s">
        <v>189</v>
      </c>
      <c r="F10" s="31" t="s">
        <v>111</v>
      </c>
      <c r="G10" s="31" t="s">
        <v>114</v>
      </c>
      <c r="H10" s="34" t="n">
        <f aca="false">IF($A10="","",IF(COUNTIFS(Flows!$B$2:$B$400,"required",Flows!$L$2:$L$400,H$1,Flows!$D$2:$D$400,$A10)+COUNTIFS(Flows!$B$2:$B$400,"required",Flows!$L$2:$L$400,H$1,Flows!$E$2:$E$400,$A10)&gt;0,1,0))</f>
        <v>1</v>
      </c>
      <c r="I10" s="34" t="n">
        <f aca="false">IF($A10="","",IF(COUNTIFS(Flows!$B$2:$B$400,"required",Flows!$L$2:$L$400,I$1,Flows!$D$2:$D$400,$A10)+COUNTIFS(Flows!$B$2:$B$400,"required",Flows!$L$2:$L$400,I$1,Flows!$E$2:$E$400,$A10)&gt;0,1,0))</f>
        <v>1</v>
      </c>
      <c r="J10" s="34" t="n">
        <f aca="false">IF($A10="","",IF(COUNTIFS(Flows!$B$2:$B$400,"required",Flows!$L$2:$L$400,J$1,Flows!$D$2:$D$400,$A10)+COUNTIFS(Flows!$B$2:$B$400,"required",Flows!$L$2:$L$400,J$1,Flows!$E$2:$E$400,$A10)&gt;0,1,0))</f>
        <v>0</v>
      </c>
      <c r="K10" s="34" t="n">
        <f aca="false">IF($A10="","",IF(COUNTIFS(Flows!$B$2:$B$400,"required",Flows!$L$2:$L$400,K$1,Flows!$D$2:$D$400,$A10)+COUNTIFS(Flows!$B$2:$B$400,"required",Flows!$L$2:$L$400,K$1,Flows!$E$2:$E$400,$A10)&gt;0,1,0))</f>
        <v>0</v>
      </c>
      <c r="L10" s="34" t="n">
        <f aca="false">IF($A10="","",IFERROR(INDEX($H10:$K10,MATCH(GoalLens!$B$3,$H$1:$K$1,0)),0))</f>
        <v>1</v>
      </c>
      <c r="M10" s="34" t="n">
        <f aca="false">IF($A10="","",IF(COUNTIFS(Flows!$B$2:$B$400,"required",Flows!$L$2:$L$400,GoalLens!$B$3,Flows!$T$2:$T$400,"&lt;&gt;covered",Flows!$D$2:$D$400,$A10)+COUNTIFS(Flows!$B$2:$B$400,"required",Flows!$L$2:$L$400,GoalLens!$B$3,Flows!$T$2:$T$400,"&lt;&gt;covered",Flows!$E$2:$E$400,$A10)&gt;0,1,0))</f>
        <v>0</v>
      </c>
      <c r="N10" s="34" t="n">
        <f aca="false">IF($L10=1,MAX($N$1:N9)+1,"")</f>
        <v>8</v>
      </c>
    </row>
    <row r="11" customFormat="false" ht="15" hidden="false" customHeight="true" outlineLevel="0" collapsed="false">
      <c r="A11" s="31" t="s">
        <v>190</v>
      </c>
      <c r="B11" s="31" t="s">
        <v>191</v>
      </c>
      <c r="C11" s="31" t="s">
        <v>192</v>
      </c>
      <c r="D11" s="31" t="s">
        <v>78</v>
      </c>
      <c r="E11" s="31" t="s">
        <v>166</v>
      </c>
      <c r="F11" s="31" t="s">
        <v>107</v>
      </c>
      <c r="G11" s="31" t="s">
        <v>111</v>
      </c>
      <c r="H11" s="34" t="n">
        <f aca="false">IF($A11="","",IF(COUNTIFS(Flows!$B$2:$B$400,"required",Flows!$L$2:$L$400,H$1,Flows!$D$2:$D$400,$A11)+COUNTIFS(Flows!$B$2:$B$400,"required",Flows!$L$2:$L$400,H$1,Flows!$E$2:$E$400,$A11)&gt;0,1,0))</f>
        <v>0</v>
      </c>
      <c r="I11" s="34" t="n">
        <f aca="false">IF($A11="","",IF(COUNTIFS(Flows!$B$2:$B$400,"required",Flows!$L$2:$L$400,I$1,Flows!$D$2:$D$400,$A11)+COUNTIFS(Flows!$B$2:$B$400,"required",Flows!$L$2:$L$400,I$1,Flows!$E$2:$E$400,$A11)&gt;0,1,0))</f>
        <v>0</v>
      </c>
      <c r="J11" s="34" t="n">
        <f aca="false">IF($A11="","",IF(COUNTIFS(Flows!$B$2:$B$400,"required",Flows!$L$2:$L$400,J$1,Flows!$D$2:$D$400,$A11)+COUNTIFS(Flows!$B$2:$B$400,"required",Flows!$L$2:$L$400,J$1,Flows!$E$2:$E$400,$A11)&gt;0,1,0))</f>
        <v>0</v>
      </c>
      <c r="K11" s="34" t="n">
        <f aca="false">IF($A11="","",IF(COUNTIFS(Flows!$B$2:$B$400,"required",Flows!$L$2:$L$400,K$1,Flows!$D$2:$D$400,$A11)+COUNTIFS(Flows!$B$2:$B$400,"required",Flows!$L$2:$L$400,K$1,Flows!$E$2:$E$400,$A11)&gt;0,1,0))</f>
        <v>1</v>
      </c>
      <c r="L11" s="34" t="n">
        <f aca="false">IF($A11="","",IFERROR(INDEX($H11:$K11,MATCH(GoalLens!$B$3,$H$1:$K$1,0)),0))</f>
        <v>0</v>
      </c>
      <c r="M11" s="34" t="n">
        <f aca="false">IF($A11="","",IF(COUNTIFS(Flows!$B$2:$B$400,"required",Flows!$L$2:$L$400,GoalLens!$B$3,Flows!$T$2:$T$400,"&lt;&gt;covered",Flows!$D$2:$D$400,$A11)+COUNTIFS(Flows!$B$2:$B$400,"required",Flows!$L$2:$L$400,GoalLens!$B$3,Flows!$T$2:$T$400,"&lt;&gt;covered",Flows!$E$2:$E$400,$A11)&gt;0,1,0))</f>
        <v>0</v>
      </c>
      <c r="N11" s="34" t="str">
        <f aca="false">IF($L11=1,MAX($N$1:N10)+1,"")</f>
        <v/>
      </c>
    </row>
    <row r="12" customFormat="false" ht="15" hidden="false" customHeight="true" outlineLevel="0" collapsed="false">
      <c r="A12" s="31" t="s">
        <v>193</v>
      </c>
      <c r="B12" s="31" t="s">
        <v>194</v>
      </c>
      <c r="C12" s="31" t="s">
        <v>195</v>
      </c>
      <c r="D12" s="31" t="s">
        <v>79</v>
      </c>
      <c r="E12" s="31" t="s">
        <v>27</v>
      </c>
      <c r="F12" s="31" t="s">
        <v>107</v>
      </c>
      <c r="G12" s="31" t="s">
        <v>107</v>
      </c>
      <c r="H12" s="34" t="n">
        <f aca="false">IF($A12="","",IF(COUNTIFS(Flows!$B$2:$B$400,"required",Flows!$L$2:$L$400,H$1,Flows!$D$2:$D$400,$A12)+COUNTIFS(Flows!$B$2:$B$400,"required",Flows!$L$2:$L$400,H$1,Flows!$E$2:$E$400,$A12)&gt;0,1,0))</f>
        <v>0</v>
      </c>
      <c r="I12" s="34" t="n">
        <f aca="false">IF($A12="","",IF(COUNTIFS(Flows!$B$2:$B$400,"required",Flows!$L$2:$L$400,I$1,Flows!$D$2:$D$400,$A12)+COUNTIFS(Flows!$B$2:$B$400,"required",Flows!$L$2:$L$400,I$1,Flows!$E$2:$E$400,$A12)&gt;0,1,0))</f>
        <v>0</v>
      </c>
      <c r="J12" s="34" t="n">
        <f aca="false">IF($A12="","",IF(COUNTIFS(Flows!$B$2:$B$400,"required",Flows!$L$2:$L$400,J$1,Flows!$D$2:$D$400,$A12)+COUNTIFS(Flows!$B$2:$B$400,"required",Flows!$L$2:$L$400,J$1,Flows!$E$2:$E$400,$A12)&gt;0,1,0))</f>
        <v>0</v>
      </c>
      <c r="K12" s="34" t="n">
        <f aca="false">IF($A12="","",IF(COUNTIFS(Flows!$B$2:$B$400,"required",Flows!$L$2:$L$400,K$1,Flows!$D$2:$D$400,$A12)+COUNTIFS(Flows!$B$2:$B$400,"required",Flows!$L$2:$L$400,K$1,Flows!$E$2:$E$400,$A12)&gt;0,1,0))</f>
        <v>0</v>
      </c>
      <c r="L12" s="34" t="n">
        <f aca="false">IF($A12="","",IFERROR(INDEX($H12:$K12,MATCH(GoalLens!$B$3,$H$1:$K$1,0)),0))</f>
        <v>0</v>
      </c>
      <c r="M12" s="34" t="n">
        <f aca="false">IF($A12="","",IF(COUNTIFS(Flows!$B$2:$B$400,"required",Flows!$L$2:$L$400,GoalLens!$B$3,Flows!$T$2:$T$400,"&lt;&gt;covered",Flows!$D$2:$D$400,$A12)+COUNTIFS(Flows!$B$2:$B$400,"required",Flows!$L$2:$L$400,GoalLens!$B$3,Flows!$T$2:$T$400,"&lt;&gt;covered",Flows!$E$2:$E$400,$A12)&gt;0,1,0))</f>
        <v>0</v>
      </c>
      <c r="N12" s="34" t="str">
        <f aca="false">IF($L12=1,MAX($N$1:N11)+1,"")</f>
        <v/>
      </c>
    </row>
    <row r="13" customFormat="false" ht="15" hidden="false" customHeight="true" outlineLevel="0" collapsed="false">
      <c r="A13" s="31"/>
      <c r="B13" s="31"/>
      <c r="C13" s="31"/>
      <c r="D13" s="31"/>
      <c r="E13" s="31"/>
      <c r="F13" s="31"/>
      <c r="G13" s="31"/>
      <c r="H13" s="34" t="str">
        <f aca="false">IF($A13="","",IF(COUNTIFS(Flows!$B$2:$B$400,"required",Flows!$L$2:$L$400,H$1,Flows!$D$2:$D$400,$A13)+COUNTIFS(Flows!$B$2:$B$400,"required",Flows!$L$2:$L$400,H$1,Flows!$E$2:$E$400,$A13)&gt;0,1,0))</f>
        <v/>
      </c>
      <c r="I13" s="34" t="str">
        <f aca="false">IF($A13="","",IF(COUNTIFS(Flows!$B$2:$B$400,"required",Flows!$L$2:$L$400,I$1,Flows!$D$2:$D$400,$A13)+COUNTIFS(Flows!$B$2:$B$400,"required",Flows!$L$2:$L$400,I$1,Flows!$E$2:$E$400,$A13)&gt;0,1,0))</f>
        <v/>
      </c>
      <c r="J13" s="34" t="str">
        <f aca="false">IF($A13="","",IF(COUNTIFS(Flows!$B$2:$B$400,"required",Flows!$L$2:$L$400,J$1,Flows!$D$2:$D$400,$A13)+COUNTIFS(Flows!$B$2:$B$400,"required",Flows!$L$2:$L$400,J$1,Flows!$E$2:$E$400,$A13)&gt;0,1,0))</f>
        <v/>
      </c>
      <c r="K13" s="34" t="str">
        <f aca="false">IF($A13="","",IF(COUNTIFS(Flows!$B$2:$B$400,"required",Flows!$L$2:$L$400,K$1,Flows!$D$2:$D$400,$A13)+COUNTIFS(Flows!$B$2:$B$400,"required",Flows!$L$2:$L$400,K$1,Flows!$E$2:$E$400,$A13)&gt;0,1,0))</f>
        <v/>
      </c>
      <c r="L13" s="34" t="str">
        <f aca="false">IF($A13="","",IFERROR(INDEX($H13:$K13,MATCH(GoalLens!$B$3,$H$1:$K$1,0)),0))</f>
        <v/>
      </c>
      <c r="M13" s="34" t="str">
        <f aca="false">IF($A13="","",IF(COUNTIFS(Flows!$B$2:$B$400,"required",Flows!$L$2:$L$400,GoalLens!$B$3,Flows!$T$2:$T$400,"&lt;&gt;covered",Flows!$D$2:$D$400,$A13)+COUNTIFS(Flows!$B$2:$B$400,"required",Flows!$L$2:$L$400,GoalLens!$B$3,Flows!$T$2:$T$400,"&lt;&gt;covered",Flows!$E$2:$E$400,$A13)&gt;0,1,0))</f>
        <v/>
      </c>
      <c r="N13" s="34" t="str">
        <f aca="false">IF($L13=1,MAX($N$1:N12)+1,"")</f>
        <v/>
      </c>
    </row>
    <row r="14" customFormat="false" ht="15" hidden="false" customHeight="true" outlineLevel="0" collapsed="false">
      <c r="A14" s="31"/>
      <c r="B14" s="31"/>
      <c r="C14" s="31"/>
      <c r="D14" s="31"/>
      <c r="E14" s="31"/>
      <c r="F14" s="31"/>
      <c r="G14" s="31"/>
      <c r="H14" s="34" t="str">
        <f aca="false">IF($A14="","",IF(COUNTIFS(Flows!$B$2:$B$400,"required",Flows!$L$2:$L$400,H$1,Flows!$D$2:$D$400,$A14)+COUNTIFS(Flows!$B$2:$B$400,"required",Flows!$L$2:$L$400,H$1,Flows!$E$2:$E$400,$A14)&gt;0,1,0))</f>
        <v/>
      </c>
      <c r="I14" s="34" t="str">
        <f aca="false">IF($A14="","",IF(COUNTIFS(Flows!$B$2:$B$400,"required",Flows!$L$2:$L$400,I$1,Flows!$D$2:$D$400,$A14)+COUNTIFS(Flows!$B$2:$B$400,"required",Flows!$L$2:$L$400,I$1,Flows!$E$2:$E$400,$A14)&gt;0,1,0))</f>
        <v/>
      </c>
      <c r="J14" s="34" t="str">
        <f aca="false">IF($A14="","",IF(COUNTIFS(Flows!$B$2:$B$400,"required",Flows!$L$2:$L$400,J$1,Flows!$D$2:$D$400,$A14)+COUNTIFS(Flows!$B$2:$B$400,"required",Flows!$L$2:$L$400,J$1,Flows!$E$2:$E$400,$A14)&gt;0,1,0))</f>
        <v/>
      </c>
      <c r="K14" s="34" t="str">
        <f aca="false">IF($A14="","",IF(COUNTIFS(Flows!$B$2:$B$400,"required",Flows!$L$2:$L$400,K$1,Flows!$D$2:$D$400,$A14)+COUNTIFS(Flows!$B$2:$B$400,"required",Flows!$L$2:$L$400,K$1,Flows!$E$2:$E$400,$A14)&gt;0,1,0))</f>
        <v/>
      </c>
      <c r="L14" s="34" t="str">
        <f aca="false">IF($A14="","",IFERROR(INDEX($H14:$K14,MATCH(GoalLens!$B$3,$H$1:$K$1,0)),0))</f>
        <v/>
      </c>
      <c r="M14" s="34" t="str">
        <f aca="false">IF($A14="","",IF(COUNTIFS(Flows!$B$2:$B$400,"required",Flows!$L$2:$L$400,GoalLens!$B$3,Flows!$T$2:$T$400,"&lt;&gt;covered",Flows!$D$2:$D$400,$A14)+COUNTIFS(Flows!$B$2:$B$400,"required",Flows!$L$2:$L$400,GoalLens!$B$3,Flows!$T$2:$T$400,"&lt;&gt;covered",Flows!$E$2:$E$400,$A14)&gt;0,1,0))</f>
        <v/>
      </c>
      <c r="N14" s="34" t="str">
        <f aca="false">IF($L14=1,MAX($N$1:N13)+1,"")</f>
        <v/>
      </c>
    </row>
    <row r="15" customFormat="false" ht="15" hidden="false" customHeight="true" outlineLevel="0" collapsed="false">
      <c r="A15" s="31"/>
      <c r="B15" s="31"/>
      <c r="C15" s="31"/>
      <c r="D15" s="31"/>
      <c r="E15" s="31"/>
      <c r="F15" s="31"/>
      <c r="G15" s="31"/>
      <c r="H15" s="34" t="str">
        <f aca="false">IF($A15="","",IF(COUNTIFS(Flows!$B$2:$B$400,"required",Flows!$L$2:$L$400,H$1,Flows!$D$2:$D$400,$A15)+COUNTIFS(Flows!$B$2:$B$400,"required",Flows!$L$2:$L$400,H$1,Flows!$E$2:$E$400,$A15)&gt;0,1,0))</f>
        <v/>
      </c>
      <c r="I15" s="34" t="str">
        <f aca="false">IF($A15="","",IF(COUNTIFS(Flows!$B$2:$B$400,"required",Flows!$L$2:$L$400,I$1,Flows!$D$2:$D$400,$A15)+COUNTIFS(Flows!$B$2:$B$400,"required",Flows!$L$2:$L$400,I$1,Flows!$E$2:$E$400,$A15)&gt;0,1,0))</f>
        <v/>
      </c>
      <c r="J15" s="34" t="str">
        <f aca="false">IF($A15="","",IF(COUNTIFS(Flows!$B$2:$B$400,"required",Flows!$L$2:$L$400,J$1,Flows!$D$2:$D$400,$A15)+COUNTIFS(Flows!$B$2:$B$400,"required",Flows!$L$2:$L$400,J$1,Flows!$E$2:$E$400,$A15)&gt;0,1,0))</f>
        <v/>
      </c>
      <c r="K15" s="34" t="str">
        <f aca="false">IF($A15="","",IF(COUNTIFS(Flows!$B$2:$B$400,"required",Flows!$L$2:$L$400,K$1,Flows!$D$2:$D$400,$A15)+COUNTIFS(Flows!$B$2:$B$400,"required",Flows!$L$2:$L$400,K$1,Flows!$E$2:$E$400,$A15)&gt;0,1,0))</f>
        <v/>
      </c>
      <c r="L15" s="34" t="str">
        <f aca="false">IF($A15="","",IFERROR(INDEX($H15:$K15,MATCH(GoalLens!$B$3,$H$1:$K$1,0)),0))</f>
        <v/>
      </c>
      <c r="M15" s="34" t="str">
        <f aca="false">IF($A15="","",IF(COUNTIFS(Flows!$B$2:$B$400,"required",Flows!$L$2:$L$400,GoalLens!$B$3,Flows!$T$2:$T$400,"&lt;&gt;covered",Flows!$D$2:$D$400,$A15)+COUNTIFS(Flows!$B$2:$B$400,"required",Flows!$L$2:$L$400,GoalLens!$B$3,Flows!$T$2:$T$400,"&lt;&gt;covered",Flows!$E$2:$E$400,$A15)&gt;0,1,0))</f>
        <v/>
      </c>
      <c r="N15" s="34" t="str">
        <f aca="false">IF($L15=1,MAX($N$1:N14)+1,"")</f>
        <v/>
      </c>
    </row>
    <row r="16" customFormat="false" ht="15" hidden="false" customHeight="true" outlineLevel="0" collapsed="false">
      <c r="A16" s="31"/>
      <c r="B16" s="31"/>
      <c r="C16" s="31"/>
      <c r="D16" s="31"/>
      <c r="E16" s="31"/>
      <c r="F16" s="31"/>
      <c r="G16" s="31"/>
      <c r="H16" s="34" t="str">
        <f aca="false">IF($A16="","",IF(COUNTIFS(Flows!$B$2:$B$400,"required",Flows!$L$2:$L$400,H$1,Flows!$D$2:$D$400,$A16)+COUNTIFS(Flows!$B$2:$B$400,"required",Flows!$L$2:$L$400,H$1,Flows!$E$2:$E$400,$A16)&gt;0,1,0))</f>
        <v/>
      </c>
      <c r="I16" s="34" t="str">
        <f aca="false">IF($A16="","",IF(COUNTIFS(Flows!$B$2:$B$400,"required",Flows!$L$2:$L$400,I$1,Flows!$D$2:$D$400,$A16)+COUNTIFS(Flows!$B$2:$B$400,"required",Flows!$L$2:$L$400,I$1,Flows!$E$2:$E$400,$A16)&gt;0,1,0))</f>
        <v/>
      </c>
      <c r="J16" s="34" t="str">
        <f aca="false">IF($A16="","",IF(COUNTIFS(Flows!$B$2:$B$400,"required",Flows!$L$2:$L$400,J$1,Flows!$D$2:$D$400,$A16)+COUNTIFS(Flows!$B$2:$B$400,"required",Flows!$L$2:$L$400,J$1,Flows!$E$2:$E$400,$A16)&gt;0,1,0))</f>
        <v/>
      </c>
      <c r="K16" s="34" t="str">
        <f aca="false">IF($A16="","",IF(COUNTIFS(Flows!$B$2:$B$400,"required",Flows!$L$2:$L$400,K$1,Flows!$D$2:$D$400,$A16)+COUNTIFS(Flows!$B$2:$B$400,"required",Flows!$L$2:$L$400,K$1,Flows!$E$2:$E$400,$A16)&gt;0,1,0))</f>
        <v/>
      </c>
      <c r="L16" s="34" t="str">
        <f aca="false">IF($A16="","",IFERROR(INDEX($H16:$K16,MATCH(GoalLens!$B$3,$H$1:$K$1,0)),0))</f>
        <v/>
      </c>
      <c r="M16" s="34" t="str">
        <f aca="false">IF($A16="","",IF(COUNTIFS(Flows!$B$2:$B$400,"required",Flows!$L$2:$L$400,GoalLens!$B$3,Flows!$T$2:$T$400,"&lt;&gt;covered",Flows!$D$2:$D$400,$A16)+COUNTIFS(Flows!$B$2:$B$400,"required",Flows!$L$2:$L$400,GoalLens!$B$3,Flows!$T$2:$T$400,"&lt;&gt;covered",Flows!$E$2:$E$400,$A16)&gt;0,1,0))</f>
        <v/>
      </c>
      <c r="N16" s="34" t="str">
        <f aca="false">IF($L16=1,MAX($N$1:N15)+1,"")</f>
        <v/>
      </c>
    </row>
    <row r="17" customFormat="false" ht="15" hidden="false" customHeight="true" outlineLevel="0" collapsed="false">
      <c r="A17" s="31"/>
      <c r="B17" s="31"/>
      <c r="C17" s="31"/>
      <c r="D17" s="31"/>
      <c r="E17" s="31"/>
      <c r="F17" s="31"/>
      <c r="G17" s="31"/>
      <c r="H17" s="34" t="str">
        <f aca="false">IF($A17="","",IF(COUNTIFS(Flows!$B$2:$B$400,"required",Flows!$L$2:$L$400,H$1,Flows!$D$2:$D$400,$A17)+COUNTIFS(Flows!$B$2:$B$400,"required",Flows!$L$2:$L$400,H$1,Flows!$E$2:$E$400,$A17)&gt;0,1,0))</f>
        <v/>
      </c>
      <c r="I17" s="34" t="str">
        <f aca="false">IF($A17="","",IF(COUNTIFS(Flows!$B$2:$B$400,"required",Flows!$L$2:$L$400,I$1,Flows!$D$2:$D$400,$A17)+COUNTIFS(Flows!$B$2:$B$400,"required",Flows!$L$2:$L$400,I$1,Flows!$E$2:$E$400,$A17)&gt;0,1,0))</f>
        <v/>
      </c>
      <c r="J17" s="34" t="str">
        <f aca="false">IF($A17="","",IF(COUNTIFS(Flows!$B$2:$B$400,"required",Flows!$L$2:$L$400,J$1,Flows!$D$2:$D$400,$A17)+COUNTIFS(Flows!$B$2:$B$400,"required",Flows!$L$2:$L$400,J$1,Flows!$E$2:$E$400,$A17)&gt;0,1,0))</f>
        <v/>
      </c>
      <c r="K17" s="34" t="str">
        <f aca="false">IF($A17="","",IF(COUNTIFS(Flows!$B$2:$B$400,"required",Flows!$L$2:$L$400,K$1,Flows!$D$2:$D$400,$A17)+COUNTIFS(Flows!$B$2:$B$400,"required",Flows!$L$2:$L$400,K$1,Flows!$E$2:$E$400,$A17)&gt;0,1,0))</f>
        <v/>
      </c>
      <c r="L17" s="34" t="str">
        <f aca="false">IF($A17="","",IFERROR(INDEX($H17:$K17,MATCH(GoalLens!$B$3,$H$1:$K$1,0)),0))</f>
        <v/>
      </c>
      <c r="M17" s="34" t="str">
        <f aca="false">IF($A17="","",IF(COUNTIFS(Flows!$B$2:$B$400,"required",Flows!$L$2:$L$400,GoalLens!$B$3,Flows!$T$2:$T$400,"&lt;&gt;covered",Flows!$D$2:$D$400,$A17)+COUNTIFS(Flows!$B$2:$B$400,"required",Flows!$L$2:$L$400,GoalLens!$B$3,Flows!$T$2:$T$400,"&lt;&gt;covered",Flows!$E$2:$E$400,$A17)&gt;0,1,0))</f>
        <v/>
      </c>
      <c r="N17" s="34" t="str">
        <f aca="false">IF($L17=1,MAX($N$1:N16)+1,"")</f>
        <v/>
      </c>
    </row>
    <row r="18" customFormat="false" ht="15" hidden="false" customHeight="true" outlineLevel="0" collapsed="false">
      <c r="A18" s="31"/>
      <c r="B18" s="31"/>
      <c r="C18" s="31"/>
      <c r="D18" s="31"/>
      <c r="E18" s="31"/>
      <c r="F18" s="31"/>
      <c r="G18" s="31"/>
      <c r="H18" s="34" t="str">
        <f aca="false">IF($A18="","",IF(COUNTIFS(Flows!$B$2:$B$400,"required",Flows!$L$2:$L$400,H$1,Flows!$D$2:$D$400,$A18)+COUNTIFS(Flows!$B$2:$B$400,"required",Flows!$L$2:$L$400,H$1,Flows!$E$2:$E$400,$A18)&gt;0,1,0))</f>
        <v/>
      </c>
      <c r="I18" s="34" t="str">
        <f aca="false">IF($A18="","",IF(COUNTIFS(Flows!$B$2:$B$400,"required",Flows!$L$2:$L$400,I$1,Flows!$D$2:$D$400,$A18)+COUNTIFS(Flows!$B$2:$B$400,"required",Flows!$L$2:$L$400,I$1,Flows!$E$2:$E$400,$A18)&gt;0,1,0))</f>
        <v/>
      </c>
      <c r="J18" s="34" t="str">
        <f aca="false">IF($A18="","",IF(COUNTIFS(Flows!$B$2:$B$400,"required",Flows!$L$2:$L$400,J$1,Flows!$D$2:$D$400,$A18)+COUNTIFS(Flows!$B$2:$B$400,"required",Flows!$L$2:$L$400,J$1,Flows!$E$2:$E$400,$A18)&gt;0,1,0))</f>
        <v/>
      </c>
      <c r="K18" s="34" t="str">
        <f aca="false">IF($A18="","",IF(COUNTIFS(Flows!$B$2:$B$400,"required",Flows!$L$2:$L$400,K$1,Flows!$D$2:$D$400,$A18)+COUNTIFS(Flows!$B$2:$B$400,"required",Flows!$L$2:$L$400,K$1,Flows!$E$2:$E$400,$A18)&gt;0,1,0))</f>
        <v/>
      </c>
      <c r="L18" s="34" t="str">
        <f aca="false">IF($A18="","",IFERROR(INDEX($H18:$K18,MATCH(GoalLens!$B$3,$H$1:$K$1,0)),0))</f>
        <v/>
      </c>
      <c r="M18" s="34" t="str">
        <f aca="false">IF($A18="","",IF(COUNTIFS(Flows!$B$2:$B$400,"required",Flows!$L$2:$L$400,GoalLens!$B$3,Flows!$T$2:$T$400,"&lt;&gt;covered",Flows!$D$2:$D$400,$A18)+COUNTIFS(Flows!$B$2:$B$400,"required",Flows!$L$2:$L$400,GoalLens!$B$3,Flows!$T$2:$T$400,"&lt;&gt;covered",Flows!$E$2:$E$400,$A18)&gt;0,1,0))</f>
        <v/>
      </c>
      <c r="N18" s="34" t="str">
        <f aca="false">IF($L18=1,MAX($N$1:N17)+1,"")</f>
        <v/>
      </c>
    </row>
    <row r="19" customFormat="false" ht="15" hidden="false" customHeight="true" outlineLevel="0" collapsed="false">
      <c r="A19" s="31"/>
      <c r="B19" s="31"/>
      <c r="C19" s="31"/>
      <c r="D19" s="31"/>
      <c r="E19" s="31"/>
      <c r="F19" s="31"/>
      <c r="G19" s="31"/>
      <c r="H19" s="34" t="str">
        <f aca="false">IF($A19="","",IF(COUNTIFS(Flows!$B$2:$B$400,"required",Flows!$L$2:$L$400,H$1,Flows!$D$2:$D$400,$A19)+COUNTIFS(Flows!$B$2:$B$400,"required",Flows!$L$2:$L$400,H$1,Flows!$E$2:$E$400,$A19)&gt;0,1,0))</f>
        <v/>
      </c>
      <c r="I19" s="34" t="str">
        <f aca="false">IF($A19="","",IF(COUNTIFS(Flows!$B$2:$B$400,"required",Flows!$L$2:$L$400,I$1,Flows!$D$2:$D$400,$A19)+COUNTIFS(Flows!$B$2:$B$400,"required",Flows!$L$2:$L$400,I$1,Flows!$E$2:$E$400,$A19)&gt;0,1,0))</f>
        <v/>
      </c>
      <c r="J19" s="34" t="str">
        <f aca="false">IF($A19="","",IF(COUNTIFS(Flows!$B$2:$B$400,"required",Flows!$L$2:$L$400,J$1,Flows!$D$2:$D$400,$A19)+COUNTIFS(Flows!$B$2:$B$400,"required",Flows!$L$2:$L$400,J$1,Flows!$E$2:$E$400,$A19)&gt;0,1,0))</f>
        <v/>
      </c>
      <c r="K19" s="34" t="str">
        <f aca="false">IF($A19="","",IF(COUNTIFS(Flows!$B$2:$B$400,"required",Flows!$L$2:$L$400,K$1,Flows!$D$2:$D$400,$A19)+COUNTIFS(Flows!$B$2:$B$400,"required",Flows!$L$2:$L$400,K$1,Flows!$E$2:$E$400,$A19)&gt;0,1,0))</f>
        <v/>
      </c>
      <c r="L19" s="34" t="str">
        <f aca="false">IF($A19="","",IFERROR(INDEX($H19:$K19,MATCH(GoalLens!$B$3,$H$1:$K$1,0)),0))</f>
        <v/>
      </c>
      <c r="M19" s="34" t="str">
        <f aca="false">IF($A19="","",IF(COUNTIFS(Flows!$B$2:$B$400,"required",Flows!$L$2:$L$400,GoalLens!$B$3,Flows!$T$2:$T$400,"&lt;&gt;covered",Flows!$D$2:$D$400,$A19)+COUNTIFS(Flows!$B$2:$B$400,"required",Flows!$L$2:$L$400,GoalLens!$B$3,Flows!$T$2:$T$400,"&lt;&gt;covered",Flows!$E$2:$E$400,$A19)&gt;0,1,0))</f>
        <v/>
      </c>
      <c r="N19" s="34" t="str">
        <f aca="false">IF($L19=1,MAX($N$1:N18)+1,"")</f>
        <v/>
      </c>
    </row>
    <row r="20" customFormat="false" ht="15" hidden="false" customHeight="true" outlineLevel="0" collapsed="false">
      <c r="A20" s="31"/>
      <c r="B20" s="31"/>
      <c r="C20" s="31"/>
      <c r="D20" s="31"/>
      <c r="E20" s="31"/>
      <c r="F20" s="31"/>
      <c r="G20" s="31"/>
      <c r="H20" s="34" t="str">
        <f aca="false">IF($A20="","",IF(COUNTIFS(Flows!$B$2:$B$400,"required",Flows!$L$2:$L$400,H$1,Flows!$D$2:$D$400,$A20)+COUNTIFS(Flows!$B$2:$B$400,"required",Flows!$L$2:$L$400,H$1,Flows!$E$2:$E$400,$A20)&gt;0,1,0))</f>
        <v/>
      </c>
      <c r="I20" s="34" t="str">
        <f aca="false">IF($A20="","",IF(COUNTIFS(Flows!$B$2:$B$400,"required",Flows!$L$2:$L$400,I$1,Flows!$D$2:$D$400,$A20)+COUNTIFS(Flows!$B$2:$B$400,"required",Flows!$L$2:$L$400,I$1,Flows!$E$2:$E$400,$A20)&gt;0,1,0))</f>
        <v/>
      </c>
      <c r="J20" s="34" t="str">
        <f aca="false">IF($A20="","",IF(COUNTIFS(Flows!$B$2:$B$400,"required",Flows!$L$2:$L$400,J$1,Flows!$D$2:$D$400,$A20)+COUNTIFS(Flows!$B$2:$B$400,"required",Flows!$L$2:$L$400,J$1,Flows!$E$2:$E$400,$A20)&gt;0,1,0))</f>
        <v/>
      </c>
      <c r="K20" s="34" t="str">
        <f aca="false">IF($A20="","",IF(COUNTIFS(Flows!$B$2:$B$400,"required",Flows!$L$2:$L$400,K$1,Flows!$D$2:$D$400,$A20)+COUNTIFS(Flows!$B$2:$B$400,"required",Flows!$L$2:$L$400,K$1,Flows!$E$2:$E$400,$A20)&gt;0,1,0))</f>
        <v/>
      </c>
      <c r="L20" s="34" t="str">
        <f aca="false">IF($A20="","",IFERROR(INDEX($H20:$K20,MATCH(GoalLens!$B$3,$H$1:$K$1,0)),0))</f>
        <v/>
      </c>
      <c r="M20" s="34" t="str">
        <f aca="false">IF($A20="","",IF(COUNTIFS(Flows!$B$2:$B$400,"required",Flows!$L$2:$L$400,GoalLens!$B$3,Flows!$T$2:$T$400,"&lt;&gt;covered",Flows!$D$2:$D$400,$A20)+COUNTIFS(Flows!$B$2:$B$400,"required",Flows!$L$2:$L$400,GoalLens!$B$3,Flows!$T$2:$T$400,"&lt;&gt;covered",Flows!$E$2:$E$400,$A20)&gt;0,1,0))</f>
        <v/>
      </c>
      <c r="N20" s="34" t="str">
        <f aca="false">IF($L20=1,MAX($N$1:N19)+1,"")</f>
        <v/>
      </c>
    </row>
    <row r="21" customFormat="false" ht="15" hidden="false" customHeight="true" outlineLevel="0" collapsed="false">
      <c r="A21" s="31"/>
      <c r="B21" s="31"/>
      <c r="C21" s="31"/>
      <c r="D21" s="31"/>
      <c r="E21" s="31"/>
      <c r="F21" s="31"/>
      <c r="G21" s="31"/>
      <c r="H21" s="34" t="str">
        <f aca="false">IF($A21="","",IF(COUNTIFS(Flows!$B$2:$B$400,"required",Flows!$L$2:$L$400,H$1,Flows!$D$2:$D$400,$A21)+COUNTIFS(Flows!$B$2:$B$400,"required",Flows!$L$2:$L$400,H$1,Flows!$E$2:$E$400,$A21)&gt;0,1,0))</f>
        <v/>
      </c>
      <c r="I21" s="34" t="str">
        <f aca="false">IF($A21="","",IF(COUNTIFS(Flows!$B$2:$B$400,"required",Flows!$L$2:$L$400,I$1,Flows!$D$2:$D$400,$A21)+COUNTIFS(Flows!$B$2:$B$400,"required",Flows!$L$2:$L$400,I$1,Flows!$E$2:$E$400,$A21)&gt;0,1,0))</f>
        <v/>
      </c>
      <c r="J21" s="34" t="str">
        <f aca="false">IF($A21="","",IF(COUNTIFS(Flows!$B$2:$B$400,"required",Flows!$L$2:$L$400,J$1,Flows!$D$2:$D$400,$A21)+COUNTIFS(Flows!$B$2:$B$400,"required",Flows!$L$2:$L$400,J$1,Flows!$E$2:$E$400,$A21)&gt;0,1,0))</f>
        <v/>
      </c>
      <c r="K21" s="34" t="str">
        <f aca="false">IF($A21="","",IF(COUNTIFS(Flows!$B$2:$B$400,"required",Flows!$L$2:$L$400,K$1,Flows!$D$2:$D$400,$A21)+COUNTIFS(Flows!$B$2:$B$400,"required",Flows!$L$2:$L$400,K$1,Flows!$E$2:$E$400,$A21)&gt;0,1,0))</f>
        <v/>
      </c>
      <c r="L21" s="34" t="str">
        <f aca="false">IF($A21="","",IFERROR(INDEX($H21:$K21,MATCH(GoalLens!$B$3,$H$1:$K$1,0)),0))</f>
        <v/>
      </c>
      <c r="M21" s="34" t="str">
        <f aca="false">IF($A21="","",IF(COUNTIFS(Flows!$B$2:$B$400,"required",Flows!$L$2:$L$400,GoalLens!$B$3,Flows!$T$2:$T$400,"&lt;&gt;covered",Flows!$D$2:$D$400,$A21)+COUNTIFS(Flows!$B$2:$B$400,"required",Flows!$L$2:$L$400,GoalLens!$B$3,Flows!$T$2:$T$400,"&lt;&gt;covered",Flows!$E$2:$E$400,$A21)&gt;0,1,0))</f>
        <v/>
      </c>
      <c r="N21" s="34" t="str">
        <f aca="false">IF($L21=1,MAX($N$1:N20)+1,"")</f>
        <v/>
      </c>
    </row>
    <row r="22" customFormat="false" ht="15" hidden="false" customHeight="true" outlineLevel="0" collapsed="false">
      <c r="A22" s="31"/>
      <c r="B22" s="31"/>
      <c r="C22" s="31"/>
      <c r="D22" s="31"/>
      <c r="E22" s="31"/>
      <c r="F22" s="31"/>
      <c r="G22" s="31"/>
      <c r="H22" s="34" t="str">
        <f aca="false">IF($A22="","",IF(COUNTIFS(Flows!$B$2:$B$400,"required",Flows!$L$2:$L$400,H$1,Flows!$D$2:$D$400,$A22)+COUNTIFS(Flows!$B$2:$B$400,"required",Flows!$L$2:$L$400,H$1,Flows!$E$2:$E$400,$A22)&gt;0,1,0))</f>
        <v/>
      </c>
      <c r="I22" s="34" t="str">
        <f aca="false">IF($A22="","",IF(COUNTIFS(Flows!$B$2:$B$400,"required",Flows!$L$2:$L$400,I$1,Flows!$D$2:$D$400,$A22)+COUNTIFS(Flows!$B$2:$B$400,"required",Flows!$L$2:$L$400,I$1,Flows!$E$2:$E$400,$A22)&gt;0,1,0))</f>
        <v/>
      </c>
      <c r="J22" s="34" t="str">
        <f aca="false">IF($A22="","",IF(COUNTIFS(Flows!$B$2:$B$400,"required",Flows!$L$2:$L$400,J$1,Flows!$D$2:$D$400,$A22)+COUNTIFS(Flows!$B$2:$B$400,"required",Flows!$L$2:$L$400,J$1,Flows!$E$2:$E$400,$A22)&gt;0,1,0))</f>
        <v/>
      </c>
      <c r="K22" s="34" t="str">
        <f aca="false">IF($A22="","",IF(COUNTIFS(Flows!$B$2:$B$400,"required",Flows!$L$2:$L$400,K$1,Flows!$D$2:$D$400,$A22)+COUNTIFS(Flows!$B$2:$B$400,"required",Flows!$L$2:$L$400,K$1,Flows!$E$2:$E$400,$A22)&gt;0,1,0))</f>
        <v/>
      </c>
      <c r="L22" s="34" t="str">
        <f aca="false">IF($A22="","",IFERROR(INDEX($H22:$K22,MATCH(GoalLens!$B$3,$H$1:$K$1,0)),0))</f>
        <v/>
      </c>
      <c r="M22" s="34" t="str">
        <f aca="false">IF($A22="","",IF(COUNTIFS(Flows!$B$2:$B$400,"required",Flows!$L$2:$L$400,GoalLens!$B$3,Flows!$T$2:$T$400,"&lt;&gt;covered",Flows!$D$2:$D$400,$A22)+COUNTIFS(Flows!$B$2:$B$400,"required",Flows!$L$2:$L$400,GoalLens!$B$3,Flows!$T$2:$T$400,"&lt;&gt;covered",Flows!$E$2:$E$400,$A22)&gt;0,1,0))</f>
        <v/>
      </c>
      <c r="N22" s="34" t="str">
        <f aca="false">IF($L22=1,MAX($N$1:N21)+1,"")</f>
        <v/>
      </c>
    </row>
    <row r="23" customFormat="false" ht="15" hidden="false" customHeight="true" outlineLevel="0" collapsed="false">
      <c r="A23" s="31"/>
      <c r="B23" s="31"/>
      <c r="C23" s="31"/>
      <c r="D23" s="31"/>
      <c r="E23" s="31"/>
      <c r="F23" s="31"/>
      <c r="G23" s="31"/>
      <c r="H23" s="34" t="str">
        <f aca="false">IF($A23="","",IF(COUNTIFS(Flows!$B$2:$B$400,"required",Flows!$L$2:$L$400,H$1,Flows!$D$2:$D$400,$A23)+COUNTIFS(Flows!$B$2:$B$400,"required",Flows!$L$2:$L$400,H$1,Flows!$E$2:$E$400,$A23)&gt;0,1,0))</f>
        <v/>
      </c>
      <c r="I23" s="34" t="str">
        <f aca="false">IF($A23="","",IF(COUNTIFS(Flows!$B$2:$B$400,"required",Flows!$L$2:$L$400,I$1,Flows!$D$2:$D$400,$A23)+COUNTIFS(Flows!$B$2:$B$400,"required",Flows!$L$2:$L$400,I$1,Flows!$E$2:$E$400,$A23)&gt;0,1,0))</f>
        <v/>
      </c>
      <c r="J23" s="34" t="str">
        <f aca="false">IF($A23="","",IF(COUNTIFS(Flows!$B$2:$B$400,"required",Flows!$L$2:$L$400,J$1,Flows!$D$2:$D$400,$A23)+COUNTIFS(Flows!$B$2:$B$400,"required",Flows!$L$2:$L$400,J$1,Flows!$E$2:$E$400,$A23)&gt;0,1,0))</f>
        <v/>
      </c>
      <c r="K23" s="34" t="str">
        <f aca="false">IF($A23="","",IF(COUNTIFS(Flows!$B$2:$B$400,"required",Flows!$L$2:$L$400,K$1,Flows!$D$2:$D$400,$A23)+COUNTIFS(Flows!$B$2:$B$400,"required",Flows!$L$2:$L$400,K$1,Flows!$E$2:$E$400,$A23)&gt;0,1,0))</f>
        <v/>
      </c>
      <c r="L23" s="34" t="str">
        <f aca="false">IF($A23="","",IFERROR(INDEX($H23:$K23,MATCH(GoalLens!$B$3,$H$1:$K$1,0)),0))</f>
        <v/>
      </c>
      <c r="M23" s="34" t="str">
        <f aca="false">IF($A23="","",IF(COUNTIFS(Flows!$B$2:$B$400,"required",Flows!$L$2:$L$400,GoalLens!$B$3,Flows!$T$2:$T$400,"&lt;&gt;covered",Flows!$D$2:$D$400,$A23)+COUNTIFS(Flows!$B$2:$B$400,"required",Flows!$L$2:$L$400,GoalLens!$B$3,Flows!$T$2:$T$400,"&lt;&gt;covered",Flows!$E$2:$E$400,$A23)&gt;0,1,0))</f>
        <v/>
      </c>
      <c r="N23" s="34" t="str">
        <f aca="false">IF($L23=1,MAX($N$1:N22)+1,"")</f>
        <v/>
      </c>
    </row>
    <row r="24" customFormat="false" ht="15" hidden="false" customHeight="true" outlineLevel="0" collapsed="false">
      <c r="A24" s="31"/>
      <c r="B24" s="31"/>
      <c r="C24" s="31"/>
      <c r="D24" s="31"/>
      <c r="E24" s="31"/>
      <c r="F24" s="31"/>
      <c r="G24" s="31"/>
      <c r="H24" s="34" t="str">
        <f aca="false">IF($A24="","",IF(COUNTIFS(Flows!$B$2:$B$400,"required",Flows!$L$2:$L$400,H$1,Flows!$D$2:$D$400,$A24)+COUNTIFS(Flows!$B$2:$B$400,"required",Flows!$L$2:$L$400,H$1,Flows!$E$2:$E$400,$A24)&gt;0,1,0))</f>
        <v/>
      </c>
      <c r="I24" s="34" t="str">
        <f aca="false">IF($A24="","",IF(COUNTIFS(Flows!$B$2:$B$400,"required",Flows!$L$2:$L$400,I$1,Flows!$D$2:$D$400,$A24)+COUNTIFS(Flows!$B$2:$B$400,"required",Flows!$L$2:$L$400,I$1,Flows!$E$2:$E$400,$A24)&gt;0,1,0))</f>
        <v/>
      </c>
      <c r="J24" s="34" t="str">
        <f aca="false">IF($A24="","",IF(COUNTIFS(Flows!$B$2:$B$400,"required",Flows!$L$2:$L$400,J$1,Flows!$D$2:$D$400,$A24)+COUNTIFS(Flows!$B$2:$B$400,"required",Flows!$L$2:$L$400,J$1,Flows!$E$2:$E$400,$A24)&gt;0,1,0))</f>
        <v/>
      </c>
      <c r="K24" s="34" t="str">
        <f aca="false">IF($A24="","",IF(COUNTIFS(Flows!$B$2:$B$400,"required",Flows!$L$2:$L$400,K$1,Flows!$D$2:$D$400,$A24)+COUNTIFS(Flows!$B$2:$B$400,"required",Flows!$L$2:$L$400,K$1,Flows!$E$2:$E$400,$A24)&gt;0,1,0))</f>
        <v/>
      </c>
      <c r="L24" s="34" t="str">
        <f aca="false">IF($A24="","",IFERROR(INDEX($H24:$K24,MATCH(GoalLens!$B$3,$H$1:$K$1,0)),0))</f>
        <v/>
      </c>
      <c r="M24" s="34" t="str">
        <f aca="false">IF($A24="","",IF(COUNTIFS(Flows!$B$2:$B$400,"required",Flows!$L$2:$L$400,GoalLens!$B$3,Flows!$T$2:$T$400,"&lt;&gt;covered",Flows!$D$2:$D$400,$A24)+COUNTIFS(Flows!$B$2:$B$400,"required",Flows!$L$2:$L$400,GoalLens!$B$3,Flows!$T$2:$T$400,"&lt;&gt;covered",Flows!$E$2:$E$400,$A24)&gt;0,1,0))</f>
        <v/>
      </c>
      <c r="N24" s="34" t="str">
        <f aca="false">IF($L24=1,MAX($N$1:N23)+1,"")</f>
        <v/>
      </c>
    </row>
    <row r="25" customFormat="false" ht="15" hidden="false" customHeight="true" outlineLevel="0" collapsed="false">
      <c r="A25" s="31"/>
      <c r="B25" s="31"/>
      <c r="C25" s="31"/>
      <c r="D25" s="31"/>
      <c r="E25" s="31"/>
      <c r="F25" s="31"/>
      <c r="G25" s="31"/>
      <c r="H25" s="34" t="str">
        <f aca="false">IF($A25="","",IF(COUNTIFS(Flows!$B$2:$B$400,"required",Flows!$L$2:$L$400,H$1,Flows!$D$2:$D$400,$A25)+COUNTIFS(Flows!$B$2:$B$400,"required",Flows!$L$2:$L$400,H$1,Flows!$E$2:$E$400,$A25)&gt;0,1,0))</f>
        <v/>
      </c>
      <c r="I25" s="34" t="str">
        <f aca="false">IF($A25="","",IF(COUNTIFS(Flows!$B$2:$B$400,"required",Flows!$L$2:$L$400,I$1,Flows!$D$2:$D$400,$A25)+COUNTIFS(Flows!$B$2:$B$400,"required",Flows!$L$2:$L$400,I$1,Flows!$E$2:$E$400,$A25)&gt;0,1,0))</f>
        <v/>
      </c>
      <c r="J25" s="34" t="str">
        <f aca="false">IF($A25="","",IF(COUNTIFS(Flows!$B$2:$B$400,"required",Flows!$L$2:$L$400,J$1,Flows!$D$2:$D$400,$A25)+COUNTIFS(Flows!$B$2:$B$400,"required",Flows!$L$2:$L$400,J$1,Flows!$E$2:$E$400,$A25)&gt;0,1,0))</f>
        <v/>
      </c>
      <c r="K25" s="34" t="str">
        <f aca="false">IF($A25="","",IF(COUNTIFS(Flows!$B$2:$B$400,"required",Flows!$L$2:$L$400,K$1,Flows!$D$2:$D$400,$A25)+COUNTIFS(Flows!$B$2:$B$400,"required",Flows!$L$2:$L$400,K$1,Flows!$E$2:$E$400,$A25)&gt;0,1,0))</f>
        <v/>
      </c>
      <c r="L25" s="34" t="str">
        <f aca="false">IF($A25="","",IFERROR(INDEX($H25:$K25,MATCH(GoalLens!$B$3,$H$1:$K$1,0)),0))</f>
        <v/>
      </c>
      <c r="M25" s="34" t="str">
        <f aca="false">IF($A25="","",IF(COUNTIFS(Flows!$B$2:$B$400,"required",Flows!$L$2:$L$400,GoalLens!$B$3,Flows!$T$2:$T$400,"&lt;&gt;covered",Flows!$D$2:$D$400,$A25)+COUNTIFS(Flows!$B$2:$B$400,"required",Flows!$L$2:$L$400,GoalLens!$B$3,Flows!$T$2:$T$400,"&lt;&gt;covered",Flows!$E$2:$E$400,$A25)&gt;0,1,0))</f>
        <v/>
      </c>
      <c r="N25" s="34" t="str">
        <f aca="false">IF($L25=1,MAX($N$1:N24)+1,"")</f>
        <v/>
      </c>
    </row>
    <row r="26" customFormat="false" ht="15" hidden="false" customHeight="true" outlineLevel="0" collapsed="false">
      <c r="A26" s="31"/>
      <c r="B26" s="31"/>
      <c r="C26" s="31"/>
      <c r="D26" s="31"/>
      <c r="E26" s="31"/>
      <c r="F26" s="31"/>
      <c r="G26" s="31"/>
      <c r="H26" s="34" t="str">
        <f aca="false">IF($A26="","",IF(COUNTIFS(Flows!$B$2:$B$400,"required",Flows!$L$2:$L$400,H$1,Flows!$D$2:$D$400,$A26)+COUNTIFS(Flows!$B$2:$B$400,"required",Flows!$L$2:$L$400,H$1,Flows!$E$2:$E$400,$A26)&gt;0,1,0))</f>
        <v/>
      </c>
      <c r="I26" s="34" t="str">
        <f aca="false">IF($A26="","",IF(COUNTIFS(Flows!$B$2:$B$400,"required",Flows!$L$2:$L$400,I$1,Flows!$D$2:$D$400,$A26)+COUNTIFS(Flows!$B$2:$B$400,"required",Flows!$L$2:$L$400,I$1,Flows!$E$2:$E$400,$A26)&gt;0,1,0))</f>
        <v/>
      </c>
      <c r="J26" s="34" t="str">
        <f aca="false">IF($A26="","",IF(COUNTIFS(Flows!$B$2:$B$400,"required",Flows!$L$2:$L$400,J$1,Flows!$D$2:$D$400,$A26)+COUNTIFS(Flows!$B$2:$B$400,"required",Flows!$L$2:$L$400,J$1,Flows!$E$2:$E$400,$A26)&gt;0,1,0))</f>
        <v/>
      </c>
      <c r="K26" s="34" t="str">
        <f aca="false">IF($A26="","",IF(COUNTIFS(Flows!$B$2:$B$400,"required",Flows!$L$2:$L$400,K$1,Flows!$D$2:$D$400,$A26)+COUNTIFS(Flows!$B$2:$B$400,"required",Flows!$L$2:$L$400,K$1,Flows!$E$2:$E$400,$A26)&gt;0,1,0))</f>
        <v/>
      </c>
      <c r="L26" s="34" t="str">
        <f aca="false">IF($A26="","",IFERROR(INDEX($H26:$K26,MATCH(GoalLens!$B$3,$H$1:$K$1,0)),0))</f>
        <v/>
      </c>
      <c r="M26" s="34" t="str">
        <f aca="false">IF($A26="","",IF(COUNTIFS(Flows!$B$2:$B$400,"required",Flows!$L$2:$L$400,GoalLens!$B$3,Flows!$T$2:$T$400,"&lt;&gt;covered",Flows!$D$2:$D$400,$A26)+COUNTIFS(Flows!$B$2:$B$400,"required",Flows!$L$2:$L$400,GoalLens!$B$3,Flows!$T$2:$T$400,"&lt;&gt;covered",Flows!$E$2:$E$400,$A26)&gt;0,1,0))</f>
        <v/>
      </c>
      <c r="N26" s="34" t="str">
        <f aca="false">IF($L26=1,MAX($N$1:N25)+1,"")</f>
        <v/>
      </c>
    </row>
    <row r="27" customFormat="false" ht="15" hidden="false" customHeight="true" outlineLevel="0" collapsed="false">
      <c r="A27" s="31"/>
      <c r="B27" s="31"/>
      <c r="C27" s="31"/>
      <c r="D27" s="31"/>
      <c r="E27" s="31"/>
      <c r="F27" s="31"/>
      <c r="G27" s="31"/>
      <c r="H27" s="34" t="str">
        <f aca="false">IF($A27="","",IF(COUNTIFS(Flows!$B$2:$B$400,"required",Flows!$L$2:$L$400,H$1,Flows!$D$2:$D$400,$A27)+COUNTIFS(Flows!$B$2:$B$400,"required",Flows!$L$2:$L$400,H$1,Flows!$E$2:$E$400,$A27)&gt;0,1,0))</f>
        <v/>
      </c>
      <c r="I27" s="34" t="str">
        <f aca="false">IF($A27="","",IF(COUNTIFS(Flows!$B$2:$B$400,"required",Flows!$L$2:$L$400,I$1,Flows!$D$2:$D$400,$A27)+COUNTIFS(Flows!$B$2:$B$400,"required",Flows!$L$2:$L$400,I$1,Flows!$E$2:$E$400,$A27)&gt;0,1,0))</f>
        <v/>
      </c>
      <c r="J27" s="34" t="str">
        <f aca="false">IF($A27="","",IF(COUNTIFS(Flows!$B$2:$B$400,"required",Flows!$L$2:$L$400,J$1,Flows!$D$2:$D$400,$A27)+COUNTIFS(Flows!$B$2:$B$400,"required",Flows!$L$2:$L$400,J$1,Flows!$E$2:$E$400,$A27)&gt;0,1,0))</f>
        <v/>
      </c>
      <c r="K27" s="34" t="str">
        <f aca="false">IF($A27="","",IF(COUNTIFS(Flows!$B$2:$B$400,"required",Flows!$L$2:$L$400,K$1,Flows!$D$2:$D$400,$A27)+COUNTIFS(Flows!$B$2:$B$400,"required",Flows!$L$2:$L$400,K$1,Flows!$E$2:$E$400,$A27)&gt;0,1,0))</f>
        <v/>
      </c>
      <c r="L27" s="34" t="str">
        <f aca="false">IF($A27="","",IFERROR(INDEX($H27:$K27,MATCH(GoalLens!$B$3,$H$1:$K$1,0)),0))</f>
        <v/>
      </c>
      <c r="M27" s="34" t="str">
        <f aca="false">IF($A27="","",IF(COUNTIFS(Flows!$B$2:$B$400,"required",Flows!$L$2:$L$400,GoalLens!$B$3,Flows!$T$2:$T$400,"&lt;&gt;covered",Flows!$D$2:$D$400,$A27)+COUNTIFS(Flows!$B$2:$B$400,"required",Flows!$L$2:$L$400,GoalLens!$B$3,Flows!$T$2:$T$400,"&lt;&gt;covered",Flows!$E$2:$E$400,$A27)&gt;0,1,0))</f>
        <v/>
      </c>
      <c r="N27" s="34" t="str">
        <f aca="false">IF($L27=1,MAX($N$1:N26)+1,"")</f>
        <v/>
      </c>
    </row>
    <row r="28" customFormat="false" ht="15" hidden="false" customHeight="true" outlineLevel="0" collapsed="false">
      <c r="A28" s="31"/>
      <c r="B28" s="31"/>
      <c r="C28" s="31"/>
      <c r="D28" s="31"/>
      <c r="E28" s="31"/>
      <c r="F28" s="31"/>
      <c r="G28" s="31"/>
      <c r="H28" s="34" t="str">
        <f aca="false">IF($A28="","",IF(COUNTIFS(Flows!$B$2:$B$400,"required",Flows!$L$2:$L$400,H$1,Flows!$D$2:$D$400,$A28)+COUNTIFS(Flows!$B$2:$B$400,"required",Flows!$L$2:$L$400,H$1,Flows!$E$2:$E$400,$A28)&gt;0,1,0))</f>
        <v/>
      </c>
      <c r="I28" s="34" t="str">
        <f aca="false">IF($A28="","",IF(COUNTIFS(Flows!$B$2:$B$400,"required",Flows!$L$2:$L$400,I$1,Flows!$D$2:$D$400,$A28)+COUNTIFS(Flows!$B$2:$B$400,"required",Flows!$L$2:$L$400,I$1,Flows!$E$2:$E$400,$A28)&gt;0,1,0))</f>
        <v/>
      </c>
      <c r="J28" s="34" t="str">
        <f aca="false">IF($A28="","",IF(COUNTIFS(Flows!$B$2:$B$400,"required",Flows!$L$2:$L$400,J$1,Flows!$D$2:$D$400,$A28)+COUNTIFS(Flows!$B$2:$B$400,"required",Flows!$L$2:$L$400,J$1,Flows!$E$2:$E$400,$A28)&gt;0,1,0))</f>
        <v/>
      </c>
      <c r="K28" s="34" t="str">
        <f aca="false">IF($A28="","",IF(COUNTIFS(Flows!$B$2:$B$400,"required",Flows!$L$2:$L$400,K$1,Flows!$D$2:$D$400,$A28)+COUNTIFS(Flows!$B$2:$B$400,"required",Flows!$L$2:$L$400,K$1,Flows!$E$2:$E$400,$A28)&gt;0,1,0))</f>
        <v/>
      </c>
      <c r="L28" s="34" t="str">
        <f aca="false">IF($A28="","",IFERROR(INDEX($H28:$K28,MATCH(GoalLens!$B$3,$H$1:$K$1,0)),0))</f>
        <v/>
      </c>
      <c r="M28" s="34" t="str">
        <f aca="false">IF($A28="","",IF(COUNTIFS(Flows!$B$2:$B$400,"required",Flows!$L$2:$L$400,GoalLens!$B$3,Flows!$T$2:$T$400,"&lt;&gt;covered",Flows!$D$2:$D$400,$A28)+COUNTIFS(Flows!$B$2:$B$400,"required",Flows!$L$2:$L$400,GoalLens!$B$3,Flows!$T$2:$T$400,"&lt;&gt;covered",Flows!$E$2:$E$400,$A28)&gt;0,1,0))</f>
        <v/>
      </c>
      <c r="N28" s="34" t="str">
        <f aca="false">IF($L28=1,MAX($N$1:N27)+1,"")</f>
        <v/>
      </c>
    </row>
    <row r="29" customFormat="false" ht="15" hidden="false" customHeight="true" outlineLevel="0" collapsed="false">
      <c r="A29" s="31"/>
      <c r="B29" s="31"/>
      <c r="C29" s="31"/>
      <c r="D29" s="31"/>
      <c r="E29" s="31"/>
      <c r="F29" s="31"/>
      <c r="G29" s="31"/>
      <c r="H29" s="34" t="str">
        <f aca="false">IF($A29="","",IF(COUNTIFS(Flows!$B$2:$B$400,"required",Flows!$L$2:$L$400,H$1,Flows!$D$2:$D$400,$A29)+COUNTIFS(Flows!$B$2:$B$400,"required",Flows!$L$2:$L$400,H$1,Flows!$E$2:$E$400,$A29)&gt;0,1,0))</f>
        <v/>
      </c>
      <c r="I29" s="34" t="str">
        <f aca="false">IF($A29="","",IF(COUNTIFS(Flows!$B$2:$B$400,"required",Flows!$L$2:$L$400,I$1,Flows!$D$2:$D$400,$A29)+COUNTIFS(Flows!$B$2:$B$400,"required",Flows!$L$2:$L$400,I$1,Flows!$E$2:$E$400,$A29)&gt;0,1,0))</f>
        <v/>
      </c>
      <c r="J29" s="34" t="str">
        <f aca="false">IF($A29="","",IF(COUNTIFS(Flows!$B$2:$B$400,"required",Flows!$L$2:$L$400,J$1,Flows!$D$2:$D$400,$A29)+COUNTIFS(Flows!$B$2:$B$400,"required",Flows!$L$2:$L$400,J$1,Flows!$E$2:$E$400,$A29)&gt;0,1,0))</f>
        <v/>
      </c>
      <c r="K29" s="34" t="str">
        <f aca="false">IF($A29="","",IF(COUNTIFS(Flows!$B$2:$B$400,"required",Flows!$L$2:$L$400,K$1,Flows!$D$2:$D$400,$A29)+COUNTIFS(Flows!$B$2:$B$400,"required",Flows!$L$2:$L$400,K$1,Flows!$E$2:$E$400,$A29)&gt;0,1,0))</f>
        <v/>
      </c>
      <c r="L29" s="34" t="str">
        <f aca="false">IF($A29="","",IFERROR(INDEX($H29:$K29,MATCH(GoalLens!$B$3,$H$1:$K$1,0)),0))</f>
        <v/>
      </c>
      <c r="M29" s="34" t="str">
        <f aca="false">IF($A29="","",IF(COUNTIFS(Flows!$B$2:$B$400,"required",Flows!$L$2:$L$400,GoalLens!$B$3,Flows!$T$2:$T$400,"&lt;&gt;covered",Flows!$D$2:$D$400,$A29)+COUNTIFS(Flows!$B$2:$B$400,"required",Flows!$L$2:$L$400,GoalLens!$B$3,Flows!$T$2:$T$400,"&lt;&gt;covered",Flows!$E$2:$E$400,$A29)&gt;0,1,0))</f>
        <v/>
      </c>
      <c r="N29" s="34" t="str">
        <f aca="false">IF($L29=1,MAX($N$1:N28)+1,"")</f>
        <v/>
      </c>
    </row>
    <row r="30" customFormat="false" ht="15" hidden="false" customHeight="true" outlineLevel="0" collapsed="false">
      <c r="A30" s="31"/>
      <c r="B30" s="31"/>
      <c r="C30" s="31"/>
      <c r="D30" s="31"/>
      <c r="E30" s="31"/>
      <c r="F30" s="31"/>
      <c r="G30" s="31"/>
      <c r="H30" s="34" t="str">
        <f aca="false">IF($A30="","",IF(COUNTIFS(Flows!$B$2:$B$400,"required",Flows!$L$2:$L$400,H$1,Flows!$D$2:$D$400,$A30)+COUNTIFS(Flows!$B$2:$B$400,"required",Flows!$L$2:$L$400,H$1,Flows!$E$2:$E$400,$A30)&gt;0,1,0))</f>
        <v/>
      </c>
      <c r="I30" s="34" t="str">
        <f aca="false">IF($A30="","",IF(COUNTIFS(Flows!$B$2:$B$400,"required",Flows!$L$2:$L$400,I$1,Flows!$D$2:$D$400,$A30)+COUNTIFS(Flows!$B$2:$B$400,"required",Flows!$L$2:$L$400,I$1,Flows!$E$2:$E$400,$A30)&gt;0,1,0))</f>
        <v/>
      </c>
      <c r="J30" s="34" t="str">
        <f aca="false">IF($A30="","",IF(COUNTIFS(Flows!$B$2:$B$400,"required",Flows!$L$2:$L$400,J$1,Flows!$D$2:$D$400,$A30)+COUNTIFS(Flows!$B$2:$B$400,"required",Flows!$L$2:$L$400,J$1,Flows!$E$2:$E$400,$A30)&gt;0,1,0))</f>
        <v/>
      </c>
      <c r="K30" s="34" t="str">
        <f aca="false">IF($A30="","",IF(COUNTIFS(Flows!$B$2:$B$400,"required",Flows!$L$2:$L$400,K$1,Flows!$D$2:$D$400,$A30)+COUNTIFS(Flows!$B$2:$B$400,"required",Flows!$L$2:$L$400,K$1,Flows!$E$2:$E$400,$A30)&gt;0,1,0))</f>
        <v/>
      </c>
      <c r="L30" s="34" t="str">
        <f aca="false">IF($A30="","",IFERROR(INDEX($H30:$K30,MATCH(GoalLens!$B$3,$H$1:$K$1,0)),0))</f>
        <v/>
      </c>
      <c r="M30" s="34" t="str">
        <f aca="false">IF($A30="","",IF(COUNTIFS(Flows!$B$2:$B$400,"required",Flows!$L$2:$L$400,GoalLens!$B$3,Flows!$T$2:$T$400,"&lt;&gt;covered",Flows!$D$2:$D$400,$A30)+COUNTIFS(Flows!$B$2:$B$400,"required",Flows!$L$2:$L$400,GoalLens!$B$3,Flows!$T$2:$T$400,"&lt;&gt;covered",Flows!$E$2:$E$400,$A30)&gt;0,1,0))</f>
        <v/>
      </c>
      <c r="N30" s="34" t="str">
        <f aca="false">IF($L30=1,MAX($N$1:N29)+1,"")</f>
        <v/>
      </c>
    </row>
    <row r="31" customFormat="false" ht="15" hidden="false" customHeight="true" outlineLevel="0" collapsed="false">
      <c r="A31" s="31"/>
      <c r="B31" s="31"/>
      <c r="C31" s="31"/>
      <c r="D31" s="31"/>
      <c r="E31" s="31"/>
      <c r="F31" s="31"/>
      <c r="G31" s="31"/>
      <c r="H31" s="34" t="str">
        <f aca="false">IF($A31="","",IF(COUNTIFS(Flows!$B$2:$B$400,"required",Flows!$L$2:$L$400,H$1,Flows!$D$2:$D$400,$A31)+COUNTIFS(Flows!$B$2:$B$400,"required",Flows!$L$2:$L$400,H$1,Flows!$E$2:$E$400,$A31)&gt;0,1,0))</f>
        <v/>
      </c>
      <c r="I31" s="34" t="str">
        <f aca="false">IF($A31="","",IF(COUNTIFS(Flows!$B$2:$B$400,"required",Flows!$L$2:$L$400,I$1,Flows!$D$2:$D$400,$A31)+COUNTIFS(Flows!$B$2:$B$400,"required",Flows!$L$2:$L$400,I$1,Flows!$E$2:$E$400,$A31)&gt;0,1,0))</f>
        <v/>
      </c>
      <c r="J31" s="34" t="str">
        <f aca="false">IF($A31="","",IF(COUNTIFS(Flows!$B$2:$B$400,"required",Flows!$L$2:$L$400,J$1,Flows!$D$2:$D$400,$A31)+COUNTIFS(Flows!$B$2:$B$400,"required",Flows!$L$2:$L$400,J$1,Flows!$E$2:$E$400,$A31)&gt;0,1,0))</f>
        <v/>
      </c>
      <c r="K31" s="34" t="str">
        <f aca="false">IF($A31="","",IF(COUNTIFS(Flows!$B$2:$B$400,"required",Flows!$L$2:$L$400,K$1,Flows!$D$2:$D$400,$A31)+COUNTIFS(Flows!$B$2:$B$400,"required",Flows!$L$2:$L$400,K$1,Flows!$E$2:$E$400,$A31)&gt;0,1,0))</f>
        <v/>
      </c>
      <c r="L31" s="34" t="str">
        <f aca="false">IF($A31="","",IFERROR(INDEX($H31:$K31,MATCH(GoalLens!$B$3,$H$1:$K$1,0)),0))</f>
        <v/>
      </c>
      <c r="M31" s="34" t="str">
        <f aca="false">IF($A31="","",IF(COUNTIFS(Flows!$B$2:$B$400,"required",Flows!$L$2:$L$400,GoalLens!$B$3,Flows!$T$2:$T$400,"&lt;&gt;covered",Flows!$D$2:$D$400,$A31)+COUNTIFS(Flows!$B$2:$B$400,"required",Flows!$L$2:$L$400,GoalLens!$B$3,Flows!$T$2:$T$400,"&lt;&gt;covered",Flows!$E$2:$E$400,$A31)&gt;0,1,0))</f>
        <v/>
      </c>
      <c r="N31" s="34" t="str">
        <f aca="false">IF($L31=1,MAX($N$1:N30)+1,"")</f>
        <v/>
      </c>
    </row>
    <row r="32" customFormat="false" ht="15" hidden="false" customHeight="true" outlineLevel="0" collapsed="false">
      <c r="A32" s="31"/>
      <c r="B32" s="31"/>
      <c r="C32" s="31"/>
      <c r="D32" s="31"/>
      <c r="E32" s="31"/>
      <c r="F32" s="31"/>
      <c r="G32" s="31"/>
      <c r="H32" s="34" t="str">
        <f aca="false">IF($A32="","",IF(COUNTIFS(Flows!$B$2:$B$400,"required",Flows!$L$2:$L$400,H$1,Flows!$D$2:$D$400,$A32)+COUNTIFS(Flows!$B$2:$B$400,"required",Flows!$L$2:$L$400,H$1,Flows!$E$2:$E$400,$A32)&gt;0,1,0))</f>
        <v/>
      </c>
      <c r="I32" s="34" t="str">
        <f aca="false">IF($A32="","",IF(COUNTIFS(Flows!$B$2:$B$400,"required",Flows!$L$2:$L$400,I$1,Flows!$D$2:$D$400,$A32)+COUNTIFS(Flows!$B$2:$B$400,"required",Flows!$L$2:$L$400,I$1,Flows!$E$2:$E$400,$A32)&gt;0,1,0))</f>
        <v/>
      </c>
      <c r="J32" s="34" t="str">
        <f aca="false">IF($A32="","",IF(COUNTIFS(Flows!$B$2:$B$400,"required",Flows!$L$2:$L$400,J$1,Flows!$D$2:$D$400,$A32)+COUNTIFS(Flows!$B$2:$B$400,"required",Flows!$L$2:$L$400,J$1,Flows!$E$2:$E$400,$A32)&gt;0,1,0))</f>
        <v/>
      </c>
      <c r="K32" s="34" t="str">
        <f aca="false">IF($A32="","",IF(COUNTIFS(Flows!$B$2:$B$400,"required",Flows!$L$2:$L$400,K$1,Flows!$D$2:$D$400,$A32)+COUNTIFS(Flows!$B$2:$B$400,"required",Flows!$L$2:$L$400,K$1,Flows!$E$2:$E$400,$A32)&gt;0,1,0))</f>
        <v/>
      </c>
      <c r="L32" s="34" t="str">
        <f aca="false">IF($A32="","",IFERROR(INDEX($H32:$K32,MATCH(GoalLens!$B$3,$H$1:$K$1,0)),0))</f>
        <v/>
      </c>
      <c r="M32" s="34" t="str">
        <f aca="false">IF($A32="","",IF(COUNTIFS(Flows!$B$2:$B$400,"required",Flows!$L$2:$L$400,GoalLens!$B$3,Flows!$T$2:$T$400,"&lt;&gt;covered",Flows!$D$2:$D$400,$A32)+COUNTIFS(Flows!$B$2:$B$400,"required",Flows!$L$2:$L$400,GoalLens!$B$3,Flows!$T$2:$T$400,"&lt;&gt;covered",Flows!$E$2:$E$400,$A32)&gt;0,1,0))</f>
        <v/>
      </c>
      <c r="N32" s="34" t="str">
        <f aca="false">IF($L32=1,MAX($N$1:N31)+1,"")</f>
        <v/>
      </c>
    </row>
    <row r="33" customFormat="false" ht="15" hidden="false" customHeight="true" outlineLevel="0" collapsed="false">
      <c r="A33" s="31"/>
      <c r="B33" s="31"/>
      <c r="C33" s="31"/>
      <c r="D33" s="31"/>
      <c r="E33" s="31"/>
      <c r="F33" s="31"/>
      <c r="G33" s="31"/>
      <c r="H33" s="34" t="str">
        <f aca="false">IF($A33="","",IF(COUNTIFS(Flows!$B$2:$B$400,"required",Flows!$L$2:$L$400,H$1,Flows!$D$2:$D$400,$A33)+COUNTIFS(Flows!$B$2:$B$400,"required",Flows!$L$2:$L$400,H$1,Flows!$E$2:$E$400,$A33)&gt;0,1,0))</f>
        <v/>
      </c>
      <c r="I33" s="34" t="str">
        <f aca="false">IF($A33="","",IF(COUNTIFS(Flows!$B$2:$B$400,"required",Flows!$L$2:$L$400,I$1,Flows!$D$2:$D$400,$A33)+COUNTIFS(Flows!$B$2:$B$400,"required",Flows!$L$2:$L$400,I$1,Flows!$E$2:$E$400,$A33)&gt;0,1,0))</f>
        <v/>
      </c>
      <c r="J33" s="34" t="str">
        <f aca="false">IF($A33="","",IF(COUNTIFS(Flows!$B$2:$B$400,"required",Flows!$L$2:$L$400,J$1,Flows!$D$2:$D$400,$A33)+COUNTIFS(Flows!$B$2:$B$400,"required",Flows!$L$2:$L$400,J$1,Flows!$E$2:$E$400,$A33)&gt;0,1,0))</f>
        <v/>
      </c>
      <c r="K33" s="34" t="str">
        <f aca="false">IF($A33="","",IF(COUNTIFS(Flows!$B$2:$B$400,"required",Flows!$L$2:$L$400,K$1,Flows!$D$2:$D$400,$A33)+COUNTIFS(Flows!$B$2:$B$400,"required",Flows!$L$2:$L$400,K$1,Flows!$E$2:$E$400,$A33)&gt;0,1,0))</f>
        <v/>
      </c>
      <c r="L33" s="34" t="str">
        <f aca="false">IF($A33="","",IFERROR(INDEX($H33:$K33,MATCH(GoalLens!$B$3,$H$1:$K$1,0)),0))</f>
        <v/>
      </c>
      <c r="M33" s="34" t="str">
        <f aca="false">IF($A33="","",IF(COUNTIFS(Flows!$B$2:$B$400,"required",Flows!$L$2:$L$400,GoalLens!$B$3,Flows!$T$2:$T$400,"&lt;&gt;covered",Flows!$D$2:$D$400,$A33)+COUNTIFS(Flows!$B$2:$B$400,"required",Flows!$L$2:$L$400,GoalLens!$B$3,Flows!$T$2:$T$400,"&lt;&gt;covered",Flows!$E$2:$E$400,$A33)&gt;0,1,0))</f>
        <v/>
      </c>
      <c r="N33" s="34" t="str">
        <f aca="false">IF($L33=1,MAX($N$1:N32)+1,"")</f>
        <v/>
      </c>
    </row>
    <row r="34" customFormat="false" ht="15" hidden="false" customHeight="true" outlineLevel="0" collapsed="false">
      <c r="A34" s="31"/>
      <c r="B34" s="31"/>
      <c r="C34" s="31"/>
      <c r="D34" s="31"/>
      <c r="E34" s="31"/>
      <c r="F34" s="31"/>
      <c r="G34" s="31"/>
      <c r="H34" s="34" t="str">
        <f aca="false">IF($A34="","",IF(COUNTIFS(Flows!$B$2:$B$400,"required",Flows!$L$2:$L$400,H$1,Flows!$D$2:$D$400,$A34)+COUNTIFS(Flows!$B$2:$B$400,"required",Flows!$L$2:$L$400,H$1,Flows!$E$2:$E$400,$A34)&gt;0,1,0))</f>
        <v/>
      </c>
      <c r="I34" s="34" t="str">
        <f aca="false">IF($A34="","",IF(COUNTIFS(Flows!$B$2:$B$400,"required",Flows!$L$2:$L$400,I$1,Flows!$D$2:$D$400,$A34)+COUNTIFS(Flows!$B$2:$B$400,"required",Flows!$L$2:$L$400,I$1,Flows!$E$2:$E$400,$A34)&gt;0,1,0))</f>
        <v/>
      </c>
      <c r="J34" s="34" t="str">
        <f aca="false">IF($A34="","",IF(COUNTIFS(Flows!$B$2:$B$400,"required",Flows!$L$2:$L$400,J$1,Flows!$D$2:$D$400,$A34)+COUNTIFS(Flows!$B$2:$B$400,"required",Flows!$L$2:$L$400,J$1,Flows!$E$2:$E$400,$A34)&gt;0,1,0))</f>
        <v/>
      </c>
      <c r="K34" s="34" t="str">
        <f aca="false">IF($A34="","",IF(COUNTIFS(Flows!$B$2:$B$400,"required",Flows!$L$2:$L$400,K$1,Flows!$D$2:$D$400,$A34)+COUNTIFS(Flows!$B$2:$B$400,"required",Flows!$L$2:$L$400,K$1,Flows!$E$2:$E$400,$A34)&gt;0,1,0))</f>
        <v/>
      </c>
      <c r="L34" s="34" t="str">
        <f aca="false">IF($A34="","",IFERROR(INDEX($H34:$K34,MATCH(GoalLens!$B$3,$H$1:$K$1,0)),0))</f>
        <v/>
      </c>
      <c r="M34" s="34" t="str">
        <f aca="false">IF($A34="","",IF(COUNTIFS(Flows!$B$2:$B$400,"required",Flows!$L$2:$L$400,GoalLens!$B$3,Flows!$T$2:$T$400,"&lt;&gt;covered",Flows!$D$2:$D$400,$A34)+COUNTIFS(Flows!$B$2:$B$400,"required",Flows!$L$2:$L$400,GoalLens!$B$3,Flows!$T$2:$T$400,"&lt;&gt;covered",Flows!$E$2:$E$400,$A34)&gt;0,1,0))</f>
        <v/>
      </c>
      <c r="N34" s="34" t="str">
        <f aca="false">IF($L34=1,MAX($N$1:N33)+1,"")</f>
        <v/>
      </c>
    </row>
    <row r="35" customFormat="false" ht="15" hidden="false" customHeight="true" outlineLevel="0" collapsed="false">
      <c r="A35" s="31"/>
      <c r="B35" s="31"/>
      <c r="C35" s="31"/>
      <c r="D35" s="31"/>
      <c r="E35" s="31"/>
      <c r="F35" s="31"/>
      <c r="G35" s="31"/>
      <c r="H35" s="34" t="str">
        <f aca="false">IF($A35="","",IF(COUNTIFS(Flows!$B$2:$B$400,"required",Flows!$L$2:$L$400,H$1,Flows!$D$2:$D$400,$A35)+COUNTIFS(Flows!$B$2:$B$400,"required",Flows!$L$2:$L$400,H$1,Flows!$E$2:$E$400,$A35)&gt;0,1,0))</f>
        <v/>
      </c>
      <c r="I35" s="34" t="str">
        <f aca="false">IF($A35="","",IF(COUNTIFS(Flows!$B$2:$B$400,"required",Flows!$L$2:$L$400,I$1,Flows!$D$2:$D$400,$A35)+COUNTIFS(Flows!$B$2:$B$400,"required",Flows!$L$2:$L$400,I$1,Flows!$E$2:$E$400,$A35)&gt;0,1,0))</f>
        <v/>
      </c>
      <c r="J35" s="34" t="str">
        <f aca="false">IF($A35="","",IF(COUNTIFS(Flows!$B$2:$B$400,"required",Flows!$L$2:$L$400,J$1,Flows!$D$2:$D$400,$A35)+COUNTIFS(Flows!$B$2:$B$400,"required",Flows!$L$2:$L$400,J$1,Flows!$E$2:$E$400,$A35)&gt;0,1,0))</f>
        <v/>
      </c>
      <c r="K35" s="34" t="str">
        <f aca="false">IF($A35="","",IF(COUNTIFS(Flows!$B$2:$B$400,"required",Flows!$L$2:$L$400,K$1,Flows!$D$2:$D$400,$A35)+COUNTIFS(Flows!$B$2:$B$400,"required",Flows!$L$2:$L$400,K$1,Flows!$E$2:$E$400,$A35)&gt;0,1,0))</f>
        <v/>
      </c>
      <c r="L35" s="34" t="str">
        <f aca="false">IF($A35="","",IFERROR(INDEX($H35:$K35,MATCH(GoalLens!$B$3,$H$1:$K$1,0)),0))</f>
        <v/>
      </c>
      <c r="M35" s="34" t="str">
        <f aca="false">IF($A35="","",IF(COUNTIFS(Flows!$B$2:$B$400,"required",Flows!$L$2:$L$400,GoalLens!$B$3,Flows!$T$2:$T$400,"&lt;&gt;covered",Flows!$D$2:$D$400,$A35)+COUNTIFS(Flows!$B$2:$B$400,"required",Flows!$L$2:$L$400,GoalLens!$B$3,Flows!$T$2:$T$400,"&lt;&gt;covered",Flows!$E$2:$E$400,$A35)&gt;0,1,0))</f>
        <v/>
      </c>
      <c r="N35" s="34" t="str">
        <f aca="false">IF($L35=1,MAX($N$1:N34)+1,"")</f>
        <v/>
      </c>
    </row>
    <row r="36" customFormat="false" ht="15" hidden="false" customHeight="true" outlineLevel="0" collapsed="false">
      <c r="A36" s="31"/>
      <c r="B36" s="31"/>
      <c r="C36" s="31"/>
      <c r="D36" s="31"/>
      <c r="E36" s="31"/>
      <c r="F36" s="31"/>
      <c r="G36" s="31"/>
      <c r="H36" s="34" t="str">
        <f aca="false">IF($A36="","",IF(COUNTIFS(Flows!$B$2:$B$400,"required",Flows!$L$2:$L$400,H$1,Flows!$D$2:$D$400,$A36)+COUNTIFS(Flows!$B$2:$B$400,"required",Flows!$L$2:$L$400,H$1,Flows!$E$2:$E$400,$A36)&gt;0,1,0))</f>
        <v/>
      </c>
      <c r="I36" s="34" t="str">
        <f aca="false">IF($A36="","",IF(COUNTIFS(Flows!$B$2:$B$400,"required",Flows!$L$2:$L$400,I$1,Flows!$D$2:$D$400,$A36)+COUNTIFS(Flows!$B$2:$B$400,"required",Flows!$L$2:$L$400,I$1,Flows!$E$2:$E$400,$A36)&gt;0,1,0))</f>
        <v/>
      </c>
      <c r="J36" s="34" t="str">
        <f aca="false">IF($A36="","",IF(COUNTIFS(Flows!$B$2:$B$400,"required",Flows!$L$2:$L$400,J$1,Flows!$D$2:$D$400,$A36)+COUNTIFS(Flows!$B$2:$B$400,"required",Flows!$L$2:$L$400,J$1,Flows!$E$2:$E$400,$A36)&gt;0,1,0))</f>
        <v/>
      </c>
      <c r="K36" s="34" t="str">
        <f aca="false">IF($A36="","",IF(COUNTIFS(Flows!$B$2:$B$400,"required",Flows!$L$2:$L$400,K$1,Flows!$D$2:$D$400,$A36)+COUNTIFS(Flows!$B$2:$B$400,"required",Flows!$L$2:$L$400,K$1,Flows!$E$2:$E$400,$A36)&gt;0,1,0))</f>
        <v/>
      </c>
      <c r="L36" s="34" t="str">
        <f aca="false">IF($A36="","",IFERROR(INDEX($H36:$K36,MATCH(GoalLens!$B$3,$H$1:$K$1,0)),0))</f>
        <v/>
      </c>
      <c r="M36" s="34" t="str">
        <f aca="false">IF($A36="","",IF(COUNTIFS(Flows!$B$2:$B$400,"required",Flows!$L$2:$L$400,GoalLens!$B$3,Flows!$T$2:$T$400,"&lt;&gt;covered",Flows!$D$2:$D$400,$A36)+COUNTIFS(Flows!$B$2:$B$400,"required",Flows!$L$2:$L$400,GoalLens!$B$3,Flows!$T$2:$T$400,"&lt;&gt;covered",Flows!$E$2:$E$400,$A36)&gt;0,1,0))</f>
        <v/>
      </c>
      <c r="N36" s="34" t="str">
        <f aca="false">IF($L36=1,MAX($N$1:N35)+1,"")</f>
        <v/>
      </c>
    </row>
    <row r="37" customFormat="false" ht="15" hidden="false" customHeight="true" outlineLevel="0" collapsed="false">
      <c r="A37" s="31"/>
      <c r="B37" s="31"/>
      <c r="C37" s="31"/>
      <c r="D37" s="31"/>
      <c r="E37" s="31"/>
      <c r="F37" s="31"/>
      <c r="G37" s="31"/>
      <c r="H37" s="34" t="str">
        <f aca="false">IF($A37="","",IF(COUNTIFS(Flows!$B$2:$B$400,"required",Flows!$L$2:$L$400,H$1,Flows!$D$2:$D$400,$A37)+COUNTIFS(Flows!$B$2:$B$400,"required",Flows!$L$2:$L$400,H$1,Flows!$E$2:$E$400,$A37)&gt;0,1,0))</f>
        <v/>
      </c>
      <c r="I37" s="34" t="str">
        <f aca="false">IF($A37="","",IF(COUNTIFS(Flows!$B$2:$B$400,"required",Flows!$L$2:$L$400,I$1,Flows!$D$2:$D$400,$A37)+COUNTIFS(Flows!$B$2:$B$400,"required",Flows!$L$2:$L$400,I$1,Flows!$E$2:$E$400,$A37)&gt;0,1,0))</f>
        <v/>
      </c>
      <c r="J37" s="34" t="str">
        <f aca="false">IF($A37="","",IF(COUNTIFS(Flows!$B$2:$B$400,"required",Flows!$L$2:$L$400,J$1,Flows!$D$2:$D$400,$A37)+COUNTIFS(Flows!$B$2:$B$400,"required",Flows!$L$2:$L$400,J$1,Flows!$E$2:$E$400,$A37)&gt;0,1,0))</f>
        <v/>
      </c>
      <c r="K37" s="34" t="str">
        <f aca="false">IF($A37="","",IF(COUNTIFS(Flows!$B$2:$B$400,"required",Flows!$L$2:$L$400,K$1,Flows!$D$2:$D$400,$A37)+COUNTIFS(Flows!$B$2:$B$400,"required",Flows!$L$2:$L$400,K$1,Flows!$E$2:$E$400,$A37)&gt;0,1,0))</f>
        <v/>
      </c>
      <c r="L37" s="34" t="str">
        <f aca="false">IF($A37="","",IFERROR(INDEX($H37:$K37,MATCH(GoalLens!$B$3,$H$1:$K$1,0)),0))</f>
        <v/>
      </c>
      <c r="M37" s="34" t="str">
        <f aca="false">IF($A37="","",IF(COUNTIFS(Flows!$B$2:$B$400,"required",Flows!$L$2:$L$400,GoalLens!$B$3,Flows!$T$2:$T$400,"&lt;&gt;covered",Flows!$D$2:$D$400,$A37)+COUNTIFS(Flows!$B$2:$B$400,"required",Flows!$L$2:$L$400,GoalLens!$B$3,Flows!$T$2:$T$400,"&lt;&gt;covered",Flows!$E$2:$E$400,$A37)&gt;0,1,0))</f>
        <v/>
      </c>
      <c r="N37" s="34" t="str">
        <f aca="false">IF($L37=1,MAX($N$1:N36)+1,"")</f>
        <v/>
      </c>
    </row>
    <row r="38" customFormat="false" ht="15" hidden="false" customHeight="true" outlineLevel="0" collapsed="false">
      <c r="A38" s="31"/>
      <c r="B38" s="31"/>
      <c r="C38" s="31"/>
      <c r="D38" s="31"/>
      <c r="E38" s="31"/>
      <c r="F38" s="31"/>
      <c r="G38" s="31"/>
      <c r="H38" s="34" t="str">
        <f aca="false">IF($A38="","",IF(COUNTIFS(Flows!$B$2:$B$400,"required",Flows!$L$2:$L$400,H$1,Flows!$D$2:$D$400,$A38)+COUNTIFS(Flows!$B$2:$B$400,"required",Flows!$L$2:$L$400,H$1,Flows!$E$2:$E$400,$A38)&gt;0,1,0))</f>
        <v/>
      </c>
      <c r="I38" s="34" t="str">
        <f aca="false">IF($A38="","",IF(COUNTIFS(Flows!$B$2:$B$400,"required",Flows!$L$2:$L$400,I$1,Flows!$D$2:$D$400,$A38)+COUNTIFS(Flows!$B$2:$B$400,"required",Flows!$L$2:$L$400,I$1,Flows!$E$2:$E$400,$A38)&gt;0,1,0))</f>
        <v/>
      </c>
      <c r="J38" s="34" t="str">
        <f aca="false">IF($A38="","",IF(COUNTIFS(Flows!$B$2:$B$400,"required",Flows!$L$2:$L$400,J$1,Flows!$D$2:$D$400,$A38)+COUNTIFS(Flows!$B$2:$B$400,"required",Flows!$L$2:$L$400,J$1,Flows!$E$2:$E$400,$A38)&gt;0,1,0))</f>
        <v/>
      </c>
      <c r="K38" s="34" t="str">
        <f aca="false">IF($A38="","",IF(COUNTIFS(Flows!$B$2:$B$400,"required",Flows!$L$2:$L$400,K$1,Flows!$D$2:$D$400,$A38)+COUNTIFS(Flows!$B$2:$B$400,"required",Flows!$L$2:$L$400,K$1,Flows!$E$2:$E$400,$A38)&gt;0,1,0))</f>
        <v/>
      </c>
      <c r="L38" s="34" t="str">
        <f aca="false">IF($A38="","",IFERROR(INDEX($H38:$K38,MATCH(GoalLens!$B$3,$H$1:$K$1,0)),0))</f>
        <v/>
      </c>
      <c r="M38" s="34" t="str">
        <f aca="false">IF($A38="","",IF(COUNTIFS(Flows!$B$2:$B$400,"required",Flows!$L$2:$L$400,GoalLens!$B$3,Flows!$T$2:$T$400,"&lt;&gt;covered",Flows!$D$2:$D$400,$A38)+COUNTIFS(Flows!$B$2:$B$400,"required",Flows!$L$2:$L$400,GoalLens!$B$3,Flows!$T$2:$T$400,"&lt;&gt;covered",Flows!$E$2:$E$400,$A38)&gt;0,1,0))</f>
        <v/>
      </c>
      <c r="N38" s="34" t="str">
        <f aca="false">IF($L38=1,MAX($N$1:N37)+1,"")</f>
        <v/>
      </c>
    </row>
    <row r="39" customFormat="false" ht="15" hidden="false" customHeight="true" outlineLevel="0" collapsed="false">
      <c r="A39" s="31"/>
      <c r="B39" s="31"/>
      <c r="C39" s="31"/>
      <c r="D39" s="31"/>
      <c r="E39" s="31"/>
      <c r="F39" s="31"/>
      <c r="G39" s="31"/>
      <c r="H39" s="34" t="str">
        <f aca="false">IF($A39="","",IF(COUNTIFS(Flows!$B$2:$B$400,"required",Flows!$L$2:$L$400,H$1,Flows!$D$2:$D$400,$A39)+COUNTIFS(Flows!$B$2:$B$400,"required",Flows!$L$2:$L$400,H$1,Flows!$E$2:$E$400,$A39)&gt;0,1,0))</f>
        <v/>
      </c>
      <c r="I39" s="34" t="str">
        <f aca="false">IF($A39="","",IF(COUNTIFS(Flows!$B$2:$B$400,"required",Flows!$L$2:$L$400,I$1,Flows!$D$2:$D$400,$A39)+COUNTIFS(Flows!$B$2:$B$400,"required",Flows!$L$2:$L$400,I$1,Flows!$E$2:$E$400,$A39)&gt;0,1,0))</f>
        <v/>
      </c>
      <c r="J39" s="34" t="str">
        <f aca="false">IF($A39="","",IF(COUNTIFS(Flows!$B$2:$B$400,"required",Flows!$L$2:$L$400,J$1,Flows!$D$2:$D$400,$A39)+COUNTIFS(Flows!$B$2:$B$400,"required",Flows!$L$2:$L$400,J$1,Flows!$E$2:$E$400,$A39)&gt;0,1,0))</f>
        <v/>
      </c>
      <c r="K39" s="34" t="str">
        <f aca="false">IF($A39="","",IF(COUNTIFS(Flows!$B$2:$B$400,"required",Flows!$L$2:$L$400,K$1,Flows!$D$2:$D$400,$A39)+COUNTIFS(Flows!$B$2:$B$400,"required",Flows!$L$2:$L$400,K$1,Flows!$E$2:$E$400,$A39)&gt;0,1,0))</f>
        <v/>
      </c>
      <c r="L39" s="34" t="str">
        <f aca="false">IF($A39="","",IFERROR(INDEX($H39:$K39,MATCH(GoalLens!$B$3,$H$1:$K$1,0)),0))</f>
        <v/>
      </c>
      <c r="M39" s="34" t="str">
        <f aca="false">IF($A39="","",IF(COUNTIFS(Flows!$B$2:$B$400,"required",Flows!$L$2:$L$400,GoalLens!$B$3,Flows!$T$2:$T$400,"&lt;&gt;covered",Flows!$D$2:$D$400,$A39)+COUNTIFS(Flows!$B$2:$B$400,"required",Flows!$L$2:$L$400,GoalLens!$B$3,Flows!$T$2:$T$400,"&lt;&gt;covered",Flows!$E$2:$E$400,$A39)&gt;0,1,0))</f>
        <v/>
      </c>
      <c r="N39" s="34" t="str">
        <f aca="false">IF($L39=1,MAX($N$1:N38)+1,"")</f>
        <v/>
      </c>
    </row>
    <row r="40" customFormat="false" ht="15" hidden="false" customHeight="true" outlineLevel="0" collapsed="false">
      <c r="A40" s="31"/>
      <c r="B40" s="31"/>
      <c r="C40" s="31"/>
      <c r="D40" s="31"/>
      <c r="E40" s="31"/>
      <c r="F40" s="31"/>
      <c r="G40" s="31"/>
      <c r="H40" s="34" t="str">
        <f aca="false">IF($A40="","",IF(COUNTIFS(Flows!$B$2:$B$400,"required",Flows!$L$2:$L$400,H$1,Flows!$D$2:$D$400,$A40)+COUNTIFS(Flows!$B$2:$B$400,"required",Flows!$L$2:$L$400,H$1,Flows!$E$2:$E$400,$A40)&gt;0,1,0))</f>
        <v/>
      </c>
      <c r="I40" s="34" t="str">
        <f aca="false">IF($A40="","",IF(COUNTIFS(Flows!$B$2:$B$400,"required",Flows!$L$2:$L$400,I$1,Flows!$D$2:$D$400,$A40)+COUNTIFS(Flows!$B$2:$B$400,"required",Flows!$L$2:$L$400,I$1,Flows!$E$2:$E$400,$A40)&gt;0,1,0))</f>
        <v/>
      </c>
      <c r="J40" s="34" t="str">
        <f aca="false">IF($A40="","",IF(COUNTIFS(Flows!$B$2:$B$400,"required",Flows!$L$2:$L$400,J$1,Flows!$D$2:$D$400,$A40)+COUNTIFS(Flows!$B$2:$B$400,"required",Flows!$L$2:$L$400,J$1,Flows!$E$2:$E$400,$A40)&gt;0,1,0))</f>
        <v/>
      </c>
      <c r="K40" s="34" t="str">
        <f aca="false">IF($A40="","",IF(COUNTIFS(Flows!$B$2:$B$400,"required",Flows!$L$2:$L$400,K$1,Flows!$D$2:$D$400,$A40)+COUNTIFS(Flows!$B$2:$B$400,"required",Flows!$L$2:$L$400,K$1,Flows!$E$2:$E$400,$A40)&gt;0,1,0))</f>
        <v/>
      </c>
      <c r="L40" s="34" t="str">
        <f aca="false">IF($A40="","",IFERROR(INDEX($H40:$K40,MATCH(GoalLens!$B$3,$H$1:$K$1,0)),0))</f>
        <v/>
      </c>
      <c r="M40" s="34" t="str">
        <f aca="false">IF($A40="","",IF(COUNTIFS(Flows!$B$2:$B$400,"required",Flows!$L$2:$L$400,GoalLens!$B$3,Flows!$T$2:$T$400,"&lt;&gt;covered",Flows!$D$2:$D$400,$A40)+COUNTIFS(Flows!$B$2:$B$400,"required",Flows!$L$2:$L$400,GoalLens!$B$3,Flows!$T$2:$T$400,"&lt;&gt;covered",Flows!$E$2:$E$400,$A40)&gt;0,1,0))</f>
        <v/>
      </c>
      <c r="N40" s="34" t="str">
        <f aca="false">IF($L40=1,MAX($N$1:N39)+1,"")</f>
        <v/>
      </c>
    </row>
    <row r="41" customFormat="false" ht="15" hidden="false" customHeight="true" outlineLevel="0" collapsed="false">
      <c r="A41" s="31"/>
      <c r="B41" s="31"/>
      <c r="C41" s="31"/>
      <c r="D41" s="31"/>
      <c r="E41" s="31"/>
      <c r="F41" s="31"/>
      <c r="G41" s="31"/>
      <c r="H41" s="34" t="str">
        <f aca="false">IF($A41="","",IF(COUNTIFS(Flows!$B$2:$B$400,"required",Flows!$L$2:$L$400,H$1,Flows!$D$2:$D$400,$A41)+COUNTIFS(Flows!$B$2:$B$400,"required",Flows!$L$2:$L$400,H$1,Flows!$E$2:$E$400,$A41)&gt;0,1,0))</f>
        <v/>
      </c>
      <c r="I41" s="34" t="str">
        <f aca="false">IF($A41="","",IF(COUNTIFS(Flows!$B$2:$B$400,"required",Flows!$L$2:$L$400,I$1,Flows!$D$2:$D$400,$A41)+COUNTIFS(Flows!$B$2:$B$400,"required",Flows!$L$2:$L$400,I$1,Flows!$E$2:$E$400,$A41)&gt;0,1,0))</f>
        <v/>
      </c>
      <c r="J41" s="34" t="str">
        <f aca="false">IF($A41="","",IF(COUNTIFS(Flows!$B$2:$B$400,"required",Flows!$L$2:$L$400,J$1,Flows!$D$2:$D$400,$A41)+COUNTIFS(Flows!$B$2:$B$400,"required",Flows!$L$2:$L$400,J$1,Flows!$E$2:$E$400,$A41)&gt;0,1,0))</f>
        <v/>
      </c>
      <c r="K41" s="34" t="str">
        <f aca="false">IF($A41="","",IF(COUNTIFS(Flows!$B$2:$B$400,"required",Flows!$L$2:$L$400,K$1,Flows!$D$2:$D$400,$A41)+COUNTIFS(Flows!$B$2:$B$400,"required",Flows!$L$2:$L$400,K$1,Flows!$E$2:$E$400,$A41)&gt;0,1,0))</f>
        <v/>
      </c>
      <c r="L41" s="34" t="str">
        <f aca="false">IF($A41="","",IFERROR(INDEX($H41:$K41,MATCH(GoalLens!$B$3,$H$1:$K$1,0)),0))</f>
        <v/>
      </c>
      <c r="M41" s="34" t="str">
        <f aca="false">IF($A41="","",IF(COUNTIFS(Flows!$B$2:$B$400,"required",Flows!$L$2:$L$400,GoalLens!$B$3,Flows!$T$2:$T$400,"&lt;&gt;covered",Flows!$D$2:$D$400,$A41)+COUNTIFS(Flows!$B$2:$B$400,"required",Flows!$L$2:$L$400,GoalLens!$B$3,Flows!$T$2:$T$400,"&lt;&gt;covered",Flows!$E$2:$E$400,$A41)&gt;0,1,0))</f>
        <v/>
      </c>
      <c r="N41" s="34" t="str">
        <f aca="false">IF($L41=1,MAX($N$1:N40)+1,"")</f>
        <v/>
      </c>
    </row>
    <row r="42" customFormat="false" ht="15" hidden="false" customHeight="true" outlineLevel="0" collapsed="false">
      <c r="A42" s="31"/>
      <c r="B42" s="31"/>
      <c r="C42" s="31"/>
      <c r="D42" s="31"/>
      <c r="E42" s="31"/>
      <c r="F42" s="31"/>
      <c r="G42" s="31"/>
      <c r="H42" s="34" t="str">
        <f aca="false">IF($A42="","",IF(COUNTIFS(Flows!$B$2:$B$400,"required",Flows!$L$2:$L$400,H$1,Flows!$D$2:$D$400,$A42)+COUNTIFS(Flows!$B$2:$B$400,"required",Flows!$L$2:$L$400,H$1,Flows!$E$2:$E$400,$A42)&gt;0,1,0))</f>
        <v/>
      </c>
      <c r="I42" s="34" t="str">
        <f aca="false">IF($A42="","",IF(COUNTIFS(Flows!$B$2:$B$400,"required",Flows!$L$2:$L$400,I$1,Flows!$D$2:$D$400,$A42)+COUNTIFS(Flows!$B$2:$B$400,"required",Flows!$L$2:$L$400,I$1,Flows!$E$2:$E$400,$A42)&gt;0,1,0))</f>
        <v/>
      </c>
      <c r="J42" s="34" t="str">
        <f aca="false">IF($A42="","",IF(COUNTIFS(Flows!$B$2:$B$400,"required",Flows!$L$2:$L$400,J$1,Flows!$D$2:$D$400,$A42)+COUNTIFS(Flows!$B$2:$B$400,"required",Flows!$L$2:$L$400,J$1,Flows!$E$2:$E$400,$A42)&gt;0,1,0))</f>
        <v/>
      </c>
      <c r="K42" s="34" t="str">
        <f aca="false">IF($A42="","",IF(COUNTIFS(Flows!$B$2:$B$400,"required",Flows!$L$2:$L$400,K$1,Flows!$D$2:$D$400,$A42)+COUNTIFS(Flows!$B$2:$B$400,"required",Flows!$L$2:$L$400,K$1,Flows!$E$2:$E$400,$A42)&gt;0,1,0))</f>
        <v/>
      </c>
      <c r="L42" s="34" t="str">
        <f aca="false">IF($A42="","",IFERROR(INDEX($H42:$K42,MATCH(GoalLens!$B$3,$H$1:$K$1,0)),0))</f>
        <v/>
      </c>
      <c r="M42" s="34" t="str">
        <f aca="false">IF($A42="","",IF(COUNTIFS(Flows!$B$2:$B$400,"required",Flows!$L$2:$L$400,GoalLens!$B$3,Flows!$T$2:$T$400,"&lt;&gt;covered",Flows!$D$2:$D$400,$A42)+COUNTIFS(Flows!$B$2:$B$400,"required",Flows!$L$2:$L$400,GoalLens!$B$3,Flows!$T$2:$T$400,"&lt;&gt;covered",Flows!$E$2:$E$400,$A42)&gt;0,1,0))</f>
        <v/>
      </c>
      <c r="N42" s="34" t="str">
        <f aca="false">IF($L42=1,MAX($N$1:N41)+1,"")</f>
        <v/>
      </c>
    </row>
    <row r="43" customFormat="false" ht="15" hidden="false" customHeight="true" outlineLevel="0" collapsed="false">
      <c r="A43" s="31"/>
      <c r="B43" s="31"/>
      <c r="C43" s="31"/>
      <c r="D43" s="31"/>
      <c r="E43" s="31"/>
      <c r="F43" s="31"/>
      <c r="G43" s="31"/>
      <c r="H43" s="34" t="str">
        <f aca="false">IF($A43="","",IF(COUNTIFS(Flows!$B$2:$B$400,"required",Flows!$L$2:$L$400,H$1,Flows!$D$2:$D$400,$A43)+COUNTIFS(Flows!$B$2:$B$400,"required",Flows!$L$2:$L$400,H$1,Flows!$E$2:$E$400,$A43)&gt;0,1,0))</f>
        <v/>
      </c>
      <c r="I43" s="34" t="str">
        <f aca="false">IF($A43="","",IF(COUNTIFS(Flows!$B$2:$B$400,"required",Flows!$L$2:$L$400,I$1,Flows!$D$2:$D$400,$A43)+COUNTIFS(Flows!$B$2:$B$400,"required",Flows!$L$2:$L$400,I$1,Flows!$E$2:$E$400,$A43)&gt;0,1,0))</f>
        <v/>
      </c>
      <c r="J43" s="34" t="str">
        <f aca="false">IF($A43="","",IF(COUNTIFS(Flows!$B$2:$B$400,"required",Flows!$L$2:$L$400,J$1,Flows!$D$2:$D$400,$A43)+COUNTIFS(Flows!$B$2:$B$400,"required",Flows!$L$2:$L$400,J$1,Flows!$E$2:$E$400,$A43)&gt;0,1,0))</f>
        <v/>
      </c>
      <c r="K43" s="34" t="str">
        <f aca="false">IF($A43="","",IF(COUNTIFS(Flows!$B$2:$B$400,"required",Flows!$L$2:$L$400,K$1,Flows!$D$2:$D$400,$A43)+COUNTIFS(Flows!$B$2:$B$400,"required",Flows!$L$2:$L$400,K$1,Flows!$E$2:$E$400,$A43)&gt;0,1,0))</f>
        <v/>
      </c>
      <c r="L43" s="34" t="str">
        <f aca="false">IF($A43="","",IFERROR(INDEX($H43:$K43,MATCH(GoalLens!$B$3,$H$1:$K$1,0)),0))</f>
        <v/>
      </c>
      <c r="M43" s="34" t="str">
        <f aca="false">IF($A43="","",IF(COUNTIFS(Flows!$B$2:$B$400,"required",Flows!$L$2:$L$400,GoalLens!$B$3,Flows!$T$2:$T$400,"&lt;&gt;covered",Flows!$D$2:$D$400,$A43)+COUNTIFS(Flows!$B$2:$B$400,"required",Flows!$L$2:$L$400,GoalLens!$B$3,Flows!$T$2:$T$400,"&lt;&gt;covered",Flows!$E$2:$E$400,$A43)&gt;0,1,0))</f>
        <v/>
      </c>
      <c r="N43" s="34" t="str">
        <f aca="false">IF($L43=1,MAX($N$1:N42)+1,"")</f>
        <v/>
      </c>
    </row>
    <row r="44" customFormat="false" ht="15" hidden="false" customHeight="true" outlineLevel="0" collapsed="false">
      <c r="A44" s="31"/>
      <c r="B44" s="31"/>
      <c r="C44" s="31"/>
      <c r="D44" s="31"/>
      <c r="E44" s="31"/>
      <c r="F44" s="31"/>
      <c r="G44" s="31"/>
      <c r="H44" s="34" t="str">
        <f aca="false">IF($A44="","",IF(COUNTIFS(Flows!$B$2:$B$400,"required",Flows!$L$2:$L$400,H$1,Flows!$D$2:$D$400,$A44)+COUNTIFS(Flows!$B$2:$B$400,"required",Flows!$L$2:$L$400,H$1,Flows!$E$2:$E$400,$A44)&gt;0,1,0))</f>
        <v/>
      </c>
      <c r="I44" s="34" t="str">
        <f aca="false">IF($A44="","",IF(COUNTIFS(Flows!$B$2:$B$400,"required",Flows!$L$2:$L$400,I$1,Flows!$D$2:$D$400,$A44)+COUNTIFS(Flows!$B$2:$B$400,"required",Flows!$L$2:$L$400,I$1,Flows!$E$2:$E$400,$A44)&gt;0,1,0))</f>
        <v/>
      </c>
      <c r="J44" s="34" t="str">
        <f aca="false">IF($A44="","",IF(COUNTIFS(Flows!$B$2:$B$400,"required",Flows!$L$2:$L$400,J$1,Flows!$D$2:$D$400,$A44)+COUNTIFS(Flows!$B$2:$B$400,"required",Flows!$L$2:$L$400,J$1,Flows!$E$2:$E$400,$A44)&gt;0,1,0))</f>
        <v/>
      </c>
      <c r="K44" s="34" t="str">
        <f aca="false">IF($A44="","",IF(COUNTIFS(Flows!$B$2:$B$400,"required",Flows!$L$2:$L$400,K$1,Flows!$D$2:$D$400,$A44)+COUNTIFS(Flows!$B$2:$B$400,"required",Flows!$L$2:$L$400,K$1,Flows!$E$2:$E$400,$A44)&gt;0,1,0))</f>
        <v/>
      </c>
      <c r="L44" s="34" t="str">
        <f aca="false">IF($A44="","",IFERROR(INDEX($H44:$K44,MATCH(GoalLens!$B$3,$H$1:$K$1,0)),0))</f>
        <v/>
      </c>
      <c r="M44" s="34" t="str">
        <f aca="false">IF($A44="","",IF(COUNTIFS(Flows!$B$2:$B$400,"required",Flows!$L$2:$L$400,GoalLens!$B$3,Flows!$T$2:$T$400,"&lt;&gt;covered",Flows!$D$2:$D$400,$A44)+COUNTIFS(Flows!$B$2:$B$400,"required",Flows!$L$2:$L$400,GoalLens!$B$3,Flows!$T$2:$T$400,"&lt;&gt;covered",Flows!$E$2:$E$400,$A44)&gt;0,1,0))</f>
        <v/>
      </c>
      <c r="N44" s="34" t="str">
        <f aca="false">IF($L44=1,MAX($N$1:N43)+1,"")</f>
        <v/>
      </c>
    </row>
    <row r="45" customFormat="false" ht="15" hidden="false" customHeight="true" outlineLevel="0" collapsed="false">
      <c r="A45" s="31"/>
      <c r="B45" s="31"/>
      <c r="C45" s="31"/>
      <c r="D45" s="31"/>
      <c r="E45" s="31"/>
      <c r="F45" s="31"/>
      <c r="G45" s="31"/>
      <c r="H45" s="34" t="str">
        <f aca="false">IF($A45="","",IF(COUNTIFS(Flows!$B$2:$B$400,"required",Flows!$L$2:$L$400,H$1,Flows!$D$2:$D$400,$A45)+COUNTIFS(Flows!$B$2:$B$400,"required",Flows!$L$2:$L$400,H$1,Flows!$E$2:$E$400,$A45)&gt;0,1,0))</f>
        <v/>
      </c>
      <c r="I45" s="34" t="str">
        <f aca="false">IF($A45="","",IF(COUNTIFS(Flows!$B$2:$B$400,"required",Flows!$L$2:$L$400,I$1,Flows!$D$2:$D$400,$A45)+COUNTIFS(Flows!$B$2:$B$400,"required",Flows!$L$2:$L$400,I$1,Flows!$E$2:$E$400,$A45)&gt;0,1,0))</f>
        <v/>
      </c>
      <c r="J45" s="34" t="str">
        <f aca="false">IF($A45="","",IF(COUNTIFS(Flows!$B$2:$B$400,"required",Flows!$L$2:$L$400,J$1,Flows!$D$2:$D$400,$A45)+COUNTIFS(Flows!$B$2:$B$400,"required",Flows!$L$2:$L$400,J$1,Flows!$E$2:$E$400,$A45)&gt;0,1,0))</f>
        <v/>
      </c>
      <c r="K45" s="34" t="str">
        <f aca="false">IF($A45="","",IF(COUNTIFS(Flows!$B$2:$B$400,"required",Flows!$L$2:$L$400,K$1,Flows!$D$2:$D$400,$A45)+COUNTIFS(Flows!$B$2:$B$400,"required",Flows!$L$2:$L$400,K$1,Flows!$E$2:$E$400,$A45)&gt;0,1,0))</f>
        <v/>
      </c>
      <c r="L45" s="34" t="str">
        <f aca="false">IF($A45="","",IFERROR(INDEX($H45:$K45,MATCH(GoalLens!$B$3,$H$1:$K$1,0)),0))</f>
        <v/>
      </c>
      <c r="M45" s="34" t="str">
        <f aca="false">IF($A45="","",IF(COUNTIFS(Flows!$B$2:$B$400,"required",Flows!$L$2:$L$400,GoalLens!$B$3,Flows!$T$2:$T$400,"&lt;&gt;covered",Flows!$D$2:$D$400,$A45)+COUNTIFS(Flows!$B$2:$B$400,"required",Flows!$L$2:$L$400,GoalLens!$B$3,Flows!$T$2:$T$400,"&lt;&gt;covered",Flows!$E$2:$E$400,$A45)&gt;0,1,0))</f>
        <v/>
      </c>
      <c r="N45" s="34" t="str">
        <f aca="false">IF($L45=1,MAX($N$1:N44)+1,"")</f>
        <v/>
      </c>
    </row>
    <row r="46" customFormat="false" ht="15" hidden="false" customHeight="true" outlineLevel="0" collapsed="false">
      <c r="A46" s="31"/>
      <c r="B46" s="31"/>
      <c r="C46" s="31"/>
      <c r="D46" s="31"/>
      <c r="E46" s="31"/>
      <c r="F46" s="31"/>
      <c r="G46" s="31"/>
      <c r="H46" s="34" t="str">
        <f aca="false">IF($A46="","",IF(COUNTIFS(Flows!$B$2:$B$400,"required",Flows!$L$2:$L$400,H$1,Flows!$D$2:$D$400,$A46)+COUNTIFS(Flows!$B$2:$B$400,"required",Flows!$L$2:$L$400,H$1,Flows!$E$2:$E$400,$A46)&gt;0,1,0))</f>
        <v/>
      </c>
      <c r="I46" s="34" t="str">
        <f aca="false">IF($A46="","",IF(COUNTIFS(Flows!$B$2:$B$400,"required",Flows!$L$2:$L$400,I$1,Flows!$D$2:$D$400,$A46)+COUNTIFS(Flows!$B$2:$B$400,"required",Flows!$L$2:$L$400,I$1,Flows!$E$2:$E$400,$A46)&gt;0,1,0))</f>
        <v/>
      </c>
      <c r="J46" s="34" t="str">
        <f aca="false">IF($A46="","",IF(COUNTIFS(Flows!$B$2:$B$400,"required",Flows!$L$2:$L$400,J$1,Flows!$D$2:$D$400,$A46)+COUNTIFS(Flows!$B$2:$B$400,"required",Flows!$L$2:$L$400,J$1,Flows!$E$2:$E$400,$A46)&gt;0,1,0))</f>
        <v/>
      </c>
      <c r="K46" s="34" t="str">
        <f aca="false">IF($A46="","",IF(COUNTIFS(Flows!$B$2:$B$400,"required",Flows!$L$2:$L$400,K$1,Flows!$D$2:$D$400,$A46)+COUNTIFS(Flows!$B$2:$B$400,"required",Flows!$L$2:$L$400,K$1,Flows!$E$2:$E$400,$A46)&gt;0,1,0))</f>
        <v/>
      </c>
      <c r="L46" s="34" t="str">
        <f aca="false">IF($A46="","",IFERROR(INDEX($H46:$K46,MATCH(GoalLens!$B$3,$H$1:$K$1,0)),0))</f>
        <v/>
      </c>
      <c r="M46" s="34" t="str">
        <f aca="false">IF($A46="","",IF(COUNTIFS(Flows!$B$2:$B$400,"required",Flows!$L$2:$L$400,GoalLens!$B$3,Flows!$T$2:$T$400,"&lt;&gt;covered",Flows!$D$2:$D$400,$A46)+COUNTIFS(Flows!$B$2:$B$400,"required",Flows!$L$2:$L$400,GoalLens!$B$3,Flows!$T$2:$T$400,"&lt;&gt;covered",Flows!$E$2:$E$400,$A46)&gt;0,1,0))</f>
        <v/>
      </c>
      <c r="N46" s="34" t="str">
        <f aca="false">IF($L46=1,MAX($N$1:N45)+1,"")</f>
        <v/>
      </c>
    </row>
    <row r="47" customFormat="false" ht="15" hidden="false" customHeight="true" outlineLevel="0" collapsed="false">
      <c r="A47" s="31"/>
      <c r="B47" s="31"/>
      <c r="C47" s="31"/>
      <c r="D47" s="31"/>
      <c r="E47" s="31"/>
      <c r="F47" s="31"/>
      <c r="G47" s="31"/>
      <c r="H47" s="34" t="str">
        <f aca="false">IF($A47="","",IF(COUNTIFS(Flows!$B$2:$B$400,"required",Flows!$L$2:$L$400,H$1,Flows!$D$2:$D$400,$A47)+COUNTIFS(Flows!$B$2:$B$400,"required",Flows!$L$2:$L$400,H$1,Flows!$E$2:$E$400,$A47)&gt;0,1,0))</f>
        <v/>
      </c>
      <c r="I47" s="34" t="str">
        <f aca="false">IF($A47="","",IF(COUNTIFS(Flows!$B$2:$B$400,"required",Flows!$L$2:$L$400,I$1,Flows!$D$2:$D$400,$A47)+COUNTIFS(Flows!$B$2:$B$400,"required",Flows!$L$2:$L$400,I$1,Flows!$E$2:$E$400,$A47)&gt;0,1,0))</f>
        <v/>
      </c>
      <c r="J47" s="34" t="str">
        <f aca="false">IF($A47="","",IF(COUNTIFS(Flows!$B$2:$B$400,"required",Flows!$L$2:$L$400,J$1,Flows!$D$2:$D$400,$A47)+COUNTIFS(Flows!$B$2:$B$400,"required",Flows!$L$2:$L$400,J$1,Flows!$E$2:$E$400,$A47)&gt;0,1,0))</f>
        <v/>
      </c>
      <c r="K47" s="34" t="str">
        <f aca="false">IF($A47="","",IF(COUNTIFS(Flows!$B$2:$B$400,"required",Flows!$L$2:$L$400,K$1,Flows!$D$2:$D$400,$A47)+COUNTIFS(Flows!$B$2:$B$400,"required",Flows!$L$2:$L$400,K$1,Flows!$E$2:$E$400,$A47)&gt;0,1,0))</f>
        <v/>
      </c>
      <c r="L47" s="34" t="str">
        <f aca="false">IF($A47="","",IFERROR(INDEX($H47:$K47,MATCH(GoalLens!$B$3,$H$1:$K$1,0)),0))</f>
        <v/>
      </c>
      <c r="M47" s="34" t="str">
        <f aca="false">IF($A47="","",IF(COUNTIFS(Flows!$B$2:$B$400,"required",Flows!$L$2:$L$400,GoalLens!$B$3,Flows!$T$2:$T$400,"&lt;&gt;covered",Flows!$D$2:$D$400,$A47)+COUNTIFS(Flows!$B$2:$B$400,"required",Flows!$L$2:$L$400,GoalLens!$B$3,Flows!$T$2:$T$400,"&lt;&gt;covered",Flows!$E$2:$E$400,$A47)&gt;0,1,0))</f>
        <v/>
      </c>
      <c r="N47" s="34" t="str">
        <f aca="false">IF($L47=1,MAX($N$1:N46)+1,"")</f>
        <v/>
      </c>
    </row>
    <row r="48" customFormat="false" ht="15" hidden="false" customHeight="true" outlineLevel="0" collapsed="false">
      <c r="A48" s="31"/>
      <c r="B48" s="31"/>
      <c r="C48" s="31"/>
      <c r="D48" s="31"/>
      <c r="E48" s="31"/>
      <c r="F48" s="31"/>
      <c r="G48" s="31"/>
      <c r="H48" s="34" t="str">
        <f aca="false">IF($A48="","",IF(COUNTIFS(Flows!$B$2:$B$400,"required",Flows!$L$2:$L$400,H$1,Flows!$D$2:$D$400,$A48)+COUNTIFS(Flows!$B$2:$B$400,"required",Flows!$L$2:$L$400,H$1,Flows!$E$2:$E$400,$A48)&gt;0,1,0))</f>
        <v/>
      </c>
      <c r="I48" s="34" t="str">
        <f aca="false">IF($A48="","",IF(COUNTIFS(Flows!$B$2:$B$400,"required",Flows!$L$2:$L$400,I$1,Flows!$D$2:$D$400,$A48)+COUNTIFS(Flows!$B$2:$B$400,"required",Flows!$L$2:$L$400,I$1,Flows!$E$2:$E$400,$A48)&gt;0,1,0))</f>
        <v/>
      </c>
      <c r="J48" s="34" t="str">
        <f aca="false">IF($A48="","",IF(COUNTIFS(Flows!$B$2:$B$400,"required",Flows!$L$2:$L$400,J$1,Flows!$D$2:$D$400,$A48)+COUNTIFS(Flows!$B$2:$B$400,"required",Flows!$L$2:$L$400,J$1,Flows!$E$2:$E$400,$A48)&gt;0,1,0))</f>
        <v/>
      </c>
      <c r="K48" s="34" t="str">
        <f aca="false">IF($A48="","",IF(COUNTIFS(Flows!$B$2:$B$400,"required",Flows!$L$2:$L$400,K$1,Flows!$D$2:$D$400,$A48)+COUNTIFS(Flows!$B$2:$B$400,"required",Flows!$L$2:$L$400,K$1,Flows!$E$2:$E$400,$A48)&gt;0,1,0))</f>
        <v/>
      </c>
      <c r="L48" s="34" t="str">
        <f aca="false">IF($A48="","",IFERROR(INDEX($H48:$K48,MATCH(GoalLens!$B$3,$H$1:$K$1,0)),0))</f>
        <v/>
      </c>
      <c r="M48" s="34" t="str">
        <f aca="false">IF($A48="","",IF(COUNTIFS(Flows!$B$2:$B$400,"required",Flows!$L$2:$L$400,GoalLens!$B$3,Flows!$T$2:$T$400,"&lt;&gt;covered",Flows!$D$2:$D$400,$A48)+COUNTIFS(Flows!$B$2:$B$400,"required",Flows!$L$2:$L$400,GoalLens!$B$3,Flows!$T$2:$T$400,"&lt;&gt;covered",Flows!$E$2:$E$400,$A48)&gt;0,1,0))</f>
        <v/>
      </c>
      <c r="N48" s="34" t="str">
        <f aca="false">IF($L48=1,MAX($N$1:N47)+1,"")</f>
        <v/>
      </c>
    </row>
    <row r="49" customFormat="false" ht="15" hidden="false" customHeight="true" outlineLevel="0" collapsed="false">
      <c r="A49" s="31"/>
      <c r="B49" s="31"/>
      <c r="C49" s="31"/>
      <c r="D49" s="31"/>
      <c r="E49" s="31"/>
      <c r="F49" s="31"/>
      <c r="G49" s="31"/>
      <c r="H49" s="34" t="str">
        <f aca="false">IF($A49="","",IF(COUNTIFS(Flows!$B$2:$B$400,"required",Flows!$L$2:$L$400,H$1,Flows!$D$2:$D$400,$A49)+COUNTIFS(Flows!$B$2:$B$400,"required",Flows!$L$2:$L$400,H$1,Flows!$E$2:$E$400,$A49)&gt;0,1,0))</f>
        <v/>
      </c>
      <c r="I49" s="34" t="str">
        <f aca="false">IF($A49="","",IF(COUNTIFS(Flows!$B$2:$B$400,"required",Flows!$L$2:$L$400,I$1,Flows!$D$2:$D$400,$A49)+COUNTIFS(Flows!$B$2:$B$400,"required",Flows!$L$2:$L$400,I$1,Flows!$E$2:$E$400,$A49)&gt;0,1,0))</f>
        <v/>
      </c>
      <c r="J49" s="34" t="str">
        <f aca="false">IF($A49="","",IF(COUNTIFS(Flows!$B$2:$B$400,"required",Flows!$L$2:$L$400,J$1,Flows!$D$2:$D$400,$A49)+COUNTIFS(Flows!$B$2:$B$400,"required",Flows!$L$2:$L$400,J$1,Flows!$E$2:$E$400,$A49)&gt;0,1,0))</f>
        <v/>
      </c>
      <c r="K49" s="34" t="str">
        <f aca="false">IF($A49="","",IF(COUNTIFS(Flows!$B$2:$B$400,"required",Flows!$L$2:$L$400,K$1,Flows!$D$2:$D$400,$A49)+COUNTIFS(Flows!$B$2:$B$400,"required",Flows!$L$2:$L$400,K$1,Flows!$E$2:$E$400,$A49)&gt;0,1,0))</f>
        <v/>
      </c>
      <c r="L49" s="34" t="str">
        <f aca="false">IF($A49="","",IFERROR(INDEX($H49:$K49,MATCH(GoalLens!$B$3,$H$1:$K$1,0)),0))</f>
        <v/>
      </c>
      <c r="M49" s="34" t="str">
        <f aca="false">IF($A49="","",IF(COUNTIFS(Flows!$B$2:$B$400,"required",Flows!$L$2:$L$400,GoalLens!$B$3,Flows!$T$2:$T$400,"&lt;&gt;covered",Flows!$D$2:$D$400,$A49)+COUNTIFS(Flows!$B$2:$B$400,"required",Flows!$L$2:$L$400,GoalLens!$B$3,Flows!$T$2:$T$400,"&lt;&gt;covered",Flows!$E$2:$E$400,$A49)&gt;0,1,0))</f>
        <v/>
      </c>
      <c r="N49" s="34" t="str">
        <f aca="false">IF($L49=1,MAX($N$1:N48)+1,"")</f>
        <v/>
      </c>
    </row>
    <row r="50" customFormat="false" ht="15" hidden="false" customHeight="true" outlineLevel="0" collapsed="false">
      <c r="A50" s="31"/>
      <c r="B50" s="31"/>
      <c r="C50" s="31"/>
      <c r="D50" s="31"/>
      <c r="E50" s="31"/>
      <c r="F50" s="31"/>
      <c r="G50" s="31"/>
      <c r="H50" s="34" t="str">
        <f aca="false">IF($A50="","",IF(COUNTIFS(Flows!$B$2:$B$400,"required",Flows!$L$2:$L$400,H$1,Flows!$D$2:$D$400,$A50)+COUNTIFS(Flows!$B$2:$B$400,"required",Flows!$L$2:$L$400,H$1,Flows!$E$2:$E$400,$A50)&gt;0,1,0))</f>
        <v/>
      </c>
      <c r="I50" s="34" t="str">
        <f aca="false">IF($A50="","",IF(COUNTIFS(Flows!$B$2:$B$400,"required",Flows!$L$2:$L$400,I$1,Flows!$D$2:$D$400,$A50)+COUNTIFS(Flows!$B$2:$B$400,"required",Flows!$L$2:$L$400,I$1,Flows!$E$2:$E$400,$A50)&gt;0,1,0))</f>
        <v/>
      </c>
      <c r="J50" s="34" t="str">
        <f aca="false">IF($A50="","",IF(COUNTIFS(Flows!$B$2:$B$400,"required",Flows!$L$2:$L$400,J$1,Flows!$D$2:$D$400,$A50)+COUNTIFS(Flows!$B$2:$B$400,"required",Flows!$L$2:$L$400,J$1,Flows!$E$2:$E$400,$A50)&gt;0,1,0))</f>
        <v/>
      </c>
      <c r="K50" s="34" t="str">
        <f aca="false">IF($A50="","",IF(COUNTIFS(Flows!$B$2:$B$400,"required",Flows!$L$2:$L$400,K$1,Flows!$D$2:$D$400,$A50)+COUNTIFS(Flows!$B$2:$B$400,"required",Flows!$L$2:$L$400,K$1,Flows!$E$2:$E$400,$A50)&gt;0,1,0))</f>
        <v/>
      </c>
      <c r="L50" s="34" t="str">
        <f aca="false">IF($A50="","",IFERROR(INDEX($H50:$K50,MATCH(GoalLens!$B$3,$H$1:$K$1,0)),0))</f>
        <v/>
      </c>
      <c r="M50" s="34" t="str">
        <f aca="false">IF($A50="","",IF(COUNTIFS(Flows!$B$2:$B$400,"required",Flows!$L$2:$L$400,GoalLens!$B$3,Flows!$T$2:$T$400,"&lt;&gt;covered",Flows!$D$2:$D$400,$A50)+COUNTIFS(Flows!$B$2:$B$400,"required",Flows!$L$2:$L$400,GoalLens!$B$3,Flows!$T$2:$T$400,"&lt;&gt;covered",Flows!$E$2:$E$400,$A50)&gt;0,1,0))</f>
        <v/>
      </c>
      <c r="N50" s="34" t="str">
        <f aca="false">IF($L50=1,MAX($N$1:N49)+1,"")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4" min="3" style="1" width="11"/>
    <col collapsed="false" customWidth="true" hidden="false" outlineLevel="0" max="6" min="5" style="1" width="16"/>
    <col collapsed="false" customWidth="true" hidden="false" outlineLevel="0" max="7" min="7" style="1" width="20"/>
  </cols>
  <sheetData>
    <row r="1" customFormat="false" ht="30" hidden="false" customHeight="true" outlineLevel="0" collapsed="false">
      <c r="A1" s="30" t="s">
        <v>196</v>
      </c>
      <c r="B1" s="30" t="s">
        <v>54</v>
      </c>
      <c r="C1" s="30" t="s">
        <v>40</v>
      </c>
      <c r="D1" s="30" t="s">
        <v>197</v>
      </c>
      <c r="E1" s="30" t="s">
        <v>41</v>
      </c>
      <c r="F1" s="30" t="s">
        <v>198</v>
      </c>
      <c r="G1" s="33" t="s">
        <v>199</v>
      </c>
    </row>
    <row r="2" customFormat="false" ht="15" hidden="false" customHeight="true" outlineLevel="0" collapsed="false">
      <c r="A2" s="31" t="s">
        <v>200</v>
      </c>
      <c r="B2" s="31" t="s">
        <v>201</v>
      </c>
      <c r="C2" s="31" t="s">
        <v>202</v>
      </c>
      <c r="D2" s="31" t="s">
        <v>203</v>
      </c>
      <c r="E2" s="31" t="s">
        <v>204</v>
      </c>
      <c r="F2" s="31" t="s">
        <v>205</v>
      </c>
      <c r="G2" s="34" t="n">
        <f aca="false">COUNTIFS(Carriers!$B$2:$B$400,"channel",Carriers!$C$2:$C$400,$A2,Carriers!$O$2:$O$400,GoalLens!$B$3,Carriers!$M$2:$M$400,1,Carriers!$N$2:$N$400,1)</f>
        <v>0</v>
      </c>
    </row>
    <row r="3" customFormat="false" ht="15" hidden="false" customHeight="true" outlineLevel="0" collapsed="false">
      <c r="A3" s="31" t="s">
        <v>206</v>
      </c>
      <c r="B3" s="31" t="s">
        <v>207</v>
      </c>
      <c r="C3" s="31" t="s">
        <v>208</v>
      </c>
      <c r="D3" s="31" t="s">
        <v>203</v>
      </c>
      <c r="E3" s="31" t="s">
        <v>209</v>
      </c>
      <c r="F3" s="31" t="s">
        <v>205</v>
      </c>
      <c r="G3" s="34" t="n">
        <f aca="false">COUNTIFS(Carriers!$B$2:$B$400,"channel",Carriers!$C$2:$C$400,$A3,Carriers!$O$2:$O$400,GoalLens!$B$3,Carriers!$M$2:$M$400,1,Carriers!$N$2:$N$400,1)</f>
        <v>0</v>
      </c>
    </row>
    <row r="4" customFormat="false" ht="15" hidden="false" customHeight="true" outlineLevel="0" collapsed="false">
      <c r="A4" s="31" t="s">
        <v>210</v>
      </c>
      <c r="B4" s="31" t="s">
        <v>211</v>
      </c>
      <c r="C4" s="31" t="s">
        <v>212</v>
      </c>
      <c r="D4" s="31" t="s">
        <v>203</v>
      </c>
      <c r="E4" s="31" t="s">
        <v>213</v>
      </c>
      <c r="F4" s="31" t="s">
        <v>205</v>
      </c>
      <c r="G4" s="34" t="n">
        <f aca="false">COUNTIFS(Carriers!$B$2:$B$400,"channel",Carriers!$C$2:$C$400,$A4,Carriers!$O$2:$O$400,GoalLens!$B$3,Carriers!$M$2:$M$400,1,Carriers!$N$2:$N$400,1)</f>
        <v>0</v>
      </c>
    </row>
    <row r="5" customFormat="false" ht="15" hidden="false" customHeight="true" outlineLevel="0" collapsed="false">
      <c r="A5" s="31" t="s">
        <v>214</v>
      </c>
      <c r="B5" s="31" t="s">
        <v>215</v>
      </c>
      <c r="C5" s="31" t="s">
        <v>216</v>
      </c>
      <c r="D5" s="31" t="s">
        <v>203</v>
      </c>
      <c r="E5" s="31" t="s">
        <v>213</v>
      </c>
      <c r="F5" s="31" t="s">
        <v>217</v>
      </c>
      <c r="G5" s="34" t="n">
        <f aca="false">COUNTIFS(Carriers!$B$2:$B$400,"channel",Carriers!$C$2:$C$400,$A5,Carriers!$O$2:$O$400,GoalLens!$B$3,Carriers!$M$2:$M$400,1,Carriers!$N$2:$N$400,1)</f>
        <v>1</v>
      </c>
    </row>
    <row r="6" customFormat="false" ht="15" hidden="false" customHeight="true" outlineLevel="0" collapsed="false">
      <c r="A6" s="31" t="s">
        <v>218</v>
      </c>
      <c r="B6" s="31" t="s">
        <v>219</v>
      </c>
      <c r="C6" s="31" t="s">
        <v>220</v>
      </c>
      <c r="D6" s="31" t="s">
        <v>203</v>
      </c>
      <c r="E6" s="31" t="s">
        <v>204</v>
      </c>
      <c r="F6" s="31" t="s">
        <v>221</v>
      </c>
      <c r="G6" s="34" t="n">
        <f aca="false">COUNTIFS(Carriers!$B$2:$B$400,"channel",Carriers!$C$2:$C$400,$A6,Carriers!$O$2:$O$400,GoalLens!$B$3,Carriers!$M$2:$M$400,1,Carriers!$N$2:$N$400,1)</f>
        <v>0</v>
      </c>
    </row>
    <row r="7" customFormat="false" ht="15" hidden="false" customHeight="true" outlineLevel="0" collapsed="false">
      <c r="A7" s="31" t="s">
        <v>222</v>
      </c>
      <c r="B7" s="31" t="s">
        <v>223</v>
      </c>
      <c r="C7" s="31" t="s">
        <v>224</v>
      </c>
      <c r="D7" s="31" t="s">
        <v>225</v>
      </c>
      <c r="E7" s="31" t="s">
        <v>209</v>
      </c>
      <c r="F7" s="31" t="s">
        <v>226</v>
      </c>
      <c r="G7" s="34" t="n">
        <f aca="false">COUNTIFS(Carriers!$B$2:$B$400,"channel",Carriers!$C$2:$C$400,$A7,Carriers!$O$2:$O$400,GoalLens!$B$3,Carriers!$M$2:$M$400,1,Carriers!$N$2:$N$400,1)</f>
        <v>0</v>
      </c>
    </row>
    <row r="8" customFormat="false" ht="15" hidden="false" customHeight="true" outlineLevel="0" collapsed="false">
      <c r="A8" s="32"/>
      <c r="B8" s="32"/>
      <c r="C8" s="32"/>
      <c r="D8" s="32"/>
      <c r="E8" s="32"/>
      <c r="F8" s="32"/>
    </row>
    <row r="9" customFormat="false" ht="15" hidden="false" customHeight="true" outlineLevel="0" collapsed="false">
      <c r="A9" s="32"/>
      <c r="B9" s="32"/>
      <c r="C9" s="32"/>
      <c r="D9" s="32"/>
      <c r="E9" s="32"/>
      <c r="F9" s="32"/>
    </row>
    <row r="10" customFormat="false" ht="15" hidden="false" customHeight="true" outlineLevel="0" collapsed="false">
      <c r="A10" s="32"/>
      <c r="B10" s="32"/>
      <c r="C10" s="32"/>
      <c r="D10" s="32"/>
      <c r="E10" s="32"/>
      <c r="F10" s="32"/>
    </row>
    <row r="11" customFormat="false" ht="15" hidden="false" customHeight="true" outlineLevel="0" collapsed="false">
      <c r="A11" s="32"/>
      <c r="B11" s="32"/>
      <c r="C11" s="32"/>
      <c r="D11" s="32"/>
      <c r="E11" s="32"/>
      <c r="F11" s="32"/>
    </row>
    <row r="12" customFormat="false" ht="15" hidden="false" customHeight="true" outlineLevel="0" collapsed="false">
      <c r="A12" s="32"/>
      <c r="B12" s="32"/>
      <c r="C12" s="32"/>
      <c r="D12" s="32"/>
      <c r="E12" s="32"/>
      <c r="F12" s="32"/>
    </row>
    <row r="13" customFormat="false" ht="15" hidden="false" customHeight="true" outlineLevel="0" collapsed="false">
      <c r="A13" s="32"/>
      <c r="B13" s="32"/>
      <c r="C13" s="32"/>
      <c r="D13" s="32"/>
      <c r="E13" s="32"/>
      <c r="F13" s="32"/>
    </row>
    <row r="14" customFormat="false" ht="15" hidden="false" customHeight="true" outlineLevel="0" collapsed="false">
      <c r="A14" s="32"/>
      <c r="B14" s="32"/>
      <c r="C14" s="32"/>
      <c r="D14" s="32"/>
      <c r="E14" s="32"/>
      <c r="F14" s="32"/>
    </row>
    <row r="15" customFormat="false" ht="15" hidden="false" customHeight="true" outlineLevel="0" collapsed="false">
      <c r="A15" s="32"/>
      <c r="B15" s="32"/>
      <c r="C15" s="32"/>
      <c r="D15" s="32"/>
      <c r="E15" s="32"/>
      <c r="F15" s="32"/>
    </row>
    <row r="16" customFormat="false" ht="15" hidden="false" customHeight="true" outlineLevel="0" collapsed="false">
      <c r="A16" s="32"/>
      <c r="B16" s="32"/>
      <c r="C16" s="32"/>
      <c r="D16" s="32"/>
      <c r="E16" s="32"/>
      <c r="F16" s="32"/>
    </row>
    <row r="17" customFormat="false" ht="15" hidden="false" customHeight="true" outlineLevel="0" collapsed="false">
      <c r="A17" s="32"/>
      <c r="B17" s="32"/>
      <c r="C17" s="32"/>
      <c r="D17" s="32"/>
      <c r="E17" s="32"/>
      <c r="F17" s="32"/>
    </row>
    <row r="18" customFormat="false" ht="15" hidden="false" customHeight="true" outlineLevel="0" collapsed="false">
      <c r="A18" s="32"/>
      <c r="B18" s="32"/>
      <c r="C18" s="32"/>
      <c r="D18" s="32"/>
      <c r="E18" s="32"/>
      <c r="F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</row>
    <row r="43" customFormat="false" ht="15" hidden="false" customHeight="true" outlineLevel="0" collapsed="false">
      <c r="A43" s="32"/>
      <c r="B43" s="32"/>
      <c r="C43" s="32"/>
      <c r="D43" s="32"/>
      <c r="E43" s="32"/>
      <c r="F43" s="32"/>
    </row>
    <row r="44" customFormat="false" ht="15" hidden="false" customHeight="true" outlineLevel="0" collapsed="false">
      <c r="A44" s="32"/>
      <c r="B44" s="32"/>
      <c r="C44" s="32"/>
      <c r="D44" s="32"/>
      <c r="E44" s="32"/>
      <c r="F44" s="32"/>
    </row>
    <row r="45" customFormat="false" ht="15" hidden="false" customHeight="true" outlineLevel="0" collapsed="false">
      <c r="A45" s="32"/>
      <c r="B45" s="32"/>
      <c r="C45" s="32"/>
      <c r="D45" s="32"/>
      <c r="E45" s="32"/>
      <c r="F45" s="32"/>
    </row>
    <row r="46" customFormat="false" ht="15" hidden="false" customHeight="true" outlineLevel="0" collapsed="false">
      <c r="A46" s="32"/>
      <c r="B46" s="32"/>
      <c r="C46" s="32"/>
      <c r="D46" s="32"/>
      <c r="E46" s="32"/>
      <c r="F46" s="32"/>
    </row>
    <row r="47" customFormat="false" ht="15" hidden="false" customHeight="true" outlineLevel="0" collapsed="false">
      <c r="A47" s="32"/>
      <c r="B47" s="32"/>
      <c r="C47" s="32"/>
      <c r="D47" s="32"/>
      <c r="E47" s="32"/>
      <c r="F47" s="32"/>
    </row>
    <row r="48" customFormat="false" ht="15" hidden="false" customHeight="true" outlineLevel="0" collapsed="false">
      <c r="A48" s="32"/>
      <c r="B48" s="32"/>
      <c r="C48" s="32"/>
      <c r="D48" s="32"/>
      <c r="E48" s="32"/>
      <c r="F48" s="32"/>
    </row>
    <row r="49" customFormat="false" ht="15" hidden="false" customHeight="true" outlineLevel="0" collapsed="false">
      <c r="A49" s="32"/>
      <c r="B49" s="32"/>
      <c r="C49" s="32"/>
      <c r="D49" s="32"/>
      <c r="E49" s="32"/>
      <c r="F49" s="32"/>
    </row>
    <row r="50" customFormat="false" ht="15" hidden="false" customHeight="true" outlineLevel="0" collapsed="false">
      <c r="A50" s="32"/>
      <c r="B50" s="32"/>
      <c r="C50" s="32"/>
      <c r="D50" s="32"/>
      <c r="E50" s="32"/>
      <c r="F50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26"/>
    <col collapsed="false" customWidth="true" hidden="false" outlineLevel="0" max="12" min="12" style="1" width="30"/>
    <col collapsed="false" customWidth="true" hidden="false" outlineLevel="0" max="18" min="13" style="1" width="7"/>
    <col collapsed="false" customWidth="true" hidden="false" outlineLevel="0" max="19" min="19" style="1" width="11"/>
    <col collapsed="false" customWidth="true" hidden="false" outlineLevel="0" max="20" min="20" style="1" width="34"/>
    <col collapsed="false" customWidth="true" hidden="false" outlineLevel="0" max="22" min="21" style="1" width="9"/>
    <col collapsed="false" customWidth="true" hidden="false" outlineLevel="0" max="23" min="23" style="1" width="12"/>
    <col collapsed="false" customWidth="true" hidden="false" outlineLevel="0" max="26" min="24" style="1" width="6"/>
    <col collapsed="false" customWidth="true" hidden="false" outlineLevel="0" max="27" min="27" style="1" width="14"/>
    <col collapsed="false" customWidth="true" hidden="false" outlineLevel="0" max="28" min="28" style="1" width="26"/>
  </cols>
  <sheetData>
    <row r="1" customFormat="false" ht="30" hidden="false" customHeight="true" outlineLevel="0" collapsed="false">
      <c r="A1" s="30" t="s">
        <v>227</v>
      </c>
      <c r="B1" s="30" t="s">
        <v>54</v>
      </c>
      <c r="C1" s="30" t="s">
        <v>98</v>
      </c>
      <c r="D1" s="30" t="s">
        <v>228</v>
      </c>
      <c r="E1" s="30" t="s">
        <v>229</v>
      </c>
      <c r="F1" s="30" t="s">
        <v>230</v>
      </c>
      <c r="G1" s="30" t="s">
        <v>231</v>
      </c>
      <c r="H1" s="30" t="s">
        <v>232</v>
      </c>
      <c r="I1" s="30" t="s">
        <v>233</v>
      </c>
      <c r="J1" s="30" t="s">
        <v>234</v>
      </c>
      <c r="K1" s="30" t="s">
        <v>235</v>
      </c>
      <c r="L1" s="30" t="s">
        <v>236</v>
      </c>
      <c r="M1" s="30" t="s">
        <v>237</v>
      </c>
      <c r="N1" s="30" t="s">
        <v>238</v>
      </c>
      <c r="O1" s="30" t="s">
        <v>239</v>
      </c>
      <c r="P1" s="30" t="s">
        <v>240</v>
      </c>
      <c r="Q1" s="30" t="s">
        <v>241</v>
      </c>
      <c r="R1" s="30" t="s">
        <v>242</v>
      </c>
      <c r="S1" s="33" t="s">
        <v>243</v>
      </c>
      <c r="T1" s="33" t="s">
        <v>244</v>
      </c>
      <c r="U1" s="33" t="s">
        <v>245</v>
      </c>
      <c r="V1" s="33" t="s">
        <v>246</v>
      </c>
      <c r="W1" s="33" t="s">
        <v>247</v>
      </c>
      <c r="X1" s="33" t="s">
        <v>248</v>
      </c>
      <c r="Y1" s="33" t="s">
        <v>249</v>
      </c>
      <c r="Z1" s="33" t="s">
        <v>250</v>
      </c>
      <c r="AA1" s="33" t="s">
        <v>251</v>
      </c>
      <c r="AB1" s="33" t="s">
        <v>252</v>
      </c>
    </row>
    <row r="2" customFormat="false" ht="15" hidden="false" customHeight="true" outlineLevel="0" collapsed="false">
      <c r="A2" s="31" t="s">
        <v>253</v>
      </c>
      <c r="B2" s="31" t="s">
        <v>254</v>
      </c>
      <c r="C2" s="31" t="s">
        <v>177</v>
      </c>
      <c r="D2" s="31" t="s">
        <v>255</v>
      </c>
      <c r="E2" s="31" t="s">
        <v>217</v>
      </c>
      <c r="F2" s="31" t="n">
        <v>15</v>
      </c>
      <c r="G2" s="31" t="s">
        <v>256</v>
      </c>
      <c r="H2" s="31" t="s">
        <v>257</v>
      </c>
      <c r="I2" s="31" t="s">
        <v>2</v>
      </c>
      <c r="J2" s="31" t="s">
        <v>258</v>
      </c>
      <c r="K2" s="31" t="s">
        <v>259</v>
      </c>
      <c r="L2" s="31" t="s">
        <v>260</v>
      </c>
      <c r="M2" s="35" t="b">
        <f aca="false">TRUE()</f>
        <v>1</v>
      </c>
      <c r="N2" s="35" t="b">
        <f aca="false">TRUE()</f>
        <v>1</v>
      </c>
      <c r="O2" s="35" t="b">
        <f aca="false">FALSE()</f>
        <v>0</v>
      </c>
      <c r="P2" s="35" t="b">
        <f aca="false">TRUE()</f>
        <v>1</v>
      </c>
      <c r="Q2" s="35" t="b">
        <f aca="false">TRUE()</f>
        <v>1</v>
      </c>
      <c r="R2" s="35" t="b">
        <f aca="false">TRUE()</f>
        <v>1</v>
      </c>
      <c r="S2" s="36" t="n">
        <f aca="false">COUNTIF(M2:R2,TRUE())/6</f>
        <v>0.833333333333333</v>
      </c>
      <c r="T2" s="34" t="str">
        <f aca="false">TRIM(IF(M2=TRUE(),"","purpose ")&amp;IF(N2=TRUE(),"","action-items ")&amp;IF(O2=TRUE(),"","decision-log ")&amp;IF(P2=TRUE(),"","goal-trace ")&amp;IF(Q2=TRUE(),"","attendees ")&amp;IF(R2=TRUE(),"","pre-read "))</f>
        <v>decision-log</v>
      </c>
      <c r="U2" s="34" t="n">
        <f aca="false">IF($D2="",0,LEN($D2)-LEN(SUBSTITUTE($D2,";",""))+1)</f>
        <v>4</v>
      </c>
      <c r="V2" s="34" t="n">
        <f aca="false">IFERROR(INDEX(Lists!$C$2:$C$8,MATCH($E2,Lists!$A$2:$A$8,0)),0)</f>
        <v>5</v>
      </c>
      <c r="W2" s="34" t="n">
        <f aca="false">ROUND(V2*$F2*U2,0)</f>
        <v>300</v>
      </c>
      <c r="X2" s="37" t="b">
        <f aca="false">$K2&lt;&gt;""</f>
        <v>1</v>
      </c>
      <c r="Y2" s="37" t="b">
        <f aca="false">AND($L2&lt;&gt;"",LEFT($L2,3)&lt;&gt;"no ")</f>
        <v>1</v>
      </c>
      <c r="Z2" s="37" t="b">
        <f aca="false">$I2&lt;&gt;""</f>
        <v>1</v>
      </c>
      <c r="AA2" s="34" t="str">
        <f aca="false">IF(AND(X2,Y2,Z2),"VA",IF(AND(X2,Y2,NOT(Z2),$J2="true"),"necessary_NVA","NVA"))</f>
        <v>VA</v>
      </c>
      <c r="AB2" s="34" t="str">
        <f aca="false">";"&amp;$D2&amp;";"&amp;$C2&amp;";"</f>
        <v>;A6;A11;A5;A3;A6;</v>
      </c>
    </row>
    <row r="3" customFormat="false" ht="15" hidden="false" customHeight="true" outlineLevel="0" collapsed="false">
      <c r="A3" s="31" t="s">
        <v>261</v>
      </c>
      <c r="B3" s="31" t="s">
        <v>262</v>
      </c>
      <c r="C3" s="31" t="s">
        <v>106</v>
      </c>
      <c r="D3" s="31" t="s">
        <v>263</v>
      </c>
      <c r="E3" s="31" t="s">
        <v>221</v>
      </c>
      <c r="F3" s="31" t="n">
        <v>60</v>
      </c>
      <c r="G3" s="31" t="s">
        <v>264</v>
      </c>
      <c r="H3" s="31" t="s">
        <v>265</v>
      </c>
      <c r="I3" s="31" t="s">
        <v>266</v>
      </c>
      <c r="J3" s="31" t="s">
        <v>258</v>
      </c>
      <c r="K3" s="31" t="s">
        <v>267</v>
      </c>
      <c r="L3" s="31" t="s">
        <v>268</v>
      </c>
      <c r="M3" s="35" t="b">
        <f aca="false">TRUE()</f>
        <v>1</v>
      </c>
      <c r="N3" s="35" t="b">
        <f aca="false">TRUE()</f>
        <v>1</v>
      </c>
      <c r="O3" s="35" t="b">
        <f aca="false">TRUE()</f>
        <v>1</v>
      </c>
      <c r="P3" s="35" t="b">
        <f aca="false">TRUE()</f>
        <v>1</v>
      </c>
      <c r="Q3" s="35" t="b">
        <f aca="false">TRUE()</f>
        <v>1</v>
      </c>
      <c r="R3" s="35" t="b">
        <f aca="false">TRUE()</f>
        <v>1</v>
      </c>
      <c r="S3" s="36" t="n">
        <f aca="false">COUNTIF(M3:R3,TRUE())/6</f>
        <v>1</v>
      </c>
      <c r="T3" s="34" t="str">
        <f aca="false">TRIM(IF(M3=TRUE(),"","purpose ")&amp;IF(N3=TRUE(),"","action-items ")&amp;IF(O3=TRUE(),"","decision-log ")&amp;IF(P3=TRUE(),"","goal-trace ")&amp;IF(Q3=TRUE(),"","attendees ")&amp;IF(R3=TRUE(),"","pre-read "))</f>
        <v/>
      </c>
      <c r="U3" s="34" t="n">
        <f aca="false">IF($D3="",0,LEN($D3)-LEN(SUBSTITUTE($D3,";",""))+1)</f>
        <v>4</v>
      </c>
      <c r="V3" s="34" t="n">
        <f aca="false">IFERROR(INDEX(Lists!$C$2:$C$8,MATCH($E3,Lists!$A$2:$A$8,0)),0)</f>
        <v>1</v>
      </c>
      <c r="W3" s="34" t="n">
        <f aca="false">ROUND(V3*$F3*U3,0)</f>
        <v>240</v>
      </c>
      <c r="X3" s="37" t="b">
        <f aca="false">$K3&lt;&gt;""</f>
        <v>1</v>
      </c>
      <c r="Y3" s="37" t="b">
        <f aca="false">AND($L3&lt;&gt;"",LEFT($L3,3)&lt;&gt;"no ")</f>
        <v>1</v>
      </c>
      <c r="Z3" s="37" t="b">
        <f aca="false">$I3&lt;&gt;""</f>
        <v>1</v>
      </c>
      <c r="AA3" s="34" t="str">
        <f aca="false">IF(AND(X3,Y3,Z3),"VA",IF(AND(X3,Y3,NOT(Z3),$J3="true"),"necessary_NVA","NVA"))</f>
        <v>VA</v>
      </c>
      <c r="AB3" s="34" t="str">
        <f aca="false">";"&amp;$D3&amp;";"&amp;$C3&amp;";"</f>
        <v>;A2;A3;A1;A5;A2;</v>
      </c>
    </row>
    <row r="4" customFormat="false" ht="15" hidden="false" customHeight="true" outlineLevel="0" collapsed="false">
      <c r="A4" s="31" t="s">
        <v>269</v>
      </c>
      <c r="B4" s="31" t="s">
        <v>270</v>
      </c>
      <c r="C4" s="31" t="s">
        <v>110</v>
      </c>
      <c r="D4" s="31" t="s">
        <v>271</v>
      </c>
      <c r="E4" s="31" t="s">
        <v>272</v>
      </c>
      <c r="F4" s="31" t="n">
        <v>90</v>
      </c>
      <c r="G4" s="31" t="s">
        <v>273</v>
      </c>
      <c r="H4" s="31" t="s">
        <v>274</v>
      </c>
      <c r="I4" s="31" t="s">
        <v>275</v>
      </c>
      <c r="J4" s="31" t="s">
        <v>258</v>
      </c>
      <c r="K4" s="31" t="s">
        <v>276</v>
      </c>
      <c r="L4" s="31" t="s">
        <v>277</v>
      </c>
      <c r="M4" s="35" t="b">
        <f aca="false">TRUE()</f>
        <v>1</v>
      </c>
      <c r="N4" s="35" t="b">
        <f aca="false">TRUE()</f>
        <v>1</v>
      </c>
      <c r="O4" s="35" t="b">
        <f aca="false">TRUE()</f>
        <v>1</v>
      </c>
      <c r="P4" s="35" t="b">
        <f aca="false">TRUE()</f>
        <v>1</v>
      </c>
      <c r="Q4" s="35" t="b">
        <f aca="false">FALSE()</f>
        <v>0</v>
      </c>
      <c r="R4" s="35" t="b">
        <f aca="false">TRUE()</f>
        <v>1</v>
      </c>
      <c r="S4" s="36" t="n">
        <f aca="false">COUNTIF(M4:R4,TRUE())/6</f>
        <v>0.833333333333333</v>
      </c>
      <c r="T4" s="34" t="str">
        <f aca="false">TRIM(IF(M4=TRUE(),"","purpose ")&amp;IF(N4=TRUE(),"","action-items ")&amp;IF(O4=TRUE(),"","decision-log ")&amp;IF(P4=TRUE(),"","goal-trace ")&amp;IF(Q4=TRUE(),"","attendees ")&amp;IF(R4=TRUE(),"","pre-read "))</f>
        <v>attendees</v>
      </c>
      <c r="U4" s="34" t="n">
        <f aca="false">IF($D4="",0,LEN($D4)-LEN(SUBSTITUTE($D4,";",""))+1)</f>
        <v>5</v>
      </c>
      <c r="V4" s="34" t="n">
        <f aca="false">IFERROR(INDEX(Lists!$C$2:$C$8,MATCH($E4,Lists!$A$2:$A$8,0)),0)</f>
        <v>0.2308</v>
      </c>
      <c r="W4" s="34" t="n">
        <f aca="false">ROUND(V4*$F4*U4,0)</f>
        <v>104</v>
      </c>
      <c r="X4" s="37" t="b">
        <f aca="false">$K4&lt;&gt;""</f>
        <v>1</v>
      </c>
      <c r="Y4" s="37" t="b">
        <f aca="false">AND($L4&lt;&gt;"",LEFT($L4,3)&lt;&gt;"no ")</f>
        <v>1</v>
      </c>
      <c r="Z4" s="37" t="b">
        <f aca="false">$I4&lt;&gt;""</f>
        <v>1</v>
      </c>
      <c r="AA4" s="34" t="str">
        <f aca="false">IF(AND(X4,Y4,Z4),"VA",IF(AND(X4,Y4,NOT(Z4),$J4="true"),"necessary_NVA","NVA"))</f>
        <v>VA</v>
      </c>
      <c r="AB4" s="34" t="str">
        <f aca="false">";"&amp;$D4&amp;";"&amp;$C4&amp;";"</f>
        <v>;A4;A1;A2;A9;A8;A4;</v>
      </c>
    </row>
    <row r="5" customFormat="false" ht="15" hidden="false" customHeight="true" outlineLevel="0" collapsed="false">
      <c r="A5" s="31" t="s">
        <v>278</v>
      </c>
      <c r="B5" s="31" t="s">
        <v>279</v>
      </c>
      <c r="C5" s="31" t="s">
        <v>169</v>
      </c>
      <c r="D5" s="31" t="s">
        <v>280</v>
      </c>
      <c r="E5" s="31" t="s">
        <v>221</v>
      </c>
      <c r="F5" s="31" t="n">
        <v>30</v>
      </c>
      <c r="G5" s="31" t="s">
        <v>281</v>
      </c>
      <c r="H5" s="31" t="s">
        <v>282</v>
      </c>
      <c r="I5" s="31" t="s">
        <v>104</v>
      </c>
      <c r="J5" s="31" t="s">
        <v>258</v>
      </c>
      <c r="K5" s="31" t="s">
        <v>283</v>
      </c>
      <c r="L5" s="31" t="s">
        <v>284</v>
      </c>
      <c r="M5" s="35" t="b">
        <f aca="false">TRUE()</f>
        <v>1</v>
      </c>
      <c r="N5" s="35" t="b">
        <f aca="false">TRUE()</f>
        <v>1</v>
      </c>
      <c r="O5" s="35" t="b">
        <f aca="false">TRUE()</f>
        <v>1</v>
      </c>
      <c r="P5" s="35" t="b">
        <f aca="false">TRUE()</f>
        <v>1</v>
      </c>
      <c r="Q5" s="35" t="b">
        <f aca="false">TRUE()</f>
        <v>1</v>
      </c>
      <c r="R5" s="35" t="b">
        <f aca="false">TRUE()</f>
        <v>1</v>
      </c>
      <c r="S5" s="36" t="n">
        <f aca="false">COUNTIF(M5:R5,TRUE())/6</f>
        <v>1</v>
      </c>
      <c r="T5" s="34" t="str">
        <f aca="false">TRIM(IF(M5=TRUE(),"","purpose ")&amp;IF(N5=TRUE(),"","action-items ")&amp;IF(O5=TRUE(),"","decision-log ")&amp;IF(P5=TRUE(),"","goal-trace ")&amp;IF(Q5=TRUE(),"","attendees ")&amp;IF(R5=TRUE(),"","pre-read "))</f>
        <v/>
      </c>
      <c r="U5" s="34" t="n">
        <f aca="false">IF($D5="",0,LEN($D5)-LEN(SUBSTITUTE($D5,";",""))+1)</f>
        <v>3</v>
      </c>
      <c r="V5" s="34" t="n">
        <f aca="false">IFERROR(INDEX(Lists!$C$2:$C$8,MATCH($E5,Lists!$A$2:$A$8,0)),0)</f>
        <v>1</v>
      </c>
      <c r="W5" s="34" t="n">
        <f aca="false">ROUND(V5*$F5*U5,0)</f>
        <v>90</v>
      </c>
      <c r="X5" s="37" t="b">
        <f aca="false">$K5&lt;&gt;""</f>
        <v>1</v>
      </c>
      <c r="Y5" s="37" t="b">
        <f aca="false">AND($L5&lt;&gt;"",LEFT($L5,3)&lt;&gt;"no ")</f>
        <v>1</v>
      </c>
      <c r="Z5" s="37" t="b">
        <f aca="false">$I5&lt;&gt;""</f>
        <v>1</v>
      </c>
      <c r="AA5" s="34" t="str">
        <f aca="false">IF(AND(X5,Y5,Z5),"VA",IF(AND(X5,Y5,NOT(Z5),$J5="true"),"necessary_NVA","NVA"))</f>
        <v>VA</v>
      </c>
      <c r="AB5" s="34" t="str">
        <f aca="false">";"&amp;$D5&amp;";"&amp;$C5&amp;";"</f>
        <v>;A3;A5;A6;A3;</v>
      </c>
    </row>
    <row r="6" customFormat="false" ht="15" hidden="false" customHeight="true" outlineLevel="0" collapsed="false">
      <c r="A6" s="31" t="s">
        <v>285</v>
      </c>
      <c r="B6" s="31" t="s">
        <v>286</v>
      </c>
      <c r="C6" s="31" t="s">
        <v>190</v>
      </c>
      <c r="D6" s="31" t="s">
        <v>287</v>
      </c>
      <c r="E6" s="31" t="s">
        <v>272</v>
      </c>
      <c r="F6" s="31" t="n">
        <v>60</v>
      </c>
      <c r="G6" s="31" t="s">
        <v>288</v>
      </c>
      <c r="H6" s="31" t="s">
        <v>289</v>
      </c>
      <c r="I6" s="31"/>
      <c r="J6" s="31" t="s">
        <v>258</v>
      </c>
      <c r="K6" s="31" t="s">
        <v>290</v>
      </c>
      <c r="L6" s="31" t="s">
        <v>291</v>
      </c>
      <c r="M6" s="35" t="b">
        <f aca="false">TRUE()</f>
        <v>1</v>
      </c>
      <c r="N6" s="35" t="b">
        <f aca="false">FALSE()</f>
        <v>0</v>
      </c>
      <c r="O6" s="35" t="b">
        <f aca="false">FALSE()</f>
        <v>0</v>
      </c>
      <c r="P6" s="35" t="b">
        <f aca="false">FALSE()</f>
        <v>0</v>
      </c>
      <c r="Q6" s="35" t="b">
        <f aca="false">FALSE()</f>
        <v>0</v>
      </c>
      <c r="R6" s="35" t="b">
        <f aca="false">TRUE()</f>
        <v>1</v>
      </c>
      <c r="S6" s="36" t="n">
        <f aca="false">COUNTIF(M6:R6,TRUE())/6</f>
        <v>0.333333333333333</v>
      </c>
      <c r="T6" s="34" t="str">
        <f aca="false">TRIM(IF(M6=TRUE(),"","purpose ")&amp;IF(N6=TRUE(),"","action-items ")&amp;IF(O6=TRUE(),"","decision-log ")&amp;IF(P6=TRUE(),"","goal-trace ")&amp;IF(Q6=TRUE(),"","attendees ")&amp;IF(R6=TRUE(),"","pre-read "))</f>
        <v>action-items decision-log goal-trace attendees</v>
      </c>
      <c r="U6" s="34" t="n">
        <f aca="false">IF($D6="",0,LEN($D6)-LEN(SUBSTITUTE($D6,";",""))+1)</f>
        <v>4</v>
      </c>
      <c r="V6" s="34" t="n">
        <f aca="false">IFERROR(INDEX(Lists!$C$2:$C$8,MATCH($E6,Lists!$A$2:$A$8,0)),0)</f>
        <v>0.2308</v>
      </c>
      <c r="W6" s="34" t="n">
        <f aca="false">ROUND(V6*$F6*U6,0)</f>
        <v>55</v>
      </c>
      <c r="X6" s="37" t="b">
        <f aca="false">$K6&lt;&gt;""</f>
        <v>1</v>
      </c>
      <c r="Y6" s="37" t="b">
        <f aca="false">AND($L6&lt;&gt;"",LEFT($L6,3)&lt;&gt;"no ")</f>
        <v>0</v>
      </c>
      <c r="Z6" s="37" t="b">
        <f aca="false">$I6&lt;&gt;""</f>
        <v>0</v>
      </c>
      <c r="AA6" s="34" t="str">
        <f aca="false">IF(AND(X6,Y6,Z6),"VA",IF(AND(X6,Y6,NOT(Z6),$J6="true"),"necessary_NVA","NVA"))</f>
        <v>NVA</v>
      </c>
      <c r="AB6" s="34" t="str">
        <f aca="false">";"&amp;$D6&amp;";"&amp;$C6&amp;";"</f>
        <v>;A10;A3;A5;A6;A10;</v>
      </c>
    </row>
    <row r="7" customFormat="false" ht="15" hidden="false" customHeight="true" outlineLevel="0" collapsed="false">
      <c r="A7" s="31" t="s">
        <v>292</v>
      </c>
      <c r="B7" s="31" t="s">
        <v>293</v>
      </c>
      <c r="C7" s="31" t="s">
        <v>190</v>
      </c>
      <c r="D7" s="31" t="s">
        <v>294</v>
      </c>
      <c r="E7" s="31" t="s">
        <v>272</v>
      </c>
      <c r="F7" s="31" t="n">
        <v>45</v>
      </c>
      <c r="G7" s="31" t="s">
        <v>295</v>
      </c>
      <c r="H7" s="31" t="s">
        <v>296</v>
      </c>
      <c r="I7" s="31" t="s">
        <v>112</v>
      </c>
      <c r="J7" s="31" t="s">
        <v>258</v>
      </c>
      <c r="K7" s="31" t="s">
        <v>297</v>
      </c>
      <c r="L7" s="31" t="s">
        <v>298</v>
      </c>
      <c r="M7" s="35" t="b">
        <f aca="false">TRUE()</f>
        <v>1</v>
      </c>
      <c r="N7" s="35" t="b">
        <f aca="false">TRUE()</f>
        <v>1</v>
      </c>
      <c r="O7" s="35" t="b">
        <f aca="false">TRUE()</f>
        <v>1</v>
      </c>
      <c r="P7" s="35" t="b">
        <f aca="false">TRUE()</f>
        <v>1</v>
      </c>
      <c r="Q7" s="35" t="b">
        <f aca="false">FALSE()</f>
        <v>0</v>
      </c>
      <c r="R7" s="35" t="b">
        <f aca="false">TRUE()</f>
        <v>1</v>
      </c>
      <c r="S7" s="36" t="n">
        <f aca="false">COUNTIF(M7:R7,TRUE())/6</f>
        <v>0.833333333333333</v>
      </c>
      <c r="T7" s="34" t="str">
        <f aca="false">TRIM(IF(M7=TRUE(),"","purpose ")&amp;IF(N7=TRUE(),"","action-items ")&amp;IF(O7=TRUE(),"","decision-log ")&amp;IF(P7=TRUE(),"","goal-trace ")&amp;IF(Q7=TRUE(),"","attendees ")&amp;IF(R7=TRUE(),"","pre-read "))</f>
        <v>attendees</v>
      </c>
      <c r="U7" s="34" t="n">
        <f aca="false">IF($D7="",0,LEN($D7)-LEN(SUBSTITUTE($D7,";",""))+1)</f>
        <v>3</v>
      </c>
      <c r="V7" s="34" t="n">
        <f aca="false">IFERROR(INDEX(Lists!$C$2:$C$8,MATCH($E7,Lists!$A$2:$A$8,0)),0)</f>
        <v>0.2308</v>
      </c>
      <c r="W7" s="34" t="n">
        <f aca="false">ROUND(V7*$F7*U7,0)</f>
        <v>31</v>
      </c>
      <c r="X7" s="37" t="b">
        <f aca="false">$K7&lt;&gt;""</f>
        <v>1</v>
      </c>
      <c r="Y7" s="37" t="b">
        <f aca="false">AND($L7&lt;&gt;"",LEFT($L7,3)&lt;&gt;"no ")</f>
        <v>1</v>
      </c>
      <c r="Z7" s="37" t="b">
        <f aca="false">$I7&lt;&gt;""</f>
        <v>1</v>
      </c>
      <c r="AA7" s="34" t="str">
        <f aca="false">IF(AND(X7,Y7,Z7),"VA",IF(AND(X7,Y7,NOT(Z7),$J7="true"),"necessary_NVA","NVA"))</f>
        <v>VA</v>
      </c>
      <c r="AB7" s="34" t="str">
        <f aca="false">";"&amp;$D7&amp;";"&amp;$C7&amp;";"</f>
        <v>;A10;A1;A2;A10;</v>
      </c>
    </row>
    <row r="8" customFormat="false" ht="15" hidden="false" customHeight="true" outlineLevel="0" collapsed="false">
      <c r="A8" s="31" t="s">
        <v>299</v>
      </c>
      <c r="B8" s="31" t="s">
        <v>300</v>
      </c>
      <c r="C8" s="31" t="s">
        <v>180</v>
      </c>
      <c r="D8" s="31" t="s">
        <v>301</v>
      </c>
      <c r="E8" s="31" t="s">
        <v>302</v>
      </c>
      <c r="F8" s="31" t="n">
        <v>45</v>
      </c>
      <c r="G8" s="31" t="s">
        <v>303</v>
      </c>
      <c r="H8" s="31" t="s">
        <v>304</v>
      </c>
      <c r="I8" s="31" t="s">
        <v>2</v>
      </c>
      <c r="J8" s="31" t="s">
        <v>258</v>
      </c>
      <c r="K8" s="31" t="s">
        <v>305</v>
      </c>
      <c r="L8" s="31" t="s">
        <v>306</v>
      </c>
      <c r="M8" s="35" t="b">
        <f aca="false">TRUE()</f>
        <v>1</v>
      </c>
      <c r="N8" s="35" t="b">
        <f aca="false">TRUE()</f>
        <v>1</v>
      </c>
      <c r="O8" s="35" t="b">
        <f aca="false">TRUE()</f>
        <v>1</v>
      </c>
      <c r="P8" s="35" t="b">
        <f aca="false">TRUE()</f>
        <v>1</v>
      </c>
      <c r="Q8" s="35" t="b">
        <f aca="false">FALSE()</f>
        <v>0</v>
      </c>
      <c r="R8" s="35" t="b">
        <f aca="false">TRUE()</f>
        <v>1</v>
      </c>
      <c r="S8" s="36" t="n">
        <f aca="false">COUNTIF(M8:R8,TRUE())/6</f>
        <v>0.833333333333333</v>
      </c>
      <c r="T8" s="34" t="str">
        <f aca="false">TRIM(IF(M8=TRUE(),"","purpose ")&amp;IF(N8=TRUE(),"","action-items ")&amp;IF(O8=TRUE(),"","decision-log ")&amp;IF(P8=TRUE(),"","goal-trace ")&amp;IF(Q8=TRUE(),"","attendees ")&amp;IF(R8=TRUE(),"","pre-read "))</f>
        <v>attendees</v>
      </c>
      <c r="U8" s="34" t="n">
        <f aca="false">IF($D8="",0,LEN($D8)-LEN(SUBSTITUTE($D8,";",""))+1)</f>
        <v>3</v>
      </c>
      <c r="V8" s="34" t="n">
        <f aca="false">IFERROR(INDEX(Lists!$C$2:$C$8,MATCH($E8,Lists!$A$2:$A$8,0)),0)</f>
        <v>0.5</v>
      </c>
      <c r="W8" s="34" t="n">
        <f aca="false">ROUND(V8*$F8*U8,0)</f>
        <v>68</v>
      </c>
      <c r="X8" s="37" t="b">
        <f aca="false">$K8&lt;&gt;""</f>
        <v>1</v>
      </c>
      <c r="Y8" s="37" t="b">
        <f aca="false">AND($L8&lt;&gt;"",LEFT($L8,3)&lt;&gt;"no ")</f>
        <v>1</v>
      </c>
      <c r="Z8" s="37" t="b">
        <f aca="false">$I8&lt;&gt;""</f>
        <v>1</v>
      </c>
      <c r="AA8" s="34" t="str">
        <f aca="false">IF(AND(X8,Y8,Z8),"VA",IF(AND(X8,Y8,NOT(Z8),$J8="true"),"necessary_NVA","NVA"))</f>
        <v>VA</v>
      </c>
      <c r="AB8" s="34" t="str">
        <f aca="false">";"&amp;$D8&amp;";"&amp;$C8&amp;";"</f>
        <v>;A7;A6;A4;A7;</v>
      </c>
    </row>
    <row r="9" customFormat="false" ht="15" hidden="false" customHeight="true" outlineLevel="0" collapsed="false">
      <c r="A9" s="31" t="s">
        <v>307</v>
      </c>
      <c r="B9" s="31" t="s">
        <v>308</v>
      </c>
      <c r="C9" s="31" t="s">
        <v>190</v>
      </c>
      <c r="D9" s="31" t="s">
        <v>309</v>
      </c>
      <c r="E9" s="31" t="s">
        <v>272</v>
      </c>
      <c r="F9" s="31" t="n">
        <v>30</v>
      </c>
      <c r="G9" s="31" t="s">
        <v>310</v>
      </c>
      <c r="H9" s="31" t="s">
        <v>311</v>
      </c>
      <c r="I9" s="31"/>
      <c r="J9" s="31" t="s">
        <v>312</v>
      </c>
      <c r="K9" s="31" t="s">
        <v>313</v>
      </c>
      <c r="L9" s="31" t="s">
        <v>314</v>
      </c>
      <c r="M9" s="35" t="b">
        <f aca="false">TRUE()</f>
        <v>1</v>
      </c>
      <c r="N9" s="35" t="b">
        <f aca="false">TRUE()</f>
        <v>1</v>
      </c>
      <c r="O9" s="35" t="b">
        <f aca="false">TRUE()</f>
        <v>1</v>
      </c>
      <c r="P9" s="35" t="b">
        <f aca="false">FALSE()</f>
        <v>0</v>
      </c>
      <c r="Q9" s="35" t="b">
        <f aca="false">FALSE()</f>
        <v>0</v>
      </c>
      <c r="R9" s="35" t="b">
        <f aca="false">TRUE()</f>
        <v>1</v>
      </c>
      <c r="S9" s="36" t="n">
        <f aca="false">COUNTIF(M9:R9,TRUE())/6</f>
        <v>0.666666666666667</v>
      </c>
      <c r="T9" s="34" t="str">
        <f aca="false">TRIM(IF(M9=TRUE(),"","purpose ")&amp;IF(N9=TRUE(),"","action-items ")&amp;IF(O9=TRUE(),"","decision-log ")&amp;IF(P9=TRUE(),"","goal-trace ")&amp;IF(Q9=TRUE(),"","attendees ")&amp;IF(R9=TRUE(),"","pre-read "))</f>
        <v>goal-trace attendees</v>
      </c>
      <c r="U9" s="34" t="n">
        <f aca="false">IF($D9="",0,LEN($D9)-LEN(SUBSTITUTE($D9,";",""))+1)</f>
        <v>2</v>
      </c>
      <c r="V9" s="34" t="n">
        <f aca="false">IFERROR(INDEX(Lists!$C$2:$C$8,MATCH($E9,Lists!$A$2:$A$8,0)),0)</f>
        <v>0.2308</v>
      </c>
      <c r="W9" s="34" t="n">
        <f aca="false">ROUND(V9*$F9*U9,0)</f>
        <v>14</v>
      </c>
      <c r="X9" s="37" t="b">
        <f aca="false">$K9&lt;&gt;""</f>
        <v>1</v>
      </c>
      <c r="Y9" s="37" t="b">
        <f aca="false">AND($L9&lt;&gt;"",LEFT($L9,3)&lt;&gt;"no ")</f>
        <v>1</v>
      </c>
      <c r="Z9" s="37" t="b">
        <f aca="false">$I9&lt;&gt;""</f>
        <v>0</v>
      </c>
      <c r="AA9" s="34" t="str">
        <f aca="false">IF(AND(X9,Y9,Z9),"VA",IF(AND(X9,Y9,NOT(Z9),$J9="true"),"necessary_NVA","NVA"))</f>
        <v>necessary_NVA</v>
      </c>
      <c r="AB9" s="34" t="str">
        <f aca="false">";"&amp;$D9&amp;";"&amp;$C9&amp;";"</f>
        <v>;A10;A6;A10;</v>
      </c>
    </row>
    <row r="10" customFormat="false" ht="15" hidden="false" customHeight="true" outlineLevel="0" collapsed="false">
      <c r="A10" s="31" t="s">
        <v>315</v>
      </c>
      <c r="B10" s="31" t="s">
        <v>316</v>
      </c>
      <c r="C10" s="31" t="s">
        <v>183</v>
      </c>
      <c r="D10" s="31" t="s">
        <v>317</v>
      </c>
      <c r="E10" s="31" t="s">
        <v>272</v>
      </c>
      <c r="F10" s="31" t="n">
        <v>60</v>
      </c>
      <c r="G10" s="31" t="s">
        <v>318</v>
      </c>
      <c r="H10" s="31" t="s">
        <v>319</v>
      </c>
      <c r="I10" s="31" t="s">
        <v>275</v>
      </c>
      <c r="J10" s="31" t="s">
        <v>258</v>
      </c>
      <c r="K10" s="31" t="s">
        <v>320</v>
      </c>
      <c r="L10" s="31" t="s">
        <v>321</v>
      </c>
      <c r="M10" s="35" t="b">
        <f aca="false">TRUE()</f>
        <v>1</v>
      </c>
      <c r="N10" s="35" t="b">
        <f aca="false">FALSE()</f>
        <v>0</v>
      </c>
      <c r="O10" s="35" t="b">
        <f aca="false">FALSE()</f>
        <v>0</v>
      </c>
      <c r="P10" s="35" t="b">
        <f aca="false">FALSE()</f>
        <v>0</v>
      </c>
      <c r="Q10" s="35" t="b">
        <f aca="false">FALSE()</f>
        <v>0</v>
      </c>
      <c r="R10" s="35" t="b">
        <f aca="false">FALSE()</f>
        <v>0</v>
      </c>
      <c r="S10" s="36" t="n">
        <f aca="false">COUNTIF(M10:R10,TRUE())/6</f>
        <v>0.166666666666667</v>
      </c>
      <c r="T10" s="34" t="str">
        <f aca="false">TRIM(IF(M10=TRUE(),"","purpose ")&amp;IF(N10=TRUE(),"","action-items ")&amp;IF(O10=TRUE(),"","decision-log ")&amp;IF(P10=TRUE(),"","goal-trace ")&amp;IF(Q10=TRUE(),"","attendees ")&amp;IF(R10=TRUE(),"","pre-read "))</f>
        <v>action-items decision-log goal-trace attendees pre-read</v>
      </c>
      <c r="U10" s="34" t="n">
        <f aca="false">IF($D10="",0,LEN($D10)-LEN(SUBSTITUTE($D10,";",""))+1)</f>
        <v>5</v>
      </c>
      <c r="V10" s="34" t="n">
        <f aca="false">IFERROR(INDEX(Lists!$C$2:$C$8,MATCH($E10,Lists!$A$2:$A$8,0)),0)</f>
        <v>0.2308</v>
      </c>
      <c r="W10" s="34" t="n">
        <f aca="false">ROUND(V10*$F10*U10,0)</f>
        <v>69</v>
      </c>
      <c r="X10" s="37" t="b">
        <f aca="false">$K10&lt;&gt;""</f>
        <v>1</v>
      </c>
      <c r="Y10" s="37" t="b">
        <f aca="false">AND($L10&lt;&gt;"",LEFT($L10,3)&lt;&gt;"no ")</f>
        <v>0</v>
      </c>
      <c r="Z10" s="37" t="b">
        <f aca="false">$I10&lt;&gt;""</f>
        <v>1</v>
      </c>
      <c r="AA10" s="34" t="str">
        <f aca="false">IF(AND(X10,Y10,Z10),"VA",IF(AND(X10,Y10,NOT(Z10),$J10="true"),"necessary_NVA","NVA"))</f>
        <v>NVA</v>
      </c>
      <c r="AB10" s="34" t="str">
        <f aca="false">";"&amp;$D10&amp;";"&amp;$C10&amp;";"</f>
        <v>;A8;A6;A4;A1;A10;A8;</v>
      </c>
    </row>
    <row r="11" customFormat="false" ht="15" hidden="false" customHeight="true" outlineLevel="0" collapsed="false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customFormat="false" ht="15" hidden="false" customHeight="true" outlineLevel="0" collapsed="false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customFormat="false" ht="15" hidden="false" customHeight="true" outlineLevel="0" collapsed="false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customFormat="false" ht="15" hidden="false" customHeight="true" outlineLevel="0" collapsed="false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customFormat="false" ht="15" hidden="false" customHeight="true" outlineLevel="0" collapsed="false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customFormat="false" ht="15" hidden="false" customHeight="true" outlineLevel="0" collapsed="false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customFormat="false" ht="15" hidden="false" customHeight="tru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customFormat="false" ht="15" hidden="false" customHeight="true" outlineLevel="0" collapsed="false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</sheetData>
  <dataValidations count="3">
    <dataValidation allowBlank="true" errorStyle="stop" operator="between" showDropDown="false" showErrorMessage="false" showInputMessage="false" sqref="E2:E31" type="list">
      <formula1>CadenceList</formula1>
      <formula2>0</formula2>
    </dataValidation>
    <dataValidation allowBlank="true" errorStyle="stop" operator="between" showDropDown="false" showErrorMessage="false" showInputMessage="false" sqref="J2:J31" type="list">
      <formula1>"true,false"</formula1>
      <formula2>0</formula2>
    </dataValidation>
    <dataValidation allowBlank="true" errorStyle="stop" operator="between" showDropDown="false" showErrorMessage="false" showInputMessage="false" sqref="M2:R31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62"/>
    <col collapsed="false" customWidth="true" hidden="false" outlineLevel="0" max="4" min="4" style="1" width="34"/>
  </cols>
  <sheetData>
    <row r="1" customFormat="false" ht="30" hidden="false" customHeight="true" outlineLevel="0" collapsed="false">
      <c r="A1" s="30" t="s">
        <v>322</v>
      </c>
      <c r="B1" s="30" t="s">
        <v>54</v>
      </c>
      <c r="C1" s="30" t="s">
        <v>323</v>
      </c>
      <c r="D1" s="30" t="s">
        <v>324</v>
      </c>
    </row>
    <row r="2" customFormat="false" ht="15" hidden="false" customHeight="true" outlineLevel="0" collapsed="false">
      <c r="A2" s="31" t="s">
        <v>237</v>
      </c>
      <c r="B2" s="31" t="s">
        <v>325</v>
      </c>
      <c r="C2" s="31" t="s">
        <v>326</v>
      </c>
      <c r="D2" s="31" t="s">
        <v>327</v>
      </c>
    </row>
    <row r="3" customFormat="false" ht="15" hidden="false" customHeight="true" outlineLevel="0" collapsed="false">
      <c r="A3" s="31" t="s">
        <v>238</v>
      </c>
      <c r="B3" s="31" t="s">
        <v>328</v>
      </c>
      <c r="C3" s="31" t="s">
        <v>329</v>
      </c>
      <c r="D3" s="31" t="s">
        <v>330</v>
      </c>
    </row>
    <row r="4" customFormat="false" ht="15" hidden="false" customHeight="true" outlineLevel="0" collapsed="false">
      <c r="A4" s="31" t="s">
        <v>239</v>
      </c>
      <c r="B4" s="31" t="s">
        <v>331</v>
      </c>
      <c r="C4" s="31" t="s">
        <v>332</v>
      </c>
      <c r="D4" s="31" t="s">
        <v>333</v>
      </c>
    </row>
    <row r="5" customFormat="false" ht="15" hidden="false" customHeight="true" outlineLevel="0" collapsed="false">
      <c r="A5" s="31" t="s">
        <v>240</v>
      </c>
      <c r="B5" s="31" t="s">
        <v>334</v>
      </c>
      <c r="C5" s="31" t="s">
        <v>335</v>
      </c>
      <c r="D5" s="31" t="s">
        <v>336</v>
      </c>
    </row>
    <row r="6" customFormat="false" ht="15" hidden="false" customHeight="true" outlineLevel="0" collapsed="false">
      <c r="A6" s="31" t="s">
        <v>241</v>
      </c>
      <c r="B6" s="31" t="s">
        <v>337</v>
      </c>
      <c r="C6" s="31" t="s">
        <v>338</v>
      </c>
      <c r="D6" s="31" t="s">
        <v>339</v>
      </c>
    </row>
    <row r="7" customFormat="false" ht="15" hidden="false" customHeight="true" outlineLevel="0" collapsed="false">
      <c r="A7" s="31" t="s">
        <v>242</v>
      </c>
      <c r="B7" s="31" t="s">
        <v>340</v>
      </c>
      <c r="C7" s="31" t="s">
        <v>341</v>
      </c>
      <c r="D7" s="31" t="s">
        <v>342</v>
      </c>
    </row>
    <row r="8" customFormat="false" ht="15" hidden="false" customHeight="true" outlineLevel="0" collapsed="false">
      <c r="A8" s="32"/>
      <c r="B8" s="32"/>
      <c r="C8" s="32"/>
      <c r="D8" s="32"/>
    </row>
    <row r="9" customFormat="false" ht="15" hidden="false" customHeight="true" outlineLevel="0" collapsed="false">
      <c r="A9" s="32"/>
      <c r="B9" s="32"/>
      <c r="C9" s="32"/>
      <c r="D9" s="32"/>
    </row>
    <row r="10" customFormat="false" ht="15" hidden="false" customHeight="true" outlineLevel="0" collapsed="false">
      <c r="A10" s="32"/>
      <c r="B10" s="32"/>
      <c r="C10" s="32"/>
      <c r="D10" s="32"/>
    </row>
    <row r="11" customFormat="false" ht="15" hidden="false" customHeight="true" outlineLevel="0" collapsed="false">
      <c r="A11" s="32"/>
      <c r="B11" s="32"/>
      <c r="C11" s="32"/>
      <c r="D11" s="32"/>
    </row>
    <row r="12" customFormat="false" ht="15" hidden="false" customHeight="true" outlineLevel="0" collapsed="false">
      <c r="A12" s="32"/>
      <c r="B12" s="32"/>
      <c r="C12" s="32"/>
      <c r="D12" s="32"/>
    </row>
    <row r="13" customFormat="false" ht="15" hidden="false" customHeight="true" outlineLevel="0" collapsed="false">
      <c r="A13" s="32"/>
      <c r="B13" s="32"/>
      <c r="C13" s="32"/>
      <c r="D13" s="32"/>
    </row>
    <row r="14" customFormat="false" ht="15" hidden="false" customHeight="true" outlineLevel="0" collapsed="false">
      <c r="A14" s="32"/>
      <c r="B14" s="32"/>
      <c r="C14" s="32"/>
      <c r="D14" s="32"/>
    </row>
    <row r="15" customFormat="false" ht="15" hidden="false" customHeight="true" outlineLevel="0" collapsed="false">
      <c r="A15" s="32"/>
      <c r="B15" s="32"/>
      <c r="C15" s="32"/>
      <c r="D15" s="32"/>
    </row>
    <row r="16" customFormat="false" ht="15" hidden="false" customHeight="true" outlineLevel="0" collapsed="false">
      <c r="A16" s="32"/>
      <c r="B16" s="32"/>
      <c r="C16" s="32"/>
      <c r="D16" s="32"/>
    </row>
    <row r="17" customFormat="false" ht="15" hidden="false" customHeight="true" outlineLevel="0" collapsed="false">
      <c r="A17" s="32"/>
      <c r="B17" s="32"/>
      <c r="C17" s="32"/>
      <c r="D17" s="32"/>
    </row>
    <row r="18" customFormat="false" ht="15" hidden="false" customHeight="true" outlineLevel="0" collapsed="false">
      <c r="A18" s="32"/>
      <c r="B18" s="32"/>
      <c r="C18" s="32"/>
      <c r="D18" s="32"/>
    </row>
    <row r="19" customFormat="false" ht="15" hidden="false" customHeight="true" outlineLevel="0" collapsed="false">
      <c r="A19" s="32"/>
      <c r="B19" s="32"/>
      <c r="C19" s="32"/>
      <c r="D19" s="32"/>
    </row>
    <row r="20" customFormat="false" ht="15" hidden="false" customHeight="true" outlineLevel="0" collapsed="false">
      <c r="A20" s="32"/>
      <c r="B20" s="32"/>
      <c r="C20" s="32"/>
      <c r="D20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34"/>
    <col collapsed="false" customWidth="true" hidden="false" outlineLevel="0" max="11" min="11" style="1" width="40"/>
    <col collapsed="false" customWidth="true" hidden="false" outlineLevel="0" max="12" min="12" style="1" width="6"/>
    <col collapsed="false" customWidth="true" hidden="false" outlineLevel="0" max="13" min="13" style="1" width="8"/>
    <col collapsed="false" customWidth="true" hidden="false" outlineLevel="0" max="15" min="14" style="1" width="10"/>
    <col collapsed="false" customWidth="true" hidden="false" outlineLevel="0" max="17" min="16" style="1" width="9"/>
    <col collapsed="false" customWidth="true" hidden="false" outlineLevel="0" max="18" min="18" style="1" width="8"/>
    <col collapsed="false" customWidth="true" hidden="false" outlineLevel="0" max="19" min="19" style="1" width="9"/>
    <col collapsed="false" customWidth="true" hidden="false" outlineLevel="0" max="20" min="20" style="1" width="15"/>
    <col collapsed="false" customWidth="true" hidden="false" outlineLevel="0" max="21" min="21" style="1" width="8"/>
    <col collapsed="false" customWidth="true" hidden="false" outlineLevel="0" max="22" min="22" style="1" width="9"/>
    <col collapsed="false" customWidth="true" hidden="false" outlineLevel="0" max="24" min="23" style="1" width="12"/>
    <col collapsed="false" customWidth="true" hidden="false" outlineLevel="0" max="25" min="25" style="1" width="10"/>
    <col collapsed="false" customWidth="true" hidden="false" outlineLevel="0" max="26" min="26" style="1" width="9"/>
  </cols>
  <sheetData>
    <row r="1" customFormat="false" ht="30" hidden="false" customHeight="true" outlineLevel="0" collapsed="false">
      <c r="A1" s="30" t="s">
        <v>17</v>
      </c>
      <c r="B1" s="30" t="s">
        <v>343</v>
      </c>
      <c r="C1" s="30" t="s">
        <v>11</v>
      </c>
      <c r="D1" s="30" t="s">
        <v>344</v>
      </c>
      <c r="E1" s="30" t="s">
        <v>345</v>
      </c>
      <c r="F1" s="30" t="s">
        <v>346</v>
      </c>
      <c r="G1" s="30" t="s">
        <v>347</v>
      </c>
      <c r="H1" s="30" t="s">
        <v>348</v>
      </c>
      <c r="I1" s="30" t="s">
        <v>349</v>
      </c>
      <c r="J1" s="30" t="s">
        <v>350</v>
      </c>
      <c r="K1" s="30" t="s">
        <v>351</v>
      </c>
      <c r="L1" s="33" t="s">
        <v>53</v>
      </c>
      <c r="M1" s="33" t="s">
        <v>352</v>
      </c>
      <c r="N1" s="33" t="s">
        <v>353</v>
      </c>
      <c r="O1" s="33" t="s">
        <v>354</v>
      </c>
      <c r="P1" s="33" t="s">
        <v>355</v>
      </c>
      <c r="Q1" s="33" t="s">
        <v>356</v>
      </c>
      <c r="R1" s="33" t="s">
        <v>357</v>
      </c>
      <c r="S1" s="33" t="s">
        <v>358</v>
      </c>
      <c r="T1" s="33" t="s">
        <v>21</v>
      </c>
      <c r="U1" s="33" t="s">
        <v>22</v>
      </c>
      <c r="V1" s="33" t="s">
        <v>120</v>
      </c>
      <c r="W1" s="33" t="s">
        <v>359</v>
      </c>
      <c r="X1" s="33" t="s">
        <v>360</v>
      </c>
      <c r="Y1" s="38" t="s">
        <v>361</v>
      </c>
      <c r="Z1" s="38" t="s">
        <v>362</v>
      </c>
    </row>
    <row r="2" customFormat="false" ht="15" hidden="false" customHeight="true" outlineLevel="0" collapsed="false">
      <c r="A2" s="31" t="s">
        <v>363</v>
      </c>
      <c r="B2" s="31" t="s">
        <v>55</v>
      </c>
      <c r="C2" s="31" t="s">
        <v>121</v>
      </c>
      <c r="D2" s="31" t="s">
        <v>174</v>
      </c>
      <c r="E2" s="31" t="s">
        <v>106</v>
      </c>
      <c r="F2" s="31" t="n">
        <v>4</v>
      </c>
      <c r="G2" s="31" t="s">
        <v>221</v>
      </c>
      <c r="H2" s="31" t="s">
        <v>364</v>
      </c>
      <c r="I2" s="31"/>
      <c r="J2" s="31"/>
      <c r="K2" s="31" t="s">
        <v>365</v>
      </c>
      <c r="L2" s="34" t="str">
        <f aca="false">IFERROR(INDEX(Topics!$C$2:$C$100,MATCH($C2,Topics!$A$2:$A$100,0)),"")</f>
        <v>G1</v>
      </c>
      <c r="M2" s="34" t="n">
        <f aca="false">IF($B2="required",COUNTIFS($B$2:$B$400,"actual",$C$2:$C$400,$C2,$E$2:$E$400,$E2,$I$2:$I$400,"&lt;&gt;disputed"),"")</f>
        <v>1</v>
      </c>
      <c r="N2" s="37" t="b">
        <f aca="false">IF($B2="required",COUNTIFS($B$2:$B$400,"actual",$C$2:$C$400,$C2,$E$2:$E$400,$E2,$I$2:$I$400,"&lt;&gt;disputed",$D$2:$D$400,$D2)&gt;0,"")</f>
        <v>1</v>
      </c>
      <c r="O2" s="34" t="n">
        <f aca="false">IF($B2="required",SUMIFS(Carriers!$M$2:$M$400,Carriers!$J$2:$J$400,$C2,Carriers!$K$2:$K$400,$E2),"")</f>
        <v>2</v>
      </c>
      <c r="P2" s="34" t="n">
        <f aca="false">IF($B2&lt;&gt;"required","",IF($O2=0,99,_xlfn.MINIFS(Carriers!$G$2:$G$400,Carriers!$J$2:$J$400,$C2,Carriers!$K$2:$K$400,$E2,Carriers!$M$2:$M$400,1)))</f>
        <v>1</v>
      </c>
      <c r="Q2" s="34" t="n">
        <f aca="false">IF($B2="required",INDEX(Lists!$B$2:$B$8,MATCH($G2,Lists!$A$2:$A$8,0)),"")</f>
        <v>2</v>
      </c>
      <c r="R2" s="37" t="b">
        <f aca="false">IF($B2&lt;&gt;"required","",IF($H2&lt;&gt;"sync",TRUE(),COUNTIFS(Carriers!$J$2:$J$400,$C2,Carriers!$K$2:$K$400,$E2,Carriers!$H$2:$H$400,"sync",Carriers!$M$2:$M$400,1)&gt;0))</f>
        <v>1</v>
      </c>
      <c r="S2" s="37" t="b">
        <f aca="false">IF($B2&lt;&gt;"required","",IF($F2&lt;5,FALSE(),IF($O2=0,FALSE(),COUNTIFS(Carriers!$J$2:$J$400,$C2,Carriers!$K$2:$K$400,$E2,Carriers!$M$2:$M$400,1,Carriers!$D$2:$D$400,"push")=0)))</f>
        <v>0</v>
      </c>
      <c r="T2" s="39" t="str">
        <f aca="false">IF($B2&lt;&gt;"required","",IF($M2=0,"missing",IF(NOT($N2),"wrong_producer",IF($P2&gt;$Q2,"latency_gap",IF(OR(NOT($R2),$S2),"channel_mismatch","covered")))))</f>
        <v>covered</v>
      </c>
      <c r="U2" s="34" t="n">
        <f aca="false">IF($B2&lt;&gt;"required","",ROUND($F2*INDEX(Lists!$E$2:$E$6,MATCH($T2,Lists!$D$2:$D$6,0)),1))</f>
        <v>0</v>
      </c>
      <c r="V2" s="34" t="n">
        <f aca="false">IF(AND($B2="required",$L2=GoalLens!$B$3),MAX($V$1:V1)+1,"")</f>
        <v>1</v>
      </c>
      <c r="W2" s="34" t="str">
        <f aca="false">IFERROR(INDEX(Stakeholders!$D$2:$D$50,MATCH($D2,Stakeholders!$A$2:$A$50,0)),"")</f>
        <v>Quality</v>
      </c>
      <c r="X2" s="34" t="str">
        <f aca="false">IFERROR(INDEX(Stakeholders!$D$2:$D$50,MATCH($E2,Stakeholders!$A$2:$A$50,0)),"")</f>
        <v>Quality</v>
      </c>
      <c r="Y2" s="34" t="str">
        <f aca="false">IF(OR($B2&lt;&gt;"required",$T2="covered",$T2=""),"",1+SUMPRODUCT(ISNUMBER($U$2:$U$400)*($T$2:$T$400&lt;&gt;"covered")*($T$2:$T$400&lt;&gt;"")*($U$2:$U$400&gt;$U2))+COUNTIFS($U$2:U2,$U2,$T$2:T2,"&lt;&gt;covered",$T$2:T2,"&lt;&gt;",$B$2:B2,"required")-1)</f>
        <v/>
      </c>
      <c r="Z2" s="34" t="str">
        <f aca="false">IF(AND($B2="required",$F2&gt;=4,$T2&lt;&gt;"missing",$T2&lt;&gt;"",$M2=1,COUNTIFS(Carriers!$J$2:$J$400,$C2,Carriers!$K$2:$K$400,$E2,Carriers!$M$2:$M$400,1,Carriers!$P$2:$P$400,"system_of_record")=0),MAX($Z$1:Z1)+1,"")</f>
        <v/>
      </c>
    </row>
    <row r="3" customFormat="false" ht="15" hidden="false" customHeight="true" outlineLevel="0" collapsed="false">
      <c r="A3" s="31" t="s">
        <v>366</v>
      </c>
      <c r="B3" s="31" t="s">
        <v>55</v>
      </c>
      <c r="C3" s="31" t="s">
        <v>121</v>
      </c>
      <c r="D3" s="31" t="s">
        <v>174</v>
      </c>
      <c r="E3" s="31" t="s">
        <v>101</v>
      </c>
      <c r="F3" s="31" t="n">
        <v>3</v>
      </c>
      <c r="G3" s="31" t="s">
        <v>272</v>
      </c>
      <c r="H3" s="31" t="s">
        <v>364</v>
      </c>
      <c r="I3" s="31"/>
      <c r="J3" s="31"/>
      <c r="K3" s="31" t="s">
        <v>367</v>
      </c>
      <c r="L3" s="34" t="str">
        <f aca="false">IFERROR(INDEX(Topics!$C$2:$C$100,MATCH($C3,Topics!$A$2:$A$100,0)),"")</f>
        <v>G1</v>
      </c>
      <c r="M3" s="34" t="n">
        <f aca="false">IF($B3="required",COUNTIFS($B$2:$B$400,"actual",$C$2:$C$400,$C3,$E$2:$E$400,$E3,$I$2:$I$400,"&lt;&gt;disputed"),"")</f>
        <v>1</v>
      </c>
      <c r="N3" s="37" t="b">
        <f aca="false">IF($B3="required",COUNTIFS($B$2:$B$400,"actual",$C$2:$C$400,$C3,$E$2:$E$400,$E3,$I$2:$I$400,"&lt;&gt;disputed",$D$2:$D$400,$D3)&gt;0,"")</f>
        <v>0</v>
      </c>
      <c r="O3" s="34" t="n">
        <f aca="false">IF($B3="required",SUMIFS(Carriers!$M$2:$M$400,Carriers!$J$2:$J$400,$C3,Carriers!$K$2:$K$400,$E3),"")</f>
        <v>1</v>
      </c>
      <c r="P3" s="34" t="n">
        <f aca="false">IF($B3&lt;&gt;"required","",IF($O3=0,99,_xlfn.MINIFS(Carriers!$G$2:$G$400,Carriers!$J$2:$J$400,$C3,Carriers!$K$2:$K$400,$E3,Carriers!$M$2:$M$400,1)))</f>
        <v>2</v>
      </c>
      <c r="Q3" s="34" t="n">
        <f aca="false">IF($B3="required",INDEX(Lists!$B$2:$B$8,MATCH($G3,Lists!$A$2:$A$8,0)),"")</f>
        <v>4</v>
      </c>
      <c r="R3" s="37" t="b">
        <f aca="false">IF($B3&lt;&gt;"required","",IF($H3&lt;&gt;"sync",TRUE(),COUNTIFS(Carriers!$J$2:$J$400,$C3,Carriers!$K$2:$K$400,$E3,Carriers!$H$2:$H$400,"sync",Carriers!$M$2:$M$400,1)&gt;0))</f>
        <v>1</v>
      </c>
      <c r="S3" s="37" t="b">
        <f aca="false">IF($B3&lt;&gt;"required","",IF($F3&lt;5,FALSE(),IF($O3=0,FALSE(),COUNTIFS(Carriers!$J$2:$J$400,$C3,Carriers!$K$2:$K$400,$E3,Carriers!$M$2:$M$400,1,Carriers!$D$2:$D$400,"push")=0)))</f>
        <v>0</v>
      </c>
      <c r="T3" s="39" t="str">
        <f aca="false">IF($B3&lt;&gt;"required","",IF($M3=0,"missing",IF(NOT($N3),"wrong_producer",IF($P3&gt;$Q3,"latency_gap",IF(OR(NOT($R3),$S3),"channel_mismatch","covered")))))</f>
        <v>wrong_producer</v>
      </c>
      <c r="U3" s="34" t="n">
        <f aca="false">IF($B3&lt;&gt;"required","",ROUND($F3*INDEX(Lists!$E$2:$E$6,MATCH($T3,Lists!$D$2:$D$6,0)),1))</f>
        <v>6</v>
      </c>
      <c r="V3" s="34" t="n">
        <f aca="false">IF(AND($B3="required",$L3=GoalLens!$B$3),MAX($V$1:V2)+1,"")</f>
        <v>2</v>
      </c>
      <c r="W3" s="34" t="str">
        <f aca="false">IFERROR(INDEX(Stakeholders!$D$2:$D$50,MATCH($D3,Stakeholders!$A$2:$A$50,0)),"")</f>
        <v>Quality</v>
      </c>
      <c r="X3" s="34" t="str">
        <f aca="false">IFERROR(INDEX(Stakeholders!$D$2:$D$50,MATCH($E3,Stakeholders!$A$2:$A$50,0)),"")</f>
        <v>Quality</v>
      </c>
      <c r="Y3" s="34" t="n">
        <f aca="false">IF(OR($B3&lt;&gt;"required",$T3="covered",$T3=""),"",1+SUMPRODUCT(ISNUMBER($U$2:$U$400)*($T$2:$T$400&lt;&gt;"covered")*($T$2:$T$400&lt;&gt;"")*($U$2:$U$400&gt;$U3))+COUNTIFS($U$2:U3,$U3,$T$2:T3,"&lt;&gt;covered",$T$2:T3,"&lt;&gt;",$B$2:B3,"required")-1)</f>
        <v>5</v>
      </c>
      <c r="Z3" s="34" t="str">
        <f aca="false">IF(AND($B3="required",$F3&gt;=4,$T3&lt;&gt;"missing",$T3&lt;&gt;"",$M3=1,COUNTIFS(Carriers!$J$2:$J$400,$C3,Carriers!$K$2:$K$400,$E3,Carriers!$M$2:$M$400,1,Carriers!$P$2:$P$400,"system_of_record")=0),MAX($Z$1:Z2)+1,"")</f>
        <v/>
      </c>
    </row>
    <row r="4" customFormat="false" ht="15" hidden="false" customHeight="true" outlineLevel="0" collapsed="false">
      <c r="A4" s="31" t="s">
        <v>368</v>
      </c>
      <c r="B4" s="31" t="s">
        <v>55</v>
      </c>
      <c r="C4" s="31" t="s">
        <v>152</v>
      </c>
      <c r="D4" s="31" t="s">
        <v>177</v>
      </c>
      <c r="E4" s="31" t="s">
        <v>169</v>
      </c>
      <c r="F4" s="31" t="n">
        <v>3</v>
      </c>
      <c r="G4" s="31" t="s">
        <v>221</v>
      </c>
      <c r="H4" s="31" t="s">
        <v>364</v>
      </c>
      <c r="I4" s="31"/>
      <c r="J4" s="31"/>
      <c r="K4" s="31" t="s">
        <v>369</v>
      </c>
      <c r="L4" s="34" t="str">
        <f aca="false">IFERROR(INDEX(Topics!$C$2:$C$100,MATCH($C4,Topics!$A$2:$A$100,0)),"")</f>
        <v>G1</v>
      </c>
      <c r="M4" s="34" t="n">
        <f aca="false">IF($B4="required",COUNTIFS($B$2:$B$400,"actual",$C$2:$C$400,$C4,$E$2:$E$400,$E4,$I$2:$I$400,"&lt;&gt;disputed"),"")</f>
        <v>1</v>
      </c>
      <c r="N4" s="37" t="b">
        <f aca="false">IF($B4="required",COUNTIFS($B$2:$B$400,"actual",$C$2:$C$400,$C4,$E$2:$E$400,$E4,$I$2:$I$400,"&lt;&gt;disputed",$D$2:$D$400,$D4)&gt;0,"")</f>
        <v>1</v>
      </c>
      <c r="O4" s="34" t="n">
        <f aca="false">IF($B4="required",SUMIFS(Carriers!$M$2:$M$400,Carriers!$J$2:$J$400,$C4,Carriers!$K$2:$K$400,$E4),"")</f>
        <v>1</v>
      </c>
      <c r="P4" s="34" t="n">
        <f aca="false">IF($B4&lt;&gt;"required","",IF($O4=0,99,_xlfn.MINIFS(Carriers!$G$2:$G$400,Carriers!$J$2:$J$400,$C4,Carriers!$K$2:$K$400,$E4,Carriers!$M$2:$M$400,1)))</f>
        <v>1</v>
      </c>
      <c r="Q4" s="34" t="n">
        <f aca="false">IF($B4="required",INDEX(Lists!$B$2:$B$8,MATCH($G4,Lists!$A$2:$A$8,0)),"")</f>
        <v>2</v>
      </c>
      <c r="R4" s="37" t="b">
        <f aca="false">IF($B4&lt;&gt;"required","",IF($H4&lt;&gt;"sync",TRUE(),COUNTIFS(Carriers!$J$2:$J$400,$C4,Carriers!$K$2:$K$400,$E4,Carriers!$H$2:$H$400,"sync",Carriers!$M$2:$M$400,1)&gt;0))</f>
        <v>1</v>
      </c>
      <c r="S4" s="37" t="b">
        <f aca="false">IF($B4&lt;&gt;"required","",IF($F4&lt;5,FALSE(),IF($O4=0,FALSE(),COUNTIFS(Carriers!$J$2:$J$400,$C4,Carriers!$K$2:$K$400,$E4,Carriers!$M$2:$M$400,1,Carriers!$D$2:$D$400,"push")=0)))</f>
        <v>0</v>
      </c>
      <c r="T4" s="39" t="str">
        <f aca="false">IF($B4&lt;&gt;"required","",IF($M4=0,"missing",IF(NOT($N4),"wrong_producer",IF($P4&gt;$Q4,"latency_gap",IF(OR(NOT($R4),$S4),"channel_mismatch","covered")))))</f>
        <v>covered</v>
      </c>
      <c r="U4" s="34" t="n">
        <f aca="false">IF($B4&lt;&gt;"required","",ROUND($F4*INDEX(Lists!$E$2:$E$6,MATCH($T4,Lists!$D$2:$D$6,0)),1))</f>
        <v>0</v>
      </c>
      <c r="V4" s="34" t="n">
        <f aca="false">IF(AND($B4="required",$L4=GoalLens!$B$3),MAX($V$1:V3)+1,"")</f>
        <v>3</v>
      </c>
      <c r="W4" s="34" t="str">
        <f aca="false">IFERROR(INDEX(Stakeholders!$D$2:$D$50,MATCH($D4,Stakeholders!$A$2:$A$50,0)),"")</f>
        <v>Operations</v>
      </c>
      <c r="X4" s="34" t="str">
        <f aca="false">IFERROR(INDEX(Stakeholders!$D$2:$D$50,MATCH($E4,Stakeholders!$A$2:$A$50,0)),"")</f>
        <v>Quality</v>
      </c>
      <c r="Y4" s="34" t="str">
        <f aca="false">IF(OR($B4&lt;&gt;"required",$T4="covered",$T4=""),"",1+SUMPRODUCT(ISNUMBER($U$2:$U$400)*($T$2:$T$400&lt;&gt;"covered")*($T$2:$T$400&lt;&gt;"")*($U$2:$U$400&gt;$U4))+COUNTIFS($U$2:U4,$U4,$T$2:T4,"&lt;&gt;covered",$T$2:T4,"&lt;&gt;",$B$2:B4,"required")-1)</f>
        <v/>
      </c>
      <c r="Z4" s="34" t="str">
        <f aca="false">IF(AND($B4="required",$F4&gt;=4,$T4&lt;&gt;"missing",$T4&lt;&gt;"",$M4=1,COUNTIFS(Carriers!$J$2:$J$400,$C4,Carriers!$K$2:$K$400,$E4,Carriers!$M$2:$M$400,1,Carriers!$P$2:$P$400,"system_of_record")=0),MAX($Z$1:Z3)+1,"")</f>
        <v/>
      </c>
    </row>
    <row r="5" customFormat="false" ht="15" hidden="false" customHeight="true" outlineLevel="0" collapsed="false">
      <c r="A5" s="31" t="s">
        <v>370</v>
      </c>
      <c r="B5" s="31" t="s">
        <v>55</v>
      </c>
      <c r="C5" s="31" t="s">
        <v>132</v>
      </c>
      <c r="D5" s="31" t="s">
        <v>180</v>
      </c>
      <c r="E5" s="31" t="s">
        <v>106</v>
      </c>
      <c r="F5" s="31" t="n">
        <v>5</v>
      </c>
      <c r="G5" s="31" t="s">
        <v>221</v>
      </c>
      <c r="H5" s="31" t="s">
        <v>203</v>
      </c>
      <c r="I5" s="31"/>
      <c r="J5" s="31"/>
      <c r="K5" s="31" t="s">
        <v>371</v>
      </c>
      <c r="L5" s="34" t="str">
        <f aca="false">IFERROR(INDEX(Topics!$C$2:$C$100,MATCH($C5,Topics!$A$2:$A$100,0)),"")</f>
        <v>G1</v>
      </c>
      <c r="M5" s="34" t="n">
        <f aca="false">IF($B5="required",COUNTIFS($B$2:$B$400,"actual",$C$2:$C$400,$C5,$E$2:$E$400,$E5,$I$2:$I$400,"&lt;&gt;disputed"),"")</f>
        <v>0</v>
      </c>
      <c r="N5" s="37" t="b">
        <f aca="false">IF($B5="required",COUNTIFS($B$2:$B$400,"actual",$C$2:$C$400,$C5,$E$2:$E$400,$E5,$I$2:$I$400,"&lt;&gt;disputed",$D$2:$D$400,$D5)&gt;0,"")</f>
        <v>0</v>
      </c>
      <c r="O5" s="34" t="n">
        <f aca="false">IF($B5="required",SUMIFS(Carriers!$M$2:$M$400,Carriers!$J$2:$J$400,$C5,Carriers!$K$2:$K$400,$E5),"")</f>
        <v>0</v>
      </c>
      <c r="P5" s="34" t="n">
        <f aca="false">IF($B5&lt;&gt;"required","",IF($O5=0,99,_xlfn.MINIFS(Carriers!$G$2:$G$400,Carriers!$J$2:$J$400,$C5,Carriers!$K$2:$K$400,$E5,Carriers!$M$2:$M$400,1)))</f>
        <v>99</v>
      </c>
      <c r="Q5" s="34" t="n">
        <f aca="false">IF($B5="required",INDEX(Lists!$B$2:$B$8,MATCH($G5,Lists!$A$2:$A$8,0)),"")</f>
        <v>2</v>
      </c>
      <c r="R5" s="37" t="b">
        <f aca="false">IF($B5&lt;&gt;"required","",IF($H5&lt;&gt;"sync",TRUE(),COUNTIFS(Carriers!$J$2:$J$400,$C5,Carriers!$K$2:$K$400,$E5,Carriers!$H$2:$H$400,"sync",Carriers!$M$2:$M$400,1)&gt;0))</f>
        <v>1</v>
      </c>
      <c r="S5" s="37" t="b">
        <f aca="false">IF($B5&lt;&gt;"required","",IF($F5&lt;5,FALSE(),IF($O5=0,FALSE(),COUNTIFS(Carriers!$J$2:$J$400,$C5,Carriers!$K$2:$K$400,$E5,Carriers!$M$2:$M$400,1,Carriers!$D$2:$D$400,"push")=0)))</f>
        <v>0</v>
      </c>
      <c r="T5" s="39" t="str">
        <f aca="false">IF($B5&lt;&gt;"required","",IF($M5=0,"missing",IF(NOT($N5),"wrong_producer",IF($P5&gt;$Q5,"latency_gap",IF(OR(NOT($R5),$S5),"channel_mismatch","covered")))))</f>
        <v>missing</v>
      </c>
      <c r="U5" s="34" t="n">
        <f aca="false">IF($B5&lt;&gt;"required","",ROUND($F5*INDEX(Lists!$E$2:$E$6,MATCH($T5,Lists!$D$2:$D$6,0)),1))</f>
        <v>15</v>
      </c>
      <c r="V5" s="34" t="n">
        <f aca="false">IF(AND($B5="required",$L5=GoalLens!$B$3),MAX($V$1:V4)+1,"")</f>
        <v>4</v>
      </c>
      <c r="W5" s="34" t="str">
        <f aca="false">IFERROR(INDEX(Stakeholders!$D$2:$D$50,MATCH($D5,Stakeholders!$A$2:$A$50,0)),"")</f>
        <v>Engineering</v>
      </c>
      <c r="X5" s="34" t="str">
        <f aca="false">IFERROR(INDEX(Stakeholders!$D$2:$D$50,MATCH($E5,Stakeholders!$A$2:$A$50,0)),"")</f>
        <v>Quality</v>
      </c>
      <c r="Y5" s="34" t="n">
        <f aca="false">IF(OR($B5&lt;&gt;"required",$T5="covered",$T5=""),"",1+SUMPRODUCT(ISNUMBER($U$2:$U$400)*($T$2:$T$400&lt;&gt;"covered")*($T$2:$T$400&lt;&gt;"")*($U$2:$U$400&gt;$U5))+COUNTIFS($U$2:U5,$U5,$T$2:T5,"&lt;&gt;covered",$T$2:T5,"&lt;&gt;",$B$2:B5,"required")-1)</f>
        <v>1</v>
      </c>
      <c r="Z5" s="34" t="str">
        <f aca="false">IF(AND($B5="required",$F5&gt;=4,$T5&lt;&gt;"missing",$T5&lt;&gt;"",$M5=1,COUNTIFS(Carriers!$J$2:$J$400,$C5,Carriers!$K$2:$K$400,$E5,Carriers!$M$2:$M$400,1,Carriers!$P$2:$P$400,"system_of_record")=0),MAX($Z$1:Z4)+1,"")</f>
        <v/>
      </c>
    </row>
    <row r="6" customFormat="false" ht="15" hidden="false" customHeight="true" outlineLevel="0" collapsed="false">
      <c r="A6" s="31" t="s">
        <v>372</v>
      </c>
      <c r="B6" s="31" t="s">
        <v>55</v>
      </c>
      <c r="C6" s="31" t="s">
        <v>136</v>
      </c>
      <c r="D6" s="31" t="s">
        <v>106</v>
      </c>
      <c r="E6" s="31" t="s">
        <v>110</v>
      </c>
      <c r="F6" s="31" t="n">
        <v>3</v>
      </c>
      <c r="G6" s="31" t="s">
        <v>272</v>
      </c>
      <c r="H6" s="31" t="s">
        <v>364</v>
      </c>
      <c r="I6" s="31"/>
      <c r="J6" s="31"/>
      <c r="K6" s="31" t="s">
        <v>373</v>
      </c>
      <c r="L6" s="34" t="str">
        <f aca="false">IFERROR(INDEX(Topics!$C$2:$C$100,MATCH($C6,Topics!$A$2:$A$100,0)),"")</f>
        <v>G1</v>
      </c>
      <c r="M6" s="34" t="n">
        <f aca="false">IF($B6="required",COUNTIFS($B$2:$B$400,"actual",$C$2:$C$400,$C6,$E$2:$E$400,$E6,$I$2:$I$400,"&lt;&gt;disputed"),"")</f>
        <v>1</v>
      </c>
      <c r="N6" s="37" t="b">
        <f aca="false">IF($B6="required",COUNTIFS($B$2:$B$400,"actual",$C$2:$C$400,$C6,$E$2:$E$400,$E6,$I$2:$I$400,"&lt;&gt;disputed",$D$2:$D$400,$D6)&gt;0,"")</f>
        <v>1</v>
      </c>
      <c r="O6" s="34" t="n">
        <f aca="false">IF($B6="required",SUMIFS(Carriers!$M$2:$M$400,Carriers!$J$2:$J$400,$C6,Carriers!$K$2:$K$400,$E6),"")</f>
        <v>1</v>
      </c>
      <c r="P6" s="34" t="n">
        <f aca="false">IF($B6&lt;&gt;"required","",IF($O6=0,99,_xlfn.MINIFS(Carriers!$G$2:$G$400,Carriers!$J$2:$J$400,$C6,Carriers!$K$2:$K$400,$E6,Carriers!$M$2:$M$400,1)))</f>
        <v>4</v>
      </c>
      <c r="Q6" s="34" t="n">
        <f aca="false">IF($B6="required",INDEX(Lists!$B$2:$B$8,MATCH($G6,Lists!$A$2:$A$8,0)),"")</f>
        <v>4</v>
      </c>
      <c r="R6" s="37" t="b">
        <f aca="false">IF($B6&lt;&gt;"required","",IF($H6&lt;&gt;"sync",TRUE(),COUNTIFS(Carriers!$J$2:$J$400,$C6,Carriers!$K$2:$K$400,$E6,Carriers!$H$2:$H$400,"sync",Carriers!$M$2:$M$400,1)&gt;0))</f>
        <v>1</v>
      </c>
      <c r="S6" s="37" t="b">
        <f aca="false">IF($B6&lt;&gt;"required","",IF($F6&lt;5,FALSE(),IF($O6=0,FALSE(),COUNTIFS(Carriers!$J$2:$J$400,$C6,Carriers!$K$2:$K$400,$E6,Carriers!$M$2:$M$400,1,Carriers!$D$2:$D$400,"push")=0)))</f>
        <v>0</v>
      </c>
      <c r="T6" s="39" t="str">
        <f aca="false">IF($B6&lt;&gt;"required","",IF($M6=0,"missing",IF(NOT($N6),"wrong_producer",IF($P6&gt;$Q6,"latency_gap",IF(OR(NOT($R6),$S6),"channel_mismatch","covered")))))</f>
        <v>covered</v>
      </c>
      <c r="U6" s="34" t="n">
        <f aca="false">IF($B6&lt;&gt;"required","",ROUND($F6*INDEX(Lists!$E$2:$E$6,MATCH($T6,Lists!$D$2:$D$6,0)),1))</f>
        <v>0</v>
      </c>
      <c r="V6" s="34" t="n">
        <f aca="false">IF(AND($B6="required",$L6=GoalLens!$B$3),MAX($V$1:V5)+1,"")</f>
        <v>5</v>
      </c>
      <c r="W6" s="34" t="str">
        <f aca="false">IFERROR(INDEX(Stakeholders!$D$2:$D$50,MATCH($D6,Stakeholders!$A$2:$A$50,0)),"")</f>
        <v>Quality</v>
      </c>
      <c r="X6" s="34" t="str">
        <f aca="false">IFERROR(INDEX(Stakeholders!$D$2:$D$50,MATCH($E6,Stakeholders!$A$2:$A$50,0)),"")</f>
        <v>Supply Chain</v>
      </c>
      <c r="Y6" s="34" t="str">
        <f aca="false">IF(OR($B6&lt;&gt;"required",$T6="covered",$T6=""),"",1+SUMPRODUCT(ISNUMBER($U$2:$U$400)*($T$2:$T$400&lt;&gt;"covered")*($T$2:$T$400&lt;&gt;"")*($U$2:$U$400&gt;$U6))+COUNTIFS($U$2:U6,$U6,$T$2:T6,"&lt;&gt;covered",$T$2:T6,"&lt;&gt;",$B$2:B6,"required")-1)</f>
        <v/>
      </c>
      <c r="Z6" s="34" t="str">
        <f aca="false">IF(AND($B6="required",$F6&gt;=4,$T6&lt;&gt;"missing",$T6&lt;&gt;"",$M6=1,COUNTIFS(Carriers!$J$2:$J$400,$C6,Carriers!$K$2:$K$400,$E6,Carriers!$M$2:$M$400,1,Carriers!$P$2:$P$400,"system_of_record")=0),MAX($Z$1:Z5)+1,"")</f>
        <v/>
      </c>
    </row>
    <row r="7" customFormat="false" ht="15" hidden="false" customHeight="true" outlineLevel="0" collapsed="false">
      <c r="A7" s="31" t="s">
        <v>374</v>
      </c>
      <c r="B7" s="31" t="s">
        <v>55</v>
      </c>
      <c r="C7" s="31" t="s">
        <v>136</v>
      </c>
      <c r="D7" s="31" t="s">
        <v>106</v>
      </c>
      <c r="E7" s="31" t="s">
        <v>186</v>
      </c>
      <c r="F7" s="31" t="n">
        <v>4</v>
      </c>
      <c r="G7" s="31" t="s">
        <v>272</v>
      </c>
      <c r="H7" s="31" t="s">
        <v>364</v>
      </c>
      <c r="I7" s="31"/>
      <c r="J7" s="31"/>
      <c r="K7" s="31" t="s">
        <v>375</v>
      </c>
      <c r="L7" s="34" t="str">
        <f aca="false">IFERROR(INDEX(Topics!$C$2:$C$100,MATCH($C7,Topics!$A$2:$A$100,0)),"")</f>
        <v>G1</v>
      </c>
      <c r="M7" s="34" t="n">
        <f aca="false">IF($B7="required",COUNTIFS($B$2:$B$400,"actual",$C$2:$C$400,$C7,$E$2:$E$400,$E7,$I$2:$I$400,"&lt;&gt;disputed"),"")</f>
        <v>1</v>
      </c>
      <c r="N7" s="37" t="b">
        <f aca="false">IF($B7="required",COUNTIFS($B$2:$B$400,"actual",$C$2:$C$400,$C7,$E$2:$E$400,$E7,$I$2:$I$400,"&lt;&gt;disputed",$D$2:$D$400,$D7)&gt;0,"")</f>
        <v>1</v>
      </c>
      <c r="O7" s="34" t="n">
        <f aca="false">IF($B7="required",SUMIFS(Carriers!$M$2:$M$400,Carriers!$J$2:$J$400,$C7,Carriers!$K$2:$K$400,$E7),"")</f>
        <v>1</v>
      </c>
      <c r="P7" s="34" t="n">
        <f aca="false">IF($B7&lt;&gt;"required","",IF($O7=0,99,_xlfn.MINIFS(Carriers!$G$2:$G$400,Carriers!$J$2:$J$400,$C7,Carriers!$K$2:$K$400,$E7,Carriers!$M$2:$M$400,1)))</f>
        <v>4</v>
      </c>
      <c r="Q7" s="34" t="n">
        <f aca="false">IF($B7="required",INDEX(Lists!$B$2:$B$8,MATCH($G7,Lists!$A$2:$A$8,0)),"")</f>
        <v>4</v>
      </c>
      <c r="R7" s="37" t="b">
        <f aca="false">IF($B7&lt;&gt;"required","",IF($H7&lt;&gt;"sync",TRUE(),COUNTIFS(Carriers!$J$2:$J$400,$C7,Carriers!$K$2:$K$400,$E7,Carriers!$H$2:$H$400,"sync",Carriers!$M$2:$M$400,1)&gt;0))</f>
        <v>1</v>
      </c>
      <c r="S7" s="37" t="b">
        <f aca="false">IF($B7&lt;&gt;"required","",IF($F7&lt;5,FALSE(),IF($O7=0,FALSE(),COUNTIFS(Carriers!$J$2:$J$400,$C7,Carriers!$K$2:$K$400,$E7,Carriers!$M$2:$M$400,1,Carriers!$D$2:$D$400,"push")=0)))</f>
        <v>0</v>
      </c>
      <c r="T7" s="39" t="str">
        <f aca="false">IF($B7&lt;&gt;"required","",IF($M7=0,"missing",IF(NOT($N7),"wrong_producer",IF($P7&gt;$Q7,"latency_gap",IF(OR(NOT($R7),$S7),"channel_mismatch","covered")))))</f>
        <v>covered</v>
      </c>
      <c r="U7" s="34" t="n">
        <f aca="false">IF($B7&lt;&gt;"required","",ROUND($F7*INDEX(Lists!$E$2:$E$6,MATCH($T7,Lists!$D$2:$D$6,0)),1))</f>
        <v>0</v>
      </c>
      <c r="V7" s="34" t="n">
        <f aca="false">IF(AND($B7="required",$L7=GoalLens!$B$3),MAX($V$1:V6)+1,"")</f>
        <v>6</v>
      </c>
      <c r="W7" s="34" t="str">
        <f aca="false">IFERROR(INDEX(Stakeholders!$D$2:$D$50,MATCH($D7,Stakeholders!$A$2:$A$50,0)),"")</f>
        <v>Quality</v>
      </c>
      <c r="X7" s="34" t="str">
        <f aca="false">IFERROR(INDEX(Stakeholders!$D$2:$D$50,MATCH($E7,Stakeholders!$A$2:$A$50,0)),"")</f>
        <v>External</v>
      </c>
      <c r="Y7" s="34" t="str">
        <f aca="false">IF(OR($B7&lt;&gt;"required",$T7="covered",$T7=""),"",1+SUMPRODUCT(ISNUMBER($U$2:$U$400)*($T$2:$T$400&lt;&gt;"covered")*($T$2:$T$400&lt;&gt;"")*($U$2:$U$400&gt;$U7))+COUNTIFS($U$2:U7,$U7,$T$2:T7,"&lt;&gt;covered",$T$2:T7,"&lt;&gt;",$B$2:B7,"required")-1)</f>
        <v/>
      </c>
      <c r="Z7" s="34" t="n">
        <f aca="false">IF(AND($B7="required",$F7&gt;=4,$T7&lt;&gt;"missing",$T7&lt;&gt;"",$M7=1,COUNTIFS(Carriers!$J$2:$J$400,$C7,Carriers!$K$2:$K$400,$E7,Carriers!$M$2:$M$400,1,Carriers!$P$2:$P$400,"system_of_record")=0),MAX($Z$1:Z6)+1,"")</f>
        <v>1</v>
      </c>
    </row>
    <row r="8" customFormat="false" ht="15" hidden="false" customHeight="true" outlineLevel="0" collapsed="false">
      <c r="A8" s="31" t="s">
        <v>376</v>
      </c>
      <c r="B8" s="31" t="s">
        <v>55</v>
      </c>
      <c r="C8" s="31" t="s">
        <v>125</v>
      </c>
      <c r="D8" s="31" t="s">
        <v>169</v>
      </c>
      <c r="E8" s="31" t="s">
        <v>106</v>
      </c>
      <c r="F8" s="31" t="n">
        <v>4</v>
      </c>
      <c r="G8" s="31" t="s">
        <v>221</v>
      </c>
      <c r="H8" s="31" t="s">
        <v>364</v>
      </c>
      <c r="I8" s="31"/>
      <c r="J8" s="31"/>
      <c r="K8" s="31" t="s">
        <v>377</v>
      </c>
      <c r="L8" s="34" t="str">
        <f aca="false">IFERROR(INDEX(Topics!$C$2:$C$100,MATCH($C8,Topics!$A$2:$A$100,0)),"")</f>
        <v>G2</v>
      </c>
      <c r="M8" s="34" t="n">
        <f aca="false">IF($B8="required",COUNTIFS($B$2:$B$400,"actual",$C$2:$C$400,$C8,$E$2:$E$400,$E8,$I$2:$I$400,"&lt;&gt;disputed"),"")</f>
        <v>1</v>
      </c>
      <c r="N8" s="37" t="b">
        <f aca="false">IF($B8="required",COUNTIFS($B$2:$B$400,"actual",$C$2:$C$400,$C8,$E$2:$E$400,$E8,$I$2:$I$400,"&lt;&gt;disputed",$D$2:$D$400,$D8)&gt;0,"")</f>
        <v>1</v>
      </c>
      <c r="O8" s="34" t="n">
        <f aca="false">IF($B8="required",SUMIFS(Carriers!$M$2:$M$400,Carriers!$J$2:$J$400,$C8,Carriers!$K$2:$K$400,$E8),"")</f>
        <v>3</v>
      </c>
      <c r="P8" s="34" t="n">
        <f aca="false">IF($B8&lt;&gt;"required","",IF($O8=0,99,_xlfn.MINIFS(Carriers!$G$2:$G$400,Carriers!$J$2:$J$400,$C8,Carriers!$K$2:$K$400,$E8,Carriers!$M$2:$M$400,1)))</f>
        <v>0</v>
      </c>
      <c r="Q8" s="34" t="n">
        <f aca="false">IF($B8="required",INDEX(Lists!$B$2:$B$8,MATCH($G8,Lists!$A$2:$A$8,0)),"")</f>
        <v>2</v>
      </c>
      <c r="R8" s="37" t="b">
        <f aca="false">IF($B8&lt;&gt;"required","",IF($H8&lt;&gt;"sync",TRUE(),COUNTIFS(Carriers!$J$2:$J$400,$C8,Carriers!$K$2:$K$400,$E8,Carriers!$H$2:$H$400,"sync",Carriers!$M$2:$M$400,1)&gt;0))</f>
        <v>1</v>
      </c>
      <c r="S8" s="37" t="b">
        <f aca="false">IF($B8&lt;&gt;"required","",IF($F8&lt;5,FALSE(),IF($O8=0,FALSE(),COUNTIFS(Carriers!$J$2:$J$400,$C8,Carriers!$K$2:$K$400,$E8,Carriers!$M$2:$M$400,1,Carriers!$D$2:$D$400,"push")=0)))</f>
        <v>0</v>
      </c>
      <c r="T8" s="39" t="str">
        <f aca="false">IF($B8&lt;&gt;"required","",IF($M8=0,"missing",IF(NOT($N8),"wrong_producer",IF($P8&gt;$Q8,"latency_gap",IF(OR(NOT($R8),$S8),"channel_mismatch","covered")))))</f>
        <v>covered</v>
      </c>
      <c r="U8" s="34" t="n">
        <f aca="false">IF($B8&lt;&gt;"required","",ROUND($F8*INDEX(Lists!$E$2:$E$6,MATCH($T8,Lists!$D$2:$D$6,0)),1))</f>
        <v>0</v>
      </c>
      <c r="V8" s="34" t="str">
        <f aca="false">IF(AND($B8="required",$L8=GoalLens!$B$3),MAX($V$1:V7)+1,"")</f>
        <v/>
      </c>
      <c r="W8" s="34" t="str">
        <f aca="false">IFERROR(INDEX(Stakeholders!$D$2:$D$50,MATCH($D8,Stakeholders!$A$2:$A$50,0)),"")</f>
        <v>Quality</v>
      </c>
      <c r="X8" s="34" t="str">
        <f aca="false">IFERROR(INDEX(Stakeholders!$D$2:$D$50,MATCH($E8,Stakeholders!$A$2:$A$50,0)),"")</f>
        <v>Quality</v>
      </c>
      <c r="Y8" s="34" t="str">
        <f aca="false">IF(OR($B8&lt;&gt;"required",$T8="covered",$T8=""),"",1+SUMPRODUCT(ISNUMBER($U$2:$U$400)*($T$2:$T$400&lt;&gt;"covered")*($T$2:$T$400&lt;&gt;"")*($U$2:$U$400&gt;$U8))+COUNTIFS($U$2:U8,$U8,$T$2:T8,"&lt;&gt;covered",$T$2:T8,"&lt;&gt;",$B$2:B8,"required")-1)</f>
        <v/>
      </c>
      <c r="Z8" s="34" t="n">
        <f aca="false">IF(AND($B8="required",$F8&gt;=4,$T8&lt;&gt;"missing",$T8&lt;&gt;"",$M8=1,COUNTIFS(Carriers!$J$2:$J$400,$C8,Carriers!$K$2:$K$400,$E8,Carriers!$M$2:$M$400,1,Carriers!$P$2:$P$400,"system_of_record")=0),MAX($Z$1:Z7)+1,"")</f>
        <v>2</v>
      </c>
    </row>
    <row r="9" customFormat="false" ht="15" hidden="false" customHeight="true" outlineLevel="0" collapsed="false">
      <c r="A9" s="31" t="s">
        <v>378</v>
      </c>
      <c r="B9" s="31" t="s">
        <v>55</v>
      </c>
      <c r="C9" s="31" t="s">
        <v>125</v>
      </c>
      <c r="D9" s="31" t="s">
        <v>169</v>
      </c>
      <c r="E9" s="31" t="s">
        <v>110</v>
      </c>
      <c r="F9" s="31" t="n">
        <v>3</v>
      </c>
      <c r="G9" s="31" t="s">
        <v>221</v>
      </c>
      <c r="H9" s="31" t="s">
        <v>364</v>
      </c>
      <c r="I9" s="31"/>
      <c r="J9" s="31"/>
      <c r="K9" s="31" t="s">
        <v>379</v>
      </c>
      <c r="L9" s="34" t="str">
        <f aca="false">IFERROR(INDEX(Topics!$C$2:$C$100,MATCH($C9,Topics!$A$2:$A$100,0)),"")</f>
        <v>G2</v>
      </c>
      <c r="M9" s="34" t="n">
        <f aca="false">IF($B9="required",COUNTIFS($B$2:$B$400,"actual",$C$2:$C$400,$C9,$E$2:$E$400,$E9,$I$2:$I$400,"&lt;&gt;disputed"),"")</f>
        <v>1</v>
      </c>
      <c r="N9" s="37" t="b">
        <f aca="false">IF($B9="required",COUNTIFS($B$2:$B$400,"actual",$C$2:$C$400,$C9,$E$2:$E$400,$E9,$I$2:$I$400,"&lt;&gt;disputed",$D$2:$D$400,$D9)&gt;0,"")</f>
        <v>1</v>
      </c>
      <c r="O9" s="34" t="n">
        <f aca="false">IF($B9="required",SUMIFS(Carriers!$M$2:$M$400,Carriers!$J$2:$J$400,$C9,Carriers!$K$2:$K$400,$E9),"")</f>
        <v>1</v>
      </c>
      <c r="P9" s="34" t="n">
        <f aca="false">IF($B9&lt;&gt;"required","",IF($O9=0,99,_xlfn.MINIFS(Carriers!$G$2:$G$400,Carriers!$J$2:$J$400,$C9,Carriers!$K$2:$K$400,$E9,Carriers!$M$2:$M$400,1)))</f>
        <v>4</v>
      </c>
      <c r="Q9" s="34" t="n">
        <f aca="false">IF($B9="required",INDEX(Lists!$B$2:$B$8,MATCH($G9,Lists!$A$2:$A$8,0)),"")</f>
        <v>2</v>
      </c>
      <c r="R9" s="37" t="b">
        <f aca="false">IF($B9&lt;&gt;"required","",IF($H9&lt;&gt;"sync",TRUE(),COUNTIFS(Carriers!$J$2:$J$400,$C9,Carriers!$K$2:$K$400,$E9,Carriers!$H$2:$H$400,"sync",Carriers!$M$2:$M$400,1)&gt;0))</f>
        <v>1</v>
      </c>
      <c r="S9" s="37" t="b">
        <f aca="false">IF($B9&lt;&gt;"required","",IF($F9&lt;5,FALSE(),IF($O9=0,FALSE(),COUNTIFS(Carriers!$J$2:$J$400,$C9,Carriers!$K$2:$K$400,$E9,Carriers!$M$2:$M$400,1,Carriers!$D$2:$D$400,"push")=0)))</f>
        <v>0</v>
      </c>
      <c r="T9" s="39" t="str">
        <f aca="false">IF($B9&lt;&gt;"required","",IF($M9=0,"missing",IF(NOT($N9),"wrong_producer",IF($P9&gt;$Q9,"latency_gap",IF(OR(NOT($R9),$S9),"channel_mismatch","covered")))))</f>
        <v>latency_gap</v>
      </c>
      <c r="U9" s="34" t="n">
        <f aca="false">IF($B9&lt;&gt;"required","",ROUND($F9*INDEX(Lists!$E$2:$E$6,MATCH($T9,Lists!$D$2:$D$6,0)),1))</f>
        <v>6</v>
      </c>
      <c r="V9" s="34" t="str">
        <f aca="false">IF(AND($B9="required",$L9=GoalLens!$B$3),MAX($V$1:V8)+1,"")</f>
        <v/>
      </c>
      <c r="W9" s="34" t="str">
        <f aca="false">IFERROR(INDEX(Stakeholders!$D$2:$D$50,MATCH($D9,Stakeholders!$A$2:$A$50,0)),"")</f>
        <v>Quality</v>
      </c>
      <c r="X9" s="34" t="str">
        <f aca="false">IFERROR(INDEX(Stakeholders!$D$2:$D$50,MATCH($E9,Stakeholders!$A$2:$A$50,0)),"")</f>
        <v>Supply Chain</v>
      </c>
      <c r="Y9" s="34" t="n">
        <f aca="false">IF(OR($B9&lt;&gt;"required",$T9="covered",$T9=""),"",1+SUMPRODUCT(ISNUMBER($U$2:$U$400)*($T$2:$T$400&lt;&gt;"covered")*($T$2:$T$400&lt;&gt;"")*($U$2:$U$400&gt;$U9))+COUNTIFS($U$2:U9,$U9,$T$2:T9,"&lt;&gt;covered",$T$2:T9,"&lt;&gt;",$B$2:B9,"required")-1)</f>
        <v>6</v>
      </c>
      <c r="Z9" s="34" t="str">
        <f aca="false">IF(AND($B9="required",$F9&gt;=4,$T9&lt;&gt;"missing",$T9&lt;&gt;"",$M9=1,COUNTIFS(Carriers!$J$2:$J$400,$C9,Carriers!$K$2:$K$400,$E9,Carriers!$M$2:$M$400,1,Carriers!$P$2:$P$400,"system_of_record")=0),MAX($Z$1:Z8)+1,"")</f>
        <v/>
      </c>
    </row>
    <row r="10" customFormat="false" ht="15" hidden="false" customHeight="true" outlineLevel="0" collapsed="false">
      <c r="A10" s="31" t="s">
        <v>380</v>
      </c>
      <c r="B10" s="31" t="s">
        <v>55</v>
      </c>
      <c r="C10" s="31" t="s">
        <v>129</v>
      </c>
      <c r="D10" s="31" t="s">
        <v>186</v>
      </c>
      <c r="E10" s="31" t="s">
        <v>106</v>
      </c>
      <c r="F10" s="31" t="n">
        <v>4</v>
      </c>
      <c r="G10" s="31" t="s">
        <v>221</v>
      </c>
      <c r="H10" s="31" t="s">
        <v>364</v>
      </c>
      <c r="I10" s="31"/>
      <c r="J10" s="31"/>
      <c r="K10" s="31" t="s">
        <v>381</v>
      </c>
      <c r="L10" s="34" t="str">
        <f aca="false">IFERROR(INDEX(Topics!$C$2:$C$100,MATCH($C10,Topics!$A$2:$A$100,0)),"")</f>
        <v>G2</v>
      </c>
      <c r="M10" s="34" t="n">
        <f aca="false">IF($B10="required",COUNTIFS($B$2:$B$400,"actual",$C$2:$C$400,$C10,$E$2:$E$400,$E10,$I$2:$I$400,"&lt;&gt;disputed"),"")</f>
        <v>1</v>
      </c>
      <c r="N10" s="37" t="b">
        <f aca="false">IF($B10="required",COUNTIFS($B$2:$B$400,"actual",$C$2:$C$400,$C10,$E$2:$E$400,$E10,$I$2:$I$400,"&lt;&gt;disputed",$D$2:$D$400,$D10)&gt;0,"")</f>
        <v>1</v>
      </c>
      <c r="O10" s="34" t="n">
        <f aca="false">IF($B10="required",SUMIFS(Carriers!$M$2:$M$400,Carriers!$J$2:$J$400,$C10,Carriers!$K$2:$K$400,$E10),"")</f>
        <v>1</v>
      </c>
      <c r="P10" s="34" t="n">
        <f aca="false">IF($B10&lt;&gt;"required","",IF($O10=0,99,_xlfn.MINIFS(Carriers!$G$2:$G$400,Carriers!$J$2:$J$400,$C10,Carriers!$K$2:$K$400,$E10,Carriers!$M$2:$M$400,1)))</f>
        <v>0</v>
      </c>
      <c r="Q10" s="34" t="n">
        <f aca="false">IF($B10="required",INDEX(Lists!$B$2:$B$8,MATCH($G10,Lists!$A$2:$A$8,0)),"")</f>
        <v>2</v>
      </c>
      <c r="R10" s="37" t="b">
        <f aca="false">IF($B10&lt;&gt;"required","",IF($H10&lt;&gt;"sync",TRUE(),COUNTIFS(Carriers!$J$2:$J$400,$C10,Carriers!$K$2:$K$400,$E10,Carriers!$H$2:$H$400,"sync",Carriers!$M$2:$M$400,1)&gt;0))</f>
        <v>1</v>
      </c>
      <c r="S10" s="37" t="b">
        <f aca="false">IF($B10&lt;&gt;"required","",IF($F10&lt;5,FALSE(),IF($O10=0,FALSE(),COUNTIFS(Carriers!$J$2:$J$400,$C10,Carriers!$K$2:$K$400,$E10,Carriers!$M$2:$M$400,1,Carriers!$D$2:$D$400,"push")=0)))</f>
        <v>0</v>
      </c>
      <c r="T10" s="39" t="str">
        <f aca="false">IF($B10&lt;&gt;"required","",IF($M10=0,"missing",IF(NOT($N10),"wrong_producer",IF($P10&gt;$Q10,"latency_gap",IF(OR(NOT($R10),$S10),"channel_mismatch","covered")))))</f>
        <v>covered</v>
      </c>
      <c r="U10" s="34" t="n">
        <f aca="false">IF($B10&lt;&gt;"required","",ROUND($F10*INDEX(Lists!$E$2:$E$6,MATCH($T10,Lists!$D$2:$D$6,0)),1))</f>
        <v>0</v>
      </c>
      <c r="V10" s="34" t="str">
        <f aca="false">IF(AND($B10="required",$L10=GoalLens!$B$3),MAX($V$1:V9)+1,"")</f>
        <v/>
      </c>
      <c r="W10" s="34" t="str">
        <f aca="false">IFERROR(INDEX(Stakeholders!$D$2:$D$50,MATCH($D10,Stakeholders!$A$2:$A$50,0)),"")</f>
        <v>External</v>
      </c>
      <c r="X10" s="34" t="str">
        <f aca="false">IFERROR(INDEX(Stakeholders!$D$2:$D$50,MATCH($E10,Stakeholders!$A$2:$A$50,0)),"")</f>
        <v>Quality</v>
      </c>
      <c r="Y10" s="34" t="str">
        <f aca="false">IF(OR($B10&lt;&gt;"required",$T10="covered",$T10=""),"",1+SUMPRODUCT(ISNUMBER($U$2:$U$400)*($T$2:$T$400&lt;&gt;"covered")*($T$2:$T$400&lt;&gt;"")*($U$2:$U$400&gt;$U10))+COUNTIFS($U$2:U10,$U10,$T$2:T10,"&lt;&gt;covered",$T$2:T10,"&lt;&gt;",$B$2:B10,"required")-1)</f>
        <v/>
      </c>
      <c r="Z10" s="34" t="n">
        <f aca="false">IF(AND($B10="required",$F10&gt;=4,$T10&lt;&gt;"missing",$T10&lt;&gt;"",$M10=1,COUNTIFS(Carriers!$J$2:$J$400,$C10,Carriers!$K$2:$K$400,$E10,Carriers!$M$2:$M$400,1,Carriers!$P$2:$P$400,"system_of_record")=0),MAX($Z$1:Z9)+1,"")</f>
        <v>3</v>
      </c>
    </row>
    <row r="11" customFormat="false" ht="15" hidden="false" customHeight="true" outlineLevel="0" collapsed="false">
      <c r="A11" s="31" t="s">
        <v>382</v>
      </c>
      <c r="B11" s="31" t="s">
        <v>55</v>
      </c>
      <c r="C11" s="31" t="s">
        <v>148</v>
      </c>
      <c r="D11" s="31" t="s">
        <v>106</v>
      </c>
      <c r="E11" s="31" t="s">
        <v>177</v>
      </c>
      <c r="F11" s="31" t="n">
        <v>5</v>
      </c>
      <c r="G11" s="31" t="s">
        <v>217</v>
      </c>
      <c r="H11" s="31" t="s">
        <v>225</v>
      </c>
      <c r="I11" s="31"/>
      <c r="J11" s="31"/>
      <c r="K11" s="31" t="s">
        <v>383</v>
      </c>
      <c r="L11" s="34" t="str">
        <f aca="false">IFERROR(INDEX(Topics!$C$2:$C$100,MATCH($C11,Topics!$A$2:$A$100,0)),"")</f>
        <v>G2</v>
      </c>
      <c r="M11" s="34" t="n">
        <f aca="false">IF($B11="required",COUNTIFS($B$2:$B$400,"actual",$C$2:$C$400,$C11,$E$2:$E$400,$E11,$I$2:$I$400,"&lt;&gt;disputed"),"")</f>
        <v>1</v>
      </c>
      <c r="N11" s="37" t="b">
        <f aca="false">IF($B11="required",COUNTIFS($B$2:$B$400,"actual",$C$2:$C$400,$C11,$E$2:$E$400,$E11,$I$2:$I$400,"&lt;&gt;disputed",$D$2:$D$400,$D11)&gt;0,"")</f>
        <v>1</v>
      </c>
      <c r="O11" s="34" t="n">
        <f aca="false">IF($B11="required",SUMIFS(Carriers!$M$2:$M$400,Carriers!$J$2:$J$400,$C11,Carriers!$K$2:$K$400,$E11),"")</f>
        <v>1</v>
      </c>
      <c r="P11" s="34" t="n">
        <f aca="false">IF($B11&lt;&gt;"required","",IF($O11=0,99,_xlfn.MINIFS(Carriers!$G$2:$G$400,Carriers!$J$2:$J$400,$C11,Carriers!$K$2:$K$400,$E11,Carriers!$M$2:$M$400,1)))</f>
        <v>2</v>
      </c>
      <c r="Q11" s="34" t="n">
        <f aca="false">IF($B11="required",INDEX(Lists!$B$2:$B$8,MATCH($G11,Lists!$A$2:$A$8,0)),"")</f>
        <v>1</v>
      </c>
      <c r="R11" s="37" t="b">
        <f aca="false">IF($B11&lt;&gt;"required","",IF($H11&lt;&gt;"sync",TRUE(),COUNTIFS(Carriers!$J$2:$J$400,$C11,Carriers!$K$2:$K$400,$E11,Carriers!$H$2:$H$400,"sync",Carriers!$M$2:$M$400,1)&gt;0))</f>
        <v>1</v>
      </c>
      <c r="S11" s="37" t="b">
        <f aca="false">IF($B11&lt;&gt;"required","",IF($F11&lt;5,FALSE(),IF($O11=0,FALSE(),COUNTIFS(Carriers!$J$2:$J$400,$C11,Carriers!$K$2:$K$400,$E11,Carriers!$M$2:$M$400,1,Carriers!$D$2:$D$400,"push")=0)))</f>
        <v>0</v>
      </c>
      <c r="T11" s="39" t="str">
        <f aca="false">IF($B11&lt;&gt;"required","",IF($M11=0,"missing",IF(NOT($N11),"wrong_producer",IF($P11&gt;$Q11,"latency_gap",IF(OR(NOT($R11),$S11),"channel_mismatch","covered")))))</f>
        <v>latency_gap</v>
      </c>
      <c r="U11" s="34" t="n">
        <f aca="false">IF($B11&lt;&gt;"required","",ROUND($F11*INDEX(Lists!$E$2:$E$6,MATCH($T11,Lists!$D$2:$D$6,0)),1))</f>
        <v>10</v>
      </c>
      <c r="V11" s="34" t="str">
        <f aca="false">IF(AND($B11="required",$L11=GoalLens!$B$3),MAX($V$1:V10)+1,"")</f>
        <v/>
      </c>
      <c r="W11" s="34" t="str">
        <f aca="false">IFERROR(INDEX(Stakeholders!$D$2:$D$50,MATCH($D11,Stakeholders!$A$2:$A$50,0)),"")</f>
        <v>Quality</v>
      </c>
      <c r="X11" s="34" t="str">
        <f aca="false">IFERROR(INDEX(Stakeholders!$D$2:$D$50,MATCH($E11,Stakeholders!$A$2:$A$50,0)),"")</f>
        <v>Operations</v>
      </c>
      <c r="Y11" s="34" t="n">
        <f aca="false">IF(OR($B11&lt;&gt;"required",$T11="covered",$T11=""),"",1+SUMPRODUCT(ISNUMBER($U$2:$U$400)*($T$2:$T$400&lt;&gt;"covered")*($T$2:$T$400&lt;&gt;"")*($U$2:$U$400&gt;$U11))+COUNTIFS($U$2:U11,$U11,$T$2:T11,"&lt;&gt;covered",$T$2:T11,"&lt;&gt;",$B$2:B11,"required")-1)</f>
        <v>2</v>
      </c>
      <c r="Z11" s="34" t="n">
        <f aca="false">IF(AND($B11="required",$F11&gt;=4,$T11&lt;&gt;"missing",$T11&lt;&gt;"",$M11=1,COUNTIFS(Carriers!$J$2:$J$400,$C11,Carriers!$K$2:$K$400,$E11,Carriers!$M$2:$M$400,1,Carriers!$P$2:$P$400,"system_of_record")=0),MAX($Z$1:Z10)+1,"")</f>
        <v>4</v>
      </c>
    </row>
    <row r="12" customFormat="false" ht="15" hidden="false" customHeight="true" outlineLevel="0" collapsed="false">
      <c r="A12" s="31" t="s">
        <v>384</v>
      </c>
      <c r="B12" s="31" t="s">
        <v>55</v>
      </c>
      <c r="C12" s="31" t="s">
        <v>148</v>
      </c>
      <c r="D12" s="31" t="s">
        <v>106</v>
      </c>
      <c r="E12" s="31" t="s">
        <v>174</v>
      </c>
      <c r="F12" s="31" t="n">
        <v>5</v>
      </c>
      <c r="G12" s="31" t="s">
        <v>217</v>
      </c>
      <c r="H12" s="31" t="s">
        <v>225</v>
      </c>
      <c r="I12" s="31"/>
      <c r="J12" s="31"/>
      <c r="K12" s="31" t="s">
        <v>385</v>
      </c>
      <c r="L12" s="34" t="str">
        <f aca="false">IFERROR(INDEX(Topics!$C$2:$C$100,MATCH($C12,Topics!$A$2:$A$100,0)),"")</f>
        <v>G2</v>
      </c>
      <c r="M12" s="34" t="n">
        <f aca="false">IF($B12="required",COUNTIFS($B$2:$B$400,"actual",$C$2:$C$400,$C12,$E$2:$E$400,$E12,$I$2:$I$400,"&lt;&gt;disputed"),"")</f>
        <v>1</v>
      </c>
      <c r="N12" s="37" t="b">
        <f aca="false">IF($B12="required",COUNTIFS($B$2:$B$400,"actual",$C$2:$C$400,$C12,$E$2:$E$400,$E12,$I$2:$I$400,"&lt;&gt;disputed",$D$2:$D$400,$D12)&gt;0,"")</f>
        <v>1</v>
      </c>
      <c r="O12" s="34" t="n">
        <f aca="false">IF($B12="required",SUMIFS(Carriers!$M$2:$M$400,Carriers!$J$2:$J$400,$C12,Carriers!$K$2:$K$400,$E12),"")</f>
        <v>1</v>
      </c>
      <c r="P12" s="34" t="n">
        <f aca="false">IF($B12&lt;&gt;"required","",IF($O12=0,99,_xlfn.MINIFS(Carriers!$G$2:$G$400,Carriers!$J$2:$J$400,$C12,Carriers!$K$2:$K$400,$E12,Carriers!$M$2:$M$400,1)))</f>
        <v>0</v>
      </c>
      <c r="Q12" s="34" t="n">
        <f aca="false">IF($B12="required",INDEX(Lists!$B$2:$B$8,MATCH($G12,Lists!$A$2:$A$8,0)),"")</f>
        <v>1</v>
      </c>
      <c r="R12" s="37" t="b">
        <f aca="false">IF($B12&lt;&gt;"required","",IF($H12&lt;&gt;"sync",TRUE(),COUNTIFS(Carriers!$J$2:$J$400,$C12,Carriers!$K$2:$K$400,$E12,Carriers!$H$2:$H$400,"sync",Carriers!$M$2:$M$400,1)&gt;0))</f>
        <v>0</v>
      </c>
      <c r="S12" s="37" t="b">
        <f aca="false">IF($B12&lt;&gt;"required","",IF($F12&lt;5,FALSE(),IF($O12=0,FALSE(),COUNTIFS(Carriers!$J$2:$J$400,$C12,Carriers!$K$2:$K$400,$E12,Carriers!$M$2:$M$400,1,Carriers!$D$2:$D$400,"push")=0)))</f>
        <v>0</v>
      </c>
      <c r="T12" s="39" t="str">
        <f aca="false">IF($B12&lt;&gt;"required","",IF($M12=0,"missing",IF(NOT($N12),"wrong_producer",IF($P12&gt;$Q12,"latency_gap",IF(OR(NOT($R12),$S12),"channel_mismatch","covered")))))</f>
        <v>channel_mismatch</v>
      </c>
      <c r="U12" s="34" t="n">
        <f aca="false">IF($B12&lt;&gt;"required","",ROUND($F12*INDEX(Lists!$E$2:$E$6,MATCH($T12,Lists!$D$2:$D$6,0)),1))</f>
        <v>7.5</v>
      </c>
      <c r="V12" s="34" t="str">
        <f aca="false">IF(AND($B12="required",$L12=GoalLens!$B$3),MAX($V$1:V11)+1,"")</f>
        <v/>
      </c>
      <c r="W12" s="34" t="str">
        <f aca="false">IFERROR(INDEX(Stakeholders!$D$2:$D$50,MATCH($D12,Stakeholders!$A$2:$A$50,0)),"")</f>
        <v>Quality</v>
      </c>
      <c r="X12" s="34" t="str">
        <f aca="false">IFERROR(INDEX(Stakeholders!$D$2:$D$50,MATCH($E12,Stakeholders!$A$2:$A$50,0)),"")</f>
        <v>Quality</v>
      </c>
      <c r="Y12" s="34" t="n">
        <f aca="false">IF(OR($B12&lt;&gt;"required",$T12="covered",$T12=""),"",1+SUMPRODUCT(ISNUMBER($U$2:$U$400)*($T$2:$T$400&lt;&gt;"covered")*($T$2:$T$400&lt;&gt;"")*($U$2:$U$400&gt;$U12))+COUNTIFS($U$2:U12,$U12,$T$2:T12,"&lt;&gt;covered",$T$2:T12,"&lt;&gt;",$B$2:B12,"required")-1)</f>
        <v>4</v>
      </c>
      <c r="Z12" s="34" t="n">
        <f aca="false">IF(AND($B12="required",$F12&gt;=4,$T12&lt;&gt;"missing",$T12&lt;&gt;"",$M12=1,COUNTIFS(Carriers!$J$2:$J$400,$C12,Carriers!$K$2:$K$400,$E12,Carriers!$M$2:$M$400,1,Carriers!$P$2:$P$400,"system_of_record")=0),MAX($Z$1:Z11)+1,"")</f>
        <v>5</v>
      </c>
    </row>
    <row r="13" customFormat="false" ht="15" hidden="false" customHeight="true" outlineLevel="0" collapsed="false">
      <c r="A13" s="31" t="s">
        <v>386</v>
      </c>
      <c r="B13" s="31" t="s">
        <v>55</v>
      </c>
      <c r="C13" s="31" t="s">
        <v>140</v>
      </c>
      <c r="D13" s="31" t="s">
        <v>169</v>
      </c>
      <c r="E13" s="31" t="s">
        <v>110</v>
      </c>
      <c r="F13" s="31" t="n">
        <v>3</v>
      </c>
      <c r="G13" s="31" t="s">
        <v>302</v>
      </c>
      <c r="H13" s="31" t="s">
        <v>364</v>
      </c>
      <c r="I13" s="31"/>
      <c r="J13" s="31"/>
      <c r="K13" s="31" t="s">
        <v>387</v>
      </c>
      <c r="L13" s="34" t="str">
        <f aca="false">IFERROR(INDEX(Topics!$C$2:$C$100,MATCH($C13,Topics!$A$2:$A$100,0)),"")</f>
        <v>G3</v>
      </c>
      <c r="M13" s="34" t="n">
        <f aca="false">IF($B13="required",COUNTIFS($B$2:$B$400,"actual",$C$2:$C$400,$C13,$E$2:$E$400,$E13,$I$2:$I$400,"&lt;&gt;disputed"),"")</f>
        <v>1</v>
      </c>
      <c r="N13" s="37" t="b">
        <f aca="false">IF($B13="required",COUNTIFS($B$2:$B$400,"actual",$C$2:$C$400,$C13,$E$2:$E$400,$E13,$I$2:$I$400,"&lt;&gt;disputed",$D$2:$D$400,$D13)&gt;0,"")</f>
        <v>1</v>
      </c>
      <c r="O13" s="34" t="n">
        <f aca="false">IF($B13="required",SUMIFS(Carriers!$M$2:$M$400,Carriers!$J$2:$J$400,$C13,Carriers!$K$2:$K$400,$E13),"")</f>
        <v>1</v>
      </c>
      <c r="P13" s="34" t="n">
        <f aca="false">IF($B13&lt;&gt;"required","",IF($O13=0,99,_xlfn.MINIFS(Carriers!$G$2:$G$400,Carriers!$J$2:$J$400,$C13,Carriers!$K$2:$K$400,$E13,Carriers!$M$2:$M$400,1)))</f>
        <v>0</v>
      </c>
      <c r="Q13" s="34" t="n">
        <f aca="false">IF($B13="required",INDEX(Lists!$B$2:$B$8,MATCH($G13,Lists!$A$2:$A$8,0)),"")</f>
        <v>3</v>
      </c>
      <c r="R13" s="37" t="b">
        <f aca="false">IF($B13&lt;&gt;"required","",IF($H13&lt;&gt;"sync",TRUE(),COUNTIFS(Carriers!$J$2:$J$400,$C13,Carriers!$K$2:$K$400,$E13,Carriers!$H$2:$H$400,"sync",Carriers!$M$2:$M$400,1)&gt;0))</f>
        <v>1</v>
      </c>
      <c r="S13" s="37" t="b">
        <f aca="false">IF($B13&lt;&gt;"required","",IF($F13&lt;5,FALSE(),IF($O13=0,FALSE(),COUNTIFS(Carriers!$J$2:$J$400,$C13,Carriers!$K$2:$K$400,$E13,Carriers!$M$2:$M$400,1,Carriers!$D$2:$D$400,"push")=0)))</f>
        <v>0</v>
      </c>
      <c r="T13" s="39" t="str">
        <f aca="false">IF($B13&lt;&gt;"required","",IF($M13=0,"missing",IF(NOT($N13),"wrong_producer",IF($P13&gt;$Q13,"latency_gap",IF(OR(NOT($R13),$S13),"channel_mismatch","covered")))))</f>
        <v>covered</v>
      </c>
      <c r="U13" s="34" t="n">
        <f aca="false">IF($B13&lt;&gt;"required","",ROUND($F13*INDEX(Lists!$E$2:$E$6,MATCH($T13,Lists!$D$2:$D$6,0)),1))</f>
        <v>0</v>
      </c>
      <c r="V13" s="34" t="str">
        <f aca="false">IF(AND($B13="required",$L13=GoalLens!$B$3),MAX($V$1:V12)+1,"")</f>
        <v/>
      </c>
      <c r="W13" s="34" t="str">
        <f aca="false">IFERROR(INDEX(Stakeholders!$D$2:$D$50,MATCH($D13,Stakeholders!$A$2:$A$50,0)),"")</f>
        <v>Quality</v>
      </c>
      <c r="X13" s="34" t="str">
        <f aca="false">IFERROR(INDEX(Stakeholders!$D$2:$D$50,MATCH($E13,Stakeholders!$A$2:$A$50,0)),"")</f>
        <v>Supply Chain</v>
      </c>
      <c r="Y13" s="34" t="str">
        <f aca="false">IF(OR($B13&lt;&gt;"required",$T13="covered",$T13=""),"",1+SUMPRODUCT(ISNUMBER($U$2:$U$400)*($T$2:$T$400&lt;&gt;"covered")*($T$2:$T$400&lt;&gt;"")*($U$2:$U$400&gt;$U13))+COUNTIFS($U$2:U13,$U13,$T$2:T13,"&lt;&gt;covered",$T$2:T13,"&lt;&gt;",$B$2:B13,"required")-1)</f>
        <v/>
      </c>
      <c r="Z13" s="34" t="str">
        <f aca="false">IF(AND($B13="required",$F13&gt;=4,$T13&lt;&gt;"missing",$T13&lt;&gt;"",$M13=1,COUNTIFS(Carriers!$J$2:$J$400,$C13,Carriers!$K$2:$K$400,$E13,Carriers!$M$2:$M$400,1,Carriers!$P$2:$P$400,"system_of_record")=0),MAX($Z$1:Z12)+1,"")</f>
        <v/>
      </c>
    </row>
    <row r="14" customFormat="false" ht="15" hidden="false" customHeight="true" outlineLevel="0" collapsed="false">
      <c r="A14" s="31" t="s">
        <v>388</v>
      </c>
      <c r="B14" s="31" t="s">
        <v>55</v>
      </c>
      <c r="C14" s="31" t="s">
        <v>140</v>
      </c>
      <c r="D14" s="31" t="s">
        <v>110</v>
      </c>
      <c r="E14" s="31" t="s">
        <v>183</v>
      </c>
      <c r="F14" s="31" t="n">
        <v>2</v>
      </c>
      <c r="G14" s="31" t="s">
        <v>272</v>
      </c>
      <c r="H14" s="31" t="s">
        <v>364</v>
      </c>
      <c r="I14" s="31"/>
      <c r="J14" s="31"/>
      <c r="K14" s="31" t="s">
        <v>389</v>
      </c>
      <c r="L14" s="34" t="str">
        <f aca="false">IFERROR(INDEX(Topics!$C$2:$C$100,MATCH($C14,Topics!$A$2:$A$100,0)),"")</f>
        <v>G3</v>
      </c>
      <c r="M14" s="34" t="n">
        <f aca="false">IF($B14="required",COUNTIFS($B$2:$B$400,"actual",$C$2:$C$400,$C14,$E$2:$E$400,$E14,$I$2:$I$400,"&lt;&gt;disputed"),"")</f>
        <v>1</v>
      </c>
      <c r="N14" s="37" t="b">
        <f aca="false">IF($B14="required",COUNTIFS($B$2:$B$400,"actual",$C$2:$C$400,$C14,$E$2:$E$400,$E14,$I$2:$I$400,"&lt;&gt;disputed",$D$2:$D$400,$D14)&gt;0,"")</f>
        <v>1</v>
      </c>
      <c r="O14" s="34" t="n">
        <f aca="false">IF($B14="required",SUMIFS(Carriers!$M$2:$M$400,Carriers!$J$2:$J$400,$C14,Carriers!$K$2:$K$400,$E14),"")</f>
        <v>1</v>
      </c>
      <c r="P14" s="34" t="n">
        <f aca="false">IF($B14&lt;&gt;"required","",IF($O14=0,99,_xlfn.MINIFS(Carriers!$G$2:$G$400,Carriers!$J$2:$J$400,$C14,Carriers!$K$2:$K$400,$E14,Carriers!$M$2:$M$400,1)))</f>
        <v>4</v>
      </c>
      <c r="Q14" s="34" t="n">
        <f aca="false">IF($B14="required",INDEX(Lists!$B$2:$B$8,MATCH($G14,Lists!$A$2:$A$8,0)),"")</f>
        <v>4</v>
      </c>
      <c r="R14" s="37" t="b">
        <f aca="false">IF($B14&lt;&gt;"required","",IF($H14&lt;&gt;"sync",TRUE(),COUNTIFS(Carriers!$J$2:$J$400,$C14,Carriers!$K$2:$K$400,$E14,Carriers!$H$2:$H$400,"sync",Carriers!$M$2:$M$400,1)&gt;0))</f>
        <v>1</v>
      </c>
      <c r="S14" s="37" t="b">
        <f aca="false">IF($B14&lt;&gt;"required","",IF($F14&lt;5,FALSE(),IF($O14=0,FALSE(),COUNTIFS(Carriers!$J$2:$J$400,$C14,Carriers!$K$2:$K$400,$E14,Carriers!$M$2:$M$400,1,Carriers!$D$2:$D$400,"push")=0)))</f>
        <v>0</v>
      </c>
      <c r="T14" s="39" t="str">
        <f aca="false">IF($B14&lt;&gt;"required","",IF($M14=0,"missing",IF(NOT($N14),"wrong_producer",IF($P14&gt;$Q14,"latency_gap",IF(OR(NOT($R14),$S14),"channel_mismatch","covered")))))</f>
        <v>covered</v>
      </c>
      <c r="U14" s="34" t="n">
        <f aca="false">IF($B14&lt;&gt;"required","",ROUND($F14*INDEX(Lists!$E$2:$E$6,MATCH($T14,Lists!$D$2:$D$6,0)),1))</f>
        <v>0</v>
      </c>
      <c r="V14" s="34" t="str">
        <f aca="false">IF(AND($B14="required",$L14=GoalLens!$B$3),MAX($V$1:V13)+1,"")</f>
        <v/>
      </c>
      <c r="W14" s="34" t="str">
        <f aca="false">IFERROR(INDEX(Stakeholders!$D$2:$D$50,MATCH($D14,Stakeholders!$A$2:$A$50,0)),"")</f>
        <v>Supply Chain</v>
      </c>
      <c r="X14" s="34" t="str">
        <f aca="false">IFERROR(INDEX(Stakeholders!$D$2:$D$50,MATCH($E14,Stakeholders!$A$2:$A$50,0)),"")</f>
        <v>Operations</v>
      </c>
      <c r="Y14" s="34" t="str">
        <f aca="false">IF(OR($B14&lt;&gt;"required",$T14="covered",$T14=""),"",1+SUMPRODUCT(ISNUMBER($U$2:$U$400)*($T$2:$T$400&lt;&gt;"covered")*($T$2:$T$400&lt;&gt;"")*($U$2:$U$400&gt;$U14))+COUNTIFS($U$2:U14,$U14,$T$2:T14,"&lt;&gt;covered",$T$2:T14,"&lt;&gt;",$B$2:B14,"required")-1)</f>
        <v/>
      </c>
      <c r="Z14" s="34" t="str">
        <f aca="false">IF(AND($B14="required",$F14&gt;=4,$T14&lt;&gt;"missing",$T14&lt;&gt;"",$M14=1,COUNTIFS(Carriers!$J$2:$J$400,$C14,Carriers!$K$2:$K$400,$E14,Carriers!$M$2:$M$400,1,Carriers!$P$2:$P$400,"system_of_record")=0),MAX($Z$1:Z13)+1,"")</f>
        <v/>
      </c>
    </row>
    <row r="15" customFormat="false" ht="15" hidden="false" customHeight="true" outlineLevel="0" collapsed="false">
      <c r="A15" s="31" t="s">
        <v>390</v>
      </c>
      <c r="B15" s="31" t="s">
        <v>55</v>
      </c>
      <c r="C15" s="31" t="s">
        <v>144</v>
      </c>
      <c r="D15" s="31" t="s">
        <v>190</v>
      </c>
      <c r="E15" s="31" t="s">
        <v>101</v>
      </c>
      <c r="F15" s="31" t="n">
        <v>4</v>
      </c>
      <c r="G15" s="31" t="s">
        <v>272</v>
      </c>
      <c r="H15" s="31" t="s">
        <v>364</v>
      </c>
      <c r="I15" s="31"/>
      <c r="J15" s="31"/>
      <c r="K15" s="31" t="s">
        <v>391</v>
      </c>
      <c r="L15" s="34" t="str">
        <f aca="false">IFERROR(INDEX(Topics!$C$2:$C$100,MATCH($C15,Topics!$A$2:$A$100,0)),"")</f>
        <v>G4</v>
      </c>
      <c r="M15" s="34" t="n">
        <f aca="false">IF($B15="required",COUNTIFS($B$2:$B$400,"actual",$C$2:$C$400,$C15,$E$2:$E$400,$E15,$I$2:$I$400,"&lt;&gt;disputed"),"")</f>
        <v>1</v>
      </c>
      <c r="N15" s="37" t="b">
        <f aca="false">IF($B15="required",COUNTIFS($B$2:$B$400,"actual",$C$2:$C$400,$C15,$E$2:$E$400,$E15,$I$2:$I$400,"&lt;&gt;disputed",$D$2:$D$400,$D15)&gt;0,"")</f>
        <v>1</v>
      </c>
      <c r="O15" s="34" t="n">
        <f aca="false">IF($B15="required",SUMIFS(Carriers!$M$2:$M$400,Carriers!$J$2:$J$400,$C15,Carriers!$K$2:$K$400,$E15),"")</f>
        <v>1</v>
      </c>
      <c r="P15" s="34" t="n">
        <f aca="false">IF($B15&lt;&gt;"required","",IF($O15=0,99,_xlfn.MINIFS(Carriers!$G$2:$G$400,Carriers!$J$2:$J$400,$C15,Carriers!$K$2:$K$400,$E15,Carriers!$M$2:$M$400,1)))</f>
        <v>4</v>
      </c>
      <c r="Q15" s="34" t="n">
        <f aca="false">IF($B15="required",INDEX(Lists!$B$2:$B$8,MATCH($G15,Lists!$A$2:$A$8,0)),"")</f>
        <v>4</v>
      </c>
      <c r="R15" s="37" t="b">
        <f aca="false">IF($B15&lt;&gt;"required","",IF($H15&lt;&gt;"sync",TRUE(),COUNTIFS(Carriers!$J$2:$J$400,$C15,Carriers!$K$2:$K$400,$E15,Carriers!$H$2:$H$400,"sync",Carriers!$M$2:$M$400,1)&gt;0))</f>
        <v>1</v>
      </c>
      <c r="S15" s="37" t="b">
        <f aca="false">IF($B15&lt;&gt;"required","",IF($F15&lt;5,FALSE(),IF($O15=0,FALSE(),COUNTIFS(Carriers!$J$2:$J$400,$C15,Carriers!$K$2:$K$400,$E15,Carriers!$M$2:$M$400,1,Carriers!$D$2:$D$400,"push")=0)))</f>
        <v>0</v>
      </c>
      <c r="T15" s="39" t="str">
        <f aca="false">IF($B15&lt;&gt;"required","",IF($M15=0,"missing",IF(NOT($N15),"wrong_producer",IF($P15&gt;$Q15,"latency_gap",IF(OR(NOT($R15),$S15),"channel_mismatch","covered")))))</f>
        <v>covered</v>
      </c>
      <c r="U15" s="34" t="n">
        <f aca="false">IF($B15&lt;&gt;"required","",ROUND($F15*INDEX(Lists!$E$2:$E$6,MATCH($T15,Lists!$D$2:$D$6,0)),1))</f>
        <v>0</v>
      </c>
      <c r="V15" s="34" t="str">
        <f aca="false">IF(AND($B15="required",$L15=GoalLens!$B$3),MAX($V$1:V14)+1,"")</f>
        <v/>
      </c>
      <c r="W15" s="34" t="str">
        <f aca="false">IFERROR(INDEX(Stakeholders!$D$2:$D$50,MATCH($D15,Stakeholders!$A$2:$A$50,0)),"")</f>
        <v>Quality</v>
      </c>
      <c r="X15" s="34" t="str">
        <f aca="false">IFERROR(INDEX(Stakeholders!$D$2:$D$50,MATCH($E15,Stakeholders!$A$2:$A$50,0)),"")</f>
        <v>Quality</v>
      </c>
      <c r="Y15" s="34" t="str">
        <f aca="false">IF(OR($B15&lt;&gt;"required",$T15="covered",$T15=""),"",1+SUMPRODUCT(ISNUMBER($U$2:$U$400)*($T$2:$T$400&lt;&gt;"covered")*($T$2:$T$400&lt;&gt;"")*($U$2:$U$400&gt;$U15))+COUNTIFS($U$2:U15,$U15,$T$2:T15,"&lt;&gt;covered",$T$2:T15,"&lt;&gt;",$B$2:B15,"required")-1)</f>
        <v/>
      </c>
      <c r="Z15" s="34" t="n">
        <f aca="false">IF(AND($B15="required",$F15&gt;=4,$T15&lt;&gt;"missing",$T15&lt;&gt;"",$M15=1,COUNTIFS(Carriers!$J$2:$J$400,$C15,Carriers!$K$2:$K$400,$E15,Carriers!$M$2:$M$400,1,Carriers!$P$2:$P$400,"system_of_record")=0),MAX($Z$1:Z14)+1,"")</f>
        <v>6</v>
      </c>
    </row>
    <row r="16" customFormat="false" ht="15" hidden="false" customHeight="true" outlineLevel="0" collapsed="false">
      <c r="A16" s="31" t="s">
        <v>392</v>
      </c>
      <c r="B16" s="31" t="s">
        <v>55</v>
      </c>
      <c r="C16" s="31" t="s">
        <v>144</v>
      </c>
      <c r="D16" s="31" t="s">
        <v>190</v>
      </c>
      <c r="E16" s="31" t="s">
        <v>177</v>
      </c>
      <c r="F16" s="31" t="n">
        <v>3</v>
      </c>
      <c r="G16" s="31" t="s">
        <v>272</v>
      </c>
      <c r="H16" s="31" t="s">
        <v>364</v>
      </c>
      <c r="I16" s="31"/>
      <c r="J16" s="31"/>
      <c r="K16" s="31" t="s">
        <v>393</v>
      </c>
      <c r="L16" s="34" t="str">
        <f aca="false">IFERROR(INDEX(Topics!$C$2:$C$100,MATCH($C16,Topics!$A$2:$A$100,0)),"")</f>
        <v>G4</v>
      </c>
      <c r="M16" s="34" t="n">
        <f aca="false">IF($B16="required",COUNTIFS($B$2:$B$400,"actual",$C$2:$C$400,$C16,$E$2:$E$400,$E16,$I$2:$I$400,"&lt;&gt;disputed"),"")</f>
        <v>0</v>
      </c>
      <c r="N16" s="37" t="b">
        <f aca="false">IF($B16="required",COUNTIFS($B$2:$B$400,"actual",$C$2:$C$400,$C16,$E$2:$E$400,$E16,$I$2:$I$400,"&lt;&gt;disputed",$D$2:$D$400,$D16)&gt;0,"")</f>
        <v>0</v>
      </c>
      <c r="O16" s="34" t="n">
        <f aca="false">IF($B16="required",SUMIFS(Carriers!$M$2:$M$400,Carriers!$J$2:$J$400,$C16,Carriers!$K$2:$K$400,$E16),"")</f>
        <v>0</v>
      </c>
      <c r="P16" s="34" t="n">
        <f aca="false">IF($B16&lt;&gt;"required","",IF($O16=0,99,_xlfn.MINIFS(Carriers!$G$2:$G$400,Carriers!$J$2:$J$400,$C16,Carriers!$K$2:$K$400,$E16,Carriers!$M$2:$M$400,1)))</f>
        <v>99</v>
      </c>
      <c r="Q16" s="34" t="n">
        <f aca="false">IF($B16="required",INDEX(Lists!$B$2:$B$8,MATCH($G16,Lists!$A$2:$A$8,0)),"")</f>
        <v>4</v>
      </c>
      <c r="R16" s="37" t="b">
        <f aca="false">IF($B16&lt;&gt;"required","",IF($H16&lt;&gt;"sync",TRUE(),COUNTIFS(Carriers!$J$2:$J$400,$C16,Carriers!$K$2:$K$400,$E16,Carriers!$H$2:$H$400,"sync",Carriers!$M$2:$M$400,1)&gt;0))</f>
        <v>1</v>
      </c>
      <c r="S16" s="37" t="b">
        <f aca="false">IF($B16&lt;&gt;"required","",IF($F16&lt;5,FALSE(),IF($O16=0,FALSE(),COUNTIFS(Carriers!$J$2:$J$400,$C16,Carriers!$K$2:$K$400,$E16,Carriers!$M$2:$M$400,1,Carriers!$D$2:$D$400,"push")=0)))</f>
        <v>0</v>
      </c>
      <c r="T16" s="39" t="str">
        <f aca="false">IF($B16&lt;&gt;"required","",IF($M16=0,"missing",IF(NOT($N16),"wrong_producer",IF($P16&gt;$Q16,"latency_gap",IF(OR(NOT($R16),$S16),"channel_mismatch","covered")))))</f>
        <v>missing</v>
      </c>
      <c r="U16" s="34" t="n">
        <f aca="false">IF($B16&lt;&gt;"required","",ROUND($F16*INDEX(Lists!$E$2:$E$6,MATCH($T16,Lists!$D$2:$D$6,0)),1))</f>
        <v>9</v>
      </c>
      <c r="V16" s="34" t="str">
        <f aca="false">IF(AND($B16="required",$L16=GoalLens!$B$3),MAX($V$1:V15)+1,"")</f>
        <v/>
      </c>
      <c r="W16" s="34" t="str">
        <f aca="false">IFERROR(INDEX(Stakeholders!$D$2:$D$50,MATCH($D16,Stakeholders!$A$2:$A$50,0)),"")</f>
        <v>Quality</v>
      </c>
      <c r="X16" s="34" t="str">
        <f aca="false">IFERROR(INDEX(Stakeholders!$D$2:$D$50,MATCH($E16,Stakeholders!$A$2:$A$50,0)),"")</f>
        <v>Operations</v>
      </c>
      <c r="Y16" s="34" t="n">
        <f aca="false">IF(OR($B16&lt;&gt;"required",$T16="covered",$T16=""),"",1+SUMPRODUCT(ISNUMBER($U$2:$U$400)*($T$2:$T$400&lt;&gt;"covered")*($T$2:$T$400&lt;&gt;"")*($U$2:$U$400&gt;$U16))+COUNTIFS($U$2:U16,$U16,$T$2:T16,"&lt;&gt;covered",$T$2:T16,"&lt;&gt;",$B$2:B16,"required")-1)</f>
        <v>3</v>
      </c>
      <c r="Z16" s="34" t="str">
        <f aca="false">IF(AND($B16="required",$F16&gt;=4,$T16&lt;&gt;"missing",$T16&lt;&gt;"",$M16=1,COUNTIFS(Carriers!$J$2:$J$400,$C16,Carriers!$K$2:$K$400,$E16,Carriers!$M$2:$M$400,1,Carriers!$P$2:$P$400,"system_of_record")=0),MAX($Z$1:Z15)+1,"")</f>
        <v/>
      </c>
    </row>
    <row r="17" customFormat="false" ht="15" hidden="false" customHeight="true" outlineLevel="0" collapsed="false">
      <c r="A17" s="31" t="s">
        <v>394</v>
      </c>
      <c r="B17" s="31" t="s">
        <v>395</v>
      </c>
      <c r="C17" s="31" t="s">
        <v>121</v>
      </c>
      <c r="D17" s="31" t="s">
        <v>174</v>
      </c>
      <c r="E17" s="31" t="s">
        <v>106</v>
      </c>
      <c r="F17" s="31" t="n">
        <v>4</v>
      </c>
      <c r="G17" s="31"/>
      <c r="H17" s="31"/>
      <c r="I17" s="31" t="s">
        <v>396</v>
      </c>
      <c r="J17" s="31" t="s">
        <v>397</v>
      </c>
      <c r="K17" s="31"/>
      <c r="L17" s="34" t="str">
        <f aca="false">IFERROR(INDEX(Topics!$C$2:$C$100,MATCH($C17,Topics!$A$2:$A$100,0)),"")</f>
        <v>G1</v>
      </c>
      <c r="M17" s="34" t="str">
        <f aca="false">IF($B17="required",COUNTIFS($B$2:$B$400,"actual",$C$2:$C$400,$C17,$E$2:$E$400,$E17,$I$2:$I$400,"&lt;&gt;disputed"),"")</f>
        <v/>
      </c>
      <c r="N17" s="34" t="str">
        <f aca="false">IF($B17="required",COUNTIFS($B$2:$B$400,"actual",$C$2:$C$400,$C17,$E$2:$E$400,$E17,$I$2:$I$400,"&lt;&gt;disputed",$D$2:$D$400,$D17)&gt;0,"")</f>
        <v/>
      </c>
      <c r="O17" s="34" t="str">
        <f aca="false">IF($B17="required",SUMIFS(Carriers!$M$2:$M$400,Carriers!$J$2:$J$400,$C17,Carriers!$K$2:$K$400,$E17),"")</f>
        <v/>
      </c>
      <c r="P17" s="34" t="str">
        <f aca="false">IF($B17&lt;&gt;"required","",IF($O17=0,99,_xlfn.MINIFS(Carriers!$G$2:$G$400,Carriers!$J$2:$J$400,$C17,Carriers!$K$2:$K$400,$E17,Carriers!$M$2:$M$400,1)))</f>
        <v/>
      </c>
      <c r="Q17" s="34" t="str">
        <f aca="false">IF($B17="required",INDEX(Lists!$B$2:$B$8,MATCH($G17,Lists!$A$2:$A$8,0)),"")</f>
        <v/>
      </c>
      <c r="R17" s="34" t="str">
        <f aca="false">IF($B17&lt;&gt;"required","",IF($H17&lt;&gt;"sync",TRUE(),COUNTIFS(Carriers!$J$2:$J$400,$C17,Carriers!$K$2:$K$400,$E17,Carriers!$H$2:$H$400,"sync",Carriers!$M$2:$M$400,1)&gt;0))</f>
        <v/>
      </c>
      <c r="S17" s="34" t="str">
        <f aca="false">IF($B17&lt;&gt;"required","",IF($F17&lt;5,FALSE(),IF($O17=0,FALSE(),COUNTIFS(Carriers!$J$2:$J$400,$C17,Carriers!$K$2:$K$400,$E17,Carriers!$M$2:$M$400,1,Carriers!$D$2:$D$400,"push")=0)))</f>
        <v/>
      </c>
      <c r="T17" s="39" t="str">
        <f aca="false">IF($B17&lt;&gt;"required","",IF($M17=0,"missing",IF(NOT($N17),"wrong_producer",IF($P17&gt;$Q17,"latency_gap",IF(OR(NOT($R17),$S17),"channel_mismatch","covered")))))</f>
        <v/>
      </c>
      <c r="U17" s="34" t="str">
        <f aca="false">IF($B17&lt;&gt;"required","",ROUND($F17*INDEX(Lists!$E$2:$E$6,MATCH($T17,Lists!$D$2:$D$6,0)),1))</f>
        <v/>
      </c>
      <c r="V17" s="34" t="str">
        <f aca="false">IF(AND($B17="required",$L17=GoalLens!$B$3),MAX($V$1:V16)+1,"")</f>
        <v/>
      </c>
      <c r="W17" s="34" t="str">
        <f aca="false">IFERROR(INDEX(Stakeholders!$D$2:$D$50,MATCH($D17,Stakeholders!$A$2:$A$50,0)),"")</f>
        <v>Quality</v>
      </c>
      <c r="X17" s="34" t="str">
        <f aca="false">IFERROR(INDEX(Stakeholders!$D$2:$D$50,MATCH($E17,Stakeholders!$A$2:$A$50,0)),"")</f>
        <v>Quality</v>
      </c>
      <c r="Y17" s="34" t="str">
        <f aca="false">IF(OR($B17&lt;&gt;"required",$T17="covered",$T17=""),"",1+SUMPRODUCT(ISNUMBER($U$2:$U$400)*($T$2:$T$400&lt;&gt;"covered")*($T$2:$T$400&lt;&gt;"")*($U$2:$U$400&gt;$U17))+COUNTIFS($U$2:U17,$U17,$T$2:T17,"&lt;&gt;covered",$T$2:T17,"&lt;&gt;",$B$2:B17,"required")-1)</f>
        <v/>
      </c>
      <c r="Z17" s="34" t="str">
        <f aca="false">IF(AND($B17="required",$F17&gt;=4,$T17&lt;&gt;"missing",$T17&lt;&gt;"",$M17=1,COUNTIFS(Carriers!$J$2:$J$400,$C17,Carriers!$K$2:$K$400,$E17,Carriers!$M$2:$M$400,1,Carriers!$P$2:$P$400,"system_of_record")=0),MAX($Z$1:Z16)+1,"")</f>
        <v/>
      </c>
    </row>
    <row r="18" customFormat="false" ht="15" hidden="false" customHeight="true" outlineLevel="0" collapsed="false">
      <c r="A18" s="31" t="s">
        <v>398</v>
      </c>
      <c r="B18" s="31" t="s">
        <v>395</v>
      </c>
      <c r="C18" s="31" t="s">
        <v>121</v>
      </c>
      <c r="D18" s="31" t="s">
        <v>106</v>
      </c>
      <c r="E18" s="31" t="s">
        <v>101</v>
      </c>
      <c r="F18" s="31" t="n">
        <v>3</v>
      </c>
      <c r="G18" s="31"/>
      <c r="H18" s="31"/>
      <c r="I18" s="31" t="s">
        <v>396</v>
      </c>
      <c r="J18" s="31" t="s">
        <v>399</v>
      </c>
      <c r="K18" s="31"/>
      <c r="L18" s="34" t="str">
        <f aca="false">IFERROR(INDEX(Topics!$C$2:$C$100,MATCH($C18,Topics!$A$2:$A$100,0)),"")</f>
        <v>G1</v>
      </c>
      <c r="M18" s="34" t="str">
        <f aca="false">IF($B18="required",COUNTIFS($B$2:$B$400,"actual",$C$2:$C$400,$C18,$E$2:$E$400,$E18,$I$2:$I$400,"&lt;&gt;disputed"),"")</f>
        <v/>
      </c>
      <c r="N18" s="34" t="str">
        <f aca="false">IF($B18="required",COUNTIFS($B$2:$B$400,"actual",$C$2:$C$400,$C18,$E$2:$E$400,$E18,$I$2:$I$400,"&lt;&gt;disputed",$D$2:$D$400,$D18)&gt;0,"")</f>
        <v/>
      </c>
      <c r="O18" s="34" t="str">
        <f aca="false">IF($B18="required",SUMIFS(Carriers!$M$2:$M$400,Carriers!$J$2:$J$400,$C18,Carriers!$K$2:$K$400,$E18),"")</f>
        <v/>
      </c>
      <c r="P18" s="34" t="str">
        <f aca="false">IF($B18&lt;&gt;"required","",IF($O18=0,99,_xlfn.MINIFS(Carriers!$G$2:$G$400,Carriers!$J$2:$J$400,$C18,Carriers!$K$2:$K$400,$E18,Carriers!$M$2:$M$400,1)))</f>
        <v/>
      </c>
      <c r="Q18" s="34" t="str">
        <f aca="false">IF($B18="required",INDEX(Lists!$B$2:$B$8,MATCH($G18,Lists!$A$2:$A$8,0)),"")</f>
        <v/>
      </c>
      <c r="R18" s="34" t="str">
        <f aca="false">IF($B18&lt;&gt;"required","",IF($H18&lt;&gt;"sync",TRUE(),COUNTIFS(Carriers!$J$2:$J$400,$C18,Carriers!$K$2:$K$400,$E18,Carriers!$H$2:$H$400,"sync",Carriers!$M$2:$M$400,1)&gt;0))</f>
        <v/>
      </c>
      <c r="S18" s="34" t="str">
        <f aca="false">IF($B18&lt;&gt;"required","",IF($F18&lt;5,FALSE(),IF($O18=0,FALSE(),COUNTIFS(Carriers!$J$2:$J$400,$C18,Carriers!$K$2:$K$400,$E18,Carriers!$M$2:$M$400,1,Carriers!$D$2:$D$400,"push")=0)))</f>
        <v/>
      </c>
      <c r="T18" s="39" t="str">
        <f aca="false">IF($B18&lt;&gt;"required","",IF($M18=0,"missing",IF(NOT($N18),"wrong_producer",IF($P18&gt;$Q18,"latency_gap",IF(OR(NOT($R18),$S18),"channel_mismatch","covered")))))</f>
        <v/>
      </c>
      <c r="U18" s="34" t="str">
        <f aca="false">IF($B18&lt;&gt;"required","",ROUND($F18*INDEX(Lists!$E$2:$E$6,MATCH($T18,Lists!$D$2:$D$6,0)),1))</f>
        <v/>
      </c>
      <c r="V18" s="34" t="str">
        <f aca="false">IF(AND($B18="required",$L18=GoalLens!$B$3),MAX($V$1:V17)+1,"")</f>
        <v/>
      </c>
      <c r="W18" s="34" t="str">
        <f aca="false">IFERROR(INDEX(Stakeholders!$D$2:$D$50,MATCH($D18,Stakeholders!$A$2:$A$50,0)),"")</f>
        <v>Quality</v>
      </c>
      <c r="X18" s="34" t="str">
        <f aca="false">IFERROR(INDEX(Stakeholders!$D$2:$D$50,MATCH($E18,Stakeholders!$A$2:$A$50,0)),"")</f>
        <v>Quality</v>
      </c>
      <c r="Y18" s="34" t="str">
        <f aca="false">IF(OR($B18&lt;&gt;"required",$T18="covered",$T18=""),"",1+SUMPRODUCT(ISNUMBER($U$2:$U$400)*($T$2:$T$400&lt;&gt;"covered")*($T$2:$T$400&lt;&gt;"")*($U$2:$U$400&gt;$U18))+COUNTIFS($U$2:U18,$U18,$T$2:T18,"&lt;&gt;covered",$T$2:T18,"&lt;&gt;",$B$2:B18,"required")-1)</f>
        <v/>
      </c>
      <c r="Z18" s="34" t="str">
        <f aca="false">IF(AND($B18="required",$F18&gt;=4,$T18&lt;&gt;"missing",$T18&lt;&gt;"",$M18=1,COUNTIFS(Carriers!$J$2:$J$400,$C18,Carriers!$K$2:$K$400,$E18,Carriers!$M$2:$M$400,1,Carriers!$P$2:$P$400,"system_of_record")=0),MAX($Z$1:Z17)+1,"")</f>
        <v/>
      </c>
    </row>
    <row r="19" customFormat="false" ht="15" hidden="false" customHeight="true" outlineLevel="0" collapsed="false">
      <c r="A19" s="31" t="s">
        <v>400</v>
      </c>
      <c r="B19" s="31" t="s">
        <v>395</v>
      </c>
      <c r="C19" s="31" t="s">
        <v>152</v>
      </c>
      <c r="D19" s="31" t="s">
        <v>177</v>
      </c>
      <c r="E19" s="31" t="s">
        <v>169</v>
      </c>
      <c r="F19" s="31" t="n">
        <v>3</v>
      </c>
      <c r="G19" s="31"/>
      <c r="H19" s="31"/>
      <c r="I19" s="31" t="s">
        <v>396</v>
      </c>
      <c r="J19" s="31" t="s">
        <v>401</v>
      </c>
      <c r="K19" s="31"/>
      <c r="L19" s="34" t="str">
        <f aca="false">IFERROR(INDEX(Topics!$C$2:$C$100,MATCH($C19,Topics!$A$2:$A$100,0)),"")</f>
        <v>G1</v>
      </c>
      <c r="M19" s="34" t="str">
        <f aca="false">IF($B19="required",COUNTIFS($B$2:$B$400,"actual",$C$2:$C$400,$C19,$E$2:$E$400,$E19,$I$2:$I$400,"&lt;&gt;disputed"),"")</f>
        <v/>
      </c>
      <c r="N19" s="34" t="str">
        <f aca="false">IF($B19="required",COUNTIFS($B$2:$B$400,"actual",$C$2:$C$400,$C19,$E$2:$E$400,$E19,$I$2:$I$400,"&lt;&gt;disputed",$D$2:$D$400,$D19)&gt;0,"")</f>
        <v/>
      </c>
      <c r="O19" s="34" t="str">
        <f aca="false">IF($B19="required",SUMIFS(Carriers!$M$2:$M$400,Carriers!$J$2:$J$400,$C19,Carriers!$K$2:$K$400,$E19),"")</f>
        <v/>
      </c>
      <c r="P19" s="34" t="str">
        <f aca="false">IF($B19&lt;&gt;"required","",IF($O19=0,99,_xlfn.MINIFS(Carriers!$G$2:$G$400,Carriers!$J$2:$J$400,$C19,Carriers!$K$2:$K$400,$E19,Carriers!$M$2:$M$400,1)))</f>
        <v/>
      </c>
      <c r="Q19" s="34" t="str">
        <f aca="false">IF($B19="required",INDEX(Lists!$B$2:$B$8,MATCH($G19,Lists!$A$2:$A$8,0)),"")</f>
        <v/>
      </c>
      <c r="R19" s="34" t="str">
        <f aca="false">IF($B19&lt;&gt;"required","",IF($H19&lt;&gt;"sync",TRUE(),COUNTIFS(Carriers!$J$2:$J$400,$C19,Carriers!$K$2:$K$400,$E19,Carriers!$H$2:$H$400,"sync",Carriers!$M$2:$M$400,1)&gt;0))</f>
        <v/>
      </c>
      <c r="S19" s="34" t="str">
        <f aca="false">IF($B19&lt;&gt;"required","",IF($F19&lt;5,FALSE(),IF($O19=0,FALSE(),COUNTIFS(Carriers!$J$2:$J$400,$C19,Carriers!$K$2:$K$400,$E19,Carriers!$M$2:$M$400,1,Carriers!$D$2:$D$400,"push")=0)))</f>
        <v/>
      </c>
      <c r="T19" s="39" t="str">
        <f aca="false">IF($B19&lt;&gt;"required","",IF($M19=0,"missing",IF(NOT($N19),"wrong_producer",IF($P19&gt;$Q19,"latency_gap",IF(OR(NOT($R19),$S19),"channel_mismatch","covered")))))</f>
        <v/>
      </c>
      <c r="U19" s="34" t="str">
        <f aca="false">IF($B19&lt;&gt;"required","",ROUND($F19*INDEX(Lists!$E$2:$E$6,MATCH($T19,Lists!$D$2:$D$6,0)),1))</f>
        <v/>
      </c>
      <c r="V19" s="34" t="str">
        <f aca="false">IF(AND($B19="required",$L19=GoalLens!$B$3),MAX($V$1:V18)+1,"")</f>
        <v/>
      </c>
      <c r="W19" s="34" t="str">
        <f aca="false">IFERROR(INDEX(Stakeholders!$D$2:$D$50,MATCH($D19,Stakeholders!$A$2:$A$50,0)),"")</f>
        <v>Operations</v>
      </c>
      <c r="X19" s="34" t="str">
        <f aca="false">IFERROR(INDEX(Stakeholders!$D$2:$D$50,MATCH($E19,Stakeholders!$A$2:$A$50,0)),"")</f>
        <v>Quality</v>
      </c>
      <c r="Y19" s="34" t="str">
        <f aca="false">IF(OR($B19&lt;&gt;"required",$T19="covered",$T19=""),"",1+SUMPRODUCT(ISNUMBER($U$2:$U$400)*($T$2:$T$400&lt;&gt;"covered")*($T$2:$T$400&lt;&gt;"")*($U$2:$U$400&gt;$U19))+COUNTIFS($U$2:U19,$U19,$T$2:T19,"&lt;&gt;covered",$T$2:T19,"&lt;&gt;",$B$2:B19,"required")-1)</f>
        <v/>
      </c>
      <c r="Z19" s="34" t="str">
        <f aca="false">IF(AND($B19="required",$F19&gt;=4,$T19&lt;&gt;"missing",$T19&lt;&gt;"",$M19=1,COUNTIFS(Carriers!$J$2:$J$400,$C19,Carriers!$K$2:$K$400,$E19,Carriers!$M$2:$M$400,1,Carriers!$P$2:$P$400,"system_of_record")=0),MAX($Z$1:Z18)+1,"")</f>
        <v/>
      </c>
    </row>
    <row r="20" customFormat="false" ht="15" hidden="false" customHeight="true" outlineLevel="0" collapsed="false">
      <c r="A20" s="31" t="s">
        <v>402</v>
      </c>
      <c r="B20" s="31" t="s">
        <v>395</v>
      </c>
      <c r="C20" s="31" t="s">
        <v>136</v>
      </c>
      <c r="D20" s="31" t="s">
        <v>106</v>
      </c>
      <c r="E20" s="31" t="s">
        <v>110</v>
      </c>
      <c r="F20" s="31" t="n">
        <v>3</v>
      </c>
      <c r="G20" s="31"/>
      <c r="H20" s="31"/>
      <c r="I20" s="31" t="s">
        <v>396</v>
      </c>
      <c r="J20" s="31" t="s">
        <v>403</v>
      </c>
      <c r="K20" s="31"/>
      <c r="L20" s="34" t="str">
        <f aca="false">IFERROR(INDEX(Topics!$C$2:$C$100,MATCH($C20,Topics!$A$2:$A$100,0)),"")</f>
        <v>G1</v>
      </c>
      <c r="M20" s="34" t="str">
        <f aca="false">IF($B20="required",COUNTIFS($B$2:$B$400,"actual",$C$2:$C$400,$C20,$E$2:$E$400,$E20,$I$2:$I$400,"&lt;&gt;disputed"),"")</f>
        <v/>
      </c>
      <c r="N20" s="34" t="str">
        <f aca="false">IF($B20="required",COUNTIFS($B$2:$B$400,"actual",$C$2:$C$400,$C20,$E$2:$E$400,$E20,$I$2:$I$400,"&lt;&gt;disputed",$D$2:$D$400,$D20)&gt;0,"")</f>
        <v/>
      </c>
      <c r="O20" s="34" t="str">
        <f aca="false">IF($B20="required",SUMIFS(Carriers!$M$2:$M$400,Carriers!$J$2:$J$400,$C20,Carriers!$K$2:$K$400,$E20),"")</f>
        <v/>
      </c>
      <c r="P20" s="34" t="str">
        <f aca="false">IF($B20&lt;&gt;"required","",IF($O20=0,99,_xlfn.MINIFS(Carriers!$G$2:$G$400,Carriers!$J$2:$J$400,$C20,Carriers!$K$2:$K$400,$E20,Carriers!$M$2:$M$400,1)))</f>
        <v/>
      </c>
      <c r="Q20" s="34" t="str">
        <f aca="false">IF($B20="required",INDEX(Lists!$B$2:$B$8,MATCH($G20,Lists!$A$2:$A$8,0)),"")</f>
        <v/>
      </c>
      <c r="R20" s="34" t="str">
        <f aca="false">IF($B20&lt;&gt;"required","",IF($H20&lt;&gt;"sync",TRUE(),COUNTIFS(Carriers!$J$2:$J$400,$C20,Carriers!$K$2:$K$400,$E20,Carriers!$H$2:$H$400,"sync",Carriers!$M$2:$M$400,1)&gt;0))</f>
        <v/>
      </c>
      <c r="S20" s="34" t="str">
        <f aca="false">IF($B20&lt;&gt;"required","",IF($F20&lt;5,FALSE(),IF($O20=0,FALSE(),COUNTIFS(Carriers!$J$2:$J$400,$C20,Carriers!$K$2:$K$400,$E20,Carriers!$M$2:$M$400,1,Carriers!$D$2:$D$400,"push")=0)))</f>
        <v/>
      </c>
      <c r="T20" s="39" t="str">
        <f aca="false">IF($B20&lt;&gt;"required","",IF($M20=0,"missing",IF(NOT($N20),"wrong_producer",IF($P20&gt;$Q20,"latency_gap",IF(OR(NOT($R20),$S20),"channel_mismatch","covered")))))</f>
        <v/>
      </c>
      <c r="U20" s="34" t="str">
        <f aca="false">IF($B20&lt;&gt;"required","",ROUND($F20*INDEX(Lists!$E$2:$E$6,MATCH($T20,Lists!$D$2:$D$6,0)),1))</f>
        <v/>
      </c>
      <c r="V20" s="34" t="str">
        <f aca="false">IF(AND($B20="required",$L20=GoalLens!$B$3),MAX($V$1:V19)+1,"")</f>
        <v/>
      </c>
      <c r="W20" s="34" t="str">
        <f aca="false">IFERROR(INDEX(Stakeholders!$D$2:$D$50,MATCH($D20,Stakeholders!$A$2:$A$50,0)),"")</f>
        <v>Quality</v>
      </c>
      <c r="X20" s="34" t="str">
        <f aca="false">IFERROR(INDEX(Stakeholders!$D$2:$D$50,MATCH($E20,Stakeholders!$A$2:$A$50,0)),"")</f>
        <v>Supply Chain</v>
      </c>
      <c r="Y20" s="34" t="str">
        <f aca="false">IF(OR($B20&lt;&gt;"required",$T20="covered",$T20=""),"",1+SUMPRODUCT(ISNUMBER($U$2:$U$400)*($T$2:$T$400&lt;&gt;"covered")*($T$2:$T$400&lt;&gt;"")*($U$2:$U$400&gt;$U20))+COUNTIFS($U$2:U20,$U20,$T$2:T20,"&lt;&gt;covered",$T$2:T20,"&lt;&gt;",$B$2:B20,"required")-1)</f>
        <v/>
      </c>
      <c r="Z20" s="34" t="str">
        <f aca="false">IF(AND($B20="required",$F20&gt;=4,$T20&lt;&gt;"missing",$T20&lt;&gt;"",$M20=1,COUNTIFS(Carriers!$J$2:$J$400,$C20,Carriers!$K$2:$K$400,$E20,Carriers!$M$2:$M$400,1,Carriers!$P$2:$P$400,"system_of_record")=0),MAX($Z$1:Z19)+1,"")</f>
        <v/>
      </c>
    </row>
    <row r="21" customFormat="false" ht="15" hidden="false" customHeight="true" outlineLevel="0" collapsed="false">
      <c r="A21" s="31" t="s">
        <v>404</v>
      </c>
      <c r="B21" s="31" t="s">
        <v>395</v>
      </c>
      <c r="C21" s="31" t="s">
        <v>136</v>
      </c>
      <c r="D21" s="31" t="s">
        <v>106</v>
      </c>
      <c r="E21" s="31" t="s">
        <v>186</v>
      </c>
      <c r="F21" s="31" t="n">
        <v>4</v>
      </c>
      <c r="G21" s="31"/>
      <c r="H21" s="31"/>
      <c r="I21" s="31" t="s">
        <v>396</v>
      </c>
      <c r="J21" s="31" t="s">
        <v>403</v>
      </c>
      <c r="K21" s="31"/>
      <c r="L21" s="34" t="str">
        <f aca="false">IFERROR(INDEX(Topics!$C$2:$C$100,MATCH($C21,Topics!$A$2:$A$100,0)),"")</f>
        <v>G1</v>
      </c>
      <c r="M21" s="34" t="str">
        <f aca="false">IF($B21="required",COUNTIFS($B$2:$B$400,"actual",$C$2:$C$400,$C21,$E$2:$E$400,$E21,$I$2:$I$400,"&lt;&gt;disputed"),"")</f>
        <v/>
      </c>
      <c r="N21" s="34" t="str">
        <f aca="false">IF($B21="required",COUNTIFS($B$2:$B$400,"actual",$C$2:$C$400,$C21,$E$2:$E$400,$E21,$I$2:$I$400,"&lt;&gt;disputed",$D$2:$D$400,$D21)&gt;0,"")</f>
        <v/>
      </c>
      <c r="O21" s="34" t="str">
        <f aca="false">IF($B21="required",SUMIFS(Carriers!$M$2:$M$400,Carriers!$J$2:$J$400,$C21,Carriers!$K$2:$K$400,$E21),"")</f>
        <v/>
      </c>
      <c r="P21" s="34" t="str">
        <f aca="false">IF($B21&lt;&gt;"required","",IF($O21=0,99,_xlfn.MINIFS(Carriers!$G$2:$G$400,Carriers!$J$2:$J$400,$C21,Carriers!$K$2:$K$400,$E21,Carriers!$M$2:$M$400,1)))</f>
        <v/>
      </c>
      <c r="Q21" s="34" t="str">
        <f aca="false">IF($B21="required",INDEX(Lists!$B$2:$B$8,MATCH($G21,Lists!$A$2:$A$8,0)),"")</f>
        <v/>
      </c>
      <c r="R21" s="34" t="str">
        <f aca="false">IF($B21&lt;&gt;"required","",IF($H21&lt;&gt;"sync",TRUE(),COUNTIFS(Carriers!$J$2:$J$400,$C21,Carriers!$K$2:$K$400,$E21,Carriers!$H$2:$H$400,"sync",Carriers!$M$2:$M$400,1)&gt;0))</f>
        <v/>
      </c>
      <c r="S21" s="34" t="str">
        <f aca="false">IF($B21&lt;&gt;"required","",IF($F21&lt;5,FALSE(),IF($O21=0,FALSE(),COUNTIFS(Carriers!$J$2:$J$400,$C21,Carriers!$K$2:$K$400,$E21,Carriers!$M$2:$M$400,1,Carriers!$D$2:$D$400,"push")=0)))</f>
        <v/>
      </c>
      <c r="T21" s="39" t="str">
        <f aca="false">IF($B21&lt;&gt;"required","",IF($M21=0,"missing",IF(NOT($N21),"wrong_producer",IF($P21&gt;$Q21,"latency_gap",IF(OR(NOT($R21),$S21),"channel_mismatch","covered")))))</f>
        <v/>
      </c>
      <c r="U21" s="34" t="str">
        <f aca="false">IF($B21&lt;&gt;"required","",ROUND($F21*INDEX(Lists!$E$2:$E$6,MATCH($T21,Lists!$D$2:$D$6,0)),1))</f>
        <v/>
      </c>
      <c r="V21" s="34" t="str">
        <f aca="false">IF(AND($B21="required",$L21=GoalLens!$B$3),MAX($V$1:V20)+1,"")</f>
        <v/>
      </c>
      <c r="W21" s="34" t="str">
        <f aca="false">IFERROR(INDEX(Stakeholders!$D$2:$D$50,MATCH($D21,Stakeholders!$A$2:$A$50,0)),"")</f>
        <v>Quality</v>
      </c>
      <c r="X21" s="34" t="str">
        <f aca="false">IFERROR(INDEX(Stakeholders!$D$2:$D$50,MATCH($E21,Stakeholders!$A$2:$A$50,0)),"")</f>
        <v>External</v>
      </c>
      <c r="Y21" s="34" t="str">
        <f aca="false">IF(OR($B21&lt;&gt;"required",$T21="covered",$T21=""),"",1+SUMPRODUCT(ISNUMBER($U$2:$U$400)*($T$2:$T$400&lt;&gt;"covered")*($T$2:$T$400&lt;&gt;"")*($U$2:$U$400&gt;$U21))+COUNTIFS($U$2:U21,$U21,$T$2:T21,"&lt;&gt;covered",$T$2:T21,"&lt;&gt;",$B$2:B21,"required")-1)</f>
        <v/>
      </c>
      <c r="Z21" s="34" t="str">
        <f aca="false">IF(AND($B21="required",$F21&gt;=4,$T21&lt;&gt;"missing",$T21&lt;&gt;"",$M21=1,COUNTIFS(Carriers!$J$2:$J$400,$C21,Carriers!$K$2:$K$400,$E21,Carriers!$M$2:$M$400,1,Carriers!$P$2:$P$400,"system_of_record")=0),MAX($Z$1:Z20)+1,"")</f>
        <v/>
      </c>
    </row>
    <row r="22" customFormat="false" ht="15" hidden="false" customHeight="true" outlineLevel="0" collapsed="false">
      <c r="A22" s="31" t="s">
        <v>405</v>
      </c>
      <c r="B22" s="31" t="s">
        <v>395</v>
      </c>
      <c r="C22" s="31" t="s">
        <v>125</v>
      </c>
      <c r="D22" s="31" t="s">
        <v>169</v>
      </c>
      <c r="E22" s="31" t="s">
        <v>106</v>
      </c>
      <c r="F22" s="31" t="n">
        <v>4</v>
      </c>
      <c r="G22" s="31"/>
      <c r="H22" s="31"/>
      <c r="I22" s="31" t="s">
        <v>396</v>
      </c>
      <c r="J22" s="31" t="s">
        <v>406</v>
      </c>
      <c r="K22" s="31"/>
      <c r="L22" s="34" t="str">
        <f aca="false">IFERROR(INDEX(Topics!$C$2:$C$100,MATCH($C22,Topics!$A$2:$A$100,0)),"")</f>
        <v>G2</v>
      </c>
      <c r="M22" s="34" t="str">
        <f aca="false">IF($B22="required",COUNTIFS($B$2:$B$400,"actual",$C$2:$C$400,$C22,$E$2:$E$400,$E22,$I$2:$I$400,"&lt;&gt;disputed"),"")</f>
        <v/>
      </c>
      <c r="N22" s="34" t="str">
        <f aca="false">IF($B22="required",COUNTIFS($B$2:$B$400,"actual",$C$2:$C$400,$C22,$E$2:$E$400,$E22,$I$2:$I$400,"&lt;&gt;disputed",$D$2:$D$400,$D22)&gt;0,"")</f>
        <v/>
      </c>
      <c r="O22" s="34" t="str">
        <f aca="false">IF($B22="required",SUMIFS(Carriers!$M$2:$M$400,Carriers!$J$2:$J$400,$C22,Carriers!$K$2:$K$400,$E22),"")</f>
        <v/>
      </c>
      <c r="P22" s="34" t="str">
        <f aca="false">IF($B22&lt;&gt;"required","",IF($O22=0,99,_xlfn.MINIFS(Carriers!$G$2:$G$400,Carriers!$J$2:$J$400,$C22,Carriers!$K$2:$K$400,$E22,Carriers!$M$2:$M$400,1)))</f>
        <v/>
      </c>
      <c r="Q22" s="34" t="str">
        <f aca="false">IF($B22="required",INDEX(Lists!$B$2:$B$8,MATCH($G22,Lists!$A$2:$A$8,0)),"")</f>
        <v/>
      </c>
      <c r="R22" s="34" t="str">
        <f aca="false">IF($B22&lt;&gt;"required","",IF($H22&lt;&gt;"sync",TRUE(),COUNTIFS(Carriers!$J$2:$J$400,$C22,Carriers!$K$2:$K$400,$E22,Carriers!$H$2:$H$400,"sync",Carriers!$M$2:$M$400,1)&gt;0))</f>
        <v/>
      </c>
      <c r="S22" s="34" t="str">
        <f aca="false">IF($B22&lt;&gt;"required","",IF($F22&lt;5,FALSE(),IF($O22=0,FALSE(),COUNTIFS(Carriers!$J$2:$J$400,$C22,Carriers!$K$2:$K$400,$E22,Carriers!$M$2:$M$400,1,Carriers!$D$2:$D$400,"push")=0)))</f>
        <v/>
      </c>
      <c r="T22" s="39" t="str">
        <f aca="false">IF($B22&lt;&gt;"required","",IF($M22=0,"missing",IF(NOT($N22),"wrong_producer",IF($P22&gt;$Q22,"latency_gap",IF(OR(NOT($R22),$S22),"channel_mismatch","covered")))))</f>
        <v/>
      </c>
      <c r="U22" s="34" t="str">
        <f aca="false">IF($B22&lt;&gt;"required","",ROUND($F22*INDEX(Lists!$E$2:$E$6,MATCH($T22,Lists!$D$2:$D$6,0)),1))</f>
        <v/>
      </c>
      <c r="V22" s="34" t="str">
        <f aca="false">IF(AND($B22="required",$L22=GoalLens!$B$3),MAX($V$1:V21)+1,"")</f>
        <v/>
      </c>
      <c r="W22" s="34" t="str">
        <f aca="false">IFERROR(INDEX(Stakeholders!$D$2:$D$50,MATCH($D22,Stakeholders!$A$2:$A$50,0)),"")</f>
        <v>Quality</v>
      </c>
      <c r="X22" s="34" t="str">
        <f aca="false">IFERROR(INDEX(Stakeholders!$D$2:$D$50,MATCH($E22,Stakeholders!$A$2:$A$50,0)),"")</f>
        <v>Quality</v>
      </c>
      <c r="Y22" s="34" t="str">
        <f aca="false">IF(OR($B22&lt;&gt;"required",$T22="covered",$T22=""),"",1+SUMPRODUCT(ISNUMBER($U$2:$U$400)*($T$2:$T$400&lt;&gt;"covered")*($T$2:$T$400&lt;&gt;"")*($U$2:$U$400&gt;$U22))+COUNTIFS($U$2:U22,$U22,$T$2:T22,"&lt;&gt;covered",$T$2:T22,"&lt;&gt;",$B$2:B22,"required")-1)</f>
        <v/>
      </c>
      <c r="Z22" s="34" t="str">
        <f aca="false">IF(AND($B22="required",$F22&gt;=4,$T22&lt;&gt;"missing",$T22&lt;&gt;"",$M22=1,COUNTIFS(Carriers!$J$2:$J$400,$C22,Carriers!$K$2:$K$400,$E22,Carriers!$M$2:$M$400,1,Carriers!$P$2:$P$400,"system_of_record")=0),MAX($Z$1:Z21)+1,"")</f>
        <v/>
      </c>
    </row>
    <row r="23" customFormat="false" ht="15" hidden="false" customHeight="true" outlineLevel="0" collapsed="false">
      <c r="A23" s="31" t="s">
        <v>407</v>
      </c>
      <c r="B23" s="31" t="s">
        <v>395</v>
      </c>
      <c r="C23" s="31" t="s">
        <v>125</v>
      </c>
      <c r="D23" s="31" t="s">
        <v>169</v>
      </c>
      <c r="E23" s="31" t="s">
        <v>110</v>
      </c>
      <c r="F23" s="31" t="n">
        <v>3</v>
      </c>
      <c r="G23" s="31"/>
      <c r="H23" s="31"/>
      <c r="I23" s="31" t="s">
        <v>396</v>
      </c>
      <c r="J23" s="31" t="s">
        <v>408</v>
      </c>
      <c r="K23" s="31"/>
      <c r="L23" s="34" t="str">
        <f aca="false">IFERROR(INDEX(Topics!$C$2:$C$100,MATCH($C23,Topics!$A$2:$A$100,0)),"")</f>
        <v>G2</v>
      </c>
      <c r="M23" s="34" t="str">
        <f aca="false">IF($B23="required",COUNTIFS($B$2:$B$400,"actual",$C$2:$C$400,$C23,$E$2:$E$400,$E23,$I$2:$I$400,"&lt;&gt;disputed"),"")</f>
        <v/>
      </c>
      <c r="N23" s="34" t="str">
        <f aca="false">IF($B23="required",COUNTIFS($B$2:$B$400,"actual",$C$2:$C$400,$C23,$E$2:$E$400,$E23,$I$2:$I$400,"&lt;&gt;disputed",$D$2:$D$400,$D23)&gt;0,"")</f>
        <v/>
      </c>
      <c r="O23" s="34" t="str">
        <f aca="false">IF($B23="required",SUMIFS(Carriers!$M$2:$M$400,Carriers!$J$2:$J$400,$C23,Carriers!$K$2:$K$400,$E23),"")</f>
        <v/>
      </c>
      <c r="P23" s="34" t="str">
        <f aca="false">IF($B23&lt;&gt;"required","",IF($O23=0,99,_xlfn.MINIFS(Carriers!$G$2:$G$400,Carriers!$J$2:$J$400,$C23,Carriers!$K$2:$K$400,$E23,Carriers!$M$2:$M$400,1)))</f>
        <v/>
      </c>
      <c r="Q23" s="34" t="str">
        <f aca="false">IF($B23="required",INDEX(Lists!$B$2:$B$8,MATCH($G23,Lists!$A$2:$A$8,0)),"")</f>
        <v/>
      </c>
      <c r="R23" s="34" t="str">
        <f aca="false">IF($B23&lt;&gt;"required","",IF($H23&lt;&gt;"sync",TRUE(),COUNTIFS(Carriers!$J$2:$J$400,$C23,Carriers!$K$2:$K$400,$E23,Carriers!$H$2:$H$400,"sync",Carriers!$M$2:$M$400,1)&gt;0))</f>
        <v/>
      </c>
      <c r="S23" s="34" t="str">
        <f aca="false">IF($B23&lt;&gt;"required","",IF($F23&lt;5,FALSE(),IF($O23=0,FALSE(),COUNTIFS(Carriers!$J$2:$J$400,$C23,Carriers!$K$2:$K$400,$E23,Carriers!$M$2:$M$400,1,Carriers!$D$2:$D$400,"push")=0)))</f>
        <v/>
      </c>
      <c r="T23" s="39" t="str">
        <f aca="false">IF($B23&lt;&gt;"required","",IF($M23=0,"missing",IF(NOT($N23),"wrong_producer",IF($P23&gt;$Q23,"latency_gap",IF(OR(NOT($R23),$S23),"channel_mismatch","covered")))))</f>
        <v/>
      </c>
      <c r="U23" s="34" t="str">
        <f aca="false">IF($B23&lt;&gt;"required","",ROUND($F23*INDEX(Lists!$E$2:$E$6,MATCH($T23,Lists!$D$2:$D$6,0)),1))</f>
        <v/>
      </c>
      <c r="V23" s="34" t="str">
        <f aca="false">IF(AND($B23="required",$L23=GoalLens!$B$3),MAX($V$1:V22)+1,"")</f>
        <v/>
      </c>
      <c r="W23" s="34" t="str">
        <f aca="false">IFERROR(INDEX(Stakeholders!$D$2:$D$50,MATCH($D23,Stakeholders!$A$2:$A$50,0)),"")</f>
        <v>Quality</v>
      </c>
      <c r="X23" s="34" t="str">
        <f aca="false">IFERROR(INDEX(Stakeholders!$D$2:$D$50,MATCH($E23,Stakeholders!$A$2:$A$50,0)),"")</f>
        <v>Supply Chain</v>
      </c>
      <c r="Y23" s="34" t="str">
        <f aca="false">IF(OR($B23&lt;&gt;"required",$T23="covered",$T23=""),"",1+SUMPRODUCT(ISNUMBER($U$2:$U$400)*($T$2:$T$400&lt;&gt;"covered")*($T$2:$T$400&lt;&gt;"")*($U$2:$U$400&gt;$U23))+COUNTIFS($U$2:U23,$U23,$T$2:T23,"&lt;&gt;covered",$T$2:T23,"&lt;&gt;",$B$2:B23,"required")-1)</f>
        <v/>
      </c>
      <c r="Z23" s="34" t="str">
        <f aca="false">IF(AND($B23="required",$F23&gt;=4,$T23&lt;&gt;"missing",$T23&lt;&gt;"",$M23=1,COUNTIFS(Carriers!$J$2:$J$400,$C23,Carriers!$K$2:$K$400,$E23,Carriers!$M$2:$M$400,1,Carriers!$P$2:$P$400,"system_of_record")=0),MAX($Z$1:Z22)+1,"")</f>
        <v/>
      </c>
    </row>
    <row r="24" customFormat="false" ht="15" hidden="false" customHeight="true" outlineLevel="0" collapsed="false">
      <c r="A24" s="31" t="s">
        <v>409</v>
      </c>
      <c r="B24" s="31" t="s">
        <v>395</v>
      </c>
      <c r="C24" s="31" t="s">
        <v>129</v>
      </c>
      <c r="D24" s="31" t="s">
        <v>186</v>
      </c>
      <c r="E24" s="31" t="s">
        <v>106</v>
      </c>
      <c r="F24" s="31" t="n">
        <v>4</v>
      </c>
      <c r="G24" s="31"/>
      <c r="H24" s="31"/>
      <c r="I24" s="31" t="s">
        <v>410</v>
      </c>
      <c r="J24" s="31" t="s">
        <v>411</v>
      </c>
      <c r="K24" s="31"/>
      <c r="L24" s="34" t="str">
        <f aca="false">IFERROR(INDEX(Topics!$C$2:$C$100,MATCH($C24,Topics!$A$2:$A$100,0)),"")</f>
        <v>G2</v>
      </c>
      <c r="M24" s="34" t="str">
        <f aca="false">IF($B24="required",COUNTIFS($B$2:$B$400,"actual",$C$2:$C$400,$C24,$E$2:$E$400,$E24,$I$2:$I$400,"&lt;&gt;disputed"),"")</f>
        <v/>
      </c>
      <c r="N24" s="34" t="str">
        <f aca="false">IF($B24="required",COUNTIFS($B$2:$B$400,"actual",$C$2:$C$400,$C24,$E$2:$E$400,$E24,$I$2:$I$400,"&lt;&gt;disputed",$D$2:$D$400,$D24)&gt;0,"")</f>
        <v/>
      </c>
      <c r="O24" s="34" t="str">
        <f aca="false">IF($B24="required",SUMIFS(Carriers!$M$2:$M$400,Carriers!$J$2:$J$400,$C24,Carriers!$K$2:$K$400,$E24),"")</f>
        <v/>
      </c>
      <c r="P24" s="34" t="str">
        <f aca="false">IF($B24&lt;&gt;"required","",IF($O24=0,99,_xlfn.MINIFS(Carriers!$G$2:$G$400,Carriers!$J$2:$J$400,$C24,Carriers!$K$2:$K$400,$E24,Carriers!$M$2:$M$400,1)))</f>
        <v/>
      </c>
      <c r="Q24" s="34" t="str">
        <f aca="false">IF($B24="required",INDEX(Lists!$B$2:$B$8,MATCH($G24,Lists!$A$2:$A$8,0)),"")</f>
        <v/>
      </c>
      <c r="R24" s="34" t="str">
        <f aca="false">IF($B24&lt;&gt;"required","",IF($H24&lt;&gt;"sync",TRUE(),COUNTIFS(Carriers!$J$2:$J$400,$C24,Carriers!$K$2:$K$400,$E24,Carriers!$H$2:$H$400,"sync",Carriers!$M$2:$M$400,1)&gt;0))</f>
        <v/>
      </c>
      <c r="S24" s="34" t="str">
        <f aca="false">IF($B24&lt;&gt;"required","",IF($F24&lt;5,FALSE(),IF($O24=0,FALSE(),COUNTIFS(Carriers!$J$2:$J$400,$C24,Carriers!$K$2:$K$400,$E24,Carriers!$M$2:$M$400,1,Carriers!$D$2:$D$400,"push")=0)))</f>
        <v/>
      </c>
      <c r="T24" s="39" t="str">
        <f aca="false">IF($B24&lt;&gt;"required","",IF($M24=0,"missing",IF(NOT($N24),"wrong_producer",IF($P24&gt;$Q24,"latency_gap",IF(OR(NOT($R24),$S24),"channel_mismatch","covered")))))</f>
        <v/>
      </c>
      <c r="U24" s="34" t="str">
        <f aca="false">IF($B24&lt;&gt;"required","",ROUND($F24*INDEX(Lists!$E$2:$E$6,MATCH($T24,Lists!$D$2:$D$6,0)),1))</f>
        <v/>
      </c>
      <c r="V24" s="34" t="str">
        <f aca="false">IF(AND($B24="required",$L24=GoalLens!$B$3),MAX($V$1:V23)+1,"")</f>
        <v/>
      </c>
      <c r="W24" s="34" t="str">
        <f aca="false">IFERROR(INDEX(Stakeholders!$D$2:$D$50,MATCH($D24,Stakeholders!$A$2:$A$50,0)),"")</f>
        <v>External</v>
      </c>
      <c r="X24" s="34" t="str">
        <f aca="false">IFERROR(INDEX(Stakeholders!$D$2:$D$50,MATCH($E24,Stakeholders!$A$2:$A$50,0)),"")</f>
        <v>Quality</v>
      </c>
      <c r="Y24" s="34" t="str">
        <f aca="false">IF(OR($B24&lt;&gt;"required",$T24="covered",$T24=""),"",1+SUMPRODUCT(ISNUMBER($U$2:$U$400)*($T$2:$T$400&lt;&gt;"covered")*($T$2:$T$400&lt;&gt;"")*($U$2:$U$400&gt;$U24))+COUNTIFS($U$2:U24,$U24,$T$2:T24,"&lt;&gt;covered",$T$2:T24,"&lt;&gt;",$B$2:B24,"required")-1)</f>
        <v/>
      </c>
      <c r="Z24" s="34" t="str">
        <f aca="false">IF(AND($B24="required",$F24&gt;=4,$T24&lt;&gt;"missing",$T24&lt;&gt;"",$M24=1,COUNTIFS(Carriers!$J$2:$J$400,$C24,Carriers!$K$2:$K$400,$E24,Carriers!$M$2:$M$400,1,Carriers!$P$2:$P$400,"system_of_record")=0),MAX($Z$1:Z23)+1,"")</f>
        <v/>
      </c>
    </row>
    <row r="25" customFormat="false" ht="15" hidden="false" customHeight="true" outlineLevel="0" collapsed="false">
      <c r="A25" s="31" t="s">
        <v>412</v>
      </c>
      <c r="B25" s="31" t="s">
        <v>395</v>
      </c>
      <c r="C25" s="31" t="s">
        <v>148</v>
      </c>
      <c r="D25" s="31" t="s">
        <v>106</v>
      </c>
      <c r="E25" s="31" t="s">
        <v>177</v>
      </c>
      <c r="F25" s="31" t="n">
        <v>5</v>
      </c>
      <c r="G25" s="31"/>
      <c r="H25" s="31"/>
      <c r="I25" s="31" t="s">
        <v>396</v>
      </c>
      <c r="J25" s="31" t="s">
        <v>413</v>
      </c>
      <c r="K25" s="31"/>
      <c r="L25" s="34" t="str">
        <f aca="false">IFERROR(INDEX(Topics!$C$2:$C$100,MATCH($C25,Topics!$A$2:$A$100,0)),"")</f>
        <v>G2</v>
      </c>
      <c r="M25" s="34" t="str">
        <f aca="false">IF($B25="required",COUNTIFS($B$2:$B$400,"actual",$C$2:$C$400,$C25,$E$2:$E$400,$E25,$I$2:$I$400,"&lt;&gt;disputed"),"")</f>
        <v/>
      </c>
      <c r="N25" s="34" t="str">
        <f aca="false">IF($B25="required",COUNTIFS($B$2:$B$400,"actual",$C$2:$C$400,$C25,$E$2:$E$400,$E25,$I$2:$I$400,"&lt;&gt;disputed",$D$2:$D$400,$D25)&gt;0,"")</f>
        <v/>
      </c>
      <c r="O25" s="34" t="str">
        <f aca="false">IF($B25="required",SUMIFS(Carriers!$M$2:$M$400,Carriers!$J$2:$J$400,$C25,Carriers!$K$2:$K$400,$E25),"")</f>
        <v/>
      </c>
      <c r="P25" s="34" t="str">
        <f aca="false">IF($B25&lt;&gt;"required","",IF($O25=0,99,_xlfn.MINIFS(Carriers!$G$2:$G$400,Carriers!$J$2:$J$400,$C25,Carriers!$K$2:$K$400,$E25,Carriers!$M$2:$M$400,1)))</f>
        <v/>
      </c>
      <c r="Q25" s="34" t="str">
        <f aca="false">IF($B25="required",INDEX(Lists!$B$2:$B$8,MATCH($G25,Lists!$A$2:$A$8,0)),"")</f>
        <v/>
      </c>
      <c r="R25" s="34" t="str">
        <f aca="false">IF($B25&lt;&gt;"required","",IF($H25&lt;&gt;"sync",TRUE(),COUNTIFS(Carriers!$J$2:$J$400,$C25,Carriers!$K$2:$K$400,$E25,Carriers!$H$2:$H$400,"sync",Carriers!$M$2:$M$400,1)&gt;0))</f>
        <v/>
      </c>
      <c r="S25" s="34" t="str">
        <f aca="false">IF($B25&lt;&gt;"required","",IF($F25&lt;5,FALSE(),IF($O25=0,FALSE(),COUNTIFS(Carriers!$J$2:$J$400,$C25,Carriers!$K$2:$K$400,$E25,Carriers!$M$2:$M$400,1,Carriers!$D$2:$D$400,"push")=0)))</f>
        <v/>
      </c>
      <c r="T25" s="39" t="str">
        <f aca="false">IF($B25&lt;&gt;"required","",IF($M25=0,"missing",IF(NOT($N25),"wrong_producer",IF($P25&gt;$Q25,"latency_gap",IF(OR(NOT($R25),$S25),"channel_mismatch","covered")))))</f>
        <v/>
      </c>
      <c r="U25" s="34" t="str">
        <f aca="false">IF($B25&lt;&gt;"required","",ROUND($F25*INDEX(Lists!$E$2:$E$6,MATCH($T25,Lists!$D$2:$D$6,0)),1))</f>
        <v/>
      </c>
      <c r="V25" s="34" t="str">
        <f aca="false">IF(AND($B25="required",$L25=GoalLens!$B$3),MAX($V$1:V24)+1,"")</f>
        <v/>
      </c>
      <c r="W25" s="34" t="str">
        <f aca="false">IFERROR(INDEX(Stakeholders!$D$2:$D$50,MATCH($D25,Stakeholders!$A$2:$A$50,0)),"")</f>
        <v>Quality</v>
      </c>
      <c r="X25" s="34" t="str">
        <f aca="false">IFERROR(INDEX(Stakeholders!$D$2:$D$50,MATCH($E25,Stakeholders!$A$2:$A$50,0)),"")</f>
        <v>Operations</v>
      </c>
      <c r="Y25" s="34" t="str">
        <f aca="false">IF(OR($B25&lt;&gt;"required",$T25="covered",$T25=""),"",1+SUMPRODUCT(ISNUMBER($U$2:$U$400)*($T$2:$T$400&lt;&gt;"covered")*($T$2:$T$400&lt;&gt;"")*($U$2:$U$400&gt;$U25))+COUNTIFS($U$2:U25,$U25,$T$2:T25,"&lt;&gt;covered",$T$2:T25,"&lt;&gt;",$B$2:B25,"required")-1)</f>
        <v/>
      </c>
      <c r="Z25" s="34" t="str">
        <f aca="false">IF(AND($B25="required",$F25&gt;=4,$T25&lt;&gt;"missing",$T25&lt;&gt;"",$M25=1,COUNTIFS(Carriers!$J$2:$J$400,$C25,Carriers!$K$2:$K$400,$E25,Carriers!$M$2:$M$400,1,Carriers!$P$2:$P$400,"system_of_record")=0),MAX($Z$1:Z24)+1,"")</f>
        <v/>
      </c>
    </row>
    <row r="26" customFormat="false" ht="15" hidden="false" customHeight="true" outlineLevel="0" collapsed="false">
      <c r="A26" s="31" t="s">
        <v>414</v>
      </c>
      <c r="B26" s="31" t="s">
        <v>395</v>
      </c>
      <c r="C26" s="31" t="s">
        <v>148</v>
      </c>
      <c r="D26" s="31" t="s">
        <v>106</v>
      </c>
      <c r="E26" s="31" t="s">
        <v>174</v>
      </c>
      <c r="F26" s="31" t="n">
        <v>5</v>
      </c>
      <c r="G26" s="31"/>
      <c r="H26" s="31"/>
      <c r="I26" s="31" t="s">
        <v>396</v>
      </c>
      <c r="J26" s="31" t="s">
        <v>415</v>
      </c>
      <c r="K26" s="31"/>
      <c r="L26" s="34" t="str">
        <f aca="false">IFERROR(INDEX(Topics!$C$2:$C$100,MATCH($C26,Topics!$A$2:$A$100,0)),"")</f>
        <v>G2</v>
      </c>
      <c r="M26" s="34" t="str">
        <f aca="false">IF($B26="required",COUNTIFS($B$2:$B$400,"actual",$C$2:$C$400,$C26,$E$2:$E$400,$E26,$I$2:$I$400,"&lt;&gt;disputed"),"")</f>
        <v/>
      </c>
      <c r="N26" s="34" t="str">
        <f aca="false">IF($B26="required",COUNTIFS($B$2:$B$400,"actual",$C$2:$C$400,$C26,$E$2:$E$400,$E26,$I$2:$I$400,"&lt;&gt;disputed",$D$2:$D$400,$D26)&gt;0,"")</f>
        <v/>
      </c>
      <c r="O26" s="34" t="str">
        <f aca="false">IF($B26="required",SUMIFS(Carriers!$M$2:$M$400,Carriers!$J$2:$J$400,$C26,Carriers!$K$2:$K$400,$E26),"")</f>
        <v/>
      </c>
      <c r="P26" s="34" t="str">
        <f aca="false">IF($B26&lt;&gt;"required","",IF($O26=0,99,_xlfn.MINIFS(Carriers!$G$2:$G$400,Carriers!$J$2:$J$400,$C26,Carriers!$K$2:$K$400,$E26,Carriers!$M$2:$M$400,1)))</f>
        <v/>
      </c>
      <c r="Q26" s="34" t="str">
        <f aca="false">IF($B26="required",INDEX(Lists!$B$2:$B$8,MATCH($G26,Lists!$A$2:$A$8,0)),"")</f>
        <v/>
      </c>
      <c r="R26" s="34" t="str">
        <f aca="false">IF($B26&lt;&gt;"required","",IF($H26&lt;&gt;"sync",TRUE(),COUNTIFS(Carriers!$J$2:$J$400,$C26,Carriers!$K$2:$K$400,$E26,Carriers!$H$2:$H$400,"sync",Carriers!$M$2:$M$400,1)&gt;0))</f>
        <v/>
      </c>
      <c r="S26" s="34" t="str">
        <f aca="false">IF($B26&lt;&gt;"required","",IF($F26&lt;5,FALSE(),IF($O26=0,FALSE(),COUNTIFS(Carriers!$J$2:$J$400,$C26,Carriers!$K$2:$K$400,$E26,Carriers!$M$2:$M$400,1,Carriers!$D$2:$D$400,"push")=0)))</f>
        <v/>
      </c>
      <c r="T26" s="39" t="str">
        <f aca="false">IF($B26&lt;&gt;"required","",IF($M26=0,"missing",IF(NOT($N26),"wrong_producer",IF($P26&gt;$Q26,"latency_gap",IF(OR(NOT($R26),$S26),"channel_mismatch","covered")))))</f>
        <v/>
      </c>
      <c r="U26" s="34" t="str">
        <f aca="false">IF($B26&lt;&gt;"required","",ROUND($F26*INDEX(Lists!$E$2:$E$6,MATCH($T26,Lists!$D$2:$D$6,0)),1))</f>
        <v/>
      </c>
      <c r="V26" s="34" t="str">
        <f aca="false">IF(AND($B26="required",$L26=GoalLens!$B$3),MAX($V$1:V25)+1,"")</f>
        <v/>
      </c>
      <c r="W26" s="34" t="str">
        <f aca="false">IFERROR(INDEX(Stakeholders!$D$2:$D$50,MATCH($D26,Stakeholders!$A$2:$A$50,0)),"")</f>
        <v>Quality</v>
      </c>
      <c r="X26" s="34" t="str">
        <f aca="false">IFERROR(INDEX(Stakeholders!$D$2:$D$50,MATCH($E26,Stakeholders!$A$2:$A$50,0)),"")</f>
        <v>Quality</v>
      </c>
      <c r="Y26" s="34" t="str">
        <f aca="false">IF(OR($B26&lt;&gt;"required",$T26="covered",$T26=""),"",1+SUMPRODUCT(ISNUMBER($U$2:$U$400)*($T$2:$T$400&lt;&gt;"covered")*($T$2:$T$400&lt;&gt;"")*($U$2:$U$400&gt;$U26))+COUNTIFS($U$2:U26,$U26,$T$2:T26,"&lt;&gt;covered",$T$2:T26,"&lt;&gt;",$B$2:B26,"required")-1)</f>
        <v/>
      </c>
      <c r="Z26" s="34" t="str">
        <f aca="false">IF(AND($B26="required",$F26&gt;=4,$T26&lt;&gt;"missing",$T26&lt;&gt;"",$M26=1,COUNTIFS(Carriers!$J$2:$J$400,$C26,Carriers!$K$2:$K$400,$E26,Carriers!$M$2:$M$400,1,Carriers!$P$2:$P$400,"system_of_record")=0),MAX($Z$1:Z25)+1,"")</f>
        <v/>
      </c>
    </row>
    <row r="27" customFormat="false" ht="15" hidden="false" customHeight="true" outlineLevel="0" collapsed="false">
      <c r="A27" s="31" t="s">
        <v>416</v>
      </c>
      <c r="B27" s="31" t="s">
        <v>395</v>
      </c>
      <c r="C27" s="31" t="s">
        <v>140</v>
      </c>
      <c r="D27" s="31" t="s">
        <v>169</v>
      </c>
      <c r="E27" s="31" t="s">
        <v>110</v>
      </c>
      <c r="F27" s="31" t="n">
        <v>3</v>
      </c>
      <c r="G27" s="31"/>
      <c r="H27" s="31"/>
      <c r="I27" s="31" t="s">
        <v>396</v>
      </c>
      <c r="J27" s="31" t="s">
        <v>417</v>
      </c>
      <c r="K27" s="31"/>
      <c r="L27" s="34" t="str">
        <f aca="false">IFERROR(INDEX(Topics!$C$2:$C$100,MATCH($C27,Topics!$A$2:$A$100,0)),"")</f>
        <v>G3</v>
      </c>
      <c r="M27" s="34" t="str">
        <f aca="false">IF($B27="required",COUNTIFS($B$2:$B$400,"actual",$C$2:$C$400,$C27,$E$2:$E$400,$E27,$I$2:$I$400,"&lt;&gt;disputed"),"")</f>
        <v/>
      </c>
      <c r="N27" s="34" t="str">
        <f aca="false">IF($B27="required",COUNTIFS($B$2:$B$400,"actual",$C$2:$C$400,$C27,$E$2:$E$400,$E27,$I$2:$I$400,"&lt;&gt;disputed",$D$2:$D$400,$D27)&gt;0,"")</f>
        <v/>
      </c>
      <c r="O27" s="34" t="str">
        <f aca="false">IF($B27="required",SUMIFS(Carriers!$M$2:$M$400,Carriers!$J$2:$J$400,$C27,Carriers!$K$2:$K$400,$E27),"")</f>
        <v/>
      </c>
      <c r="P27" s="34" t="str">
        <f aca="false">IF($B27&lt;&gt;"required","",IF($O27=0,99,_xlfn.MINIFS(Carriers!$G$2:$G$400,Carriers!$J$2:$J$400,$C27,Carriers!$K$2:$K$400,$E27,Carriers!$M$2:$M$400,1)))</f>
        <v/>
      </c>
      <c r="Q27" s="34" t="str">
        <f aca="false">IF($B27="required",INDEX(Lists!$B$2:$B$8,MATCH($G27,Lists!$A$2:$A$8,0)),"")</f>
        <v/>
      </c>
      <c r="R27" s="34" t="str">
        <f aca="false">IF($B27&lt;&gt;"required","",IF($H27&lt;&gt;"sync",TRUE(),COUNTIFS(Carriers!$J$2:$J$400,$C27,Carriers!$K$2:$K$400,$E27,Carriers!$H$2:$H$400,"sync",Carriers!$M$2:$M$400,1)&gt;0))</f>
        <v/>
      </c>
      <c r="S27" s="34" t="str">
        <f aca="false">IF($B27&lt;&gt;"required","",IF($F27&lt;5,FALSE(),IF($O27=0,FALSE(),COUNTIFS(Carriers!$J$2:$J$400,$C27,Carriers!$K$2:$K$400,$E27,Carriers!$M$2:$M$400,1,Carriers!$D$2:$D$400,"push")=0)))</f>
        <v/>
      </c>
      <c r="T27" s="39" t="str">
        <f aca="false">IF($B27&lt;&gt;"required","",IF($M27=0,"missing",IF(NOT($N27),"wrong_producer",IF($P27&gt;$Q27,"latency_gap",IF(OR(NOT($R27),$S27),"channel_mismatch","covered")))))</f>
        <v/>
      </c>
      <c r="U27" s="34" t="str">
        <f aca="false">IF($B27&lt;&gt;"required","",ROUND($F27*INDEX(Lists!$E$2:$E$6,MATCH($T27,Lists!$D$2:$D$6,0)),1))</f>
        <v/>
      </c>
      <c r="V27" s="34" t="str">
        <f aca="false">IF(AND($B27="required",$L27=GoalLens!$B$3),MAX($V$1:V26)+1,"")</f>
        <v/>
      </c>
      <c r="W27" s="34" t="str">
        <f aca="false">IFERROR(INDEX(Stakeholders!$D$2:$D$50,MATCH($D27,Stakeholders!$A$2:$A$50,0)),"")</f>
        <v>Quality</v>
      </c>
      <c r="X27" s="34" t="str">
        <f aca="false">IFERROR(INDEX(Stakeholders!$D$2:$D$50,MATCH($E27,Stakeholders!$A$2:$A$50,0)),"")</f>
        <v>Supply Chain</v>
      </c>
      <c r="Y27" s="34" t="str">
        <f aca="false">IF(OR($B27&lt;&gt;"required",$T27="covered",$T27=""),"",1+SUMPRODUCT(ISNUMBER($U$2:$U$400)*($T$2:$T$400&lt;&gt;"covered")*($T$2:$T$400&lt;&gt;"")*($U$2:$U$400&gt;$U27))+COUNTIFS($U$2:U27,$U27,$T$2:T27,"&lt;&gt;covered",$T$2:T27,"&lt;&gt;",$B$2:B27,"required")-1)</f>
        <v/>
      </c>
      <c r="Z27" s="34" t="str">
        <f aca="false">IF(AND($B27="required",$F27&gt;=4,$T27&lt;&gt;"missing",$T27&lt;&gt;"",$M27=1,COUNTIFS(Carriers!$J$2:$J$400,$C27,Carriers!$K$2:$K$400,$E27,Carriers!$M$2:$M$400,1,Carriers!$P$2:$P$400,"system_of_record")=0),MAX($Z$1:Z26)+1,"")</f>
        <v/>
      </c>
    </row>
    <row r="28" customFormat="false" ht="15" hidden="false" customHeight="true" outlineLevel="0" collapsed="false">
      <c r="A28" s="31" t="s">
        <v>418</v>
      </c>
      <c r="B28" s="31" t="s">
        <v>395</v>
      </c>
      <c r="C28" s="31" t="s">
        <v>140</v>
      </c>
      <c r="D28" s="31" t="s">
        <v>110</v>
      </c>
      <c r="E28" s="31" t="s">
        <v>183</v>
      </c>
      <c r="F28" s="31" t="n">
        <v>2</v>
      </c>
      <c r="G28" s="31"/>
      <c r="H28" s="31"/>
      <c r="I28" s="31" t="s">
        <v>396</v>
      </c>
      <c r="J28" s="31" t="s">
        <v>419</v>
      </c>
      <c r="K28" s="31"/>
      <c r="L28" s="34" t="str">
        <f aca="false">IFERROR(INDEX(Topics!$C$2:$C$100,MATCH($C28,Topics!$A$2:$A$100,0)),"")</f>
        <v>G3</v>
      </c>
      <c r="M28" s="34" t="str">
        <f aca="false">IF($B28="required",COUNTIFS($B$2:$B$400,"actual",$C$2:$C$400,$C28,$E$2:$E$400,$E28,$I$2:$I$400,"&lt;&gt;disputed"),"")</f>
        <v/>
      </c>
      <c r="N28" s="34" t="str">
        <f aca="false">IF($B28="required",COUNTIFS($B$2:$B$400,"actual",$C$2:$C$400,$C28,$E$2:$E$400,$E28,$I$2:$I$400,"&lt;&gt;disputed",$D$2:$D$400,$D28)&gt;0,"")</f>
        <v/>
      </c>
      <c r="O28" s="34" t="str">
        <f aca="false">IF($B28="required",SUMIFS(Carriers!$M$2:$M$400,Carriers!$J$2:$J$400,$C28,Carriers!$K$2:$K$400,$E28),"")</f>
        <v/>
      </c>
      <c r="P28" s="34" t="str">
        <f aca="false">IF($B28&lt;&gt;"required","",IF($O28=0,99,_xlfn.MINIFS(Carriers!$G$2:$G$400,Carriers!$J$2:$J$400,$C28,Carriers!$K$2:$K$400,$E28,Carriers!$M$2:$M$400,1)))</f>
        <v/>
      </c>
      <c r="Q28" s="34" t="str">
        <f aca="false">IF($B28="required",INDEX(Lists!$B$2:$B$8,MATCH($G28,Lists!$A$2:$A$8,0)),"")</f>
        <v/>
      </c>
      <c r="R28" s="34" t="str">
        <f aca="false">IF($B28&lt;&gt;"required","",IF($H28&lt;&gt;"sync",TRUE(),COUNTIFS(Carriers!$J$2:$J$400,$C28,Carriers!$K$2:$K$400,$E28,Carriers!$H$2:$H$400,"sync",Carriers!$M$2:$M$400,1)&gt;0))</f>
        <v/>
      </c>
      <c r="S28" s="34" t="str">
        <f aca="false">IF($B28&lt;&gt;"required","",IF($F28&lt;5,FALSE(),IF($O28=0,FALSE(),COUNTIFS(Carriers!$J$2:$J$400,$C28,Carriers!$K$2:$K$400,$E28,Carriers!$M$2:$M$400,1,Carriers!$D$2:$D$400,"push")=0)))</f>
        <v/>
      </c>
      <c r="T28" s="39" t="str">
        <f aca="false">IF($B28&lt;&gt;"required","",IF($M28=0,"missing",IF(NOT($N28),"wrong_producer",IF($P28&gt;$Q28,"latency_gap",IF(OR(NOT($R28),$S28),"channel_mismatch","covered")))))</f>
        <v/>
      </c>
      <c r="U28" s="34" t="str">
        <f aca="false">IF($B28&lt;&gt;"required","",ROUND($F28*INDEX(Lists!$E$2:$E$6,MATCH($T28,Lists!$D$2:$D$6,0)),1))</f>
        <v/>
      </c>
      <c r="V28" s="34" t="str">
        <f aca="false">IF(AND($B28="required",$L28=GoalLens!$B$3),MAX($V$1:V27)+1,"")</f>
        <v/>
      </c>
      <c r="W28" s="34" t="str">
        <f aca="false">IFERROR(INDEX(Stakeholders!$D$2:$D$50,MATCH($D28,Stakeholders!$A$2:$A$50,0)),"")</f>
        <v>Supply Chain</v>
      </c>
      <c r="X28" s="34" t="str">
        <f aca="false">IFERROR(INDEX(Stakeholders!$D$2:$D$50,MATCH($E28,Stakeholders!$A$2:$A$50,0)),"")</f>
        <v>Operations</v>
      </c>
      <c r="Y28" s="34" t="str">
        <f aca="false">IF(OR($B28&lt;&gt;"required",$T28="covered",$T28=""),"",1+SUMPRODUCT(ISNUMBER($U$2:$U$400)*($T$2:$T$400&lt;&gt;"covered")*($T$2:$T$400&lt;&gt;"")*($U$2:$U$400&gt;$U28))+COUNTIFS($U$2:U28,$U28,$T$2:T28,"&lt;&gt;covered",$T$2:T28,"&lt;&gt;",$B$2:B28,"required")-1)</f>
        <v/>
      </c>
      <c r="Z28" s="34" t="str">
        <f aca="false">IF(AND($B28="required",$F28&gt;=4,$T28&lt;&gt;"missing",$T28&lt;&gt;"",$M28=1,COUNTIFS(Carriers!$J$2:$J$400,$C28,Carriers!$K$2:$K$400,$E28,Carriers!$M$2:$M$400,1,Carriers!$P$2:$P$400,"system_of_record")=0),MAX($Z$1:Z27)+1,"")</f>
        <v/>
      </c>
    </row>
    <row r="29" customFormat="false" ht="15" hidden="false" customHeight="true" outlineLevel="0" collapsed="false">
      <c r="A29" s="31" t="s">
        <v>420</v>
      </c>
      <c r="B29" s="31" t="s">
        <v>395</v>
      </c>
      <c r="C29" s="31" t="s">
        <v>144</v>
      </c>
      <c r="D29" s="31" t="s">
        <v>190</v>
      </c>
      <c r="E29" s="31" t="s">
        <v>101</v>
      </c>
      <c r="F29" s="31" t="n">
        <v>4</v>
      </c>
      <c r="G29" s="31"/>
      <c r="H29" s="31"/>
      <c r="I29" s="31" t="s">
        <v>396</v>
      </c>
      <c r="J29" s="31" t="s">
        <v>421</v>
      </c>
      <c r="K29" s="31"/>
      <c r="L29" s="34" t="str">
        <f aca="false">IFERROR(INDEX(Topics!$C$2:$C$100,MATCH($C29,Topics!$A$2:$A$100,0)),"")</f>
        <v>G4</v>
      </c>
      <c r="M29" s="34" t="str">
        <f aca="false">IF($B29="required",COUNTIFS($B$2:$B$400,"actual",$C$2:$C$400,$C29,$E$2:$E$400,$E29,$I$2:$I$400,"&lt;&gt;disputed"),"")</f>
        <v/>
      </c>
      <c r="N29" s="34" t="str">
        <f aca="false">IF($B29="required",COUNTIFS($B$2:$B$400,"actual",$C$2:$C$400,$C29,$E$2:$E$400,$E29,$I$2:$I$400,"&lt;&gt;disputed",$D$2:$D$400,$D29)&gt;0,"")</f>
        <v/>
      </c>
      <c r="O29" s="34" t="str">
        <f aca="false">IF($B29="required",SUMIFS(Carriers!$M$2:$M$400,Carriers!$J$2:$J$400,$C29,Carriers!$K$2:$K$400,$E29),"")</f>
        <v/>
      </c>
      <c r="P29" s="34" t="str">
        <f aca="false">IF($B29&lt;&gt;"required","",IF($O29=0,99,_xlfn.MINIFS(Carriers!$G$2:$G$400,Carriers!$J$2:$J$400,$C29,Carriers!$K$2:$K$400,$E29,Carriers!$M$2:$M$400,1)))</f>
        <v/>
      </c>
      <c r="Q29" s="34" t="str">
        <f aca="false">IF($B29="required",INDEX(Lists!$B$2:$B$8,MATCH($G29,Lists!$A$2:$A$8,0)),"")</f>
        <v/>
      </c>
      <c r="R29" s="34" t="str">
        <f aca="false">IF($B29&lt;&gt;"required","",IF($H29&lt;&gt;"sync",TRUE(),COUNTIFS(Carriers!$J$2:$J$400,$C29,Carriers!$K$2:$K$400,$E29,Carriers!$H$2:$H$400,"sync",Carriers!$M$2:$M$400,1)&gt;0))</f>
        <v/>
      </c>
      <c r="S29" s="34" t="str">
        <f aca="false">IF($B29&lt;&gt;"required","",IF($F29&lt;5,FALSE(),IF($O29=0,FALSE(),COUNTIFS(Carriers!$J$2:$J$400,$C29,Carriers!$K$2:$K$400,$E29,Carriers!$M$2:$M$400,1,Carriers!$D$2:$D$400,"push")=0)))</f>
        <v/>
      </c>
      <c r="T29" s="39" t="str">
        <f aca="false">IF($B29&lt;&gt;"required","",IF($M29=0,"missing",IF(NOT($N29),"wrong_producer",IF($P29&gt;$Q29,"latency_gap",IF(OR(NOT($R29),$S29),"channel_mismatch","covered")))))</f>
        <v/>
      </c>
      <c r="U29" s="34" t="str">
        <f aca="false">IF($B29&lt;&gt;"required","",ROUND($F29*INDEX(Lists!$E$2:$E$6,MATCH($T29,Lists!$D$2:$D$6,0)),1))</f>
        <v/>
      </c>
      <c r="V29" s="34" t="str">
        <f aca="false">IF(AND($B29="required",$L29=GoalLens!$B$3),MAX($V$1:V28)+1,"")</f>
        <v/>
      </c>
      <c r="W29" s="34" t="str">
        <f aca="false">IFERROR(INDEX(Stakeholders!$D$2:$D$50,MATCH($D29,Stakeholders!$A$2:$A$50,0)),"")</f>
        <v>Quality</v>
      </c>
      <c r="X29" s="34" t="str">
        <f aca="false">IFERROR(INDEX(Stakeholders!$D$2:$D$50,MATCH($E29,Stakeholders!$A$2:$A$50,0)),"")</f>
        <v>Quality</v>
      </c>
      <c r="Y29" s="34" t="str">
        <f aca="false">IF(OR($B29&lt;&gt;"required",$T29="covered",$T29=""),"",1+SUMPRODUCT(ISNUMBER($U$2:$U$400)*($T$2:$T$400&lt;&gt;"covered")*($T$2:$T$400&lt;&gt;"")*($U$2:$U$400&gt;$U29))+COUNTIFS($U$2:U29,$U29,$T$2:T29,"&lt;&gt;covered",$T$2:T29,"&lt;&gt;",$B$2:B29,"required")-1)</f>
        <v/>
      </c>
      <c r="Z29" s="34" t="str">
        <f aca="false">IF(AND($B29="required",$F29&gt;=4,$T29&lt;&gt;"missing",$T29&lt;&gt;"",$M29=1,COUNTIFS(Carriers!$J$2:$J$400,$C29,Carriers!$K$2:$K$400,$E29,Carriers!$M$2:$M$400,1,Carriers!$P$2:$P$400,"system_of_record")=0),MAX($Z$1:Z28)+1,"")</f>
        <v/>
      </c>
    </row>
    <row r="30" customFormat="false" ht="15" hidden="false" customHeight="true" outlineLevel="0" collapsed="false">
      <c r="A30" s="31" t="s">
        <v>422</v>
      </c>
      <c r="B30" s="31" t="s">
        <v>395</v>
      </c>
      <c r="C30" s="31" t="s">
        <v>152</v>
      </c>
      <c r="D30" s="31" t="s">
        <v>177</v>
      </c>
      <c r="E30" s="31" t="s">
        <v>183</v>
      </c>
      <c r="F30" s="31" t="n">
        <v>2</v>
      </c>
      <c r="G30" s="31"/>
      <c r="H30" s="31"/>
      <c r="I30" s="31" t="s">
        <v>396</v>
      </c>
      <c r="J30" s="31" t="s">
        <v>423</v>
      </c>
      <c r="K30" s="31"/>
      <c r="L30" s="34" t="str">
        <f aca="false">IFERROR(INDEX(Topics!$C$2:$C$100,MATCH($C30,Topics!$A$2:$A$100,0)),"")</f>
        <v>G1</v>
      </c>
      <c r="M30" s="34" t="str">
        <f aca="false">IF($B30="required",COUNTIFS($B$2:$B$400,"actual",$C$2:$C$400,$C30,$E$2:$E$400,$E30,$I$2:$I$400,"&lt;&gt;disputed"),"")</f>
        <v/>
      </c>
      <c r="N30" s="34" t="str">
        <f aca="false">IF($B30="required",COUNTIFS($B$2:$B$400,"actual",$C$2:$C$400,$C30,$E$2:$E$400,$E30,$I$2:$I$400,"&lt;&gt;disputed",$D$2:$D$400,$D30)&gt;0,"")</f>
        <v/>
      </c>
      <c r="O30" s="34" t="str">
        <f aca="false">IF($B30="required",SUMIFS(Carriers!$M$2:$M$400,Carriers!$J$2:$J$400,$C30,Carriers!$K$2:$K$400,$E30),"")</f>
        <v/>
      </c>
      <c r="P30" s="34" t="str">
        <f aca="false">IF($B30&lt;&gt;"required","",IF($O30=0,99,_xlfn.MINIFS(Carriers!$G$2:$G$400,Carriers!$J$2:$J$400,$C30,Carriers!$K$2:$K$400,$E30,Carriers!$M$2:$M$400,1)))</f>
        <v/>
      </c>
      <c r="Q30" s="34" t="str">
        <f aca="false">IF($B30="required",INDEX(Lists!$B$2:$B$8,MATCH($G30,Lists!$A$2:$A$8,0)),"")</f>
        <v/>
      </c>
      <c r="R30" s="34" t="str">
        <f aca="false">IF($B30&lt;&gt;"required","",IF($H30&lt;&gt;"sync",TRUE(),COUNTIFS(Carriers!$J$2:$J$400,$C30,Carriers!$K$2:$K$400,$E30,Carriers!$H$2:$H$400,"sync",Carriers!$M$2:$M$400,1)&gt;0))</f>
        <v/>
      </c>
      <c r="S30" s="34" t="str">
        <f aca="false">IF($B30&lt;&gt;"required","",IF($F30&lt;5,FALSE(),IF($O30=0,FALSE(),COUNTIFS(Carriers!$J$2:$J$400,$C30,Carriers!$K$2:$K$400,$E30,Carriers!$M$2:$M$400,1,Carriers!$D$2:$D$400,"push")=0)))</f>
        <v/>
      </c>
      <c r="T30" s="39" t="str">
        <f aca="false">IF($B30&lt;&gt;"required","",IF($M30=0,"missing",IF(NOT($N30),"wrong_producer",IF($P30&gt;$Q30,"latency_gap",IF(OR(NOT($R30),$S30),"channel_mismatch","covered")))))</f>
        <v/>
      </c>
      <c r="U30" s="34" t="str">
        <f aca="false">IF($B30&lt;&gt;"required","",ROUND($F30*INDEX(Lists!$E$2:$E$6,MATCH($T30,Lists!$D$2:$D$6,0)),1))</f>
        <v/>
      </c>
      <c r="V30" s="34" t="str">
        <f aca="false">IF(AND($B30="required",$L30=GoalLens!$B$3),MAX($V$1:V29)+1,"")</f>
        <v/>
      </c>
      <c r="W30" s="34" t="str">
        <f aca="false">IFERROR(INDEX(Stakeholders!$D$2:$D$50,MATCH($D30,Stakeholders!$A$2:$A$50,0)),"")</f>
        <v>Operations</v>
      </c>
      <c r="X30" s="34" t="str">
        <f aca="false">IFERROR(INDEX(Stakeholders!$D$2:$D$50,MATCH($E30,Stakeholders!$A$2:$A$50,0)),"")</f>
        <v>Operations</v>
      </c>
      <c r="Y30" s="34" t="str">
        <f aca="false">IF(OR($B30&lt;&gt;"required",$T30="covered",$T30=""),"",1+SUMPRODUCT(ISNUMBER($U$2:$U$400)*($T$2:$T$400&lt;&gt;"covered")*($T$2:$T$400&lt;&gt;"")*($U$2:$U$400&gt;$U30))+COUNTIFS($U$2:U30,$U30,$T$2:T30,"&lt;&gt;covered",$T$2:T30,"&lt;&gt;",$B$2:B30,"required")-1)</f>
        <v/>
      </c>
      <c r="Z30" s="34" t="str">
        <f aca="false">IF(AND($B30="required",$F30&gt;=4,$T30&lt;&gt;"missing",$T30&lt;&gt;"",$M30=1,COUNTIFS(Carriers!$J$2:$J$400,$C30,Carriers!$K$2:$K$400,$E30,Carriers!$M$2:$M$400,1,Carriers!$P$2:$P$400,"system_of_record")=0),MAX($Z$1:Z29)+1,"")</f>
        <v/>
      </c>
    </row>
    <row r="31" customFormat="false" ht="15" hidden="false" customHeight="true" outlineLevel="0" collapsed="false">
      <c r="A31" s="31" t="s">
        <v>424</v>
      </c>
      <c r="B31" s="31" t="s">
        <v>395</v>
      </c>
      <c r="C31" s="31" t="s">
        <v>152</v>
      </c>
      <c r="D31" s="31" t="s">
        <v>177</v>
      </c>
      <c r="E31" s="31" t="s">
        <v>190</v>
      </c>
      <c r="F31" s="31" t="n">
        <v>2</v>
      </c>
      <c r="G31" s="31"/>
      <c r="H31" s="31"/>
      <c r="I31" s="31" t="s">
        <v>396</v>
      </c>
      <c r="J31" s="31" t="s">
        <v>425</v>
      </c>
      <c r="K31" s="31"/>
      <c r="L31" s="34" t="str">
        <f aca="false">IFERROR(INDEX(Topics!$C$2:$C$100,MATCH($C31,Topics!$A$2:$A$100,0)),"")</f>
        <v>G1</v>
      </c>
      <c r="M31" s="34" t="str">
        <f aca="false">IF($B31="required",COUNTIFS($B$2:$B$400,"actual",$C$2:$C$400,$C31,$E$2:$E$400,$E31,$I$2:$I$400,"&lt;&gt;disputed"),"")</f>
        <v/>
      </c>
      <c r="N31" s="34" t="str">
        <f aca="false">IF($B31="required",COUNTIFS($B$2:$B$400,"actual",$C$2:$C$400,$C31,$E$2:$E$400,$E31,$I$2:$I$400,"&lt;&gt;disputed",$D$2:$D$400,$D31)&gt;0,"")</f>
        <v/>
      </c>
      <c r="O31" s="34" t="str">
        <f aca="false">IF($B31="required",SUMIFS(Carriers!$M$2:$M$400,Carriers!$J$2:$J$400,$C31,Carriers!$K$2:$K$400,$E31),"")</f>
        <v/>
      </c>
      <c r="P31" s="34" t="str">
        <f aca="false">IF($B31&lt;&gt;"required","",IF($O31=0,99,_xlfn.MINIFS(Carriers!$G$2:$G$400,Carriers!$J$2:$J$400,$C31,Carriers!$K$2:$K$400,$E31,Carriers!$M$2:$M$400,1)))</f>
        <v/>
      </c>
      <c r="Q31" s="34" t="str">
        <f aca="false">IF($B31="required",INDEX(Lists!$B$2:$B$8,MATCH($G31,Lists!$A$2:$A$8,0)),"")</f>
        <v/>
      </c>
      <c r="R31" s="34" t="str">
        <f aca="false">IF($B31&lt;&gt;"required","",IF($H31&lt;&gt;"sync",TRUE(),COUNTIFS(Carriers!$J$2:$J$400,$C31,Carriers!$K$2:$K$400,$E31,Carriers!$H$2:$H$400,"sync",Carriers!$M$2:$M$400,1)&gt;0))</f>
        <v/>
      </c>
      <c r="S31" s="34" t="str">
        <f aca="false">IF($B31&lt;&gt;"required","",IF($F31&lt;5,FALSE(),IF($O31=0,FALSE(),COUNTIFS(Carriers!$J$2:$J$400,$C31,Carriers!$K$2:$K$400,$E31,Carriers!$M$2:$M$400,1,Carriers!$D$2:$D$400,"push")=0)))</f>
        <v/>
      </c>
      <c r="T31" s="39" t="str">
        <f aca="false">IF($B31&lt;&gt;"required","",IF($M31=0,"missing",IF(NOT($N31),"wrong_producer",IF($P31&gt;$Q31,"latency_gap",IF(OR(NOT($R31),$S31),"channel_mismatch","covered")))))</f>
        <v/>
      </c>
      <c r="U31" s="34" t="str">
        <f aca="false">IF($B31&lt;&gt;"required","",ROUND($F31*INDEX(Lists!$E$2:$E$6,MATCH($T31,Lists!$D$2:$D$6,0)),1))</f>
        <v/>
      </c>
      <c r="V31" s="34" t="str">
        <f aca="false">IF(AND($B31="required",$L31=GoalLens!$B$3),MAX($V$1:V30)+1,"")</f>
        <v/>
      </c>
      <c r="W31" s="34" t="str">
        <f aca="false">IFERROR(INDEX(Stakeholders!$D$2:$D$50,MATCH($D31,Stakeholders!$A$2:$A$50,0)),"")</f>
        <v>Operations</v>
      </c>
      <c r="X31" s="34" t="str">
        <f aca="false">IFERROR(INDEX(Stakeholders!$D$2:$D$50,MATCH($E31,Stakeholders!$A$2:$A$50,0)),"")</f>
        <v>Quality</v>
      </c>
      <c r="Y31" s="34" t="str">
        <f aca="false">IF(OR($B31&lt;&gt;"required",$T31="covered",$T31=""),"",1+SUMPRODUCT(ISNUMBER($U$2:$U$400)*($T$2:$T$400&lt;&gt;"covered")*($T$2:$T$400&lt;&gt;"")*($U$2:$U$400&gt;$U31))+COUNTIFS($U$2:U31,$U31,$T$2:T31,"&lt;&gt;covered",$T$2:T31,"&lt;&gt;",$B$2:B31,"required")-1)</f>
        <v/>
      </c>
      <c r="Z31" s="34" t="str">
        <f aca="false">IF(AND($B31="required",$F31&gt;=4,$T31&lt;&gt;"missing",$T31&lt;&gt;"",$M31=1,COUNTIFS(Carriers!$J$2:$J$400,$C31,Carriers!$K$2:$K$400,$E31,Carriers!$M$2:$M$400,1,Carriers!$P$2:$P$400,"system_of_record")=0),MAX($Z$1:Z30)+1,"")</f>
        <v/>
      </c>
    </row>
    <row r="32" customFormat="false" ht="15" hidden="false" customHeight="true" outlineLevel="0" collapsed="false">
      <c r="A32" s="31" t="s">
        <v>426</v>
      </c>
      <c r="B32" s="31" t="s">
        <v>395</v>
      </c>
      <c r="C32" s="31" t="s">
        <v>152</v>
      </c>
      <c r="D32" s="31" t="s">
        <v>177</v>
      </c>
      <c r="E32" s="31" t="s">
        <v>110</v>
      </c>
      <c r="F32" s="31" t="n">
        <v>2</v>
      </c>
      <c r="G32" s="31"/>
      <c r="H32" s="31"/>
      <c r="I32" s="31" t="s">
        <v>427</v>
      </c>
      <c r="J32" s="31" t="s">
        <v>428</v>
      </c>
      <c r="K32" s="31"/>
      <c r="L32" s="34" t="str">
        <f aca="false">IFERROR(INDEX(Topics!$C$2:$C$100,MATCH($C32,Topics!$A$2:$A$100,0)),"")</f>
        <v>G1</v>
      </c>
      <c r="M32" s="34" t="str">
        <f aca="false">IF($B32="required",COUNTIFS($B$2:$B$400,"actual",$C$2:$C$400,$C32,$E$2:$E$400,$E32,$I$2:$I$400,"&lt;&gt;disputed"),"")</f>
        <v/>
      </c>
      <c r="N32" s="34" t="str">
        <f aca="false">IF($B32="required",COUNTIFS($B$2:$B$400,"actual",$C$2:$C$400,$C32,$E$2:$E$400,$E32,$I$2:$I$400,"&lt;&gt;disputed",$D$2:$D$400,$D32)&gt;0,"")</f>
        <v/>
      </c>
      <c r="O32" s="34" t="str">
        <f aca="false">IF($B32="required",SUMIFS(Carriers!$M$2:$M$400,Carriers!$J$2:$J$400,$C32,Carriers!$K$2:$K$400,$E32),"")</f>
        <v/>
      </c>
      <c r="P32" s="34" t="str">
        <f aca="false">IF($B32&lt;&gt;"required","",IF($O32=0,99,_xlfn.MINIFS(Carriers!$G$2:$G$400,Carriers!$J$2:$J$400,$C32,Carriers!$K$2:$K$400,$E32,Carriers!$M$2:$M$400,1)))</f>
        <v/>
      </c>
      <c r="Q32" s="34" t="str">
        <f aca="false">IF($B32="required",INDEX(Lists!$B$2:$B$8,MATCH($G32,Lists!$A$2:$A$8,0)),"")</f>
        <v/>
      </c>
      <c r="R32" s="34" t="str">
        <f aca="false">IF($B32&lt;&gt;"required","",IF($H32&lt;&gt;"sync",TRUE(),COUNTIFS(Carriers!$J$2:$J$400,$C32,Carriers!$K$2:$K$400,$E32,Carriers!$H$2:$H$400,"sync",Carriers!$M$2:$M$400,1)&gt;0))</f>
        <v/>
      </c>
      <c r="S32" s="34" t="str">
        <f aca="false">IF($B32&lt;&gt;"required","",IF($F32&lt;5,FALSE(),IF($O32=0,FALSE(),COUNTIFS(Carriers!$J$2:$J$400,$C32,Carriers!$K$2:$K$400,$E32,Carriers!$M$2:$M$400,1,Carriers!$D$2:$D$400,"push")=0)))</f>
        <v/>
      </c>
      <c r="T32" s="39" t="str">
        <f aca="false">IF($B32&lt;&gt;"required","",IF($M32=0,"missing",IF(NOT($N32),"wrong_producer",IF($P32&gt;$Q32,"latency_gap",IF(OR(NOT($R32),$S32),"channel_mismatch","covered")))))</f>
        <v/>
      </c>
      <c r="U32" s="34" t="str">
        <f aca="false">IF($B32&lt;&gt;"required","",ROUND($F32*INDEX(Lists!$E$2:$E$6,MATCH($T32,Lists!$D$2:$D$6,0)),1))</f>
        <v/>
      </c>
      <c r="V32" s="34" t="str">
        <f aca="false">IF(AND($B32="required",$L32=GoalLens!$B$3),MAX($V$1:V31)+1,"")</f>
        <v/>
      </c>
      <c r="W32" s="34" t="str">
        <f aca="false">IFERROR(INDEX(Stakeholders!$D$2:$D$50,MATCH($D32,Stakeholders!$A$2:$A$50,0)),"")</f>
        <v>Operations</v>
      </c>
      <c r="X32" s="34" t="str">
        <f aca="false">IFERROR(INDEX(Stakeholders!$D$2:$D$50,MATCH($E32,Stakeholders!$A$2:$A$50,0)),"")</f>
        <v>Supply Chain</v>
      </c>
      <c r="Y32" s="34" t="str">
        <f aca="false">IF(OR($B32&lt;&gt;"required",$T32="covered",$T32=""),"",1+SUMPRODUCT(ISNUMBER($U$2:$U$400)*($T$2:$T$400&lt;&gt;"covered")*($T$2:$T$400&lt;&gt;"")*($U$2:$U$400&gt;$U32))+COUNTIFS($U$2:U32,$U32,$T$2:T32,"&lt;&gt;covered",$T$2:T32,"&lt;&gt;",$B$2:B32,"required")-1)</f>
        <v/>
      </c>
      <c r="Z32" s="34" t="str">
        <f aca="false">IF(AND($B32="required",$F32&gt;=4,$T32&lt;&gt;"missing",$T32&lt;&gt;"",$M32=1,COUNTIFS(Carriers!$J$2:$J$400,$C32,Carriers!$K$2:$K$400,$E32,Carriers!$M$2:$M$400,1,Carriers!$P$2:$P$400,"system_of_record")=0),MAX($Z$1:Z31)+1,"")</f>
        <v/>
      </c>
    </row>
    <row r="33" customFormat="false" ht="15" hidden="false" customHeight="true" outlineLevel="0" collapsed="false">
      <c r="A33" s="31" t="s">
        <v>429</v>
      </c>
      <c r="B33" s="31" t="s">
        <v>55</v>
      </c>
      <c r="C33" s="31" t="s">
        <v>155</v>
      </c>
      <c r="D33" s="31" t="s">
        <v>101</v>
      </c>
      <c r="E33" s="31" t="s">
        <v>106</v>
      </c>
      <c r="F33" s="31" t="n">
        <v>2</v>
      </c>
      <c r="G33" s="31" t="s">
        <v>272</v>
      </c>
      <c r="H33" s="31" t="s">
        <v>364</v>
      </c>
      <c r="I33" s="31"/>
      <c r="J33" s="31"/>
      <c r="K33" s="31" t="s">
        <v>430</v>
      </c>
      <c r="L33" s="34" t="str">
        <f aca="false">IFERROR(INDEX(Topics!$C$2:$C$100,MATCH($C33,Topics!$A$2:$A$100,0)),"")</f>
        <v>G5</v>
      </c>
      <c r="M33" s="34" t="n">
        <f aca="false">IF($B33="required",COUNTIFS($B$2:$B$400,"actual",$C$2:$C$400,$C33,$E$2:$E$400,$E33,$I$2:$I$400,"&lt;&gt;disputed"),"")</f>
        <v>1</v>
      </c>
      <c r="N33" s="37" t="b">
        <f aca="false">IF($B33="required",COUNTIFS($B$2:$B$400,"actual",$C$2:$C$400,$C33,$E$2:$E$400,$E33,$I$2:$I$400,"&lt;&gt;disputed",$D$2:$D$400,$D33)&gt;0,"")</f>
        <v>1</v>
      </c>
      <c r="O33" s="34" t="n">
        <f aca="false">IF($B33="required",SUMIFS(Carriers!$M$2:$M$400,Carriers!$J$2:$J$400,$C33,Carriers!$K$2:$K$400,$E33),"")</f>
        <v>1</v>
      </c>
      <c r="P33" s="34" t="n">
        <f aca="false">IF($B33&lt;&gt;"required","",IF($O33=0,99,_xlfn.MINIFS(Carriers!$G$2:$G$400,Carriers!$J$2:$J$400,$C33,Carriers!$K$2:$K$400,$E33,Carriers!$M$2:$M$400,1)))</f>
        <v>0</v>
      </c>
      <c r="Q33" s="34" t="n">
        <f aca="false">IF($B33="required",INDEX(Lists!$B$2:$B$8,MATCH($G33,Lists!$A$2:$A$8,0)),"")</f>
        <v>4</v>
      </c>
      <c r="R33" s="37" t="b">
        <f aca="false">IF($B33&lt;&gt;"required","",IF($H33&lt;&gt;"sync",TRUE(),COUNTIFS(Carriers!$J$2:$J$400,$C33,Carriers!$K$2:$K$400,$E33,Carriers!$H$2:$H$400,"sync",Carriers!$M$2:$M$400,1)&gt;0))</f>
        <v>1</v>
      </c>
      <c r="S33" s="37" t="b">
        <f aca="false">IF($B33&lt;&gt;"required","",IF($F33&lt;5,FALSE(),IF($O33=0,FALSE(),COUNTIFS(Carriers!$J$2:$J$400,$C33,Carriers!$K$2:$K$400,$E33,Carriers!$M$2:$M$400,1,Carriers!$D$2:$D$400,"push")=0)))</f>
        <v>0</v>
      </c>
      <c r="T33" s="34" t="str">
        <f aca="false">IF($B33&lt;&gt;"required","",IF($M33=0,"missing",IF(NOT($N33),"wrong_producer",IF($P33&gt;$Q33,"latency_gap",IF(OR(NOT($R33),$S33),"channel_mismatch","covered")))))</f>
        <v>covered</v>
      </c>
      <c r="U33" s="34" t="n">
        <f aca="false">IF($B33&lt;&gt;"required","",ROUND($F33*INDEX(Lists!$E$2:$E$6,MATCH($T33,Lists!$D$2:$D$6,0)),1))</f>
        <v>0</v>
      </c>
      <c r="V33" s="34" t="str">
        <f aca="false">IF(AND($B33="required",$L33=GoalLens!$B$3),MAX($V$1:V32)+1,"")</f>
        <v/>
      </c>
      <c r="W33" s="34" t="str">
        <f aca="false">IFERROR(INDEX(Stakeholders!$D$2:$D$50,MATCH($D33,Stakeholders!$A$2:$A$50,0)),"")</f>
        <v>Quality</v>
      </c>
      <c r="X33" s="34" t="str">
        <f aca="false">IFERROR(INDEX(Stakeholders!$D$2:$D$50,MATCH($E33,Stakeholders!$A$2:$A$50,0)),"")</f>
        <v>Quality</v>
      </c>
      <c r="Y33" s="34" t="str">
        <f aca="false">IF(OR($B33&lt;&gt;"required",$T33="covered",$T33=""),"",1+SUMPRODUCT(ISNUMBER($U$2:$U$400)*($T$2:$T$400&lt;&gt;"covered")*($T$2:$T$400&lt;&gt;"")*($U$2:$U$400&gt;$U33))+COUNTIFS($U$2:U33,$U33,$T$2:T33,"&lt;&gt;covered",$T$2:T33,"&lt;&gt;",$B$2:B33,"required")-1)</f>
        <v/>
      </c>
      <c r="Z33" s="34" t="str">
        <f aca="false">IF(AND($B33="required",$F33&gt;=4,$T33&lt;&gt;"missing",$T33&lt;&gt;"",$M33=1,COUNTIFS(Carriers!$J$2:$J$400,$C33,Carriers!$K$2:$K$400,$E33,Carriers!$M$2:$M$400,1,Carriers!$P$2:$P$400,"system_of_record")=0),MAX($Z$1:Z32)+1,"")</f>
        <v/>
      </c>
    </row>
    <row r="34" customFormat="false" ht="15" hidden="false" customHeight="true" outlineLevel="0" collapsed="false">
      <c r="A34" s="31" t="s">
        <v>431</v>
      </c>
      <c r="B34" s="31" t="s">
        <v>55</v>
      </c>
      <c r="C34" s="31" t="s">
        <v>155</v>
      </c>
      <c r="D34" s="31" t="s">
        <v>106</v>
      </c>
      <c r="E34" s="31" t="s">
        <v>193</v>
      </c>
      <c r="F34" s="31" t="n">
        <v>2</v>
      </c>
      <c r="G34" s="31" t="s">
        <v>272</v>
      </c>
      <c r="H34" s="31" t="s">
        <v>364</v>
      </c>
      <c r="I34" s="31"/>
      <c r="J34" s="31"/>
      <c r="K34" s="31" t="s">
        <v>432</v>
      </c>
      <c r="L34" s="34" t="str">
        <f aca="false">IFERROR(INDEX(Topics!$C$2:$C$100,MATCH($C34,Topics!$A$2:$A$100,0)),"")</f>
        <v>G5</v>
      </c>
      <c r="M34" s="34" t="n">
        <f aca="false">IF($B34="required",COUNTIFS($B$2:$B$400,"actual",$C$2:$C$400,$C34,$E$2:$E$400,$E34,$I$2:$I$400,"&lt;&gt;disputed"),"")</f>
        <v>0</v>
      </c>
      <c r="N34" s="37" t="b">
        <f aca="false">IF($B34="required",COUNTIFS($B$2:$B$400,"actual",$C$2:$C$400,$C34,$E$2:$E$400,$E34,$I$2:$I$400,"&lt;&gt;disputed",$D$2:$D$400,$D34)&gt;0,"")</f>
        <v>0</v>
      </c>
      <c r="O34" s="34" t="n">
        <f aca="false">IF($B34="required",SUMIFS(Carriers!$M$2:$M$400,Carriers!$J$2:$J$400,$C34,Carriers!$K$2:$K$400,$E34),"")</f>
        <v>0</v>
      </c>
      <c r="P34" s="34" t="n">
        <f aca="false">IF($B34&lt;&gt;"required","",IF($O34=0,99,_xlfn.MINIFS(Carriers!$G$2:$G$400,Carriers!$J$2:$J$400,$C34,Carriers!$K$2:$K$400,$E34,Carriers!$M$2:$M$400,1)))</f>
        <v>99</v>
      </c>
      <c r="Q34" s="34" t="n">
        <f aca="false">IF($B34="required",INDEX(Lists!$B$2:$B$8,MATCH($G34,Lists!$A$2:$A$8,0)),"")</f>
        <v>4</v>
      </c>
      <c r="R34" s="37" t="b">
        <f aca="false">IF($B34&lt;&gt;"required","",IF($H34&lt;&gt;"sync",TRUE(),COUNTIFS(Carriers!$J$2:$J$400,$C34,Carriers!$K$2:$K$400,$E34,Carriers!$H$2:$H$400,"sync",Carriers!$M$2:$M$400,1)&gt;0))</f>
        <v>1</v>
      </c>
      <c r="S34" s="37" t="b">
        <f aca="false">IF($B34&lt;&gt;"required","",IF($F34&lt;5,FALSE(),IF($O34=0,FALSE(),COUNTIFS(Carriers!$J$2:$J$400,$C34,Carriers!$K$2:$K$400,$E34,Carriers!$M$2:$M$400,1,Carriers!$D$2:$D$400,"push")=0)))</f>
        <v>0</v>
      </c>
      <c r="T34" s="34" t="str">
        <f aca="false">IF($B34&lt;&gt;"required","",IF($M34=0,"missing",IF(NOT($N34),"wrong_producer",IF($P34&gt;$Q34,"latency_gap",IF(OR(NOT($R34),$S34),"channel_mismatch","covered")))))</f>
        <v>missing</v>
      </c>
      <c r="U34" s="34" t="n">
        <f aca="false">IF($B34&lt;&gt;"required","",ROUND($F34*INDEX(Lists!$E$2:$E$6,MATCH($T34,Lists!$D$2:$D$6,0)),1))</f>
        <v>6</v>
      </c>
      <c r="V34" s="34" t="str">
        <f aca="false">IF(AND($B34="required",$L34=GoalLens!$B$3),MAX($V$1:V33)+1,"")</f>
        <v/>
      </c>
      <c r="W34" s="34" t="str">
        <f aca="false">IFERROR(INDEX(Stakeholders!$D$2:$D$50,MATCH($D34,Stakeholders!$A$2:$A$50,0)),"")</f>
        <v>Quality</v>
      </c>
      <c r="X34" s="34" t="str">
        <f aca="false">IFERROR(INDEX(Stakeholders!$D$2:$D$50,MATCH($E34,Stakeholders!$A$2:$A$50,0)),"")</f>
        <v>Operations</v>
      </c>
      <c r="Y34" s="34" t="n">
        <f aca="false">IF(OR($B34&lt;&gt;"required",$T34="covered",$T34=""),"",1+SUMPRODUCT(ISNUMBER($U$2:$U$400)*($T$2:$T$400&lt;&gt;"covered")*($T$2:$T$400&lt;&gt;"")*($U$2:$U$400&gt;$U34))+COUNTIFS($U$2:U34,$U34,$T$2:T34,"&lt;&gt;covered",$T$2:T34,"&lt;&gt;",$B$2:B34,"required")-1)</f>
        <v>7</v>
      </c>
      <c r="Z34" s="34" t="str">
        <f aca="false">IF(AND($B34="required",$F34&gt;=4,$T34&lt;&gt;"missing",$T34&lt;&gt;"",$M34=1,COUNTIFS(Carriers!$J$2:$J$400,$C34,Carriers!$K$2:$K$400,$E34,Carriers!$M$2:$M$400,1,Carriers!$P$2:$P$400,"system_of_record")=0),MAX($Z$1:Z33)+1,"")</f>
        <v/>
      </c>
    </row>
    <row r="35" customFormat="false" ht="15" hidden="false" customHeight="true" outlineLevel="0" collapsed="false">
      <c r="A35" s="31" t="s">
        <v>433</v>
      </c>
      <c r="B35" s="31" t="s">
        <v>395</v>
      </c>
      <c r="C35" s="31" t="s">
        <v>155</v>
      </c>
      <c r="D35" s="31" t="s">
        <v>101</v>
      </c>
      <c r="E35" s="31" t="s">
        <v>106</v>
      </c>
      <c r="F35" s="31"/>
      <c r="G35" s="31"/>
      <c r="H35" s="31"/>
      <c r="I35" s="31" t="s">
        <v>396</v>
      </c>
      <c r="J35" s="31" t="s">
        <v>434</v>
      </c>
      <c r="K35" s="31"/>
      <c r="L35" s="34" t="str">
        <f aca="false">IFERROR(INDEX(Topics!$C$2:$C$100,MATCH($C35,Topics!$A$2:$A$100,0)),"")</f>
        <v>G5</v>
      </c>
      <c r="M35" s="34" t="str">
        <f aca="false">IF($B35="required",COUNTIFS($B$2:$B$400,"actual",$C$2:$C$400,$C35,$E$2:$E$400,$E35,$I$2:$I$400,"&lt;&gt;disputed"),"")</f>
        <v/>
      </c>
      <c r="N35" s="34" t="str">
        <f aca="false">IF($B35="required",COUNTIFS($B$2:$B$400,"actual",$C$2:$C$400,$C35,$E$2:$E$400,$E35,$I$2:$I$400,"&lt;&gt;disputed",$D$2:$D$400,$D35)&gt;0,"")</f>
        <v/>
      </c>
      <c r="O35" s="34" t="str">
        <f aca="false">IF($B35="required",SUMIFS(Carriers!$M$2:$M$400,Carriers!$J$2:$J$400,$C35,Carriers!$K$2:$K$400,$E35),"")</f>
        <v/>
      </c>
      <c r="P35" s="34" t="str">
        <f aca="false">IF($B35&lt;&gt;"required","",IF($O35=0,99,_xlfn.MINIFS(Carriers!$G$2:$G$400,Carriers!$J$2:$J$400,$C35,Carriers!$K$2:$K$400,$E35,Carriers!$M$2:$M$400,1)))</f>
        <v/>
      </c>
      <c r="Q35" s="34" t="str">
        <f aca="false">IF($B35="required",INDEX(Lists!$B$2:$B$8,MATCH($G35,Lists!$A$2:$A$8,0)),"")</f>
        <v/>
      </c>
      <c r="R35" s="34" t="str">
        <f aca="false">IF($B35&lt;&gt;"required","",IF($H35&lt;&gt;"sync",TRUE(),COUNTIFS(Carriers!$J$2:$J$400,$C35,Carriers!$K$2:$K$400,$E35,Carriers!$H$2:$H$400,"sync",Carriers!$M$2:$M$400,1)&gt;0))</f>
        <v/>
      </c>
      <c r="S35" s="34" t="str">
        <f aca="false">IF($B35&lt;&gt;"required","",IF($F35&lt;5,FALSE(),IF($O35=0,FALSE(),COUNTIFS(Carriers!$J$2:$J$400,$C35,Carriers!$K$2:$K$400,$E35,Carriers!$M$2:$M$400,1,Carriers!$D$2:$D$400,"push")=0)))</f>
        <v/>
      </c>
      <c r="T35" s="34" t="str">
        <f aca="false">IF($B35&lt;&gt;"required","",IF($M35=0,"missing",IF(NOT($N35),"wrong_producer",IF($P35&gt;$Q35,"latency_gap",IF(OR(NOT($R35),$S35),"channel_mismatch","covered")))))</f>
        <v/>
      </c>
      <c r="U35" s="34" t="str">
        <f aca="false">IF($B35&lt;&gt;"required","",ROUND($F35*INDEX(Lists!$E$2:$E$6,MATCH($T35,Lists!$D$2:$D$6,0)),1))</f>
        <v/>
      </c>
      <c r="V35" s="34" t="str">
        <f aca="false">IF(AND($B35="required",$L35=GoalLens!$B$3),MAX($V$1:V34)+1,"")</f>
        <v/>
      </c>
      <c r="W35" s="34" t="str">
        <f aca="false">IFERROR(INDEX(Stakeholders!$D$2:$D$50,MATCH($D35,Stakeholders!$A$2:$A$50,0)),"")</f>
        <v>Quality</v>
      </c>
      <c r="X35" s="34" t="str">
        <f aca="false">IFERROR(INDEX(Stakeholders!$D$2:$D$50,MATCH($E35,Stakeholders!$A$2:$A$50,0)),"")</f>
        <v>Quality</v>
      </c>
      <c r="Y35" s="34" t="str">
        <f aca="false">IF(OR($B35&lt;&gt;"required",$T35="covered",$T35=""),"",1+SUMPRODUCT(ISNUMBER($U$2:$U$400)*($T$2:$T$400&lt;&gt;"covered")*($T$2:$T$400&lt;&gt;"")*($U$2:$U$400&gt;$U35))+COUNTIFS($U$2:U35,$U35,$T$2:T35,"&lt;&gt;covered",$T$2:T35,"&lt;&gt;",$B$2:B35,"required")-1)</f>
        <v/>
      </c>
      <c r="Z35" s="34" t="str">
        <f aca="false">IF(AND($B35="required",$F35&gt;=4,$T35&lt;&gt;"missing",$T35&lt;&gt;"",$M35=1,COUNTIFS(Carriers!$J$2:$J$400,$C35,Carriers!$K$2:$K$400,$E35,Carriers!$M$2:$M$400,1,Carriers!$P$2:$P$400,"system_of_record")=0),MAX($Z$1:Z34)+1,"")</f>
        <v/>
      </c>
    </row>
    <row r="36" customFormat="false" ht="1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4" t="str">
        <f aca="false">IFERROR(INDEX(Topics!$C$2:$C$100,MATCH($C36,Topics!$A$2:$A$100,0)),"")</f>
        <v/>
      </c>
      <c r="M36" s="34" t="str">
        <f aca="false">IF($B36="required",COUNTIFS($B$2:$B$400,"actual",$C$2:$C$400,$C36,$E$2:$E$400,$E36,$I$2:$I$400,"&lt;&gt;disputed"),"")</f>
        <v/>
      </c>
      <c r="N36" s="34" t="str">
        <f aca="false">IF($B36="required",COUNTIFS($B$2:$B$400,"actual",$C$2:$C$400,$C36,$E$2:$E$400,$E36,$I$2:$I$400,"&lt;&gt;disputed",$D$2:$D$400,$D36)&gt;0,"")</f>
        <v/>
      </c>
      <c r="O36" s="34" t="str">
        <f aca="false">IF($B36="required",SUMIFS(Carriers!$M$2:$M$400,Carriers!$J$2:$J$400,$C36,Carriers!$K$2:$K$400,$E36),"")</f>
        <v/>
      </c>
      <c r="P36" s="34" t="str">
        <f aca="false">IF($B36&lt;&gt;"required","",IF($O36=0,99,_xlfn.MINIFS(Carriers!$G$2:$G$400,Carriers!$J$2:$J$400,$C36,Carriers!$K$2:$K$400,$E36,Carriers!$M$2:$M$400,1)))</f>
        <v/>
      </c>
      <c r="Q36" s="34" t="str">
        <f aca="false">IF($B36="required",INDEX(Lists!$B$2:$B$8,MATCH($G36,Lists!$A$2:$A$8,0)),"")</f>
        <v/>
      </c>
      <c r="R36" s="34" t="str">
        <f aca="false">IF($B36&lt;&gt;"required","",IF($H36&lt;&gt;"sync",TRUE(),COUNTIFS(Carriers!$J$2:$J$400,$C36,Carriers!$K$2:$K$400,$E36,Carriers!$H$2:$H$400,"sync",Carriers!$M$2:$M$400,1)&gt;0))</f>
        <v/>
      </c>
      <c r="S36" s="34" t="str">
        <f aca="false">IF($B36&lt;&gt;"required","",IF($F36&lt;5,FALSE(),IF($O36=0,FALSE(),COUNTIFS(Carriers!$J$2:$J$400,$C36,Carriers!$K$2:$K$400,$E36,Carriers!$M$2:$M$400,1,Carriers!$D$2:$D$400,"push")=0)))</f>
        <v/>
      </c>
      <c r="T36" s="34" t="str">
        <f aca="false">IF($B36&lt;&gt;"required","",IF($M36=0,"missing",IF(NOT($N36),"wrong_producer",IF($P36&gt;$Q36,"latency_gap",IF(OR(NOT($R36),$S36),"channel_mismatch","covered")))))</f>
        <v/>
      </c>
      <c r="U36" s="34" t="str">
        <f aca="false">IF($B36&lt;&gt;"required","",ROUND($F36*INDEX(Lists!$E$2:$E$6,MATCH($T36,Lists!$D$2:$D$6,0)),1))</f>
        <v/>
      </c>
      <c r="V36" s="34" t="str">
        <f aca="false">IF(AND($B36="required",$L36=GoalLens!$B$3),MAX($V$1:V35)+1,"")</f>
        <v/>
      </c>
      <c r="W36" s="34" t="str">
        <f aca="false">IFERROR(INDEX(Stakeholders!$D$2:$D$50,MATCH($D36,Stakeholders!$A$2:$A$50,0)),"")</f>
        <v/>
      </c>
      <c r="X36" s="34" t="str">
        <f aca="false">IFERROR(INDEX(Stakeholders!$D$2:$D$50,MATCH($E36,Stakeholders!$A$2:$A$50,0)),"")</f>
        <v/>
      </c>
      <c r="Y36" s="34" t="str">
        <f aca="false">IF(OR($B36&lt;&gt;"required",$T36="covered",$T36=""),"",1+SUMPRODUCT(ISNUMBER($U$2:$U$400)*($T$2:$T$400&lt;&gt;"covered")*($T$2:$T$400&lt;&gt;"")*($U$2:$U$400&gt;$U36))+COUNTIFS($U$2:U36,$U36,$T$2:T36,"&lt;&gt;covered",$T$2:T36,"&lt;&gt;",$B$2:B36,"required")-1)</f>
        <v/>
      </c>
      <c r="Z36" s="34" t="str">
        <f aca="false">IF(AND($B36="required",$F36&gt;=4,$T36&lt;&gt;"missing",$T36&lt;&gt;"",$M36=1,COUNTIFS(Carriers!$J$2:$J$400,$C36,Carriers!$K$2:$K$400,$E36,Carriers!$M$2:$M$400,1,Carriers!$P$2:$P$400,"system_of_record")=0),MAX($Z$1:Z35)+1,"")</f>
        <v/>
      </c>
    </row>
    <row r="37" customFormat="false" ht="1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4" t="str">
        <f aca="false">IFERROR(INDEX(Topics!$C$2:$C$100,MATCH($C37,Topics!$A$2:$A$100,0)),"")</f>
        <v/>
      </c>
      <c r="M37" s="34" t="str">
        <f aca="false">IF($B37="required",COUNTIFS($B$2:$B$400,"actual",$C$2:$C$400,$C37,$E$2:$E$400,$E37,$I$2:$I$400,"&lt;&gt;disputed"),"")</f>
        <v/>
      </c>
      <c r="N37" s="34" t="str">
        <f aca="false">IF($B37="required",COUNTIFS($B$2:$B$400,"actual",$C$2:$C$400,$C37,$E$2:$E$400,$E37,$I$2:$I$400,"&lt;&gt;disputed",$D$2:$D$400,$D37)&gt;0,"")</f>
        <v/>
      </c>
      <c r="O37" s="34" t="str">
        <f aca="false">IF($B37="required",SUMIFS(Carriers!$M$2:$M$400,Carriers!$J$2:$J$400,$C37,Carriers!$K$2:$K$400,$E37),"")</f>
        <v/>
      </c>
      <c r="P37" s="34" t="str">
        <f aca="false">IF($B37&lt;&gt;"required","",IF($O37=0,99,_xlfn.MINIFS(Carriers!$G$2:$G$400,Carriers!$J$2:$J$400,$C37,Carriers!$K$2:$K$400,$E37,Carriers!$M$2:$M$400,1)))</f>
        <v/>
      </c>
      <c r="Q37" s="34" t="str">
        <f aca="false">IF($B37="required",INDEX(Lists!$B$2:$B$8,MATCH($G37,Lists!$A$2:$A$8,0)),"")</f>
        <v/>
      </c>
      <c r="R37" s="34" t="str">
        <f aca="false">IF($B37&lt;&gt;"required","",IF($H37&lt;&gt;"sync",TRUE(),COUNTIFS(Carriers!$J$2:$J$400,$C37,Carriers!$K$2:$K$400,$E37,Carriers!$H$2:$H$400,"sync",Carriers!$M$2:$M$400,1)&gt;0))</f>
        <v/>
      </c>
      <c r="S37" s="34" t="str">
        <f aca="false">IF($B37&lt;&gt;"required","",IF($F37&lt;5,FALSE(),IF($O37=0,FALSE(),COUNTIFS(Carriers!$J$2:$J$400,$C37,Carriers!$K$2:$K$400,$E37,Carriers!$M$2:$M$400,1,Carriers!$D$2:$D$400,"push")=0)))</f>
        <v/>
      </c>
      <c r="T37" s="34" t="str">
        <f aca="false">IF($B37&lt;&gt;"required","",IF($M37=0,"missing",IF(NOT($N37),"wrong_producer",IF($P37&gt;$Q37,"latency_gap",IF(OR(NOT($R37),$S37),"channel_mismatch","covered")))))</f>
        <v/>
      </c>
      <c r="U37" s="34" t="str">
        <f aca="false">IF($B37&lt;&gt;"required","",ROUND($F37*INDEX(Lists!$E$2:$E$6,MATCH($T37,Lists!$D$2:$D$6,0)),1))</f>
        <v/>
      </c>
      <c r="V37" s="34" t="str">
        <f aca="false">IF(AND($B37="required",$L37=GoalLens!$B$3),MAX($V$1:V36)+1,"")</f>
        <v/>
      </c>
      <c r="W37" s="34" t="str">
        <f aca="false">IFERROR(INDEX(Stakeholders!$D$2:$D$50,MATCH($D37,Stakeholders!$A$2:$A$50,0)),"")</f>
        <v/>
      </c>
      <c r="X37" s="34" t="str">
        <f aca="false">IFERROR(INDEX(Stakeholders!$D$2:$D$50,MATCH($E37,Stakeholders!$A$2:$A$50,0)),"")</f>
        <v/>
      </c>
      <c r="Y37" s="34" t="str">
        <f aca="false">IF(OR($B37&lt;&gt;"required",$T37="covered",$T37=""),"",1+SUMPRODUCT(ISNUMBER($U$2:$U$400)*($T$2:$T$400&lt;&gt;"covered")*($T$2:$T$400&lt;&gt;"")*($U$2:$U$400&gt;$U37))+COUNTIFS($U$2:U37,$U37,$T$2:T37,"&lt;&gt;covered",$T$2:T37,"&lt;&gt;",$B$2:B37,"required")-1)</f>
        <v/>
      </c>
      <c r="Z37" s="34" t="str">
        <f aca="false">IF(AND($B37="required",$F37&gt;=4,$T37&lt;&gt;"missing",$T37&lt;&gt;"",$M37=1,COUNTIFS(Carriers!$J$2:$J$400,$C37,Carriers!$K$2:$K$400,$E37,Carriers!$M$2:$M$400,1,Carriers!$P$2:$P$400,"system_of_record")=0),MAX($Z$1:Z36)+1,"")</f>
        <v/>
      </c>
    </row>
    <row r="38" customFormat="false" ht="1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4" t="str">
        <f aca="false">IFERROR(INDEX(Topics!$C$2:$C$100,MATCH($C38,Topics!$A$2:$A$100,0)),"")</f>
        <v/>
      </c>
      <c r="M38" s="34" t="str">
        <f aca="false">IF($B38="required",COUNTIFS($B$2:$B$400,"actual",$C$2:$C$400,$C38,$E$2:$E$400,$E38,$I$2:$I$400,"&lt;&gt;disputed"),"")</f>
        <v/>
      </c>
      <c r="N38" s="34" t="str">
        <f aca="false">IF($B38="required",COUNTIFS($B$2:$B$400,"actual",$C$2:$C$400,$C38,$E$2:$E$400,$E38,$I$2:$I$400,"&lt;&gt;disputed",$D$2:$D$400,$D38)&gt;0,"")</f>
        <v/>
      </c>
      <c r="O38" s="34" t="str">
        <f aca="false">IF($B38="required",SUMIFS(Carriers!$M$2:$M$400,Carriers!$J$2:$J$400,$C38,Carriers!$K$2:$K$400,$E38),"")</f>
        <v/>
      </c>
      <c r="P38" s="34" t="str">
        <f aca="false">IF($B38&lt;&gt;"required","",IF($O38=0,99,_xlfn.MINIFS(Carriers!$G$2:$G$400,Carriers!$J$2:$J$400,$C38,Carriers!$K$2:$K$400,$E38,Carriers!$M$2:$M$400,1)))</f>
        <v/>
      </c>
      <c r="Q38" s="34" t="str">
        <f aca="false">IF($B38="required",INDEX(Lists!$B$2:$B$8,MATCH($G38,Lists!$A$2:$A$8,0)),"")</f>
        <v/>
      </c>
      <c r="R38" s="34" t="str">
        <f aca="false">IF($B38&lt;&gt;"required","",IF($H38&lt;&gt;"sync",TRUE(),COUNTIFS(Carriers!$J$2:$J$400,$C38,Carriers!$K$2:$K$400,$E38,Carriers!$H$2:$H$400,"sync",Carriers!$M$2:$M$400,1)&gt;0))</f>
        <v/>
      </c>
      <c r="S38" s="34" t="str">
        <f aca="false">IF($B38&lt;&gt;"required","",IF($F38&lt;5,FALSE(),IF($O38=0,FALSE(),COUNTIFS(Carriers!$J$2:$J$400,$C38,Carriers!$K$2:$K$400,$E38,Carriers!$M$2:$M$400,1,Carriers!$D$2:$D$400,"push")=0)))</f>
        <v/>
      </c>
      <c r="T38" s="34" t="str">
        <f aca="false">IF($B38&lt;&gt;"required","",IF($M38=0,"missing",IF(NOT($N38),"wrong_producer",IF($P38&gt;$Q38,"latency_gap",IF(OR(NOT($R38),$S38),"channel_mismatch","covered")))))</f>
        <v/>
      </c>
      <c r="U38" s="34" t="str">
        <f aca="false">IF($B38&lt;&gt;"required","",ROUND($F38*INDEX(Lists!$E$2:$E$6,MATCH($T38,Lists!$D$2:$D$6,0)),1))</f>
        <v/>
      </c>
      <c r="V38" s="34" t="str">
        <f aca="false">IF(AND($B38="required",$L38=GoalLens!$B$3),MAX($V$1:V37)+1,"")</f>
        <v/>
      </c>
      <c r="W38" s="34" t="str">
        <f aca="false">IFERROR(INDEX(Stakeholders!$D$2:$D$50,MATCH($D38,Stakeholders!$A$2:$A$50,0)),"")</f>
        <v/>
      </c>
      <c r="X38" s="34" t="str">
        <f aca="false">IFERROR(INDEX(Stakeholders!$D$2:$D$50,MATCH($E38,Stakeholders!$A$2:$A$50,0)),"")</f>
        <v/>
      </c>
      <c r="Y38" s="34" t="str">
        <f aca="false">IF(OR($B38&lt;&gt;"required",$T38="covered",$T38=""),"",1+SUMPRODUCT(ISNUMBER($U$2:$U$400)*($T$2:$T$400&lt;&gt;"covered")*($T$2:$T$400&lt;&gt;"")*($U$2:$U$400&gt;$U38))+COUNTIFS($U$2:U38,$U38,$T$2:T38,"&lt;&gt;covered",$T$2:T38,"&lt;&gt;",$B$2:B38,"required")-1)</f>
        <v/>
      </c>
      <c r="Z38" s="34" t="str">
        <f aca="false">IF(AND($B38="required",$F38&gt;=4,$T38&lt;&gt;"missing",$T38&lt;&gt;"",$M38=1,COUNTIFS(Carriers!$J$2:$J$400,$C38,Carriers!$K$2:$K$400,$E38,Carriers!$M$2:$M$400,1,Carriers!$P$2:$P$400,"system_of_record")=0),MAX($Z$1:Z37)+1,"")</f>
        <v/>
      </c>
    </row>
    <row r="39" customFormat="false" ht="1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4" t="str">
        <f aca="false">IFERROR(INDEX(Topics!$C$2:$C$100,MATCH($C39,Topics!$A$2:$A$100,0)),"")</f>
        <v/>
      </c>
      <c r="M39" s="34" t="str">
        <f aca="false">IF($B39="required",COUNTIFS($B$2:$B$400,"actual",$C$2:$C$400,$C39,$E$2:$E$400,$E39,$I$2:$I$400,"&lt;&gt;disputed"),"")</f>
        <v/>
      </c>
      <c r="N39" s="34" t="str">
        <f aca="false">IF($B39="required",COUNTIFS($B$2:$B$400,"actual",$C$2:$C$400,$C39,$E$2:$E$400,$E39,$I$2:$I$400,"&lt;&gt;disputed",$D$2:$D$400,$D39)&gt;0,"")</f>
        <v/>
      </c>
      <c r="O39" s="34" t="str">
        <f aca="false">IF($B39="required",SUMIFS(Carriers!$M$2:$M$400,Carriers!$J$2:$J$400,$C39,Carriers!$K$2:$K$400,$E39),"")</f>
        <v/>
      </c>
      <c r="P39" s="34" t="str">
        <f aca="false">IF($B39&lt;&gt;"required","",IF($O39=0,99,_xlfn.MINIFS(Carriers!$G$2:$G$400,Carriers!$J$2:$J$400,$C39,Carriers!$K$2:$K$400,$E39,Carriers!$M$2:$M$400,1)))</f>
        <v/>
      </c>
      <c r="Q39" s="34" t="str">
        <f aca="false">IF($B39="required",INDEX(Lists!$B$2:$B$8,MATCH($G39,Lists!$A$2:$A$8,0)),"")</f>
        <v/>
      </c>
      <c r="R39" s="34" t="str">
        <f aca="false">IF($B39&lt;&gt;"required","",IF($H39&lt;&gt;"sync",TRUE(),COUNTIFS(Carriers!$J$2:$J$400,$C39,Carriers!$K$2:$K$400,$E39,Carriers!$H$2:$H$400,"sync",Carriers!$M$2:$M$400,1)&gt;0))</f>
        <v/>
      </c>
      <c r="S39" s="34" t="str">
        <f aca="false">IF($B39&lt;&gt;"required","",IF($F39&lt;5,FALSE(),IF($O39=0,FALSE(),COUNTIFS(Carriers!$J$2:$J$400,$C39,Carriers!$K$2:$K$400,$E39,Carriers!$M$2:$M$400,1,Carriers!$D$2:$D$400,"push")=0)))</f>
        <v/>
      </c>
      <c r="T39" s="34" t="str">
        <f aca="false">IF($B39&lt;&gt;"required","",IF($M39=0,"missing",IF(NOT($N39),"wrong_producer",IF($P39&gt;$Q39,"latency_gap",IF(OR(NOT($R39),$S39),"channel_mismatch","covered")))))</f>
        <v/>
      </c>
      <c r="U39" s="34" t="str">
        <f aca="false">IF($B39&lt;&gt;"required","",ROUND($F39*INDEX(Lists!$E$2:$E$6,MATCH($T39,Lists!$D$2:$D$6,0)),1))</f>
        <v/>
      </c>
      <c r="V39" s="34" t="str">
        <f aca="false">IF(AND($B39="required",$L39=GoalLens!$B$3),MAX($V$1:V38)+1,"")</f>
        <v/>
      </c>
      <c r="W39" s="34" t="str">
        <f aca="false">IFERROR(INDEX(Stakeholders!$D$2:$D$50,MATCH($D39,Stakeholders!$A$2:$A$50,0)),"")</f>
        <v/>
      </c>
      <c r="X39" s="34" t="str">
        <f aca="false">IFERROR(INDEX(Stakeholders!$D$2:$D$50,MATCH($E39,Stakeholders!$A$2:$A$50,0)),"")</f>
        <v/>
      </c>
      <c r="Y39" s="34" t="str">
        <f aca="false">IF(OR($B39&lt;&gt;"required",$T39="covered",$T39=""),"",1+SUMPRODUCT(ISNUMBER($U$2:$U$400)*($T$2:$T$400&lt;&gt;"covered")*($T$2:$T$400&lt;&gt;"")*($U$2:$U$400&gt;$U39))+COUNTIFS($U$2:U39,$U39,$T$2:T39,"&lt;&gt;covered",$T$2:T39,"&lt;&gt;",$B$2:B39,"required")-1)</f>
        <v/>
      </c>
      <c r="Z39" s="34" t="str">
        <f aca="false">IF(AND($B39="required",$F39&gt;=4,$T39&lt;&gt;"missing",$T39&lt;&gt;"",$M39=1,COUNTIFS(Carriers!$J$2:$J$400,$C39,Carriers!$K$2:$K$400,$E39,Carriers!$M$2:$M$400,1,Carriers!$P$2:$P$400,"system_of_record")=0),MAX($Z$1:Z38)+1,"")</f>
        <v/>
      </c>
    </row>
    <row r="40" customFormat="false" ht="1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4" t="str">
        <f aca="false">IFERROR(INDEX(Topics!$C$2:$C$100,MATCH($C40,Topics!$A$2:$A$100,0)),"")</f>
        <v/>
      </c>
      <c r="M40" s="34" t="str">
        <f aca="false">IF($B40="required",COUNTIFS($B$2:$B$400,"actual",$C$2:$C$400,$C40,$E$2:$E$400,$E40,$I$2:$I$400,"&lt;&gt;disputed"),"")</f>
        <v/>
      </c>
      <c r="N40" s="34" t="str">
        <f aca="false">IF($B40="required",COUNTIFS($B$2:$B$400,"actual",$C$2:$C$400,$C40,$E$2:$E$400,$E40,$I$2:$I$400,"&lt;&gt;disputed",$D$2:$D$400,$D40)&gt;0,"")</f>
        <v/>
      </c>
      <c r="O40" s="34" t="str">
        <f aca="false">IF($B40="required",SUMIFS(Carriers!$M$2:$M$400,Carriers!$J$2:$J$400,$C40,Carriers!$K$2:$K$400,$E40),"")</f>
        <v/>
      </c>
      <c r="P40" s="34" t="str">
        <f aca="false">IF($B40&lt;&gt;"required","",IF($O40=0,99,_xlfn.MINIFS(Carriers!$G$2:$G$400,Carriers!$J$2:$J$400,$C40,Carriers!$K$2:$K$400,$E40,Carriers!$M$2:$M$400,1)))</f>
        <v/>
      </c>
      <c r="Q40" s="34" t="str">
        <f aca="false">IF($B40="required",INDEX(Lists!$B$2:$B$8,MATCH($G40,Lists!$A$2:$A$8,0)),"")</f>
        <v/>
      </c>
      <c r="R40" s="34" t="str">
        <f aca="false">IF($B40&lt;&gt;"required","",IF($H40&lt;&gt;"sync",TRUE(),COUNTIFS(Carriers!$J$2:$J$400,$C40,Carriers!$K$2:$K$400,$E40,Carriers!$H$2:$H$400,"sync",Carriers!$M$2:$M$400,1)&gt;0))</f>
        <v/>
      </c>
      <c r="S40" s="34" t="str">
        <f aca="false">IF($B40&lt;&gt;"required","",IF($F40&lt;5,FALSE(),IF($O40=0,FALSE(),COUNTIFS(Carriers!$J$2:$J$400,$C40,Carriers!$K$2:$K$400,$E40,Carriers!$M$2:$M$400,1,Carriers!$D$2:$D$400,"push")=0)))</f>
        <v/>
      </c>
      <c r="T40" s="34" t="str">
        <f aca="false">IF($B40&lt;&gt;"required","",IF($M40=0,"missing",IF(NOT($N40),"wrong_producer",IF($P40&gt;$Q40,"latency_gap",IF(OR(NOT($R40),$S40),"channel_mismatch","covered")))))</f>
        <v/>
      </c>
      <c r="U40" s="34" t="str">
        <f aca="false">IF($B40&lt;&gt;"required","",ROUND($F40*INDEX(Lists!$E$2:$E$6,MATCH($T40,Lists!$D$2:$D$6,0)),1))</f>
        <v/>
      </c>
      <c r="V40" s="34" t="str">
        <f aca="false">IF(AND($B40="required",$L40=GoalLens!$B$3),MAX($V$1:V39)+1,"")</f>
        <v/>
      </c>
      <c r="W40" s="34" t="str">
        <f aca="false">IFERROR(INDEX(Stakeholders!$D$2:$D$50,MATCH($D40,Stakeholders!$A$2:$A$50,0)),"")</f>
        <v/>
      </c>
      <c r="X40" s="34" t="str">
        <f aca="false">IFERROR(INDEX(Stakeholders!$D$2:$D$50,MATCH($E40,Stakeholders!$A$2:$A$50,0)),"")</f>
        <v/>
      </c>
      <c r="Y40" s="34" t="str">
        <f aca="false">IF(OR($B40&lt;&gt;"required",$T40="covered",$T40=""),"",1+SUMPRODUCT(ISNUMBER($U$2:$U$400)*($T$2:$T$400&lt;&gt;"covered")*($T$2:$T$400&lt;&gt;"")*($U$2:$U$400&gt;$U40))+COUNTIFS($U$2:U40,$U40,$T$2:T40,"&lt;&gt;covered",$T$2:T40,"&lt;&gt;",$B$2:B40,"required")-1)</f>
        <v/>
      </c>
      <c r="Z40" s="34" t="str">
        <f aca="false">IF(AND($B40="required",$F40&gt;=4,$T40&lt;&gt;"missing",$T40&lt;&gt;"",$M40=1,COUNTIFS(Carriers!$J$2:$J$400,$C40,Carriers!$K$2:$K$400,$E40,Carriers!$M$2:$M$400,1,Carriers!$P$2:$P$400,"system_of_record")=0),MAX($Z$1:Z39)+1,"")</f>
        <v/>
      </c>
    </row>
    <row r="41" customFormat="false" ht="1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4" t="str">
        <f aca="false">IFERROR(INDEX(Topics!$C$2:$C$100,MATCH($C41,Topics!$A$2:$A$100,0)),"")</f>
        <v/>
      </c>
      <c r="M41" s="34" t="str">
        <f aca="false">IF($B41="required",COUNTIFS($B$2:$B$400,"actual",$C$2:$C$400,$C41,$E$2:$E$400,$E41,$I$2:$I$400,"&lt;&gt;disputed"),"")</f>
        <v/>
      </c>
      <c r="N41" s="34" t="str">
        <f aca="false">IF($B41="required",COUNTIFS($B$2:$B$400,"actual",$C$2:$C$400,$C41,$E$2:$E$400,$E41,$I$2:$I$400,"&lt;&gt;disputed",$D$2:$D$400,$D41)&gt;0,"")</f>
        <v/>
      </c>
      <c r="O41" s="34" t="str">
        <f aca="false">IF($B41="required",SUMIFS(Carriers!$M$2:$M$400,Carriers!$J$2:$J$400,$C41,Carriers!$K$2:$K$400,$E41),"")</f>
        <v/>
      </c>
      <c r="P41" s="34" t="str">
        <f aca="false">IF($B41&lt;&gt;"required","",IF($O41=0,99,_xlfn.MINIFS(Carriers!$G$2:$G$400,Carriers!$J$2:$J$400,$C41,Carriers!$K$2:$K$400,$E41,Carriers!$M$2:$M$400,1)))</f>
        <v/>
      </c>
      <c r="Q41" s="34" t="str">
        <f aca="false">IF($B41="required",INDEX(Lists!$B$2:$B$8,MATCH($G41,Lists!$A$2:$A$8,0)),"")</f>
        <v/>
      </c>
      <c r="R41" s="34" t="str">
        <f aca="false">IF($B41&lt;&gt;"required","",IF($H41&lt;&gt;"sync",TRUE(),COUNTIFS(Carriers!$J$2:$J$400,$C41,Carriers!$K$2:$K$400,$E41,Carriers!$H$2:$H$400,"sync",Carriers!$M$2:$M$400,1)&gt;0))</f>
        <v/>
      </c>
      <c r="S41" s="34" t="str">
        <f aca="false">IF($B41&lt;&gt;"required","",IF($F41&lt;5,FALSE(),IF($O41=0,FALSE(),COUNTIFS(Carriers!$J$2:$J$400,$C41,Carriers!$K$2:$K$400,$E41,Carriers!$M$2:$M$400,1,Carriers!$D$2:$D$400,"push")=0)))</f>
        <v/>
      </c>
      <c r="T41" s="34" t="str">
        <f aca="false">IF($B41&lt;&gt;"required","",IF($M41=0,"missing",IF(NOT($N41),"wrong_producer",IF($P41&gt;$Q41,"latency_gap",IF(OR(NOT($R41),$S41),"channel_mismatch","covered")))))</f>
        <v/>
      </c>
      <c r="U41" s="34" t="str">
        <f aca="false">IF($B41&lt;&gt;"required","",ROUND($F41*INDEX(Lists!$E$2:$E$6,MATCH($T41,Lists!$D$2:$D$6,0)),1))</f>
        <v/>
      </c>
      <c r="V41" s="34" t="str">
        <f aca="false">IF(AND($B41="required",$L41=GoalLens!$B$3),MAX($V$1:V40)+1,"")</f>
        <v/>
      </c>
      <c r="W41" s="34" t="str">
        <f aca="false">IFERROR(INDEX(Stakeholders!$D$2:$D$50,MATCH($D41,Stakeholders!$A$2:$A$50,0)),"")</f>
        <v/>
      </c>
      <c r="X41" s="34" t="str">
        <f aca="false">IFERROR(INDEX(Stakeholders!$D$2:$D$50,MATCH($E41,Stakeholders!$A$2:$A$50,0)),"")</f>
        <v/>
      </c>
      <c r="Y41" s="34" t="str">
        <f aca="false">IF(OR($B41&lt;&gt;"required",$T41="covered",$T41=""),"",1+SUMPRODUCT(ISNUMBER($U$2:$U$400)*($T$2:$T$400&lt;&gt;"covered")*($T$2:$T$400&lt;&gt;"")*($U$2:$U$400&gt;$U41))+COUNTIFS($U$2:U41,$U41,$T$2:T41,"&lt;&gt;covered",$T$2:T41,"&lt;&gt;",$B$2:B41,"required")-1)</f>
        <v/>
      </c>
      <c r="Z41" s="34" t="str">
        <f aca="false">IF(AND($B41="required",$F41&gt;=4,$T41&lt;&gt;"missing",$T41&lt;&gt;"",$M41=1,COUNTIFS(Carriers!$J$2:$J$400,$C41,Carriers!$K$2:$K$400,$E41,Carriers!$M$2:$M$400,1,Carriers!$P$2:$P$400,"system_of_record")=0),MAX($Z$1:Z40)+1,"")</f>
        <v/>
      </c>
    </row>
    <row r="42" customFormat="false" ht="1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4" t="str">
        <f aca="false">IFERROR(INDEX(Topics!$C$2:$C$100,MATCH($C42,Topics!$A$2:$A$100,0)),"")</f>
        <v/>
      </c>
      <c r="M42" s="34" t="str">
        <f aca="false">IF($B42="required",COUNTIFS($B$2:$B$400,"actual",$C$2:$C$400,$C42,$E$2:$E$400,$E42,$I$2:$I$400,"&lt;&gt;disputed"),"")</f>
        <v/>
      </c>
      <c r="N42" s="34" t="str">
        <f aca="false">IF($B42="required",COUNTIFS($B$2:$B$400,"actual",$C$2:$C$400,$C42,$E$2:$E$400,$E42,$I$2:$I$400,"&lt;&gt;disputed",$D$2:$D$400,$D42)&gt;0,"")</f>
        <v/>
      </c>
      <c r="O42" s="34" t="str">
        <f aca="false">IF($B42="required",SUMIFS(Carriers!$M$2:$M$400,Carriers!$J$2:$J$400,$C42,Carriers!$K$2:$K$400,$E42),"")</f>
        <v/>
      </c>
      <c r="P42" s="34" t="str">
        <f aca="false">IF($B42&lt;&gt;"required","",IF($O42=0,99,_xlfn.MINIFS(Carriers!$G$2:$G$400,Carriers!$J$2:$J$400,$C42,Carriers!$K$2:$K$400,$E42,Carriers!$M$2:$M$400,1)))</f>
        <v/>
      </c>
      <c r="Q42" s="34" t="str">
        <f aca="false">IF($B42="required",INDEX(Lists!$B$2:$B$8,MATCH($G42,Lists!$A$2:$A$8,0)),"")</f>
        <v/>
      </c>
      <c r="R42" s="34" t="str">
        <f aca="false">IF($B42&lt;&gt;"required","",IF($H42&lt;&gt;"sync",TRUE(),COUNTIFS(Carriers!$J$2:$J$400,$C42,Carriers!$K$2:$K$400,$E42,Carriers!$H$2:$H$400,"sync",Carriers!$M$2:$M$400,1)&gt;0))</f>
        <v/>
      </c>
      <c r="S42" s="34" t="str">
        <f aca="false">IF($B42&lt;&gt;"required","",IF($F42&lt;5,FALSE(),IF($O42=0,FALSE(),COUNTIFS(Carriers!$J$2:$J$400,$C42,Carriers!$K$2:$K$400,$E42,Carriers!$M$2:$M$400,1,Carriers!$D$2:$D$400,"push")=0)))</f>
        <v/>
      </c>
      <c r="T42" s="34" t="str">
        <f aca="false">IF($B42&lt;&gt;"required","",IF($M42=0,"missing",IF(NOT($N42),"wrong_producer",IF($P42&gt;$Q42,"latency_gap",IF(OR(NOT($R42),$S42),"channel_mismatch","covered")))))</f>
        <v/>
      </c>
      <c r="U42" s="34" t="str">
        <f aca="false">IF($B42&lt;&gt;"required","",ROUND($F42*INDEX(Lists!$E$2:$E$6,MATCH($T42,Lists!$D$2:$D$6,0)),1))</f>
        <v/>
      </c>
      <c r="V42" s="34" t="str">
        <f aca="false">IF(AND($B42="required",$L42=GoalLens!$B$3),MAX($V$1:V41)+1,"")</f>
        <v/>
      </c>
      <c r="W42" s="34" t="str">
        <f aca="false">IFERROR(INDEX(Stakeholders!$D$2:$D$50,MATCH($D42,Stakeholders!$A$2:$A$50,0)),"")</f>
        <v/>
      </c>
      <c r="X42" s="34" t="str">
        <f aca="false">IFERROR(INDEX(Stakeholders!$D$2:$D$50,MATCH($E42,Stakeholders!$A$2:$A$50,0)),"")</f>
        <v/>
      </c>
      <c r="Y42" s="34" t="str">
        <f aca="false">IF(OR($B42&lt;&gt;"required",$T42="covered",$T42=""),"",1+SUMPRODUCT(ISNUMBER($U$2:$U$400)*($T$2:$T$400&lt;&gt;"covered")*($T$2:$T$400&lt;&gt;"")*($U$2:$U$400&gt;$U42))+COUNTIFS($U$2:U42,$U42,$T$2:T42,"&lt;&gt;covered",$T$2:T42,"&lt;&gt;",$B$2:B42,"required")-1)</f>
        <v/>
      </c>
      <c r="Z42" s="34" t="str">
        <f aca="false">IF(AND($B42="required",$F42&gt;=4,$T42&lt;&gt;"missing",$T42&lt;&gt;"",$M42=1,COUNTIFS(Carriers!$J$2:$J$400,$C42,Carriers!$K$2:$K$400,$E42,Carriers!$M$2:$M$400,1,Carriers!$P$2:$P$400,"system_of_record")=0),MAX($Z$1:Z41)+1,"")</f>
        <v/>
      </c>
    </row>
    <row r="43" customFormat="false" ht="15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4" t="str">
        <f aca="false">IFERROR(INDEX(Topics!$C$2:$C$100,MATCH($C43,Topics!$A$2:$A$100,0)),"")</f>
        <v/>
      </c>
      <c r="M43" s="34" t="str">
        <f aca="false">IF($B43="required",COUNTIFS($B$2:$B$400,"actual",$C$2:$C$400,$C43,$E$2:$E$400,$E43,$I$2:$I$400,"&lt;&gt;disputed"),"")</f>
        <v/>
      </c>
      <c r="N43" s="34" t="str">
        <f aca="false">IF($B43="required",COUNTIFS($B$2:$B$400,"actual",$C$2:$C$400,$C43,$E$2:$E$400,$E43,$I$2:$I$400,"&lt;&gt;disputed",$D$2:$D$400,$D43)&gt;0,"")</f>
        <v/>
      </c>
      <c r="O43" s="34" t="str">
        <f aca="false">IF($B43="required",SUMIFS(Carriers!$M$2:$M$400,Carriers!$J$2:$J$400,$C43,Carriers!$K$2:$K$400,$E43),"")</f>
        <v/>
      </c>
      <c r="P43" s="34" t="str">
        <f aca="false">IF($B43&lt;&gt;"required","",IF($O43=0,99,_xlfn.MINIFS(Carriers!$G$2:$G$400,Carriers!$J$2:$J$400,$C43,Carriers!$K$2:$K$400,$E43,Carriers!$M$2:$M$400,1)))</f>
        <v/>
      </c>
      <c r="Q43" s="34" t="str">
        <f aca="false">IF($B43="required",INDEX(Lists!$B$2:$B$8,MATCH($G43,Lists!$A$2:$A$8,0)),"")</f>
        <v/>
      </c>
      <c r="R43" s="34" t="str">
        <f aca="false">IF($B43&lt;&gt;"required","",IF($H43&lt;&gt;"sync",TRUE(),COUNTIFS(Carriers!$J$2:$J$400,$C43,Carriers!$K$2:$K$400,$E43,Carriers!$H$2:$H$400,"sync",Carriers!$M$2:$M$400,1)&gt;0))</f>
        <v/>
      </c>
      <c r="S43" s="34" t="str">
        <f aca="false">IF($B43&lt;&gt;"required","",IF($F43&lt;5,FALSE(),IF($O43=0,FALSE(),COUNTIFS(Carriers!$J$2:$J$400,$C43,Carriers!$K$2:$K$400,$E43,Carriers!$M$2:$M$400,1,Carriers!$D$2:$D$400,"push")=0)))</f>
        <v/>
      </c>
      <c r="T43" s="34" t="str">
        <f aca="false">IF($B43&lt;&gt;"required","",IF($M43=0,"missing",IF(NOT($N43),"wrong_producer",IF($P43&gt;$Q43,"latency_gap",IF(OR(NOT($R43),$S43),"channel_mismatch","covered")))))</f>
        <v/>
      </c>
      <c r="U43" s="34" t="str">
        <f aca="false">IF($B43&lt;&gt;"required","",ROUND($F43*INDEX(Lists!$E$2:$E$6,MATCH($T43,Lists!$D$2:$D$6,0)),1))</f>
        <v/>
      </c>
      <c r="V43" s="34" t="str">
        <f aca="false">IF(AND($B43="required",$L43=GoalLens!$B$3),MAX($V$1:V42)+1,"")</f>
        <v/>
      </c>
      <c r="W43" s="34" t="str">
        <f aca="false">IFERROR(INDEX(Stakeholders!$D$2:$D$50,MATCH($D43,Stakeholders!$A$2:$A$50,0)),"")</f>
        <v/>
      </c>
      <c r="X43" s="34" t="str">
        <f aca="false">IFERROR(INDEX(Stakeholders!$D$2:$D$50,MATCH($E43,Stakeholders!$A$2:$A$50,0)),"")</f>
        <v/>
      </c>
      <c r="Y43" s="34" t="str">
        <f aca="false">IF(OR($B43&lt;&gt;"required",$T43="covered",$T43=""),"",1+SUMPRODUCT(ISNUMBER($U$2:$U$400)*($T$2:$T$400&lt;&gt;"covered")*($T$2:$T$400&lt;&gt;"")*($U$2:$U$400&gt;$U43))+COUNTIFS($U$2:U43,$U43,$T$2:T43,"&lt;&gt;covered",$T$2:T43,"&lt;&gt;",$B$2:B43,"required")-1)</f>
        <v/>
      </c>
      <c r="Z43" s="34" t="str">
        <f aca="false">IF(AND($B43="required",$F43&gt;=4,$T43&lt;&gt;"missing",$T43&lt;&gt;"",$M43=1,COUNTIFS(Carriers!$J$2:$J$400,$C43,Carriers!$K$2:$K$400,$E43,Carriers!$M$2:$M$400,1,Carriers!$P$2:$P$400,"system_of_record")=0),MAX($Z$1:Z42)+1,"")</f>
        <v/>
      </c>
    </row>
    <row r="44" customFormat="false" ht="15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4" t="str">
        <f aca="false">IFERROR(INDEX(Topics!$C$2:$C$100,MATCH($C44,Topics!$A$2:$A$100,0)),"")</f>
        <v/>
      </c>
      <c r="M44" s="34" t="str">
        <f aca="false">IF($B44="required",COUNTIFS($B$2:$B$400,"actual",$C$2:$C$400,$C44,$E$2:$E$400,$E44,$I$2:$I$400,"&lt;&gt;disputed"),"")</f>
        <v/>
      </c>
      <c r="N44" s="34" t="str">
        <f aca="false">IF($B44="required",COUNTIFS($B$2:$B$400,"actual",$C$2:$C$400,$C44,$E$2:$E$400,$E44,$I$2:$I$400,"&lt;&gt;disputed",$D$2:$D$400,$D44)&gt;0,"")</f>
        <v/>
      </c>
      <c r="O44" s="34" t="str">
        <f aca="false">IF($B44="required",SUMIFS(Carriers!$M$2:$M$400,Carriers!$J$2:$J$400,$C44,Carriers!$K$2:$K$400,$E44),"")</f>
        <v/>
      </c>
      <c r="P44" s="34" t="str">
        <f aca="false">IF($B44&lt;&gt;"required","",IF($O44=0,99,_xlfn.MINIFS(Carriers!$G$2:$G$400,Carriers!$J$2:$J$400,$C44,Carriers!$K$2:$K$400,$E44,Carriers!$M$2:$M$400,1)))</f>
        <v/>
      </c>
      <c r="Q44" s="34" t="str">
        <f aca="false">IF($B44="required",INDEX(Lists!$B$2:$B$8,MATCH($G44,Lists!$A$2:$A$8,0)),"")</f>
        <v/>
      </c>
      <c r="R44" s="34" t="str">
        <f aca="false">IF($B44&lt;&gt;"required","",IF($H44&lt;&gt;"sync",TRUE(),COUNTIFS(Carriers!$J$2:$J$400,$C44,Carriers!$K$2:$K$400,$E44,Carriers!$H$2:$H$400,"sync",Carriers!$M$2:$M$400,1)&gt;0))</f>
        <v/>
      </c>
      <c r="S44" s="34" t="str">
        <f aca="false">IF($B44&lt;&gt;"required","",IF($F44&lt;5,FALSE(),IF($O44=0,FALSE(),COUNTIFS(Carriers!$J$2:$J$400,$C44,Carriers!$K$2:$K$400,$E44,Carriers!$M$2:$M$400,1,Carriers!$D$2:$D$400,"push")=0)))</f>
        <v/>
      </c>
      <c r="T44" s="34" t="str">
        <f aca="false">IF($B44&lt;&gt;"required","",IF($M44=0,"missing",IF(NOT($N44),"wrong_producer",IF($P44&gt;$Q44,"latency_gap",IF(OR(NOT($R44),$S44),"channel_mismatch","covered")))))</f>
        <v/>
      </c>
      <c r="U44" s="34" t="str">
        <f aca="false">IF($B44&lt;&gt;"required","",ROUND($F44*INDEX(Lists!$E$2:$E$6,MATCH($T44,Lists!$D$2:$D$6,0)),1))</f>
        <v/>
      </c>
      <c r="V44" s="34" t="str">
        <f aca="false">IF(AND($B44="required",$L44=GoalLens!$B$3),MAX($V$1:V43)+1,"")</f>
        <v/>
      </c>
      <c r="W44" s="34" t="str">
        <f aca="false">IFERROR(INDEX(Stakeholders!$D$2:$D$50,MATCH($D44,Stakeholders!$A$2:$A$50,0)),"")</f>
        <v/>
      </c>
      <c r="X44" s="34" t="str">
        <f aca="false">IFERROR(INDEX(Stakeholders!$D$2:$D$50,MATCH($E44,Stakeholders!$A$2:$A$50,0)),"")</f>
        <v/>
      </c>
      <c r="Y44" s="34" t="str">
        <f aca="false">IF(OR($B44&lt;&gt;"required",$T44="covered",$T44=""),"",1+SUMPRODUCT(ISNUMBER($U$2:$U$400)*($T$2:$T$400&lt;&gt;"covered")*($T$2:$T$400&lt;&gt;"")*($U$2:$U$400&gt;$U44))+COUNTIFS($U$2:U44,$U44,$T$2:T44,"&lt;&gt;covered",$T$2:T44,"&lt;&gt;",$B$2:B44,"required")-1)</f>
        <v/>
      </c>
      <c r="Z44" s="34" t="str">
        <f aca="false">IF(AND($B44="required",$F44&gt;=4,$T44&lt;&gt;"missing",$T44&lt;&gt;"",$M44=1,COUNTIFS(Carriers!$J$2:$J$400,$C44,Carriers!$K$2:$K$400,$E44,Carriers!$M$2:$M$400,1,Carriers!$P$2:$P$400,"system_of_record")=0),MAX($Z$1:Z43)+1,"")</f>
        <v/>
      </c>
    </row>
    <row r="45" customFormat="false" ht="15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4" t="str">
        <f aca="false">IFERROR(INDEX(Topics!$C$2:$C$100,MATCH($C45,Topics!$A$2:$A$100,0)),"")</f>
        <v/>
      </c>
      <c r="M45" s="34" t="str">
        <f aca="false">IF($B45="required",COUNTIFS($B$2:$B$400,"actual",$C$2:$C$400,$C45,$E$2:$E$400,$E45,$I$2:$I$400,"&lt;&gt;disputed"),"")</f>
        <v/>
      </c>
      <c r="N45" s="34" t="str">
        <f aca="false">IF($B45="required",COUNTIFS($B$2:$B$400,"actual",$C$2:$C$400,$C45,$E$2:$E$400,$E45,$I$2:$I$400,"&lt;&gt;disputed",$D$2:$D$400,$D45)&gt;0,"")</f>
        <v/>
      </c>
      <c r="O45" s="34" t="str">
        <f aca="false">IF($B45="required",SUMIFS(Carriers!$M$2:$M$400,Carriers!$J$2:$J$400,$C45,Carriers!$K$2:$K$400,$E45),"")</f>
        <v/>
      </c>
      <c r="P45" s="34" t="str">
        <f aca="false">IF($B45&lt;&gt;"required","",IF($O45=0,99,_xlfn.MINIFS(Carriers!$G$2:$G$400,Carriers!$J$2:$J$400,$C45,Carriers!$K$2:$K$400,$E45,Carriers!$M$2:$M$400,1)))</f>
        <v/>
      </c>
      <c r="Q45" s="34" t="str">
        <f aca="false">IF($B45="required",INDEX(Lists!$B$2:$B$8,MATCH($G45,Lists!$A$2:$A$8,0)),"")</f>
        <v/>
      </c>
      <c r="R45" s="34" t="str">
        <f aca="false">IF($B45&lt;&gt;"required","",IF($H45&lt;&gt;"sync",TRUE(),COUNTIFS(Carriers!$J$2:$J$400,$C45,Carriers!$K$2:$K$400,$E45,Carriers!$H$2:$H$400,"sync",Carriers!$M$2:$M$400,1)&gt;0))</f>
        <v/>
      </c>
      <c r="S45" s="34" t="str">
        <f aca="false">IF($B45&lt;&gt;"required","",IF($F45&lt;5,FALSE(),IF($O45=0,FALSE(),COUNTIFS(Carriers!$J$2:$J$400,$C45,Carriers!$K$2:$K$400,$E45,Carriers!$M$2:$M$400,1,Carriers!$D$2:$D$400,"push")=0)))</f>
        <v/>
      </c>
      <c r="T45" s="34" t="str">
        <f aca="false">IF($B45&lt;&gt;"required","",IF($M45=0,"missing",IF(NOT($N45),"wrong_producer",IF($P45&gt;$Q45,"latency_gap",IF(OR(NOT($R45),$S45),"channel_mismatch","covered")))))</f>
        <v/>
      </c>
      <c r="U45" s="34" t="str">
        <f aca="false">IF($B45&lt;&gt;"required","",ROUND($F45*INDEX(Lists!$E$2:$E$6,MATCH($T45,Lists!$D$2:$D$6,0)),1))</f>
        <v/>
      </c>
      <c r="V45" s="34" t="str">
        <f aca="false">IF(AND($B45="required",$L45=GoalLens!$B$3),MAX($V$1:V44)+1,"")</f>
        <v/>
      </c>
      <c r="W45" s="34" t="str">
        <f aca="false">IFERROR(INDEX(Stakeholders!$D$2:$D$50,MATCH($D45,Stakeholders!$A$2:$A$50,0)),"")</f>
        <v/>
      </c>
      <c r="X45" s="34" t="str">
        <f aca="false">IFERROR(INDEX(Stakeholders!$D$2:$D$50,MATCH($E45,Stakeholders!$A$2:$A$50,0)),"")</f>
        <v/>
      </c>
      <c r="Y45" s="34" t="str">
        <f aca="false">IF(OR($B45&lt;&gt;"required",$T45="covered",$T45=""),"",1+SUMPRODUCT(ISNUMBER($U$2:$U$400)*($T$2:$T$400&lt;&gt;"covered")*($T$2:$T$400&lt;&gt;"")*($U$2:$U$400&gt;$U45))+COUNTIFS($U$2:U45,$U45,$T$2:T45,"&lt;&gt;covered",$T$2:T45,"&lt;&gt;",$B$2:B45,"required")-1)</f>
        <v/>
      </c>
      <c r="Z45" s="34" t="str">
        <f aca="false">IF(AND($B45="required",$F45&gt;=4,$T45&lt;&gt;"missing",$T45&lt;&gt;"",$M45=1,COUNTIFS(Carriers!$J$2:$J$400,$C45,Carriers!$K$2:$K$400,$E45,Carriers!$M$2:$M$400,1,Carriers!$P$2:$P$400,"system_of_record")=0),MAX($Z$1:Z44)+1,"")</f>
        <v/>
      </c>
    </row>
    <row r="46" customFormat="false" ht="15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4" t="str">
        <f aca="false">IFERROR(INDEX(Topics!$C$2:$C$100,MATCH($C46,Topics!$A$2:$A$100,0)),"")</f>
        <v/>
      </c>
      <c r="M46" s="34" t="str">
        <f aca="false">IF($B46="required",COUNTIFS($B$2:$B$400,"actual",$C$2:$C$400,$C46,$E$2:$E$400,$E46,$I$2:$I$400,"&lt;&gt;disputed"),"")</f>
        <v/>
      </c>
      <c r="N46" s="34" t="str">
        <f aca="false">IF($B46="required",COUNTIFS($B$2:$B$400,"actual",$C$2:$C$400,$C46,$E$2:$E$400,$E46,$I$2:$I$400,"&lt;&gt;disputed",$D$2:$D$400,$D46)&gt;0,"")</f>
        <v/>
      </c>
      <c r="O46" s="34" t="str">
        <f aca="false">IF($B46="required",SUMIFS(Carriers!$M$2:$M$400,Carriers!$J$2:$J$400,$C46,Carriers!$K$2:$K$400,$E46),"")</f>
        <v/>
      </c>
      <c r="P46" s="34" t="str">
        <f aca="false">IF($B46&lt;&gt;"required","",IF($O46=0,99,_xlfn.MINIFS(Carriers!$G$2:$G$400,Carriers!$J$2:$J$400,$C46,Carriers!$K$2:$K$400,$E46,Carriers!$M$2:$M$400,1)))</f>
        <v/>
      </c>
      <c r="Q46" s="34" t="str">
        <f aca="false">IF($B46="required",INDEX(Lists!$B$2:$B$8,MATCH($G46,Lists!$A$2:$A$8,0)),"")</f>
        <v/>
      </c>
      <c r="R46" s="34" t="str">
        <f aca="false">IF($B46&lt;&gt;"required","",IF($H46&lt;&gt;"sync",TRUE(),COUNTIFS(Carriers!$J$2:$J$400,$C46,Carriers!$K$2:$K$400,$E46,Carriers!$H$2:$H$400,"sync",Carriers!$M$2:$M$400,1)&gt;0))</f>
        <v/>
      </c>
      <c r="S46" s="34" t="str">
        <f aca="false">IF($B46&lt;&gt;"required","",IF($F46&lt;5,FALSE(),IF($O46=0,FALSE(),COUNTIFS(Carriers!$J$2:$J$400,$C46,Carriers!$K$2:$K$400,$E46,Carriers!$M$2:$M$400,1,Carriers!$D$2:$D$400,"push")=0)))</f>
        <v/>
      </c>
      <c r="T46" s="34" t="str">
        <f aca="false">IF($B46&lt;&gt;"required","",IF($M46=0,"missing",IF(NOT($N46),"wrong_producer",IF($P46&gt;$Q46,"latency_gap",IF(OR(NOT($R46),$S46),"channel_mismatch","covered")))))</f>
        <v/>
      </c>
      <c r="U46" s="34" t="str">
        <f aca="false">IF($B46&lt;&gt;"required","",ROUND($F46*INDEX(Lists!$E$2:$E$6,MATCH($T46,Lists!$D$2:$D$6,0)),1))</f>
        <v/>
      </c>
      <c r="V46" s="34" t="str">
        <f aca="false">IF(AND($B46="required",$L46=GoalLens!$B$3),MAX($V$1:V45)+1,"")</f>
        <v/>
      </c>
      <c r="W46" s="34" t="str">
        <f aca="false">IFERROR(INDEX(Stakeholders!$D$2:$D$50,MATCH($D46,Stakeholders!$A$2:$A$50,0)),"")</f>
        <v/>
      </c>
      <c r="X46" s="34" t="str">
        <f aca="false">IFERROR(INDEX(Stakeholders!$D$2:$D$50,MATCH($E46,Stakeholders!$A$2:$A$50,0)),"")</f>
        <v/>
      </c>
      <c r="Y46" s="34" t="str">
        <f aca="false">IF(OR($B46&lt;&gt;"required",$T46="covered",$T46=""),"",1+SUMPRODUCT(ISNUMBER($U$2:$U$400)*($T$2:$T$400&lt;&gt;"covered")*($T$2:$T$400&lt;&gt;"")*($U$2:$U$400&gt;$U46))+COUNTIFS($U$2:U46,$U46,$T$2:T46,"&lt;&gt;covered",$T$2:T46,"&lt;&gt;",$B$2:B46,"required")-1)</f>
        <v/>
      </c>
      <c r="Z46" s="34" t="str">
        <f aca="false">IF(AND($B46="required",$F46&gt;=4,$T46&lt;&gt;"missing",$T46&lt;&gt;"",$M46=1,COUNTIFS(Carriers!$J$2:$J$400,$C46,Carriers!$K$2:$K$400,$E46,Carriers!$M$2:$M$400,1,Carriers!$P$2:$P$400,"system_of_record")=0),MAX($Z$1:Z45)+1,"")</f>
        <v/>
      </c>
    </row>
    <row r="47" customFormat="false" ht="15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4" t="str">
        <f aca="false">IFERROR(INDEX(Topics!$C$2:$C$100,MATCH($C47,Topics!$A$2:$A$100,0)),"")</f>
        <v/>
      </c>
      <c r="M47" s="34" t="str">
        <f aca="false">IF($B47="required",COUNTIFS($B$2:$B$400,"actual",$C$2:$C$400,$C47,$E$2:$E$400,$E47,$I$2:$I$400,"&lt;&gt;disputed"),"")</f>
        <v/>
      </c>
      <c r="N47" s="34" t="str">
        <f aca="false">IF($B47="required",COUNTIFS($B$2:$B$400,"actual",$C$2:$C$400,$C47,$E$2:$E$400,$E47,$I$2:$I$400,"&lt;&gt;disputed",$D$2:$D$400,$D47)&gt;0,"")</f>
        <v/>
      </c>
      <c r="O47" s="34" t="str">
        <f aca="false">IF($B47="required",SUMIFS(Carriers!$M$2:$M$400,Carriers!$J$2:$J$400,$C47,Carriers!$K$2:$K$400,$E47),"")</f>
        <v/>
      </c>
      <c r="P47" s="34" t="str">
        <f aca="false">IF($B47&lt;&gt;"required","",IF($O47=0,99,_xlfn.MINIFS(Carriers!$G$2:$G$400,Carriers!$J$2:$J$400,$C47,Carriers!$K$2:$K$400,$E47,Carriers!$M$2:$M$400,1)))</f>
        <v/>
      </c>
      <c r="Q47" s="34" t="str">
        <f aca="false">IF($B47="required",INDEX(Lists!$B$2:$B$8,MATCH($G47,Lists!$A$2:$A$8,0)),"")</f>
        <v/>
      </c>
      <c r="R47" s="34" t="str">
        <f aca="false">IF($B47&lt;&gt;"required","",IF($H47&lt;&gt;"sync",TRUE(),COUNTIFS(Carriers!$J$2:$J$400,$C47,Carriers!$K$2:$K$400,$E47,Carriers!$H$2:$H$400,"sync",Carriers!$M$2:$M$400,1)&gt;0))</f>
        <v/>
      </c>
      <c r="S47" s="34" t="str">
        <f aca="false">IF($B47&lt;&gt;"required","",IF($F47&lt;5,FALSE(),IF($O47=0,FALSE(),COUNTIFS(Carriers!$J$2:$J$400,$C47,Carriers!$K$2:$K$400,$E47,Carriers!$M$2:$M$400,1,Carriers!$D$2:$D$400,"push")=0)))</f>
        <v/>
      </c>
      <c r="T47" s="34" t="str">
        <f aca="false">IF($B47&lt;&gt;"required","",IF($M47=0,"missing",IF(NOT($N47),"wrong_producer",IF($P47&gt;$Q47,"latency_gap",IF(OR(NOT($R47),$S47),"channel_mismatch","covered")))))</f>
        <v/>
      </c>
      <c r="U47" s="34" t="str">
        <f aca="false">IF($B47&lt;&gt;"required","",ROUND($F47*INDEX(Lists!$E$2:$E$6,MATCH($T47,Lists!$D$2:$D$6,0)),1))</f>
        <v/>
      </c>
      <c r="V47" s="34" t="str">
        <f aca="false">IF(AND($B47="required",$L47=GoalLens!$B$3),MAX($V$1:V46)+1,"")</f>
        <v/>
      </c>
      <c r="W47" s="34" t="str">
        <f aca="false">IFERROR(INDEX(Stakeholders!$D$2:$D$50,MATCH($D47,Stakeholders!$A$2:$A$50,0)),"")</f>
        <v/>
      </c>
      <c r="X47" s="34" t="str">
        <f aca="false">IFERROR(INDEX(Stakeholders!$D$2:$D$50,MATCH($E47,Stakeholders!$A$2:$A$50,0)),"")</f>
        <v/>
      </c>
      <c r="Y47" s="34" t="str">
        <f aca="false">IF(OR($B47&lt;&gt;"required",$T47="covered",$T47=""),"",1+SUMPRODUCT(ISNUMBER($U$2:$U$400)*($T$2:$T$400&lt;&gt;"covered")*($T$2:$T$400&lt;&gt;"")*($U$2:$U$400&gt;$U47))+COUNTIFS($U$2:U47,$U47,$T$2:T47,"&lt;&gt;covered",$T$2:T47,"&lt;&gt;",$B$2:B47,"required")-1)</f>
        <v/>
      </c>
      <c r="Z47" s="34" t="str">
        <f aca="false">IF(AND($B47="required",$F47&gt;=4,$T47&lt;&gt;"missing",$T47&lt;&gt;"",$M47=1,COUNTIFS(Carriers!$J$2:$J$400,$C47,Carriers!$K$2:$K$400,$E47,Carriers!$M$2:$M$400,1,Carriers!$P$2:$P$400,"system_of_record")=0),MAX($Z$1:Z46)+1,"")</f>
        <v/>
      </c>
    </row>
    <row r="48" customFormat="false" ht="15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4" t="str">
        <f aca="false">IFERROR(INDEX(Topics!$C$2:$C$100,MATCH($C48,Topics!$A$2:$A$100,0)),"")</f>
        <v/>
      </c>
      <c r="M48" s="34" t="str">
        <f aca="false">IF($B48="required",COUNTIFS($B$2:$B$400,"actual",$C$2:$C$400,$C48,$E$2:$E$400,$E48,$I$2:$I$400,"&lt;&gt;disputed"),"")</f>
        <v/>
      </c>
      <c r="N48" s="34" t="str">
        <f aca="false">IF($B48="required",COUNTIFS($B$2:$B$400,"actual",$C$2:$C$400,$C48,$E$2:$E$400,$E48,$I$2:$I$400,"&lt;&gt;disputed",$D$2:$D$400,$D48)&gt;0,"")</f>
        <v/>
      </c>
      <c r="O48" s="34" t="str">
        <f aca="false">IF($B48="required",SUMIFS(Carriers!$M$2:$M$400,Carriers!$J$2:$J$400,$C48,Carriers!$K$2:$K$400,$E48),"")</f>
        <v/>
      </c>
      <c r="P48" s="34" t="str">
        <f aca="false">IF($B48&lt;&gt;"required","",IF($O48=0,99,_xlfn.MINIFS(Carriers!$G$2:$G$400,Carriers!$J$2:$J$400,$C48,Carriers!$K$2:$K$400,$E48,Carriers!$M$2:$M$400,1)))</f>
        <v/>
      </c>
      <c r="Q48" s="34" t="str">
        <f aca="false">IF($B48="required",INDEX(Lists!$B$2:$B$8,MATCH($G48,Lists!$A$2:$A$8,0)),"")</f>
        <v/>
      </c>
      <c r="R48" s="34" t="str">
        <f aca="false">IF($B48&lt;&gt;"required","",IF($H48&lt;&gt;"sync",TRUE(),COUNTIFS(Carriers!$J$2:$J$400,$C48,Carriers!$K$2:$K$400,$E48,Carriers!$H$2:$H$400,"sync",Carriers!$M$2:$M$400,1)&gt;0))</f>
        <v/>
      </c>
      <c r="S48" s="34" t="str">
        <f aca="false">IF($B48&lt;&gt;"required","",IF($F48&lt;5,FALSE(),IF($O48=0,FALSE(),COUNTIFS(Carriers!$J$2:$J$400,$C48,Carriers!$K$2:$K$400,$E48,Carriers!$M$2:$M$400,1,Carriers!$D$2:$D$400,"push")=0)))</f>
        <v/>
      </c>
      <c r="T48" s="34" t="str">
        <f aca="false">IF($B48&lt;&gt;"required","",IF($M48=0,"missing",IF(NOT($N48),"wrong_producer",IF($P48&gt;$Q48,"latency_gap",IF(OR(NOT($R48),$S48),"channel_mismatch","covered")))))</f>
        <v/>
      </c>
      <c r="U48" s="34" t="str">
        <f aca="false">IF($B48&lt;&gt;"required","",ROUND($F48*INDEX(Lists!$E$2:$E$6,MATCH($T48,Lists!$D$2:$D$6,0)),1))</f>
        <v/>
      </c>
      <c r="V48" s="34" t="str">
        <f aca="false">IF(AND($B48="required",$L48=GoalLens!$B$3),MAX($V$1:V47)+1,"")</f>
        <v/>
      </c>
      <c r="W48" s="34" t="str">
        <f aca="false">IFERROR(INDEX(Stakeholders!$D$2:$D$50,MATCH($D48,Stakeholders!$A$2:$A$50,0)),"")</f>
        <v/>
      </c>
      <c r="X48" s="34" t="str">
        <f aca="false">IFERROR(INDEX(Stakeholders!$D$2:$D$50,MATCH($E48,Stakeholders!$A$2:$A$50,0)),"")</f>
        <v/>
      </c>
      <c r="Y48" s="34" t="str">
        <f aca="false">IF(OR($B48&lt;&gt;"required",$T48="covered",$T48=""),"",1+SUMPRODUCT(ISNUMBER($U$2:$U$400)*($T$2:$T$400&lt;&gt;"covered")*($T$2:$T$400&lt;&gt;"")*($U$2:$U$400&gt;$U48))+COUNTIFS($U$2:U48,$U48,$T$2:T48,"&lt;&gt;covered",$T$2:T48,"&lt;&gt;",$B$2:B48,"required")-1)</f>
        <v/>
      </c>
      <c r="Z48" s="34" t="str">
        <f aca="false">IF(AND($B48="required",$F48&gt;=4,$T48&lt;&gt;"missing",$T48&lt;&gt;"",$M48=1,COUNTIFS(Carriers!$J$2:$J$400,$C48,Carriers!$K$2:$K$400,$E48,Carriers!$M$2:$M$400,1,Carriers!$P$2:$P$400,"system_of_record")=0),MAX($Z$1:Z47)+1,"")</f>
        <v/>
      </c>
    </row>
    <row r="49" customFormat="false" ht="15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4" t="str">
        <f aca="false">IFERROR(INDEX(Topics!$C$2:$C$100,MATCH($C49,Topics!$A$2:$A$100,0)),"")</f>
        <v/>
      </c>
      <c r="M49" s="34" t="str">
        <f aca="false">IF($B49="required",COUNTIFS($B$2:$B$400,"actual",$C$2:$C$400,$C49,$E$2:$E$400,$E49,$I$2:$I$400,"&lt;&gt;disputed"),"")</f>
        <v/>
      </c>
      <c r="N49" s="34" t="str">
        <f aca="false">IF($B49="required",COUNTIFS($B$2:$B$400,"actual",$C$2:$C$400,$C49,$E$2:$E$400,$E49,$I$2:$I$400,"&lt;&gt;disputed",$D$2:$D$400,$D49)&gt;0,"")</f>
        <v/>
      </c>
      <c r="O49" s="34" t="str">
        <f aca="false">IF($B49="required",SUMIFS(Carriers!$M$2:$M$400,Carriers!$J$2:$J$400,$C49,Carriers!$K$2:$K$400,$E49),"")</f>
        <v/>
      </c>
      <c r="P49" s="34" t="str">
        <f aca="false">IF($B49&lt;&gt;"required","",IF($O49=0,99,_xlfn.MINIFS(Carriers!$G$2:$G$400,Carriers!$J$2:$J$400,$C49,Carriers!$K$2:$K$400,$E49,Carriers!$M$2:$M$400,1)))</f>
        <v/>
      </c>
      <c r="Q49" s="34" t="str">
        <f aca="false">IF($B49="required",INDEX(Lists!$B$2:$B$8,MATCH($G49,Lists!$A$2:$A$8,0)),"")</f>
        <v/>
      </c>
      <c r="R49" s="34" t="str">
        <f aca="false">IF($B49&lt;&gt;"required","",IF($H49&lt;&gt;"sync",TRUE(),COUNTIFS(Carriers!$J$2:$J$400,$C49,Carriers!$K$2:$K$400,$E49,Carriers!$H$2:$H$400,"sync",Carriers!$M$2:$M$400,1)&gt;0))</f>
        <v/>
      </c>
      <c r="S49" s="34" t="str">
        <f aca="false">IF($B49&lt;&gt;"required","",IF($F49&lt;5,FALSE(),IF($O49=0,FALSE(),COUNTIFS(Carriers!$J$2:$J$400,$C49,Carriers!$K$2:$K$400,$E49,Carriers!$M$2:$M$400,1,Carriers!$D$2:$D$400,"push")=0)))</f>
        <v/>
      </c>
      <c r="T49" s="34" t="str">
        <f aca="false">IF($B49&lt;&gt;"required","",IF($M49=0,"missing",IF(NOT($N49),"wrong_producer",IF($P49&gt;$Q49,"latency_gap",IF(OR(NOT($R49),$S49),"channel_mismatch","covered")))))</f>
        <v/>
      </c>
      <c r="U49" s="34" t="str">
        <f aca="false">IF($B49&lt;&gt;"required","",ROUND($F49*INDEX(Lists!$E$2:$E$6,MATCH($T49,Lists!$D$2:$D$6,0)),1))</f>
        <v/>
      </c>
      <c r="V49" s="34" t="str">
        <f aca="false">IF(AND($B49="required",$L49=GoalLens!$B$3),MAX($V$1:V48)+1,"")</f>
        <v/>
      </c>
      <c r="W49" s="34" t="str">
        <f aca="false">IFERROR(INDEX(Stakeholders!$D$2:$D$50,MATCH($D49,Stakeholders!$A$2:$A$50,0)),"")</f>
        <v/>
      </c>
      <c r="X49" s="34" t="str">
        <f aca="false">IFERROR(INDEX(Stakeholders!$D$2:$D$50,MATCH($E49,Stakeholders!$A$2:$A$50,0)),"")</f>
        <v/>
      </c>
      <c r="Y49" s="34" t="str">
        <f aca="false">IF(OR($B49&lt;&gt;"required",$T49="covered",$T49=""),"",1+SUMPRODUCT(ISNUMBER($U$2:$U$400)*($T$2:$T$400&lt;&gt;"covered")*($T$2:$T$400&lt;&gt;"")*($U$2:$U$400&gt;$U49))+COUNTIFS($U$2:U49,$U49,$T$2:T49,"&lt;&gt;covered",$T$2:T49,"&lt;&gt;",$B$2:B49,"required")-1)</f>
        <v/>
      </c>
      <c r="Z49" s="34" t="str">
        <f aca="false">IF(AND($B49="required",$F49&gt;=4,$T49&lt;&gt;"missing",$T49&lt;&gt;"",$M49=1,COUNTIFS(Carriers!$J$2:$J$400,$C49,Carriers!$K$2:$K$400,$E49,Carriers!$M$2:$M$400,1,Carriers!$P$2:$P$400,"system_of_record")=0),MAX($Z$1:Z48)+1,"")</f>
        <v/>
      </c>
    </row>
    <row r="50" customFormat="false" ht="15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4" t="str">
        <f aca="false">IFERROR(INDEX(Topics!$C$2:$C$100,MATCH($C50,Topics!$A$2:$A$100,0)),"")</f>
        <v/>
      </c>
      <c r="M50" s="34" t="str">
        <f aca="false">IF($B50="required",COUNTIFS($B$2:$B$400,"actual",$C$2:$C$400,$C50,$E$2:$E$400,$E50,$I$2:$I$400,"&lt;&gt;disputed"),"")</f>
        <v/>
      </c>
      <c r="N50" s="34" t="str">
        <f aca="false">IF($B50="required",COUNTIFS($B$2:$B$400,"actual",$C$2:$C$400,$C50,$E$2:$E$400,$E50,$I$2:$I$400,"&lt;&gt;disputed",$D$2:$D$400,$D50)&gt;0,"")</f>
        <v/>
      </c>
      <c r="O50" s="34" t="str">
        <f aca="false">IF($B50="required",SUMIFS(Carriers!$M$2:$M$400,Carriers!$J$2:$J$400,$C50,Carriers!$K$2:$K$400,$E50),"")</f>
        <v/>
      </c>
      <c r="P50" s="34" t="str">
        <f aca="false">IF($B50&lt;&gt;"required","",IF($O50=0,99,_xlfn.MINIFS(Carriers!$G$2:$G$400,Carriers!$J$2:$J$400,$C50,Carriers!$K$2:$K$400,$E50,Carriers!$M$2:$M$400,1)))</f>
        <v/>
      </c>
      <c r="Q50" s="34" t="str">
        <f aca="false">IF($B50="required",INDEX(Lists!$B$2:$B$8,MATCH($G50,Lists!$A$2:$A$8,0)),"")</f>
        <v/>
      </c>
      <c r="R50" s="34" t="str">
        <f aca="false">IF($B50&lt;&gt;"required","",IF($H50&lt;&gt;"sync",TRUE(),COUNTIFS(Carriers!$J$2:$J$400,$C50,Carriers!$K$2:$K$400,$E50,Carriers!$H$2:$H$400,"sync",Carriers!$M$2:$M$400,1)&gt;0))</f>
        <v/>
      </c>
      <c r="S50" s="34" t="str">
        <f aca="false">IF($B50&lt;&gt;"required","",IF($F50&lt;5,FALSE(),IF($O50=0,FALSE(),COUNTIFS(Carriers!$J$2:$J$400,$C50,Carriers!$K$2:$K$400,$E50,Carriers!$M$2:$M$400,1,Carriers!$D$2:$D$400,"push")=0)))</f>
        <v/>
      </c>
      <c r="T50" s="34" t="str">
        <f aca="false">IF($B50&lt;&gt;"required","",IF($M50=0,"missing",IF(NOT($N50),"wrong_producer",IF($P50&gt;$Q50,"latency_gap",IF(OR(NOT($R50),$S50),"channel_mismatch","covered")))))</f>
        <v/>
      </c>
      <c r="U50" s="34" t="str">
        <f aca="false">IF($B50&lt;&gt;"required","",ROUND($F50*INDEX(Lists!$E$2:$E$6,MATCH($T50,Lists!$D$2:$D$6,0)),1))</f>
        <v/>
      </c>
      <c r="V50" s="34" t="str">
        <f aca="false">IF(AND($B50="required",$L50=GoalLens!$B$3),MAX($V$1:V49)+1,"")</f>
        <v/>
      </c>
      <c r="W50" s="34" t="str">
        <f aca="false">IFERROR(INDEX(Stakeholders!$D$2:$D$50,MATCH($D50,Stakeholders!$A$2:$A$50,0)),"")</f>
        <v/>
      </c>
      <c r="X50" s="34" t="str">
        <f aca="false">IFERROR(INDEX(Stakeholders!$D$2:$D$50,MATCH($E50,Stakeholders!$A$2:$A$50,0)),"")</f>
        <v/>
      </c>
      <c r="Y50" s="34" t="str">
        <f aca="false">IF(OR($B50&lt;&gt;"required",$T50="covered",$T50=""),"",1+SUMPRODUCT(ISNUMBER($U$2:$U$400)*($T$2:$T$400&lt;&gt;"covered")*($T$2:$T$400&lt;&gt;"")*($U$2:$U$400&gt;$U50))+COUNTIFS($U$2:U50,$U50,$T$2:T50,"&lt;&gt;covered",$T$2:T50,"&lt;&gt;",$B$2:B50,"required")-1)</f>
        <v/>
      </c>
      <c r="Z50" s="34" t="str">
        <f aca="false">IF(AND($B50="required",$F50&gt;=4,$T50&lt;&gt;"missing",$T50&lt;&gt;"",$M50=1,COUNTIFS(Carriers!$J$2:$J$400,$C50,Carriers!$K$2:$K$400,$E50,Carriers!$M$2:$M$400,1,Carriers!$P$2:$P$400,"system_of_record")=0),MAX($Z$1:Z49)+1,"")</f>
        <v/>
      </c>
    </row>
    <row r="51" customFormat="false" ht="15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4" t="str">
        <f aca="false">IFERROR(INDEX(Topics!$C$2:$C$100,MATCH($C51,Topics!$A$2:$A$100,0)),"")</f>
        <v/>
      </c>
      <c r="M51" s="34" t="str">
        <f aca="false">IF($B51="required",COUNTIFS($B$2:$B$400,"actual",$C$2:$C$400,$C51,$E$2:$E$400,$E51,$I$2:$I$400,"&lt;&gt;disputed"),"")</f>
        <v/>
      </c>
      <c r="N51" s="34" t="str">
        <f aca="false">IF($B51="required",COUNTIFS($B$2:$B$400,"actual",$C$2:$C$400,$C51,$E$2:$E$400,$E51,$I$2:$I$400,"&lt;&gt;disputed",$D$2:$D$400,$D51)&gt;0,"")</f>
        <v/>
      </c>
      <c r="O51" s="34" t="str">
        <f aca="false">IF($B51="required",SUMIFS(Carriers!$M$2:$M$400,Carriers!$J$2:$J$400,$C51,Carriers!$K$2:$K$400,$E51),"")</f>
        <v/>
      </c>
      <c r="P51" s="34" t="str">
        <f aca="false">IF($B51&lt;&gt;"required","",IF($O51=0,99,_xlfn.MINIFS(Carriers!$G$2:$G$400,Carriers!$J$2:$J$400,$C51,Carriers!$K$2:$K$400,$E51,Carriers!$M$2:$M$400,1)))</f>
        <v/>
      </c>
      <c r="Q51" s="34" t="str">
        <f aca="false">IF($B51="required",INDEX(Lists!$B$2:$B$8,MATCH($G51,Lists!$A$2:$A$8,0)),"")</f>
        <v/>
      </c>
      <c r="R51" s="34" t="str">
        <f aca="false">IF($B51&lt;&gt;"required","",IF($H51&lt;&gt;"sync",TRUE(),COUNTIFS(Carriers!$J$2:$J$400,$C51,Carriers!$K$2:$K$400,$E51,Carriers!$H$2:$H$400,"sync",Carriers!$M$2:$M$400,1)&gt;0))</f>
        <v/>
      </c>
      <c r="S51" s="34" t="str">
        <f aca="false">IF($B51&lt;&gt;"required","",IF($F51&lt;5,FALSE(),IF($O51=0,FALSE(),COUNTIFS(Carriers!$J$2:$J$400,$C51,Carriers!$K$2:$K$400,$E51,Carriers!$M$2:$M$400,1,Carriers!$D$2:$D$400,"push")=0)))</f>
        <v/>
      </c>
      <c r="T51" s="34" t="str">
        <f aca="false">IF($B51&lt;&gt;"required","",IF($M51=0,"missing",IF(NOT($N51),"wrong_producer",IF($P51&gt;$Q51,"latency_gap",IF(OR(NOT($R51),$S51),"channel_mismatch","covered")))))</f>
        <v/>
      </c>
      <c r="U51" s="34" t="str">
        <f aca="false">IF($B51&lt;&gt;"required","",ROUND($F51*INDEX(Lists!$E$2:$E$6,MATCH($T51,Lists!$D$2:$D$6,0)),1))</f>
        <v/>
      </c>
      <c r="V51" s="34" t="str">
        <f aca="false">IF(AND($B51="required",$L51=GoalLens!$B$3),MAX($V$1:V50)+1,"")</f>
        <v/>
      </c>
      <c r="W51" s="34" t="str">
        <f aca="false">IFERROR(INDEX(Stakeholders!$D$2:$D$50,MATCH($D51,Stakeholders!$A$2:$A$50,0)),"")</f>
        <v/>
      </c>
      <c r="X51" s="34" t="str">
        <f aca="false">IFERROR(INDEX(Stakeholders!$D$2:$D$50,MATCH($E51,Stakeholders!$A$2:$A$50,0)),"")</f>
        <v/>
      </c>
      <c r="Y51" s="34" t="str">
        <f aca="false">IF(OR($B51&lt;&gt;"required",$T51="covered",$T51=""),"",1+SUMPRODUCT(ISNUMBER($U$2:$U$400)*($T$2:$T$400&lt;&gt;"covered")*($T$2:$T$400&lt;&gt;"")*($U$2:$U$400&gt;$U51))+COUNTIFS($U$2:U51,$U51,$T$2:T51,"&lt;&gt;covered",$T$2:T51,"&lt;&gt;",$B$2:B51,"required")-1)</f>
        <v/>
      </c>
      <c r="Z51" s="34" t="str">
        <f aca="false">IF(AND($B51="required",$F51&gt;=4,$T51&lt;&gt;"missing",$T51&lt;&gt;"",$M51=1,COUNTIFS(Carriers!$J$2:$J$400,$C51,Carriers!$K$2:$K$400,$E51,Carriers!$M$2:$M$400,1,Carriers!$P$2:$P$400,"system_of_record")=0),MAX($Z$1:Z50)+1,"")</f>
        <v/>
      </c>
    </row>
    <row r="52" customFormat="false" ht="15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4" t="str">
        <f aca="false">IFERROR(INDEX(Topics!$C$2:$C$100,MATCH($C52,Topics!$A$2:$A$100,0)),"")</f>
        <v/>
      </c>
      <c r="M52" s="34" t="str">
        <f aca="false">IF($B52="required",COUNTIFS($B$2:$B$400,"actual",$C$2:$C$400,$C52,$E$2:$E$400,$E52,$I$2:$I$400,"&lt;&gt;disputed"),"")</f>
        <v/>
      </c>
      <c r="N52" s="34" t="str">
        <f aca="false">IF($B52="required",COUNTIFS($B$2:$B$400,"actual",$C$2:$C$400,$C52,$E$2:$E$400,$E52,$I$2:$I$400,"&lt;&gt;disputed",$D$2:$D$400,$D52)&gt;0,"")</f>
        <v/>
      </c>
      <c r="O52" s="34" t="str">
        <f aca="false">IF($B52="required",SUMIFS(Carriers!$M$2:$M$400,Carriers!$J$2:$J$400,$C52,Carriers!$K$2:$K$400,$E52),"")</f>
        <v/>
      </c>
      <c r="P52" s="34" t="str">
        <f aca="false">IF($B52&lt;&gt;"required","",IF($O52=0,99,_xlfn.MINIFS(Carriers!$G$2:$G$400,Carriers!$J$2:$J$400,$C52,Carriers!$K$2:$K$400,$E52,Carriers!$M$2:$M$400,1)))</f>
        <v/>
      </c>
      <c r="Q52" s="34" t="str">
        <f aca="false">IF($B52="required",INDEX(Lists!$B$2:$B$8,MATCH($G52,Lists!$A$2:$A$8,0)),"")</f>
        <v/>
      </c>
      <c r="R52" s="34" t="str">
        <f aca="false">IF($B52&lt;&gt;"required","",IF($H52&lt;&gt;"sync",TRUE(),COUNTIFS(Carriers!$J$2:$J$400,$C52,Carriers!$K$2:$K$400,$E52,Carriers!$H$2:$H$400,"sync",Carriers!$M$2:$M$400,1)&gt;0))</f>
        <v/>
      </c>
      <c r="S52" s="34" t="str">
        <f aca="false">IF($B52&lt;&gt;"required","",IF($F52&lt;5,FALSE(),IF($O52=0,FALSE(),COUNTIFS(Carriers!$J$2:$J$400,$C52,Carriers!$K$2:$K$400,$E52,Carriers!$M$2:$M$400,1,Carriers!$D$2:$D$400,"push")=0)))</f>
        <v/>
      </c>
      <c r="T52" s="34" t="str">
        <f aca="false">IF($B52&lt;&gt;"required","",IF($M52=0,"missing",IF(NOT($N52),"wrong_producer",IF($P52&gt;$Q52,"latency_gap",IF(OR(NOT($R52),$S52),"channel_mismatch","covered")))))</f>
        <v/>
      </c>
      <c r="U52" s="34" t="str">
        <f aca="false">IF($B52&lt;&gt;"required","",ROUND($F52*INDEX(Lists!$E$2:$E$6,MATCH($T52,Lists!$D$2:$D$6,0)),1))</f>
        <v/>
      </c>
      <c r="V52" s="34" t="str">
        <f aca="false">IF(AND($B52="required",$L52=GoalLens!$B$3),MAX($V$1:V51)+1,"")</f>
        <v/>
      </c>
      <c r="W52" s="34" t="str">
        <f aca="false">IFERROR(INDEX(Stakeholders!$D$2:$D$50,MATCH($D52,Stakeholders!$A$2:$A$50,0)),"")</f>
        <v/>
      </c>
      <c r="X52" s="34" t="str">
        <f aca="false">IFERROR(INDEX(Stakeholders!$D$2:$D$50,MATCH($E52,Stakeholders!$A$2:$A$50,0)),"")</f>
        <v/>
      </c>
      <c r="Y52" s="34" t="str">
        <f aca="false">IF(OR($B52&lt;&gt;"required",$T52="covered",$T52=""),"",1+SUMPRODUCT(ISNUMBER($U$2:$U$400)*($T$2:$T$400&lt;&gt;"covered")*($T$2:$T$400&lt;&gt;"")*($U$2:$U$400&gt;$U52))+COUNTIFS($U$2:U52,$U52,$T$2:T52,"&lt;&gt;covered",$T$2:T52,"&lt;&gt;",$B$2:B52,"required")-1)</f>
        <v/>
      </c>
      <c r="Z52" s="34" t="str">
        <f aca="false">IF(AND($B52="required",$F52&gt;=4,$T52&lt;&gt;"missing",$T52&lt;&gt;"",$M52=1,COUNTIFS(Carriers!$J$2:$J$400,$C52,Carriers!$K$2:$K$400,$E52,Carriers!$M$2:$M$400,1,Carriers!$P$2:$P$400,"system_of_record")=0),MAX($Z$1:Z51)+1,"")</f>
        <v/>
      </c>
    </row>
    <row r="53" customFormat="false" ht="15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4" t="str">
        <f aca="false">IFERROR(INDEX(Topics!$C$2:$C$100,MATCH($C53,Topics!$A$2:$A$100,0)),"")</f>
        <v/>
      </c>
      <c r="M53" s="34" t="str">
        <f aca="false">IF($B53="required",COUNTIFS($B$2:$B$400,"actual",$C$2:$C$400,$C53,$E$2:$E$400,$E53,$I$2:$I$400,"&lt;&gt;disputed"),"")</f>
        <v/>
      </c>
      <c r="N53" s="34" t="str">
        <f aca="false">IF($B53="required",COUNTIFS($B$2:$B$400,"actual",$C$2:$C$400,$C53,$E$2:$E$400,$E53,$I$2:$I$400,"&lt;&gt;disputed",$D$2:$D$400,$D53)&gt;0,"")</f>
        <v/>
      </c>
      <c r="O53" s="34" t="str">
        <f aca="false">IF($B53="required",SUMIFS(Carriers!$M$2:$M$400,Carriers!$J$2:$J$400,$C53,Carriers!$K$2:$K$400,$E53),"")</f>
        <v/>
      </c>
      <c r="P53" s="34" t="str">
        <f aca="false">IF($B53&lt;&gt;"required","",IF($O53=0,99,_xlfn.MINIFS(Carriers!$G$2:$G$400,Carriers!$J$2:$J$400,$C53,Carriers!$K$2:$K$400,$E53,Carriers!$M$2:$M$400,1)))</f>
        <v/>
      </c>
      <c r="Q53" s="34" t="str">
        <f aca="false">IF($B53="required",INDEX(Lists!$B$2:$B$8,MATCH($G53,Lists!$A$2:$A$8,0)),"")</f>
        <v/>
      </c>
      <c r="R53" s="34" t="str">
        <f aca="false">IF($B53&lt;&gt;"required","",IF($H53&lt;&gt;"sync",TRUE(),COUNTIFS(Carriers!$J$2:$J$400,$C53,Carriers!$K$2:$K$400,$E53,Carriers!$H$2:$H$400,"sync",Carriers!$M$2:$M$400,1)&gt;0))</f>
        <v/>
      </c>
      <c r="S53" s="34" t="str">
        <f aca="false">IF($B53&lt;&gt;"required","",IF($F53&lt;5,FALSE(),IF($O53=0,FALSE(),COUNTIFS(Carriers!$J$2:$J$400,$C53,Carriers!$K$2:$K$400,$E53,Carriers!$M$2:$M$400,1,Carriers!$D$2:$D$400,"push")=0)))</f>
        <v/>
      </c>
      <c r="T53" s="34" t="str">
        <f aca="false">IF($B53&lt;&gt;"required","",IF($M53=0,"missing",IF(NOT($N53),"wrong_producer",IF($P53&gt;$Q53,"latency_gap",IF(OR(NOT($R53),$S53),"channel_mismatch","covered")))))</f>
        <v/>
      </c>
      <c r="U53" s="34" t="str">
        <f aca="false">IF($B53&lt;&gt;"required","",ROUND($F53*INDEX(Lists!$E$2:$E$6,MATCH($T53,Lists!$D$2:$D$6,0)),1))</f>
        <v/>
      </c>
      <c r="V53" s="34" t="str">
        <f aca="false">IF(AND($B53="required",$L53=GoalLens!$B$3),MAX($V$1:V52)+1,"")</f>
        <v/>
      </c>
      <c r="W53" s="34" t="str">
        <f aca="false">IFERROR(INDEX(Stakeholders!$D$2:$D$50,MATCH($D53,Stakeholders!$A$2:$A$50,0)),"")</f>
        <v/>
      </c>
      <c r="X53" s="34" t="str">
        <f aca="false">IFERROR(INDEX(Stakeholders!$D$2:$D$50,MATCH($E53,Stakeholders!$A$2:$A$50,0)),"")</f>
        <v/>
      </c>
      <c r="Y53" s="34" t="str">
        <f aca="false">IF(OR($B53&lt;&gt;"required",$T53="covered",$T53=""),"",1+SUMPRODUCT(ISNUMBER($U$2:$U$400)*($T$2:$T$400&lt;&gt;"covered")*($T$2:$T$400&lt;&gt;"")*($U$2:$U$400&gt;$U53))+COUNTIFS($U$2:U53,$U53,$T$2:T53,"&lt;&gt;covered",$T$2:T53,"&lt;&gt;",$B$2:B53,"required")-1)</f>
        <v/>
      </c>
      <c r="Z53" s="34" t="str">
        <f aca="false">IF(AND($B53="required",$F53&gt;=4,$T53&lt;&gt;"missing",$T53&lt;&gt;"",$M53=1,COUNTIFS(Carriers!$J$2:$J$400,$C53,Carriers!$K$2:$K$400,$E53,Carriers!$M$2:$M$400,1,Carriers!$P$2:$P$400,"system_of_record")=0),MAX($Z$1:Z52)+1,"")</f>
        <v/>
      </c>
    </row>
    <row r="54" customFormat="false" ht="15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4" t="str">
        <f aca="false">IFERROR(INDEX(Topics!$C$2:$C$100,MATCH($C54,Topics!$A$2:$A$100,0)),"")</f>
        <v/>
      </c>
      <c r="M54" s="34" t="str">
        <f aca="false">IF($B54="required",COUNTIFS($B$2:$B$400,"actual",$C$2:$C$400,$C54,$E$2:$E$400,$E54,$I$2:$I$400,"&lt;&gt;disputed"),"")</f>
        <v/>
      </c>
      <c r="N54" s="34" t="str">
        <f aca="false">IF($B54="required",COUNTIFS($B$2:$B$400,"actual",$C$2:$C$400,$C54,$E$2:$E$400,$E54,$I$2:$I$400,"&lt;&gt;disputed",$D$2:$D$400,$D54)&gt;0,"")</f>
        <v/>
      </c>
      <c r="O54" s="34" t="str">
        <f aca="false">IF($B54="required",SUMIFS(Carriers!$M$2:$M$400,Carriers!$J$2:$J$400,$C54,Carriers!$K$2:$K$400,$E54),"")</f>
        <v/>
      </c>
      <c r="P54" s="34" t="str">
        <f aca="false">IF($B54&lt;&gt;"required","",IF($O54=0,99,_xlfn.MINIFS(Carriers!$G$2:$G$400,Carriers!$J$2:$J$400,$C54,Carriers!$K$2:$K$400,$E54,Carriers!$M$2:$M$400,1)))</f>
        <v/>
      </c>
      <c r="Q54" s="34" t="str">
        <f aca="false">IF($B54="required",INDEX(Lists!$B$2:$B$8,MATCH($G54,Lists!$A$2:$A$8,0)),"")</f>
        <v/>
      </c>
      <c r="R54" s="34" t="str">
        <f aca="false">IF($B54&lt;&gt;"required","",IF($H54&lt;&gt;"sync",TRUE(),COUNTIFS(Carriers!$J$2:$J$400,$C54,Carriers!$K$2:$K$400,$E54,Carriers!$H$2:$H$400,"sync",Carriers!$M$2:$M$400,1)&gt;0))</f>
        <v/>
      </c>
      <c r="S54" s="34" t="str">
        <f aca="false">IF($B54&lt;&gt;"required","",IF($F54&lt;5,FALSE(),IF($O54=0,FALSE(),COUNTIFS(Carriers!$J$2:$J$400,$C54,Carriers!$K$2:$K$400,$E54,Carriers!$M$2:$M$400,1,Carriers!$D$2:$D$400,"push")=0)))</f>
        <v/>
      </c>
      <c r="T54" s="34" t="str">
        <f aca="false">IF($B54&lt;&gt;"required","",IF($M54=0,"missing",IF(NOT($N54),"wrong_producer",IF($P54&gt;$Q54,"latency_gap",IF(OR(NOT($R54),$S54),"channel_mismatch","covered")))))</f>
        <v/>
      </c>
      <c r="U54" s="34" t="str">
        <f aca="false">IF($B54&lt;&gt;"required","",ROUND($F54*INDEX(Lists!$E$2:$E$6,MATCH($T54,Lists!$D$2:$D$6,0)),1))</f>
        <v/>
      </c>
      <c r="V54" s="34" t="str">
        <f aca="false">IF(AND($B54="required",$L54=GoalLens!$B$3),MAX($V$1:V53)+1,"")</f>
        <v/>
      </c>
      <c r="W54" s="34" t="str">
        <f aca="false">IFERROR(INDEX(Stakeholders!$D$2:$D$50,MATCH($D54,Stakeholders!$A$2:$A$50,0)),"")</f>
        <v/>
      </c>
      <c r="X54" s="34" t="str">
        <f aca="false">IFERROR(INDEX(Stakeholders!$D$2:$D$50,MATCH($E54,Stakeholders!$A$2:$A$50,0)),"")</f>
        <v/>
      </c>
      <c r="Y54" s="34" t="str">
        <f aca="false">IF(OR($B54&lt;&gt;"required",$T54="covered",$T54=""),"",1+SUMPRODUCT(ISNUMBER($U$2:$U$400)*($T$2:$T$400&lt;&gt;"covered")*($T$2:$T$400&lt;&gt;"")*($U$2:$U$400&gt;$U54))+COUNTIFS($U$2:U54,$U54,$T$2:T54,"&lt;&gt;covered",$T$2:T54,"&lt;&gt;",$B$2:B54,"required")-1)</f>
        <v/>
      </c>
      <c r="Z54" s="34" t="str">
        <f aca="false">IF(AND($B54="required",$F54&gt;=4,$T54&lt;&gt;"missing",$T54&lt;&gt;"",$M54=1,COUNTIFS(Carriers!$J$2:$J$400,$C54,Carriers!$K$2:$K$400,$E54,Carriers!$M$2:$M$400,1,Carriers!$P$2:$P$400,"system_of_record")=0),MAX($Z$1:Z53)+1,"")</f>
        <v/>
      </c>
    </row>
    <row r="55" customFormat="false" ht="15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4" t="str">
        <f aca="false">IFERROR(INDEX(Topics!$C$2:$C$100,MATCH($C55,Topics!$A$2:$A$100,0)),"")</f>
        <v/>
      </c>
      <c r="M55" s="34" t="str">
        <f aca="false">IF($B55="required",COUNTIFS($B$2:$B$400,"actual",$C$2:$C$400,$C55,$E$2:$E$400,$E55,$I$2:$I$400,"&lt;&gt;disputed"),"")</f>
        <v/>
      </c>
      <c r="N55" s="34" t="str">
        <f aca="false">IF($B55="required",COUNTIFS($B$2:$B$400,"actual",$C$2:$C$400,$C55,$E$2:$E$400,$E55,$I$2:$I$400,"&lt;&gt;disputed",$D$2:$D$400,$D55)&gt;0,"")</f>
        <v/>
      </c>
      <c r="O55" s="34" t="str">
        <f aca="false">IF($B55="required",SUMIFS(Carriers!$M$2:$M$400,Carriers!$J$2:$J$400,$C55,Carriers!$K$2:$K$400,$E55),"")</f>
        <v/>
      </c>
      <c r="P55" s="34" t="str">
        <f aca="false">IF($B55&lt;&gt;"required","",IF($O55=0,99,_xlfn.MINIFS(Carriers!$G$2:$G$400,Carriers!$J$2:$J$400,$C55,Carriers!$K$2:$K$400,$E55,Carriers!$M$2:$M$400,1)))</f>
        <v/>
      </c>
      <c r="Q55" s="34" t="str">
        <f aca="false">IF($B55="required",INDEX(Lists!$B$2:$B$8,MATCH($G55,Lists!$A$2:$A$8,0)),"")</f>
        <v/>
      </c>
      <c r="R55" s="34" t="str">
        <f aca="false">IF($B55&lt;&gt;"required","",IF($H55&lt;&gt;"sync",TRUE(),COUNTIFS(Carriers!$J$2:$J$400,$C55,Carriers!$K$2:$K$400,$E55,Carriers!$H$2:$H$400,"sync",Carriers!$M$2:$M$400,1)&gt;0))</f>
        <v/>
      </c>
      <c r="S55" s="34" t="str">
        <f aca="false">IF($B55&lt;&gt;"required","",IF($F55&lt;5,FALSE(),IF($O55=0,FALSE(),COUNTIFS(Carriers!$J$2:$J$400,$C55,Carriers!$K$2:$K$400,$E55,Carriers!$M$2:$M$400,1,Carriers!$D$2:$D$400,"push")=0)))</f>
        <v/>
      </c>
      <c r="T55" s="34" t="str">
        <f aca="false">IF($B55&lt;&gt;"required","",IF($M55=0,"missing",IF(NOT($N55),"wrong_producer",IF($P55&gt;$Q55,"latency_gap",IF(OR(NOT($R55),$S55),"channel_mismatch","covered")))))</f>
        <v/>
      </c>
      <c r="U55" s="34" t="str">
        <f aca="false">IF($B55&lt;&gt;"required","",ROUND($F55*INDEX(Lists!$E$2:$E$6,MATCH($T55,Lists!$D$2:$D$6,0)),1))</f>
        <v/>
      </c>
      <c r="V55" s="34" t="str">
        <f aca="false">IF(AND($B55="required",$L55=GoalLens!$B$3),MAX($V$1:V54)+1,"")</f>
        <v/>
      </c>
      <c r="W55" s="34" t="str">
        <f aca="false">IFERROR(INDEX(Stakeholders!$D$2:$D$50,MATCH($D55,Stakeholders!$A$2:$A$50,0)),"")</f>
        <v/>
      </c>
      <c r="X55" s="34" t="str">
        <f aca="false">IFERROR(INDEX(Stakeholders!$D$2:$D$50,MATCH($E55,Stakeholders!$A$2:$A$50,0)),"")</f>
        <v/>
      </c>
      <c r="Y55" s="34" t="str">
        <f aca="false">IF(OR($B55&lt;&gt;"required",$T55="covered",$T55=""),"",1+SUMPRODUCT(ISNUMBER($U$2:$U$400)*($T$2:$T$400&lt;&gt;"covered")*($T$2:$T$400&lt;&gt;"")*($U$2:$U$400&gt;$U55))+COUNTIFS($U$2:U55,$U55,$T$2:T55,"&lt;&gt;covered",$T$2:T55,"&lt;&gt;",$B$2:B55,"required")-1)</f>
        <v/>
      </c>
      <c r="Z55" s="34" t="str">
        <f aca="false">IF(AND($B55="required",$F55&gt;=4,$T55&lt;&gt;"missing",$T55&lt;&gt;"",$M55=1,COUNTIFS(Carriers!$J$2:$J$400,$C55,Carriers!$K$2:$K$400,$E55,Carriers!$M$2:$M$400,1,Carriers!$P$2:$P$400,"system_of_record")=0),MAX($Z$1:Z54)+1,"")</f>
        <v/>
      </c>
    </row>
    <row r="56" customFormat="false" ht="15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4" t="str">
        <f aca="false">IFERROR(INDEX(Topics!$C$2:$C$100,MATCH($C56,Topics!$A$2:$A$100,0)),"")</f>
        <v/>
      </c>
      <c r="M56" s="34" t="str">
        <f aca="false">IF($B56="required",COUNTIFS($B$2:$B$400,"actual",$C$2:$C$400,$C56,$E$2:$E$400,$E56,$I$2:$I$400,"&lt;&gt;disputed"),"")</f>
        <v/>
      </c>
      <c r="N56" s="34" t="str">
        <f aca="false">IF($B56="required",COUNTIFS($B$2:$B$400,"actual",$C$2:$C$400,$C56,$E$2:$E$400,$E56,$I$2:$I$400,"&lt;&gt;disputed",$D$2:$D$400,$D56)&gt;0,"")</f>
        <v/>
      </c>
      <c r="O56" s="34" t="str">
        <f aca="false">IF($B56="required",SUMIFS(Carriers!$M$2:$M$400,Carriers!$J$2:$J$400,$C56,Carriers!$K$2:$K$400,$E56),"")</f>
        <v/>
      </c>
      <c r="P56" s="34" t="str">
        <f aca="false">IF($B56&lt;&gt;"required","",IF($O56=0,99,_xlfn.MINIFS(Carriers!$G$2:$G$400,Carriers!$J$2:$J$400,$C56,Carriers!$K$2:$K$400,$E56,Carriers!$M$2:$M$400,1)))</f>
        <v/>
      </c>
      <c r="Q56" s="34" t="str">
        <f aca="false">IF($B56="required",INDEX(Lists!$B$2:$B$8,MATCH($G56,Lists!$A$2:$A$8,0)),"")</f>
        <v/>
      </c>
      <c r="R56" s="34" t="str">
        <f aca="false">IF($B56&lt;&gt;"required","",IF($H56&lt;&gt;"sync",TRUE(),COUNTIFS(Carriers!$J$2:$J$400,$C56,Carriers!$K$2:$K$400,$E56,Carriers!$H$2:$H$400,"sync",Carriers!$M$2:$M$400,1)&gt;0))</f>
        <v/>
      </c>
      <c r="S56" s="34" t="str">
        <f aca="false">IF($B56&lt;&gt;"required","",IF($F56&lt;5,FALSE(),IF($O56=0,FALSE(),COUNTIFS(Carriers!$J$2:$J$400,$C56,Carriers!$K$2:$K$400,$E56,Carriers!$M$2:$M$400,1,Carriers!$D$2:$D$400,"push")=0)))</f>
        <v/>
      </c>
      <c r="T56" s="34" t="str">
        <f aca="false">IF($B56&lt;&gt;"required","",IF($M56=0,"missing",IF(NOT($N56),"wrong_producer",IF($P56&gt;$Q56,"latency_gap",IF(OR(NOT($R56),$S56),"channel_mismatch","covered")))))</f>
        <v/>
      </c>
      <c r="U56" s="34" t="str">
        <f aca="false">IF($B56&lt;&gt;"required","",ROUND($F56*INDEX(Lists!$E$2:$E$6,MATCH($T56,Lists!$D$2:$D$6,0)),1))</f>
        <v/>
      </c>
      <c r="V56" s="34" t="str">
        <f aca="false">IF(AND($B56="required",$L56=GoalLens!$B$3),MAX($V$1:V55)+1,"")</f>
        <v/>
      </c>
      <c r="W56" s="34" t="str">
        <f aca="false">IFERROR(INDEX(Stakeholders!$D$2:$D$50,MATCH($D56,Stakeholders!$A$2:$A$50,0)),"")</f>
        <v/>
      </c>
      <c r="X56" s="34" t="str">
        <f aca="false">IFERROR(INDEX(Stakeholders!$D$2:$D$50,MATCH($E56,Stakeholders!$A$2:$A$50,0)),"")</f>
        <v/>
      </c>
      <c r="Y56" s="34" t="str">
        <f aca="false">IF(OR($B56&lt;&gt;"required",$T56="covered",$T56=""),"",1+SUMPRODUCT(ISNUMBER($U$2:$U$400)*($T$2:$T$400&lt;&gt;"covered")*($T$2:$T$400&lt;&gt;"")*($U$2:$U$400&gt;$U56))+COUNTIFS($U$2:U56,$U56,$T$2:T56,"&lt;&gt;covered",$T$2:T56,"&lt;&gt;",$B$2:B56,"required")-1)</f>
        <v/>
      </c>
      <c r="Z56" s="34" t="str">
        <f aca="false">IF(AND($B56="required",$F56&gt;=4,$T56&lt;&gt;"missing",$T56&lt;&gt;"",$M56=1,COUNTIFS(Carriers!$J$2:$J$400,$C56,Carriers!$K$2:$K$400,$E56,Carriers!$M$2:$M$400,1,Carriers!$P$2:$P$400,"system_of_record")=0),MAX($Z$1:Z55)+1,"")</f>
        <v/>
      </c>
    </row>
    <row r="57" customFormat="false" ht="15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4" t="str">
        <f aca="false">IFERROR(INDEX(Topics!$C$2:$C$100,MATCH($C57,Topics!$A$2:$A$100,0)),"")</f>
        <v/>
      </c>
      <c r="M57" s="34" t="str">
        <f aca="false">IF($B57="required",COUNTIFS($B$2:$B$400,"actual",$C$2:$C$400,$C57,$E$2:$E$400,$E57,$I$2:$I$400,"&lt;&gt;disputed"),"")</f>
        <v/>
      </c>
      <c r="N57" s="34" t="str">
        <f aca="false">IF($B57="required",COUNTIFS($B$2:$B$400,"actual",$C$2:$C$400,$C57,$E$2:$E$400,$E57,$I$2:$I$400,"&lt;&gt;disputed",$D$2:$D$400,$D57)&gt;0,"")</f>
        <v/>
      </c>
      <c r="O57" s="34" t="str">
        <f aca="false">IF($B57="required",SUMIFS(Carriers!$M$2:$M$400,Carriers!$J$2:$J$400,$C57,Carriers!$K$2:$K$400,$E57),"")</f>
        <v/>
      </c>
      <c r="P57" s="34" t="str">
        <f aca="false">IF($B57&lt;&gt;"required","",IF($O57=0,99,_xlfn.MINIFS(Carriers!$G$2:$G$400,Carriers!$J$2:$J$400,$C57,Carriers!$K$2:$K$400,$E57,Carriers!$M$2:$M$400,1)))</f>
        <v/>
      </c>
      <c r="Q57" s="34" t="str">
        <f aca="false">IF($B57="required",INDEX(Lists!$B$2:$B$8,MATCH($G57,Lists!$A$2:$A$8,0)),"")</f>
        <v/>
      </c>
      <c r="R57" s="34" t="str">
        <f aca="false">IF($B57&lt;&gt;"required","",IF($H57&lt;&gt;"sync",TRUE(),COUNTIFS(Carriers!$J$2:$J$400,$C57,Carriers!$K$2:$K$400,$E57,Carriers!$H$2:$H$400,"sync",Carriers!$M$2:$M$400,1)&gt;0))</f>
        <v/>
      </c>
      <c r="S57" s="34" t="str">
        <f aca="false">IF($B57&lt;&gt;"required","",IF($F57&lt;5,FALSE(),IF($O57=0,FALSE(),COUNTIFS(Carriers!$J$2:$J$400,$C57,Carriers!$K$2:$K$400,$E57,Carriers!$M$2:$M$400,1,Carriers!$D$2:$D$400,"push")=0)))</f>
        <v/>
      </c>
      <c r="T57" s="34" t="str">
        <f aca="false">IF($B57&lt;&gt;"required","",IF($M57=0,"missing",IF(NOT($N57),"wrong_producer",IF($P57&gt;$Q57,"latency_gap",IF(OR(NOT($R57),$S57),"channel_mismatch","covered")))))</f>
        <v/>
      </c>
      <c r="U57" s="34" t="str">
        <f aca="false">IF($B57&lt;&gt;"required","",ROUND($F57*INDEX(Lists!$E$2:$E$6,MATCH($T57,Lists!$D$2:$D$6,0)),1))</f>
        <v/>
      </c>
      <c r="V57" s="34" t="str">
        <f aca="false">IF(AND($B57="required",$L57=GoalLens!$B$3),MAX($V$1:V56)+1,"")</f>
        <v/>
      </c>
      <c r="W57" s="34" t="str">
        <f aca="false">IFERROR(INDEX(Stakeholders!$D$2:$D$50,MATCH($D57,Stakeholders!$A$2:$A$50,0)),"")</f>
        <v/>
      </c>
      <c r="X57" s="34" t="str">
        <f aca="false">IFERROR(INDEX(Stakeholders!$D$2:$D$50,MATCH($E57,Stakeholders!$A$2:$A$50,0)),"")</f>
        <v/>
      </c>
      <c r="Y57" s="34" t="str">
        <f aca="false">IF(OR($B57&lt;&gt;"required",$T57="covered",$T57=""),"",1+SUMPRODUCT(ISNUMBER($U$2:$U$400)*($T$2:$T$400&lt;&gt;"covered")*($T$2:$T$400&lt;&gt;"")*($U$2:$U$400&gt;$U57))+COUNTIFS($U$2:U57,$U57,$T$2:T57,"&lt;&gt;covered",$T$2:T57,"&lt;&gt;",$B$2:B57,"required")-1)</f>
        <v/>
      </c>
      <c r="Z57" s="34" t="str">
        <f aca="false">IF(AND($B57="required",$F57&gt;=4,$T57&lt;&gt;"missing",$T57&lt;&gt;"",$M57=1,COUNTIFS(Carriers!$J$2:$J$400,$C57,Carriers!$K$2:$K$400,$E57,Carriers!$M$2:$M$400,1,Carriers!$P$2:$P$400,"system_of_record")=0),MAX($Z$1:Z56)+1,"")</f>
        <v/>
      </c>
    </row>
    <row r="58" customFormat="false" ht="15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4" t="str">
        <f aca="false">IFERROR(INDEX(Topics!$C$2:$C$100,MATCH($C58,Topics!$A$2:$A$100,0)),"")</f>
        <v/>
      </c>
      <c r="M58" s="34" t="str">
        <f aca="false">IF($B58="required",COUNTIFS($B$2:$B$400,"actual",$C$2:$C$400,$C58,$E$2:$E$400,$E58,$I$2:$I$400,"&lt;&gt;disputed"),"")</f>
        <v/>
      </c>
      <c r="N58" s="34" t="str">
        <f aca="false">IF($B58="required",COUNTIFS($B$2:$B$400,"actual",$C$2:$C$400,$C58,$E$2:$E$400,$E58,$I$2:$I$400,"&lt;&gt;disputed",$D$2:$D$400,$D58)&gt;0,"")</f>
        <v/>
      </c>
      <c r="O58" s="34" t="str">
        <f aca="false">IF($B58="required",SUMIFS(Carriers!$M$2:$M$400,Carriers!$J$2:$J$400,$C58,Carriers!$K$2:$K$400,$E58),"")</f>
        <v/>
      </c>
      <c r="P58" s="34" t="str">
        <f aca="false">IF($B58&lt;&gt;"required","",IF($O58=0,99,_xlfn.MINIFS(Carriers!$G$2:$G$400,Carriers!$J$2:$J$400,$C58,Carriers!$K$2:$K$400,$E58,Carriers!$M$2:$M$400,1)))</f>
        <v/>
      </c>
      <c r="Q58" s="34" t="str">
        <f aca="false">IF($B58="required",INDEX(Lists!$B$2:$B$8,MATCH($G58,Lists!$A$2:$A$8,0)),"")</f>
        <v/>
      </c>
      <c r="R58" s="34" t="str">
        <f aca="false">IF($B58&lt;&gt;"required","",IF($H58&lt;&gt;"sync",TRUE(),COUNTIFS(Carriers!$J$2:$J$400,$C58,Carriers!$K$2:$K$400,$E58,Carriers!$H$2:$H$400,"sync",Carriers!$M$2:$M$400,1)&gt;0))</f>
        <v/>
      </c>
      <c r="S58" s="34" t="str">
        <f aca="false">IF($B58&lt;&gt;"required","",IF($F58&lt;5,FALSE(),IF($O58=0,FALSE(),COUNTIFS(Carriers!$J$2:$J$400,$C58,Carriers!$K$2:$K$400,$E58,Carriers!$M$2:$M$400,1,Carriers!$D$2:$D$400,"push")=0)))</f>
        <v/>
      </c>
      <c r="T58" s="34" t="str">
        <f aca="false">IF($B58&lt;&gt;"required","",IF($M58=0,"missing",IF(NOT($N58),"wrong_producer",IF($P58&gt;$Q58,"latency_gap",IF(OR(NOT($R58),$S58),"channel_mismatch","covered")))))</f>
        <v/>
      </c>
      <c r="U58" s="34" t="str">
        <f aca="false">IF($B58&lt;&gt;"required","",ROUND($F58*INDEX(Lists!$E$2:$E$6,MATCH($T58,Lists!$D$2:$D$6,0)),1))</f>
        <v/>
      </c>
      <c r="V58" s="34" t="str">
        <f aca="false">IF(AND($B58="required",$L58=GoalLens!$B$3),MAX($V$1:V57)+1,"")</f>
        <v/>
      </c>
      <c r="W58" s="34" t="str">
        <f aca="false">IFERROR(INDEX(Stakeholders!$D$2:$D$50,MATCH($D58,Stakeholders!$A$2:$A$50,0)),"")</f>
        <v/>
      </c>
      <c r="X58" s="34" t="str">
        <f aca="false">IFERROR(INDEX(Stakeholders!$D$2:$D$50,MATCH($E58,Stakeholders!$A$2:$A$50,0)),"")</f>
        <v/>
      </c>
      <c r="Y58" s="34" t="str">
        <f aca="false">IF(OR($B58&lt;&gt;"required",$T58="covered",$T58=""),"",1+SUMPRODUCT(ISNUMBER($U$2:$U$400)*($T$2:$T$400&lt;&gt;"covered")*($T$2:$T$400&lt;&gt;"")*($U$2:$U$400&gt;$U58))+COUNTIFS($U$2:U58,$U58,$T$2:T58,"&lt;&gt;covered",$T$2:T58,"&lt;&gt;",$B$2:B58,"required")-1)</f>
        <v/>
      </c>
      <c r="Z58" s="34" t="str">
        <f aca="false">IF(AND($B58="required",$F58&gt;=4,$T58&lt;&gt;"missing",$T58&lt;&gt;"",$M58=1,COUNTIFS(Carriers!$J$2:$J$400,$C58,Carriers!$K$2:$K$400,$E58,Carriers!$M$2:$M$400,1,Carriers!$P$2:$P$400,"system_of_record")=0),MAX($Z$1:Z57)+1,"")</f>
        <v/>
      </c>
    </row>
    <row r="59" customFormat="false" ht="15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4" t="str">
        <f aca="false">IFERROR(INDEX(Topics!$C$2:$C$100,MATCH($C59,Topics!$A$2:$A$100,0)),"")</f>
        <v/>
      </c>
      <c r="M59" s="34" t="str">
        <f aca="false">IF($B59="required",COUNTIFS($B$2:$B$400,"actual",$C$2:$C$400,$C59,$E$2:$E$400,$E59,$I$2:$I$400,"&lt;&gt;disputed"),"")</f>
        <v/>
      </c>
      <c r="N59" s="34" t="str">
        <f aca="false">IF($B59="required",COUNTIFS($B$2:$B$400,"actual",$C$2:$C$400,$C59,$E$2:$E$400,$E59,$I$2:$I$400,"&lt;&gt;disputed",$D$2:$D$400,$D59)&gt;0,"")</f>
        <v/>
      </c>
      <c r="O59" s="34" t="str">
        <f aca="false">IF($B59="required",SUMIFS(Carriers!$M$2:$M$400,Carriers!$J$2:$J$400,$C59,Carriers!$K$2:$K$400,$E59),"")</f>
        <v/>
      </c>
      <c r="P59" s="34" t="str">
        <f aca="false">IF($B59&lt;&gt;"required","",IF($O59=0,99,_xlfn.MINIFS(Carriers!$G$2:$G$400,Carriers!$J$2:$J$400,$C59,Carriers!$K$2:$K$400,$E59,Carriers!$M$2:$M$400,1)))</f>
        <v/>
      </c>
      <c r="Q59" s="34" t="str">
        <f aca="false">IF($B59="required",INDEX(Lists!$B$2:$B$8,MATCH($G59,Lists!$A$2:$A$8,0)),"")</f>
        <v/>
      </c>
      <c r="R59" s="34" t="str">
        <f aca="false">IF($B59&lt;&gt;"required","",IF($H59&lt;&gt;"sync",TRUE(),COUNTIFS(Carriers!$J$2:$J$400,$C59,Carriers!$K$2:$K$400,$E59,Carriers!$H$2:$H$400,"sync",Carriers!$M$2:$M$400,1)&gt;0))</f>
        <v/>
      </c>
      <c r="S59" s="34" t="str">
        <f aca="false">IF($B59&lt;&gt;"required","",IF($F59&lt;5,FALSE(),IF($O59=0,FALSE(),COUNTIFS(Carriers!$J$2:$J$400,$C59,Carriers!$K$2:$K$400,$E59,Carriers!$M$2:$M$400,1,Carriers!$D$2:$D$400,"push")=0)))</f>
        <v/>
      </c>
      <c r="T59" s="34" t="str">
        <f aca="false">IF($B59&lt;&gt;"required","",IF($M59=0,"missing",IF(NOT($N59),"wrong_producer",IF($P59&gt;$Q59,"latency_gap",IF(OR(NOT($R59),$S59),"channel_mismatch","covered")))))</f>
        <v/>
      </c>
      <c r="U59" s="34" t="str">
        <f aca="false">IF($B59&lt;&gt;"required","",ROUND($F59*INDEX(Lists!$E$2:$E$6,MATCH($T59,Lists!$D$2:$D$6,0)),1))</f>
        <v/>
      </c>
      <c r="V59" s="34" t="str">
        <f aca="false">IF(AND($B59="required",$L59=GoalLens!$B$3),MAX($V$1:V58)+1,"")</f>
        <v/>
      </c>
      <c r="W59" s="34" t="str">
        <f aca="false">IFERROR(INDEX(Stakeholders!$D$2:$D$50,MATCH($D59,Stakeholders!$A$2:$A$50,0)),"")</f>
        <v/>
      </c>
      <c r="X59" s="34" t="str">
        <f aca="false">IFERROR(INDEX(Stakeholders!$D$2:$D$50,MATCH($E59,Stakeholders!$A$2:$A$50,0)),"")</f>
        <v/>
      </c>
      <c r="Y59" s="34" t="str">
        <f aca="false">IF(OR($B59&lt;&gt;"required",$T59="covered",$T59=""),"",1+SUMPRODUCT(ISNUMBER($U$2:$U$400)*($T$2:$T$400&lt;&gt;"covered")*($T$2:$T$400&lt;&gt;"")*($U$2:$U$400&gt;$U59))+COUNTIFS($U$2:U59,$U59,$T$2:T59,"&lt;&gt;covered",$T$2:T59,"&lt;&gt;",$B$2:B59,"required")-1)</f>
        <v/>
      </c>
      <c r="Z59" s="34" t="str">
        <f aca="false">IF(AND($B59="required",$F59&gt;=4,$T59&lt;&gt;"missing",$T59&lt;&gt;"",$M59=1,COUNTIFS(Carriers!$J$2:$J$400,$C59,Carriers!$K$2:$K$400,$E59,Carriers!$M$2:$M$400,1,Carriers!$P$2:$P$400,"system_of_record")=0),MAX($Z$1:Z58)+1,"")</f>
        <v/>
      </c>
    </row>
    <row r="60" customFormat="false" ht="15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4" t="str">
        <f aca="false">IFERROR(INDEX(Topics!$C$2:$C$100,MATCH($C60,Topics!$A$2:$A$100,0)),"")</f>
        <v/>
      </c>
      <c r="M60" s="34" t="str">
        <f aca="false">IF($B60="required",COUNTIFS($B$2:$B$400,"actual",$C$2:$C$400,$C60,$E$2:$E$400,$E60,$I$2:$I$400,"&lt;&gt;disputed"),"")</f>
        <v/>
      </c>
      <c r="N60" s="34" t="str">
        <f aca="false">IF($B60="required",COUNTIFS($B$2:$B$400,"actual",$C$2:$C$400,$C60,$E$2:$E$400,$E60,$I$2:$I$400,"&lt;&gt;disputed",$D$2:$D$400,$D60)&gt;0,"")</f>
        <v/>
      </c>
      <c r="O60" s="34" t="str">
        <f aca="false">IF($B60="required",SUMIFS(Carriers!$M$2:$M$400,Carriers!$J$2:$J$400,$C60,Carriers!$K$2:$K$400,$E60),"")</f>
        <v/>
      </c>
      <c r="P60" s="34" t="str">
        <f aca="false">IF($B60&lt;&gt;"required","",IF($O60=0,99,_xlfn.MINIFS(Carriers!$G$2:$G$400,Carriers!$J$2:$J$400,$C60,Carriers!$K$2:$K$400,$E60,Carriers!$M$2:$M$400,1)))</f>
        <v/>
      </c>
      <c r="Q60" s="34" t="str">
        <f aca="false">IF($B60="required",INDEX(Lists!$B$2:$B$8,MATCH($G60,Lists!$A$2:$A$8,0)),"")</f>
        <v/>
      </c>
      <c r="R60" s="34" t="str">
        <f aca="false">IF($B60&lt;&gt;"required","",IF($H60&lt;&gt;"sync",TRUE(),COUNTIFS(Carriers!$J$2:$J$400,$C60,Carriers!$K$2:$K$400,$E60,Carriers!$H$2:$H$400,"sync",Carriers!$M$2:$M$400,1)&gt;0))</f>
        <v/>
      </c>
      <c r="S60" s="34" t="str">
        <f aca="false">IF($B60&lt;&gt;"required","",IF($F60&lt;5,FALSE(),IF($O60=0,FALSE(),COUNTIFS(Carriers!$J$2:$J$400,$C60,Carriers!$K$2:$K$400,$E60,Carriers!$M$2:$M$400,1,Carriers!$D$2:$D$400,"push")=0)))</f>
        <v/>
      </c>
      <c r="T60" s="34" t="str">
        <f aca="false">IF($B60&lt;&gt;"required","",IF($M60=0,"missing",IF(NOT($N60),"wrong_producer",IF($P60&gt;$Q60,"latency_gap",IF(OR(NOT($R60),$S60),"channel_mismatch","covered")))))</f>
        <v/>
      </c>
      <c r="U60" s="34" t="str">
        <f aca="false">IF($B60&lt;&gt;"required","",ROUND($F60*INDEX(Lists!$E$2:$E$6,MATCH($T60,Lists!$D$2:$D$6,0)),1))</f>
        <v/>
      </c>
      <c r="V60" s="34" t="str">
        <f aca="false">IF(AND($B60="required",$L60=GoalLens!$B$3),MAX($V$1:V59)+1,"")</f>
        <v/>
      </c>
      <c r="W60" s="34" t="str">
        <f aca="false">IFERROR(INDEX(Stakeholders!$D$2:$D$50,MATCH($D60,Stakeholders!$A$2:$A$50,0)),"")</f>
        <v/>
      </c>
      <c r="X60" s="34" t="str">
        <f aca="false">IFERROR(INDEX(Stakeholders!$D$2:$D$50,MATCH($E60,Stakeholders!$A$2:$A$50,0)),"")</f>
        <v/>
      </c>
      <c r="Y60" s="34" t="str">
        <f aca="false">IF(OR($B60&lt;&gt;"required",$T60="covered",$T60=""),"",1+SUMPRODUCT(ISNUMBER($U$2:$U$400)*($T$2:$T$400&lt;&gt;"covered")*($T$2:$T$400&lt;&gt;"")*($U$2:$U$400&gt;$U60))+COUNTIFS($U$2:U60,$U60,$T$2:T60,"&lt;&gt;covered",$T$2:T60,"&lt;&gt;",$B$2:B60,"required")-1)</f>
        <v/>
      </c>
      <c r="Z60" s="34" t="str">
        <f aca="false">IF(AND($B60="required",$F60&gt;=4,$T60&lt;&gt;"missing",$T60&lt;&gt;"",$M60=1,COUNTIFS(Carriers!$J$2:$J$400,$C60,Carriers!$K$2:$K$400,$E60,Carriers!$M$2:$M$400,1,Carriers!$P$2:$P$400,"system_of_record")=0),MAX($Z$1:Z59)+1,"")</f>
        <v/>
      </c>
    </row>
    <row r="61" customFormat="false" ht="15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4" t="str">
        <f aca="false">IFERROR(INDEX(Topics!$C$2:$C$100,MATCH($C61,Topics!$A$2:$A$100,0)),"")</f>
        <v/>
      </c>
      <c r="M61" s="34" t="str">
        <f aca="false">IF($B61="required",COUNTIFS($B$2:$B$400,"actual",$C$2:$C$400,$C61,$E$2:$E$400,$E61,$I$2:$I$400,"&lt;&gt;disputed"),"")</f>
        <v/>
      </c>
      <c r="N61" s="34" t="str">
        <f aca="false">IF($B61="required",COUNTIFS($B$2:$B$400,"actual",$C$2:$C$400,$C61,$E$2:$E$400,$E61,$I$2:$I$400,"&lt;&gt;disputed",$D$2:$D$400,$D61)&gt;0,"")</f>
        <v/>
      </c>
      <c r="O61" s="34" t="str">
        <f aca="false">IF($B61="required",SUMIFS(Carriers!$M$2:$M$400,Carriers!$J$2:$J$400,$C61,Carriers!$K$2:$K$400,$E61),"")</f>
        <v/>
      </c>
      <c r="P61" s="34" t="str">
        <f aca="false">IF($B61&lt;&gt;"required","",IF($O61=0,99,_xlfn.MINIFS(Carriers!$G$2:$G$400,Carriers!$J$2:$J$400,$C61,Carriers!$K$2:$K$400,$E61,Carriers!$M$2:$M$400,1)))</f>
        <v/>
      </c>
      <c r="Q61" s="34" t="str">
        <f aca="false">IF($B61="required",INDEX(Lists!$B$2:$B$8,MATCH($G61,Lists!$A$2:$A$8,0)),"")</f>
        <v/>
      </c>
      <c r="R61" s="34" t="str">
        <f aca="false">IF($B61&lt;&gt;"required","",IF($H61&lt;&gt;"sync",TRUE(),COUNTIFS(Carriers!$J$2:$J$400,$C61,Carriers!$K$2:$K$400,$E61,Carriers!$H$2:$H$400,"sync",Carriers!$M$2:$M$400,1)&gt;0))</f>
        <v/>
      </c>
      <c r="S61" s="34" t="str">
        <f aca="false">IF($B61&lt;&gt;"required","",IF($F61&lt;5,FALSE(),IF($O61=0,FALSE(),COUNTIFS(Carriers!$J$2:$J$400,$C61,Carriers!$K$2:$K$400,$E61,Carriers!$M$2:$M$400,1,Carriers!$D$2:$D$400,"push")=0)))</f>
        <v/>
      </c>
      <c r="T61" s="34" t="str">
        <f aca="false">IF($B61&lt;&gt;"required","",IF($M61=0,"missing",IF(NOT($N61),"wrong_producer",IF($P61&gt;$Q61,"latency_gap",IF(OR(NOT($R61),$S61),"channel_mismatch","covered")))))</f>
        <v/>
      </c>
      <c r="U61" s="34" t="str">
        <f aca="false">IF($B61&lt;&gt;"required","",ROUND($F61*INDEX(Lists!$E$2:$E$6,MATCH($T61,Lists!$D$2:$D$6,0)),1))</f>
        <v/>
      </c>
      <c r="V61" s="34" t="str">
        <f aca="false">IF(AND($B61="required",$L61=GoalLens!$B$3),MAX($V$1:V60)+1,"")</f>
        <v/>
      </c>
      <c r="W61" s="34" t="str">
        <f aca="false">IFERROR(INDEX(Stakeholders!$D$2:$D$50,MATCH($D61,Stakeholders!$A$2:$A$50,0)),"")</f>
        <v/>
      </c>
      <c r="X61" s="34" t="str">
        <f aca="false">IFERROR(INDEX(Stakeholders!$D$2:$D$50,MATCH($E61,Stakeholders!$A$2:$A$50,0)),"")</f>
        <v/>
      </c>
      <c r="Y61" s="34" t="str">
        <f aca="false">IF(OR($B61&lt;&gt;"required",$T61="covered",$T61=""),"",1+SUMPRODUCT(ISNUMBER($U$2:$U$400)*($T$2:$T$400&lt;&gt;"covered")*($T$2:$T$400&lt;&gt;"")*($U$2:$U$400&gt;$U61))+COUNTIFS($U$2:U61,$U61,$T$2:T61,"&lt;&gt;covered",$T$2:T61,"&lt;&gt;",$B$2:B61,"required")-1)</f>
        <v/>
      </c>
      <c r="Z61" s="34" t="str">
        <f aca="false">IF(AND($B61="required",$F61&gt;=4,$T61&lt;&gt;"missing",$T61&lt;&gt;"",$M61=1,COUNTIFS(Carriers!$J$2:$J$400,$C61,Carriers!$K$2:$K$400,$E61,Carriers!$M$2:$M$400,1,Carriers!$P$2:$P$400,"system_of_record")=0),MAX($Z$1:Z60)+1,"")</f>
        <v/>
      </c>
    </row>
    <row r="62" customFormat="false" ht="15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4" t="str">
        <f aca="false">IFERROR(INDEX(Topics!$C$2:$C$100,MATCH($C62,Topics!$A$2:$A$100,0)),"")</f>
        <v/>
      </c>
      <c r="M62" s="34" t="str">
        <f aca="false">IF($B62="required",COUNTIFS($B$2:$B$400,"actual",$C$2:$C$400,$C62,$E$2:$E$400,$E62,$I$2:$I$400,"&lt;&gt;disputed"),"")</f>
        <v/>
      </c>
      <c r="N62" s="34" t="str">
        <f aca="false">IF($B62="required",COUNTIFS($B$2:$B$400,"actual",$C$2:$C$400,$C62,$E$2:$E$400,$E62,$I$2:$I$400,"&lt;&gt;disputed",$D$2:$D$400,$D62)&gt;0,"")</f>
        <v/>
      </c>
      <c r="O62" s="34" t="str">
        <f aca="false">IF($B62="required",SUMIFS(Carriers!$M$2:$M$400,Carriers!$J$2:$J$400,$C62,Carriers!$K$2:$K$400,$E62),"")</f>
        <v/>
      </c>
      <c r="P62" s="34" t="str">
        <f aca="false">IF($B62&lt;&gt;"required","",IF($O62=0,99,_xlfn.MINIFS(Carriers!$G$2:$G$400,Carriers!$J$2:$J$400,$C62,Carriers!$K$2:$K$400,$E62,Carriers!$M$2:$M$400,1)))</f>
        <v/>
      </c>
      <c r="Q62" s="34" t="str">
        <f aca="false">IF($B62="required",INDEX(Lists!$B$2:$B$8,MATCH($G62,Lists!$A$2:$A$8,0)),"")</f>
        <v/>
      </c>
      <c r="R62" s="34" t="str">
        <f aca="false">IF($B62&lt;&gt;"required","",IF($H62&lt;&gt;"sync",TRUE(),COUNTIFS(Carriers!$J$2:$J$400,$C62,Carriers!$K$2:$K$400,$E62,Carriers!$H$2:$H$400,"sync",Carriers!$M$2:$M$400,1)&gt;0))</f>
        <v/>
      </c>
      <c r="S62" s="34" t="str">
        <f aca="false">IF($B62&lt;&gt;"required","",IF($F62&lt;5,FALSE(),IF($O62=0,FALSE(),COUNTIFS(Carriers!$J$2:$J$400,$C62,Carriers!$K$2:$K$400,$E62,Carriers!$M$2:$M$400,1,Carriers!$D$2:$D$400,"push")=0)))</f>
        <v/>
      </c>
      <c r="T62" s="34" t="str">
        <f aca="false">IF($B62&lt;&gt;"required","",IF($M62=0,"missing",IF(NOT($N62),"wrong_producer",IF($P62&gt;$Q62,"latency_gap",IF(OR(NOT($R62),$S62),"channel_mismatch","covered")))))</f>
        <v/>
      </c>
      <c r="U62" s="34" t="str">
        <f aca="false">IF($B62&lt;&gt;"required","",ROUND($F62*INDEX(Lists!$E$2:$E$6,MATCH($T62,Lists!$D$2:$D$6,0)),1))</f>
        <v/>
      </c>
      <c r="V62" s="34" t="str">
        <f aca="false">IF(AND($B62="required",$L62=GoalLens!$B$3),MAX($V$1:V61)+1,"")</f>
        <v/>
      </c>
      <c r="W62" s="34" t="str">
        <f aca="false">IFERROR(INDEX(Stakeholders!$D$2:$D$50,MATCH($D62,Stakeholders!$A$2:$A$50,0)),"")</f>
        <v/>
      </c>
      <c r="X62" s="34" t="str">
        <f aca="false">IFERROR(INDEX(Stakeholders!$D$2:$D$50,MATCH($E62,Stakeholders!$A$2:$A$50,0)),"")</f>
        <v/>
      </c>
      <c r="Y62" s="34" t="str">
        <f aca="false">IF(OR($B62&lt;&gt;"required",$T62="covered",$T62=""),"",1+SUMPRODUCT(ISNUMBER($U$2:$U$400)*($T$2:$T$400&lt;&gt;"covered")*($T$2:$T$400&lt;&gt;"")*($U$2:$U$400&gt;$U62))+COUNTIFS($U$2:U62,$U62,$T$2:T62,"&lt;&gt;covered",$T$2:T62,"&lt;&gt;",$B$2:B62,"required")-1)</f>
        <v/>
      </c>
      <c r="Z62" s="34" t="str">
        <f aca="false">IF(AND($B62="required",$F62&gt;=4,$T62&lt;&gt;"missing",$T62&lt;&gt;"",$M62=1,COUNTIFS(Carriers!$J$2:$J$400,$C62,Carriers!$K$2:$K$400,$E62,Carriers!$M$2:$M$400,1,Carriers!$P$2:$P$400,"system_of_record")=0),MAX($Z$1:Z61)+1,"")</f>
        <v/>
      </c>
    </row>
    <row r="63" customFormat="false" ht="15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4" t="str">
        <f aca="false">IFERROR(INDEX(Topics!$C$2:$C$100,MATCH($C63,Topics!$A$2:$A$100,0)),"")</f>
        <v/>
      </c>
      <c r="M63" s="34" t="str">
        <f aca="false">IF($B63="required",COUNTIFS($B$2:$B$400,"actual",$C$2:$C$400,$C63,$E$2:$E$400,$E63,$I$2:$I$400,"&lt;&gt;disputed"),"")</f>
        <v/>
      </c>
      <c r="N63" s="34" t="str">
        <f aca="false">IF($B63="required",COUNTIFS($B$2:$B$400,"actual",$C$2:$C$400,$C63,$E$2:$E$400,$E63,$I$2:$I$400,"&lt;&gt;disputed",$D$2:$D$400,$D63)&gt;0,"")</f>
        <v/>
      </c>
      <c r="O63" s="34" t="str">
        <f aca="false">IF($B63="required",SUMIFS(Carriers!$M$2:$M$400,Carriers!$J$2:$J$400,$C63,Carriers!$K$2:$K$400,$E63),"")</f>
        <v/>
      </c>
      <c r="P63" s="34" t="str">
        <f aca="false">IF($B63&lt;&gt;"required","",IF($O63=0,99,_xlfn.MINIFS(Carriers!$G$2:$G$400,Carriers!$J$2:$J$400,$C63,Carriers!$K$2:$K$400,$E63,Carriers!$M$2:$M$400,1)))</f>
        <v/>
      </c>
      <c r="Q63" s="34" t="str">
        <f aca="false">IF($B63="required",INDEX(Lists!$B$2:$B$8,MATCH($G63,Lists!$A$2:$A$8,0)),"")</f>
        <v/>
      </c>
      <c r="R63" s="34" t="str">
        <f aca="false">IF($B63&lt;&gt;"required","",IF($H63&lt;&gt;"sync",TRUE(),COUNTIFS(Carriers!$J$2:$J$400,$C63,Carriers!$K$2:$K$400,$E63,Carriers!$H$2:$H$400,"sync",Carriers!$M$2:$M$400,1)&gt;0))</f>
        <v/>
      </c>
      <c r="S63" s="34" t="str">
        <f aca="false">IF($B63&lt;&gt;"required","",IF($F63&lt;5,FALSE(),IF($O63=0,FALSE(),COUNTIFS(Carriers!$J$2:$J$400,$C63,Carriers!$K$2:$K$400,$E63,Carriers!$M$2:$M$400,1,Carriers!$D$2:$D$400,"push")=0)))</f>
        <v/>
      </c>
      <c r="T63" s="34" t="str">
        <f aca="false">IF($B63&lt;&gt;"required","",IF($M63=0,"missing",IF(NOT($N63),"wrong_producer",IF($P63&gt;$Q63,"latency_gap",IF(OR(NOT($R63),$S63),"channel_mismatch","covered")))))</f>
        <v/>
      </c>
      <c r="U63" s="34" t="str">
        <f aca="false">IF($B63&lt;&gt;"required","",ROUND($F63*INDEX(Lists!$E$2:$E$6,MATCH($T63,Lists!$D$2:$D$6,0)),1))</f>
        <v/>
      </c>
      <c r="V63" s="34" t="str">
        <f aca="false">IF(AND($B63="required",$L63=GoalLens!$B$3),MAX($V$1:V62)+1,"")</f>
        <v/>
      </c>
      <c r="W63" s="34" t="str">
        <f aca="false">IFERROR(INDEX(Stakeholders!$D$2:$D$50,MATCH($D63,Stakeholders!$A$2:$A$50,0)),"")</f>
        <v/>
      </c>
      <c r="X63" s="34" t="str">
        <f aca="false">IFERROR(INDEX(Stakeholders!$D$2:$D$50,MATCH($E63,Stakeholders!$A$2:$A$50,0)),"")</f>
        <v/>
      </c>
      <c r="Y63" s="34" t="str">
        <f aca="false">IF(OR($B63&lt;&gt;"required",$T63="covered",$T63=""),"",1+SUMPRODUCT(ISNUMBER($U$2:$U$400)*($T$2:$T$400&lt;&gt;"covered")*($T$2:$T$400&lt;&gt;"")*($U$2:$U$400&gt;$U63))+COUNTIFS($U$2:U63,$U63,$T$2:T63,"&lt;&gt;covered",$T$2:T63,"&lt;&gt;",$B$2:B63,"required")-1)</f>
        <v/>
      </c>
      <c r="Z63" s="34" t="str">
        <f aca="false">IF(AND($B63="required",$F63&gt;=4,$T63&lt;&gt;"missing",$T63&lt;&gt;"",$M63=1,COUNTIFS(Carriers!$J$2:$J$400,$C63,Carriers!$K$2:$K$400,$E63,Carriers!$M$2:$M$400,1,Carriers!$P$2:$P$400,"system_of_record")=0),MAX($Z$1:Z62)+1,"")</f>
        <v/>
      </c>
    </row>
    <row r="64" customFormat="false" ht="15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4" t="str">
        <f aca="false">IFERROR(INDEX(Topics!$C$2:$C$100,MATCH($C64,Topics!$A$2:$A$100,0)),"")</f>
        <v/>
      </c>
      <c r="M64" s="34" t="str">
        <f aca="false">IF($B64="required",COUNTIFS($B$2:$B$400,"actual",$C$2:$C$400,$C64,$E$2:$E$400,$E64,$I$2:$I$400,"&lt;&gt;disputed"),"")</f>
        <v/>
      </c>
      <c r="N64" s="34" t="str">
        <f aca="false">IF($B64="required",COUNTIFS($B$2:$B$400,"actual",$C$2:$C$400,$C64,$E$2:$E$400,$E64,$I$2:$I$400,"&lt;&gt;disputed",$D$2:$D$400,$D64)&gt;0,"")</f>
        <v/>
      </c>
      <c r="O64" s="34" t="str">
        <f aca="false">IF($B64="required",SUMIFS(Carriers!$M$2:$M$400,Carriers!$J$2:$J$400,$C64,Carriers!$K$2:$K$400,$E64),"")</f>
        <v/>
      </c>
      <c r="P64" s="34" t="str">
        <f aca="false">IF($B64&lt;&gt;"required","",IF($O64=0,99,_xlfn.MINIFS(Carriers!$G$2:$G$400,Carriers!$J$2:$J$400,$C64,Carriers!$K$2:$K$400,$E64,Carriers!$M$2:$M$400,1)))</f>
        <v/>
      </c>
      <c r="Q64" s="34" t="str">
        <f aca="false">IF($B64="required",INDEX(Lists!$B$2:$B$8,MATCH($G64,Lists!$A$2:$A$8,0)),"")</f>
        <v/>
      </c>
      <c r="R64" s="34" t="str">
        <f aca="false">IF($B64&lt;&gt;"required","",IF($H64&lt;&gt;"sync",TRUE(),COUNTIFS(Carriers!$J$2:$J$400,$C64,Carriers!$K$2:$K$400,$E64,Carriers!$H$2:$H$400,"sync",Carriers!$M$2:$M$400,1)&gt;0))</f>
        <v/>
      </c>
      <c r="S64" s="34" t="str">
        <f aca="false">IF($B64&lt;&gt;"required","",IF($F64&lt;5,FALSE(),IF($O64=0,FALSE(),COUNTIFS(Carriers!$J$2:$J$400,$C64,Carriers!$K$2:$K$400,$E64,Carriers!$M$2:$M$400,1,Carriers!$D$2:$D$400,"push")=0)))</f>
        <v/>
      </c>
      <c r="T64" s="34" t="str">
        <f aca="false">IF($B64&lt;&gt;"required","",IF($M64=0,"missing",IF(NOT($N64),"wrong_producer",IF($P64&gt;$Q64,"latency_gap",IF(OR(NOT($R64),$S64),"channel_mismatch","covered")))))</f>
        <v/>
      </c>
      <c r="U64" s="34" t="str">
        <f aca="false">IF($B64&lt;&gt;"required","",ROUND($F64*INDEX(Lists!$E$2:$E$6,MATCH($T64,Lists!$D$2:$D$6,0)),1))</f>
        <v/>
      </c>
      <c r="V64" s="34" t="str">
        <f aca="false">IF(AND($B64="required",$L64=GoalLens!$B$3),MAX($V$1:V63)+1,"")</f>
        <v/>
      </c>
      <c r="W64" s="34" t="str">
        <f aca="false">IFERROR(INDEX(Stakeholders!$D$2:$D$50,MATCH($D64,Stakeholders!$A$2:$A$50,0)),"")</f>
        <v/>
      </c>
      <c r="X64" s="34" t="str">
        <f aca="false">IFERROR(INDEX(Stakeholders!$D$2:$D$50,MATCH($E64,Stakeholders!$A$2:$A$50,0)),"")</f>
        <v/>
      </c>
      <c r="Y64" s="34" t="str">
        <f aca="false">IF(OR($B64&lt;&gt;"required",$T64="covered",$T64=""),"",1+SUMPRODUCT(ISNUMBER($U$2:$U$400)*($T$2:$T$400&lt;&gt;"covered")*($T$2:$T$400&lt;&gt;"")*($U$2:$U$400&gt;$U64))+COUNTIFS($U$2:U64,$U64,$T$2:T64,"&lt;&gt;covered",$T$2:T64,"&lt;&gt;",$B$2:B64,"required")-1)</f>
        <v/>
      </c>
      <c r="Z64" s="34" t="str">
        <f aca="false">IF(AND($B64="required",$F64&gt;=4,$T64&lt;&gt;"missing",$T64&lt;&gt;"",$M64=1,COUNTIFS(Carriers!$J$2:$J$400,$C64,Carriers!$K$2:$K$400,$E64,Carriers!$M$2:$M$400,1,Carriers!$P$2:$P$400,"system_of_record")=0),MAX($Z$1:Z63)+1,"")</f>
        <v/>
      </c>
    </row>
    <row r="65" customFormat="false" ht="15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4" t="str">
        <f aca="false">IFERROR(INDEX(Topics!$C$2:$C$100,MATCH($C65,Topics!$A$2:$A$100,0)),"")</f>
        <v/>
      </c>
      <c r="M65" s="34" t="str">
        <f aca="false">IF($B65="required",COUNTIFS($B$2:$B$400,"actual",$C$2:$C$400,$C65,$E$2:$E$400,$E65,$I$2:$I$400,"&lt;&gt;disputed"),"")</f>
        <v/>
      </c>
      <c r="N65" s="34" t="str">
        <f aca="false">IF($B65="required",COUNTIFS($B$2:$B$400,"actual",$C$2:$C$400,$C65,$E$2:$E$400,$E65,$I$2:$I$400,"&lt;&gt;disputed",$D$2:$D$400,$D65)&gt;0,"")</f>
        <v/>
      </c>
      <c r="O65" s="34" t="str">
        <f aca="false">IF($B65="required",SUMIFS(Carriers!$M$2:$M$400,Carriers!$J$2:$J$400,$C65,Carriers!$K$2:$K$400,$E65),"")</f>
        <v/>
      </c>
      <c r="P65" s="34" t="str">
        <f aca="false">IF($B65&lt;&gt;"required","",IF($O65=0,99,_xlfn.MINIFS(Carriers!$G$2:$G$400,Carriers!$J$2:$J$400,$C65,Carriers!$K$2:$K$400,$E65,Carriers!$M$2:$M$400,1)))</f>
        <v/>
      </c>
      <c r="Q65" s="34" t="str">
        <f aca="false">IF($B65="required",INDEX(Lists!$B$2:$B$8,MATCH($G65,Lists!$A$2:$A$8,0)),"")</f>
        <v/>
      </c>
      <c r="R65" s="34" t="str">
        <f aca="false">IF($B65&lt;&gt;"required","",IF($H65&lt;&gt;"sync",TRUE(),COUNTIFS(Carriers!$J$2:$J$400,$C65,Carriers!$K$2:$K$400,$E65,Carriers!$H$2:$H$400,"sync",Carriers!$M$2:$M$400,1)&gt;0))</f>
        <v/>
      </c>
      <c r="S65" s="34" t="str">
        <f aca="false">IF($B65&lt;&gt;"required","",IF($F65&lt;5,FALSE(),IF($O65=0,FALSE(),COUNTIFS(Carriers!$J$2:$J$400,$C65,Carriers!$K$2:$K$400,$E65,Carriers!$M$2:$M$400,1,Carriers!$D$2:$D$400,"push")=0)))</f>
        <v/>
      </c>
      <c r="T65" s="34" t="str">
        <f aca="false">IF($B65&lt;&gt;"required","",IF($M65=0,"missing",IF(NOT($N65),"wrong_producer",IF($P65&gt;$Q65,"latency_gap",IF(OR(NOT($R65),$S65),"channel_mismatch","covered")))))</f>
        <v/>
      </c>
      <c r="U65" s="34" t="str">
        <f aca="false">IF($B65&lt;&gt;"required","",ROUND($F65*INDEX(Lists!$E$2:$E$6,MATCH($T65,Lists!$D$2:$D$6,0)),1))</f>
        <v/>
      </c>
      <c r="V65" s="34" t="str">
        <f aca="false">IF(AND($B65="required",$L65=GoalLens!$B$3),MAX($V$1:V64)+1,"")</f>
        <v/>
      </c>
      <c r="W65" s="34" t="str">
        <f aca="false">IFERROR(INDEX(Stakeholders!$D$2:$D$50,MATCH($D65,Stakeholders!$A$2:$A$50,0)),"")</f>
        <v/>
      </c>
      <c r="X65" s="34" t="str">
        <f aca="false">IFERROR(INDEX(Stakeholders!$D$2:$D$50,MATCH($E65,Stakeholders!$A$2:$A$50,0)),"")</f>
        <v/>
      </c>
      <c r="Y65" s="34" t="str">
        <f aca="false">IF(OR($B65&lt;&gt;"required",$T65="covered",$T65=""),"",1+SUMPRODUCT(ISNUMBER($U$2:$U$400)*($T$2:$T$400&lt;&gt;"covered")*($T$2:$T$400&lt;&gt;"")*($U$2:$U$400&gt;$U65))+COUNTIFS($U$2:U65,$U65,$T$2:T65,"&lt;&gt;covered",$T$2:T65,"&lt;&gt;",$B$2:B65,"required")-1)</f>
        <v/>
      </c>
      <c r="Z65" s="34" t="str">
        <f aca="false">IF(AND($B65="required",$F65&gt;=4,$T65&lt;&gt;"missing",$T65&lt;&gt;"",$M65=1,COUNTIFS(Carriers!$J$2:$J$400,$C65,Carriers!$K$2:$K$400,$E65,Carriers!$M$2:$M$400,1,Carriers!$P$2:$P$400,"system_of_record")=0),MAX($Z$1:Z64)+1,"")</f>
        <v/>
      </c>
    </row>
    <row r="66" customFormat="false" ht="15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4" t="str">
        <f aca="false">IFERROR(INDEX(Topics!$C$2:$C$100,MATCH($C66,Topics!$A$2:$A$100,0)),"")</f>
        <v/>
      </c>
      <c r="M66" s="34" t="str">
        <f aca="false">IF($B66="required",COUNTIFS($B$2:$B$400,"actual",$C$2:$C$400,$C66,$E$2:$E$400,$E66,$I$2:$I$400,"&lt;&gt;disputed"),"")</f>
        <v/>
      </c>
      <c r="N66" s="34" t="str">
        <f aca="false">IF($B66="required",COUNTIFS($B$2:$B$400,"actual",$C$2:$C$400,$C66,$E$2:$E$400,$E66,$I$2:$I$400,"&lt;&gt;disputed",$D$2:$D$400,$D66)&gt;0,"")</f>
        <v/>
      </c>
      <c r="O66" s="34" t="str">
        <f aca="false">IF($B66="required",SUMIFS(Carriers!$M$2:$M$400,Carriers!$J$2:$J$400,$C66,Carriers!$K$2:$K$400,$E66),"")</f>
        <v/>
      </c>
      <c r="P66" s="34" t="str">
        <f aca="false">IF($B66&lt;&gt;"required","",IF($O66=0,99,_xlfn.MINIFS(Carriers!$G$2:$G$400,Carriers!$J$2:$J$400,$C66,Carriers!$K$2:$K$400,$E66,Carriers!$M$2:$M$400,1)))</f>
        <v/>
      </c>
      <c r="Q66" s="34" t="str">
        <f aca="false">IF($B66="required",INDEX(Lists!$B$2:$B$8,MATCH($G66,Lists!$A$2:$A$8,0)),"")</f>
        <v/>
      </c>
      <c r="R66" s="34" t="str">
        <f aca="false">IF($B66&lt;&gt;"required","",IF($H66&lt;&gt;"sync",TRUE(),COUNTIFS(Carriers!$J$2:$J$400,$C66,Carriers!$K$2:$K$400,$E66,Carriers!$H$2:$H$400,"sync",Carriers!$M$2:$M$400,1)&gt;0))</f>
        <v/>
      </c>
      <c r="S66" s="34" t="str">
        <f aca="false">IF($B66&lt;&gt;"required","",IF($F66&lt;5,FALSE(),IF($O66=0,FALSE(),COUNTIFS(Carriers!$J$2:$J$400,$C66,Carriers!$K$2:$K$400,$E66,Carriers!$M$2:$M$400,1,Carriers!$D$2:$D$400,"push")=0)))</f>
        <v/>
      </c>
      <c r="T66" s="34" t="str">
        <f aca="false">IF($B66&lt;&gt;"required","",IF($M66=0,"missing",IF(NOT($N66),"wrong_producer",IF($P66&gt;$Q66,"latency_gap",IF(OR(NOT($R66),$S66),"channel_mismatch","covered")))))</f>
        <v/>
      </c>
      <c r="U66" s="34" t="str">
        <f aca="false">IF($B66&lt;&gt;"required","",ROUND($F66*INDEX(Lists!$E$2:$E$6,MATCH($T66,Lists!$D$2:$D$6,0)),1))</f>
        <v/>
      </c>
      <c r="V66" s="34" t="str">
        <f aca="false">IF(AND($B66="required",$L66=GoalLens!$B$3),MAX($V$1:V65)+1,"")</f>
        <v/>
      </c>
      <c r="W66" s="34" t="str">
        <f aca="false">IFERROR(INDEX(Stakeholders!$D$2:$D$50,MATCH($D66,Stakeholders!$A$2:$A$50,0)),"")</f>
        <v/>
      </c>
      <c r="X66" s="34" t="str">
        <f aca="false">IFERROR(INDEX(Stakeholders!$D$2:$D$50,MATCH($E66,Stakeholders!$A$2:$A$50,0)),"")</f>
        <v/>
      </c>
      <c r="Y66" s="34" t="str">
        <f aca="false">IF(OR($B66&lt;&gt;"required",$T66="covered",$T66=""),"",1+SUMPRODUCT(ISNUMBER($U$2:$U$400)*($T$2:$T$400&lt;&gt;"covered")*($T$2:$T$400&lt;&gt;"")*($U$2:$U$400&gt;$U66))+COUNTIFS($U$2:U66,$U66,$T$2:T66,"&lt;&gt;covered",$T$2:T66,"&lt;&gt;",$B$2:B66,"required")-1)</f>
        <v/>
      </c>
      <c r="Z66" s="34" t="str">
        <f aca="false">IF(AND($B66="required",$F66&gt;=4,$T66&lt;&gt;"missing",$T66&lt;&gt;"",$M66=1,COUNTIFS(Carriers!$J$2:$J$400,$C66,Carriers!$K$2:$K$400,$E66,Carriers!$M$2:$M$400,1,Carriers!$P$2:$P$400,"system_of_record")=0),MAX($Z$1:Z65)+1,"")</f>
        <v/>
      </c>
    </row>
    <row r="67" customFormat="false" ht="15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4" t="str">
        <f aca="false">IFERROR(INDEX(Topics!$C$2:$C$100,MATCH($C67,Topics!$A$2:$A$100,0)),"")</f>
        <v/>
      </c>
      <c r="M67" s="34" t="str">
        <f aca="false">IF($B67="required",COUNTIFS($B$2:$B$400,"actual",$C$2:$C$400,$C67,$E$2:$E$400,$E67,$I$2:$I$400,"&lt;&gt;disputed"),"")</f>
        <v/>
      </c>
      <c r="N67" s="34" t="str">
        <f aca="false">IF($B67="required",COUNTIFS($B$2:$B$400,"actual",$C$2:$C$400,$C67,$E$2:$E$400,$E67,$I$2:$I$400,"&lt;&gt;disputed",$D$2:$D$400,$D67)&gt;0,"")</f>
        <v/>
      </c>
      <c r="O67" s="34" t="str">
        <f aca="false">IF($B67="required",SUMIFS(Carriers!$M$2:$M$400,Carriers!$J$2:$J$400,$C67,Carriers!$K$2:$K$400,$E67),"")</f>
        <v/>
      </c>
      <c r="P67" s="34" t="str">
        <f aca="false">IF($B67&lt;&gt;"required","",IF($O67=0,99,_xlfn.MINIFS(Carriers!$G$2:$G$400,Carriers!$J$2:$J$400,$C67,Carriers!$K$2:$K$400,$E67,Carriers!$M$2:$M$400,1)))</f>
        <v/>
      </c>
      <c r="Q67" s="34" t="str">
        <f aca="false">IF($B67="required",INDEX(Lists!$B$2:$B$8,MATCH($G67,Lists!$A$2:$A$8,0)),"")</f>
        <v/>
      </c>
      <c r="R67" s="34" t="str">
        <f aca="false">IF($B67&lt;&gt;"required","",IF($H67&lt;&gt;"sync",TRUE(),COUNTIFS(Carriers!$J$2:$J$400,$C67,Carriers!$K$2:$K$400,$E67,Carriers!$H$2:$H$400,"sync",Carriers!$M$2:$M$400,1)&gt;0))</f>
        <v/>
      </c>
      <c r="S67" s="34" t="str">
        <f aca="false">IF($B67&lt;&gt;"required","",IF($F67&lt;5,FALSE(),IF($O67=0,FALSE(),COUNTIFS(Carriers!$J$2:$J$400,$C67,Carriers!$K$2:$K$400,$E67,Carriers!$M$2:$M$400,1,Carriers!$D$2:$D$400,"push")=0)))</f>
        <v/>
      </c>
      <c r="T67" s="34" t="str">
        <f aca="false">IF($B67&lt;&gt;"required","",IF($M67=0,"missing",IF(NOT($N67),"wrong_producer",IF($P67&gt;$Q67,"latency_gap",IF(OR(NOT($R67),$S67),"channel_mismatch","covered")))))</f>
        <v/>
      </c>
      <c r="U67" s="34" t="str">
        <f aca="false">IF($B67&lt;&gt;"required","",ROUND($F67*INDEX(Lists!$E$2:$E$6,MATCH($T67,Lists!$D$2:$D$6,0)),1))</f>
        <v/>
      </c>
      <c r="V67" s="34" t="str">
        <f aca="false">IF(AND($B67="required",$L67=GoalLens!$B$3),MAX($V$1:V66)+1,"")</f>
        <v/>
      </c>
      <c r="W67" s="34" t="str">
        <f aca="false">IFERROR(INDEX(Stakeholders!$D$2:$D$50,MATCH($D67,Stakeholders!$A$2:$A$50,0)),"")</f>
        <v/>
      </c>
      <c r="X67" s="34" t="str">
        <f aca="false">IFERROR(INDEX(Stakeholders!$D$2:$D$50,MATCH($E67,Stakeholders!$A$2:$A$50,0)),"")</f>
        <v/>
      </c>
      <c r="Y67" s="34" t="str">
        <f aca="false">IF(OR($B67&lt;&gt;"required",$T67="covered",$T67=""),"",1+SUMPRODUCT(ISNUMBER($U$2:$U$400)*($T$2:$T$400&lt;&gt;"covered")*($T$2:$T$400&lt;&gt;"")*($U$2:$U$400&gt;$U67))+COUNTIFS($U$2:U67,$U67,$T$2:T67,"&lt;&gt;covered",$T$2:T67,"&lt;&gt;",$B$2:B67,"required")-1)</f>
        <v/>
      </c>
      <c r="Z67" s="34" t="str">
        <f aca="false">IF(AND($B67="required",$F67&gt;=4,$T67&lt;&gt;"missing",$T67&lt;&gt;"",$M67=1,COUNTIFS(Carriers!$J$2:$J$400,$C67,Carriers!$K$2:$K$400,$E67,Carriers!$M$2:$M$400,1,Carriers!$P$2:$P$400,"system_of_record")=0),MAX($Z$1:Z66)+1,"")</f>
        <v/>
      </c>
    </row>
    <row r="68" customFormat="false" ht="15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4" t="str">
        <f aca="false">IFERROR(INDEX(Topics!$C$2:$C$100,MATCH($C68,Topics!$A$2:$A$100,0)),"")</f>
        <v/>
      </c>
      <c r="M68" s="34" t="str">
        <f aca="false">IF($B68="required",COUNTIFS($B$2:$B$400,"actual",$C$2:$C$400,$C68,$E$2:$E$400,$E68,$I$2:$I$400,"&lt;&gt;disputed"),"")</f>
        <v/>
      </c>
      <c r="N68" s="34" t="str">
        <f aca="false">IF($B68="required",COUNTIFS($B$2:$B$400,"actual",$C$2:$C$400,$C68,$E$2:$E$400,$E68,$I$2:$I$400,"&lt;&gt;disputed",$D$2:$D$400,$D68)&gt;0,"")</f>
        <v/>
      </c>
      <c r="O68" s="34" t="str">
        <f aca="false">IF($B68="required",SUMIFS(Carriers!$M$2:$M$400,Carriers!$J$2:$J$400,$C68,Carriers!$K$2:$K$400,$E68),"")</f>
        <v/>
      </c>
      <c r="P68" s="34" t="str">
        <f aca="false">IF($B68&lt;&gt;"required","",IF($O68=0,99,_xlfn.MINIFS(Carriers!$G$2:$G$400,Carriers!$J$2:$J$400,$C68,Carriers!$K$2:$K$400,$E68,Carriers!$M$2:$M$400,1)))</f>
        <v/>
      </c>
      <c r="Q68" s="34" t="str">
        <f aca="false">IF($B68="required",INDEX(Lists!$B$2:$B$8,MATCH($G68,Lists!$A$2:$A$8,0)),"")</f>
        <v/>
      </c>
      <c r="R68" s="34" t="str">
        <f aca="false">IF($B68&lt;&gt;"required","",IF($H68&lt;&gt;"sync",TRUE(),COUNTIFS(Carriers!$J$2:$J$400,$C68,Carriers!$K$2:$K$400,$E68,Carriers!$H$2:$H$400,"sync",Carriers!$M$2:$M$400,1)&gt;0))</f>
        <v/>
      </c>
      <c r="S68" s="34" t="str">
        <f aca="false">IF($B68&lt;&gt;"required","",IF($F68&lt;5,FALSE(),IF($O68=0,FALSE(),COUNTIFS(Carriers!$J$2:$J$400,$C68,Carriers!$K$2:$K$400,$E68,Carriers!$M$2:$M$400,1,Carriers!$D$2:$D$400,"push")=0)))</f>
        <v/>
      </c>
      <c r="T68" s="34" t="str">
        <f aca="false">IF($B68&lt;&gt;"required","",IF($M68=0,"missing",IF(NOT($N68),"wrong_producer",IF($P68&gt;$Q68,"latency_gap",IF(OR(NOT($R68),$S68),"channel_mismatch","covered")))))</f>
        <v/>
      </c>
      <c r="U68" s="34" t="str">
        <f aca="false">IF($B68&lt;&gt;"required","",ROUND($F68*INDEX(Lists!$E$2:$E$6,MATCH($T68,Lists!$D$2:$D$6,0)),1))</f>
        <v/>
      </c>
      <c r="V68" s="34" t="str">
        <f aca="false">IF(AND($B68="required",$L68=GoalLens!$B$3),MAX($V$1:V67)+1,"")</f>
        <v/>
      </c>
      <c r="W68" s="34" t="str">
        <f aca="false">IFERROR(INDEX(Stakeholders!$D$2:$D$50,MATCH($D68,Stakeholders!$A$2:$A$50,0)),"")</f>
        <v/>
      </c>
      <c r="X68" s="34" t="str">
        <f aca="false">IFERROR(INDEX(Stakeholders!$D$2:$D$50,MATCH($E68,Stakeholders!$A$2:$A$50,0)),"")</f>
        <v/>
      </c>
      <c r="Y68" s="34" t="str">
        <f aca="false">IF(OR($B68&lt;&gt;"required",$T68="covered",$T68=""),"",1+SUMPRODUCT(ISNUMBER($U$2:$U$400)*($T$2:$T$400&lt;&gt;"covered")*($T$2:$T$400&lt;&gt;"")*($U$2:$U$400&gt;$U68))+COUNTIFS($U$2:U68,$U68,$T$2:T68,"&lt;&gt;covered",$T$2:T68,"&lt;&gt;",$B$2:B68,"required")-1)</f>
        <v/>
      </c>
      <c r="Z68" s="34" t="str">
        <f aca="false">IF(AND($B68="required",$F68&gt;=4,$T68&lt;&gt;"missing",$T68&lt;&gt;"",$M68=1,COUNTIFS(Carriers!$J$2:$J$400,$C68,Carriers!$K$2:$K$400,$E68,Carriers!$M$2:$M$400,1,Carriers!$P$2:$P$400,"system_of_record")=0),MAX($Z$1:Z67)+1,"")</f>
        <v/>
      </c>
    </row>
    <row r="69" customFormat="false" ht="15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4" t="str">
        <f aca="false">IFERROR(INDEX(Topics!$C$2:$C$100,MATCH($C69,Topics!$A$2:$A$100,0)),"")</f>
        <v/>
      </c>
      <c r="M69" s="34" t="str">
        <f aca="false">IF($B69="required",COUNTIFS($B$2:$B$400,"actual",$C$2:$C$400,$C69,$E$2:$E$400,$E69,$I$2:$I$400,"&lt;&gt;disputed"),"")</f>
        <v/>
      </c>
      <c r="N69" s="34" t="str">
        <f aca="false">IF($B69="required",COUNTIFS($B$2:$B$400,"actual",$C$2:$C$400,$C69,$E$2:$E$400,$E69,$I$2:$I$400,"&lt;&gt;disputed",$D$2:$D$400,$D69)&gt;0,"")</f>
        <v/>
      </c>
      <c r="O69" s="34" t="str">
        <f aca="false">IF($B69="required",SUMIFS(Carriers!$M$2:$M$400,Carriers!$J$2:$J$400,$C69,Carriers!$K$2:$K$400,$E69),"")</f>
        <v/>
      </c>
      <c r="P69" s="34" t="str">
        <f aca="false">IF($B69&lt;&gt;"required","",IF($O69=0,99,_xlfn.MINIFS(Carriers!$G$2:$G$400,Carriers!$J$2:$J$400,$C69,Carriers!$K$2:$K$400,$E69,Carriers!$M$2:$M$400,1)))</f>
        <v/>
      </c>
      <c r="Q69" s="34" t="str">
        <f aca="false">IF($B69="required",INDEX(Lists!$B$2:$B$8,MATCH($G69,Lists!$A$2:$A$8,0)),"")</f>
        <v/>
      </c>
      <c r="R69" s="34" t="str">
        <f aca="false">IF($B69&lt;&gt;"required","",IF($H69&lt;&gt;"sync",TRUE(),COUNTIFS(Carriers!$J$2:$J$400,$C69,Carriers!$K$2:$K$400,$E69,Carriers!$H$2:$H$400,"sync",Carriers!$M$2:$M$400,1)&gt;0))</f>
        <v/>
      </c>
      <c r="S69" s="34" t="str">
        <f aca="false">IF($B69&lt;&gt;"required","",IF($F69&lt;5,FALSE(),IF($O69=0,FALSE(),COUNTIFS(Carriers!$J$2:$J$400,$C69,Carriers!$K$2:$K$400,$E69,Carriers!$M$2:$M$400,1,Carriers!$D$2:$D$400,"push")=0)))</f>
        <v/>
      </c>
      <c r="T69" s="34" t="str">
        <f aca="false">IF($B69&lt;&gt;"required","",IF($M69=0,"missing",IF(NOT($N69),"wrong_producer",IF($P69&gt;$Q69,"latency_gap",IF(OR(NOT($R69),$S69),"channel_mismatch","covered")))))</f>
        <v/>
      </c>
      <c r="U69" s="34" t="str">
        <f aca="false">IF($B69&lt;&gt;"required","",ROUND($F69*INDEX(Lists!$E$2:$E$6,MATCH($T69,Lists!$D$2:$D$6,0)),1))</f>
        <v/>
      </c>
      <c r="V69" s="34" t="str">
        <f aca="false">IF(AND($B69="required",$L69=GoalLens!$B$3),MAX($V$1:V68)+1,"")</f>
        <v/>
      </c>
      <c r="W69" s="34" t="str">
        <f aca="false">IFERROR(INDEX(Stakeholders!$D$2:$D$50,MATCH($D69,Stakeholders!$A$2:$A$50,0)),"")</f>
        <v/>
      </c>
      <c r="X69" s="34" t="str">
        <f aca="false">IFERROR(INDEX(Stakeholders!$D$2:$D$50,MATCH($E69,Stakeholders!$A$2:$A$50,0)),"")</f>
        <v/>
      </c>
      <c r="Y69" s="34" t="str">
        <f aca="false">IF(OR($B69&lt;&gt;"required",$T69="covered",$T69=""),"",1+SUMPRODUCT(ISNUMBER($U$2:$U$400)*($T$2:$T$400&lt;&gt;"covered")*($T$2:$T$400&lt;&gt;"")*($U$2:$U$400&gt;$U69))+COUNTIFS($U$2:U69,$U69,$T$2:T69,"&lt;&gt;covered",$T$2:T69,"&lt;&gt;",$B$2:B69,"required")-1)</f>
        <v/>
      </c>
      <c r="Z69" s="34" t="str">
        <f aca="false">IF(AND($B69="required",$F69&gt;=4,$T69&lt;&gt;"missing",$T69&lt;&gt;"",$M69=1,COUNTIFS(Carriers!$J$2:$J$400,$C69,Carriers!$K$2:$K$400,$E69,Carriers!$M$2:$M$400,1,Carriers!$P$2:$P$400,"system_of_record")=0),MAX($Z$1:Z68)+1,"")</f>
        <v/>
      </c>
    </row>
    <row r="70" customFormat="false" ht="15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4" t="str">
        <f aca="false">IFERROR(INDEX(Topics!$C$2:$C$100,MATCH($C70,Topics!$A$2:$A$100,0)),"")</f>
        <v/>
      </c>
      <c r="M70" s="34" t="str">
        <f aca="false">IF($B70="required",COUNTIFS($B$2:$B$400,"actual",$C$2:$C$400,$C70,$E$2:$E$400,$E70,$I$2:$I$400,"&lt;&gt;disputed"),"")</f>
        <v/>
      </c>
      <c r="N70" s="34" t="str">
        <f aca="false">IF($B70="required",COUNTIFS($B$2:$B$400,"actual",$C$2:$C$400,$C70,$E$2:$E$400,$E70,$I$2:$I$400,"&lt;&gt;disputed",$D$2:$D$400,$D70)&gt;0,"")</f>
        <v/>
      </c>
      <c r="O70" s="34" t="str">
        <f aca="false">IF($B70="required",SUMIFS(Carriers!$M$2:$M$400,Carriers!$J$2:$J$400,$C70,Carriers!$K$2:$K$400,$E70),"")</f>
        <v/>
      </c>
      <c r="P70" s="34" t="str">
        <f aca="false">IF($B70&lt;&gt;"required","",IF($O70=0,99,_xlfn.MINIFS(Carriers!$G$2:$G$400,Carriers!$J$2:$J$400,$C70,Carriers!$K$2:$K$400,$E70,Carriers!$M$2:$M$400,1)))</f>
        <v/>
      </c>
      <c r="Q70" s="34" t="str">
        <f aca="false">IF($B70="required",INDEX(Lists!$B$2:$B$8,MATCH($G70,Lists!$A$2:$A$8,0)),"")</f>
        <v/>
      </c>
      <c r="R70" s="34" t="str">
        <f aca="false">IF($B70&lt;&gt;"required","",IF($H70&lt;&gt;"sync",TRUE(),COUNTIFS(Carriers!$J$2:$J$400,$C70,Carriers!$K$2:$K$400,$E70,Carriers!$H$2:$H$400,"sync",Carriers!$M$2:$M$400,1)&gt;0))</f>
        <v/>
      </c>
      <c r="S70" s="34" t="str">
        <f aca="false">IF($B70&lt;&gt;"required","",IF($F70&lt;5,FALSE(),IF($O70=0,FALSE(),COUNTIFS(Carriers!$J$2:$J$400,$C70,Carriers!$K$2:$K$400,$E70,Carriers!$M$2:$M$400,1,Carriers!$D$2:$D$400,"push")=0)))</f>
        <v/>
      </c>
      <c r="T70" s="34" t="str">
        <f aca="false">IF($B70&lt;&gt;"required","",IF($M70=0,"missing",IF(NOT($N70),"wrong_producer",IF($P70&gt;$Q70,"latency_gap",IF(OR(NOT($R70),$S70),"channel_mismatch","covered")))))</f>
        <v/>
      </c>
      <c r="U70" s="34" t="str">
        <f aca="false">IF($B70&lt;&gt;"required","",ROUND($F70*INDEX(Lists!$E$2:$E$6,MATCH($T70,Lists!$D$2:$D$6,0)),1))</f>
        <v/>
      </c>
      <c r="V70" s="34" t="str">
        <f aca="false">IF(AND($B70="required",$L70=GoalLens!$B$3),MAX($V$1:V69)+1,"")</f>
        <v/>
      </c>
      <c r="W70" s="34" t="str">
        <f aca="false">IFERROR(INDEX(Stakeholders!$D$2:$D$50,MATCH($D70,Stakeholders!$A$2:$A$50,0)),"")</f>
        <v/>
      </c>
      <c r="X70" s="34" t="str">
        <f aca="false">IFERROR(INDEX(Stakeholders!$D$2:$D$50,MATCH($E70,Stakeholders!$A$2:$A$50,0)),"")</f>
        <v/>
      </c>
      <c r="Y70" s="34" t="str">
        <f aca="false">IF(OR($B70&lt;&gt;"required",$T70="covered",$T70=""),"",1+SUMPRODUCT(ISNUMBER($U$2:$U$400)*($T$2:$T$400&lt;&gt;"covered")*($T$2:$T$400&lt;&gt;"")*($U$2:$U$400&gt;$U70))+COUNTIFS($U$2:U70,$U70,$T$2:T70,"&lt;&gt;covered",$T$2:T70,"&lt;&gt;",$B$2:B70,"required")-1)</f>
        <v/>
      </c>
      <c r="Z70" s="34" t="str">
        <f aca="false">IF(AND($B70="required",$F70&gt;=4,$T70&lt;&gt;"missing",$T70&lt;&gt;"",$M70=1,COUNTIFS(Carriers!$J$2:$J$400,$C70,Carriers!$K$2:$K$400,$E70,Carriers!$M$2:$M$400,1,Carriers!$P$2:$P$400,"system_of_record")=0),MAX($Z$1:Z69)+1,"")</f>
        <v/>
      </c>
    </row>
    <row r="71" customFormat="false" ht="15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4" t="str">
        <f aca="false">IFERROR(INDEX(Topics!$C$2:$C$100,MATCH($C71,Topics!$A$2:$A$100,0)),"")</f>
        <v/>
      </c>
      <c r="M71" s="34" t="str">
        <f aca="false">IF($B71="required",COUNTIFS($B$2:$B$400,"actual",$C$2:$C$400,$C71,$E$2:$E$400,$E71,$I$2:$I$400,"&lt;&gt;disputed"),"")</f>
        <v/>
      </c>
      <c r="N71" s="34" t="str">
        <f aca="false">IF($B71="required",COUNTIFS($B$2:$B$400,"actual",$C$2:$C$400,$C71,$E$2:$E$400,$E71,$I$2:$I$400,"&lt;&gt;disputed",$D$2:$D$400,$D71)&gt;0,"")</f>
        <v/>
      </c>
      <c r="O71" s="34" t="str">
        <f aca="false">IF($B71="required",SUMIFS(Carriers!$M$2:$M$400,Carriers!$J$2:$J$400,$C71,Carriers!$K$2:$K$400,$E71),"")</f>
        <v/>
      </c>
      <c r="P71" s="34" t="str">
        <f aca="false">IF($B71&lt;&gt;"required","",IF($O71=0,99,_xlfn.MINIFS(Carriers!$G$2:$G$400,Carriers!$J$2:$J$400,$C71,Carriers!$K$2:$K$400,$E71,Carriers!$M$2:$M$400,1)))</f>
        <v/>
      </c>
      <c r="Q71" s="34" t="str">
        <f aca="false">IF($B71="required",INDEX(Lists!$B$2:$B$8,MATCH($G71,Lists!$A$2:$A$8,0)),"")</f>
        <v/>
      </c>
      <c r="R71" s="34" t="str">
        <f aca="false">IF($B71&lt;&gt;"required","",IF($H71&lt;&gt;"sync",TRUE(),COUNTIFS(Carriers!$J$2:$J$400,$C71,Carriers!$K$2:$K$400,$E71,Carriers!$H$2:$H$400,"sync",Carriers!$M$2:$M$400,1)&gt;0))</f>
        <v/>
      </c>
      <c r="S71" s="34" t="str">
        <f aca="false">IF($B71&lt;&gt;"required","",IF($F71&lt;5,FALSE(),IF($O71=0,FALSE(),COUNTIFS(Carriers!$J$2:$J$400,$C71,Carriers!$K$2:$K$400,$E71,Carriers!$M$2:$M$400,1,Carriers!$D$2:$D$400,"push")=0)))</f>
        <v/>
      </c>
      <c r="T71" s="34" t="str">
        <f aca="false">IF($B71&lt;&gt;"required","",IF($M71=0,"missing",IF(NOT($N71),"wrong_producer",IF($P71&gt;$Q71,"latency_gap",IF(OR(NOT($R71),$S71),"channel_mismatch","covered")))))</f>
        <v/>
      </c>
      <c r="U71" s="34" t="str">
        <f aca="false">IF($B71&lt;&gt;"required","",ROUND($F71*INDEX(Lists!$E$2:$E$6,MATCH($T71,Lists!$D$2:$D$6,0)),1))</f>
        <v/>
      </c>
      <c r="V71" s="34" t="str">
        <f aca="false">IF(AND($B71="required",$L71=GoalLens!$B$3),MAX($V$1:V70)+1,"")</f>
        <v/>
      </c>
      <c r="W71" s="34" t="str">
        <f aca="false">IFERROR(INDEX(Stakeholders!$D$2:$D$50,MATCH($D71,Stakeholders!$A$2:$A$50,0)),"")</f>
        <v/>
      </c>
      <c r="X71" s="34" t="str">
        <f aca="false">IFERROR(INDEX(Stakeholders!$D$2:$D$50,MATCH($E71,Stakeholders!$A$2:$A$50,0)),"")</f>
        <v/>
      </c>
      <c r="Y71" s="34" t="str">
        <f aca="false">IF(OR($B71&lt;&gt;"required",$T71="covered",$T71=""),"",1+SUMPRODUCT(ISNUMBER($U$2:$U$400)*($T$2:$T$400&lt;&gt;"covered")*($T$2:$T$400&lt;&gt;"")*($U$2:$U$400&gt;$U71))+COUNTIFS($U$2:U71,$U71,$T$2:T71,"&lt;&gt;covered",$T$2:T71,"&lt;&gt;",$B$2:B71,"required")-1)</f>
        <v/>
      </c>
      <c r="Z71" s="34" t="str">
        <f aca="false">IF(AND($B71="required",$F71&gt;=4,$T71&lt;&gt;"missing",$T71&lt;&gt;"",$M71=1,COUNTIFS(Carriers!$J$2:$J$400,$C71,Carriers!$K$2:$K$400,$E71,Carriers!$M$2:$M$400,1,Carriers!$P$2:$P$400,"system_of_record")=0),MAX($Z$1:Z70)+1,"")</f>
        <v/>
      </c>
    </row>
    <row r="72" customFormat="false" ht="15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4" t="str">
        <f aca="false">IFERROR(INDEX(Topics!$C$2:$C$100,MATCH($C72,Topics!$A$2:$A$100,0)),"")</f>
        <v/>
      </c>
      <c r="M72" s="34" t="str">
        <f aca="false">IF($B72="required",COUNTIFS($B$2:$B$400,"actual",$C$2:$C$400,$C72,$E$2:$E$400,$E72,$I$2:$I$400,"&lt;&gt;disputed"),"")</f>
        <v/>
      </c>
      <c r="N72" s="34" t="str">
        <f aca="false">IF($B72="required",COUNTIFS($B$2:$B$400,"actual",$C$2:$C$400,$C72,$E$2:$E$400,$E72,$I$2:$I$400,"&lt;&gt;disputed",$D$2:$D$400,$D72)&gt;0,"")</f>
        <v/>
      </c>
      <c r="O72" s="34" t="str">
        <f aca="false">IF($B72="required",SUMIFS(Carriers!$M$2:$M$400,Carriers!$J$2:$J$400,$C72,Carriers!$K$2:$K$400,$E72),"")</f>
        <v/>
      </c>
      <c r="P72" s="34" t="str">
        <f aca="false">IF($B72&lt;&gt;"required","",IF($O72=0,99,_xlfn.MINIFS(Carriers!$G$2:$G$400,Carriers!$J$2:$J$400,$C72,Carriers!$K$2:$K$400,$E72,Carriers!$M$2:$M$400,1)))</f>
        <v/>
      </c>
      <c r="Q72" s="34" t="str">
        <f aca="false">IF($B72="required",INDEX(Lists!$B$2:$B$8,MATCH($G72,Lists!$A$2:$A$8,0)),"")</f>
        <v/>
      </c>
      <c r="R72" s="34" t="str">
        <f aca="false">IF($B72&lt;&gt;"required","",IF($H72&lt;&gt;"sync",TRUE(),COUNTIFS(Carriers!$J$2:$J$400,$C72,Carriers!$K$2:$K$400,$E72,Carriers!$H$2:$H$400,"sync",Carriers!$M$2:$M$400,1)&gt;0))</f>
        <v/>
      </c>
      <c r="S72" s="34" t="str">
        <f aca="false">IF($B72&lt;&gt;"required","",IF($F72&lt;5,FALSE(),IF($O72=0,FALSE(),COUNTIFS(Carriers!$J$2:$J$400,$C72,Carriers!$K$2:$K$400,$E72,Carriers!$M$2:$M$400,1,Carriers!$D$2:$D$400,"push")=0)))</f>
        <v/>
      </c>
      <c r="T72" s="34" t="str">
        <f aca="false">IF($B72&lt;&gt;"required","",IF($M72=0,"missing",IF(NOT($N72),"wrong_producer",IF($P72&gt;$Q72,"latency_gap",IF(OR(NOT($R72),$S72),"channel_mismatch","covered")))))</f>
        <v/>
      </c>
      <c r="U72" s="34" t="str">
        <f aca="false">IF($B72&lt;&gt;"required","",ROUND($F72*INDEX(Lists!$E$2:$E$6,MATCH($T72,Lists!$D$2:$D$6,0)),1))</f>
        <v/>
      </c>
      <c r="V72" s="34" t="str">
        <f aca="false">IF(AND($B72="required",$L72=GoalLens!$B$3),MAX($V$1:V71)+1,"")</f>
        <v/>
      </c>
      <c r="W72" s="34" t="str">
        <f aca="false">IFERROR(INDEX(Stakeholders!$D$2:$D$50,MATCH($D72,Stakeholders!$A$2:$A$50,0)),"")</f>
        <v/>
      </c>
      <c r="X72" s="34" t="str">
        <f aca="false">IFERROR(INDEX(Stakeholders!$D$2:$D$50,MATCH($E72,Stakeholders!$A$2:$A$50,0)),"")</f>
        <v/>
      </c>
      <c r="Y72" s="34" t="str">
        <f aca="false">IF(OR($B72&lt;&gt;"required",$T72="covered",$T72=""),"",1+SUMPRODUCT(ISNUMBER($U$2:$U$400)*($T$2:$T$400&lt;&gt;"covered")*($T$2:$T$400&lt;&gt;"")*($U$2:$U$400&gt;$U72))+COUNTIFS($U$2:U72,$U72,$T$2:T72,"&lt;&gt;covered",$T$2:T72,"&lt;&gt;",$B$2:B72,"required")-1)</f>
        <v/>
      </c>
      <c r="Z72" s="34" t="str">
        <f aca="false">IF(AND($B72="required",$F72&gt;=4,$T72&lt;&gt;"missing",$T72&lt;&gt;"",$M72=1,COUNTIFS(Carriers!$J$2:$J$400,$C72,Carriers!$K$2:$K$400,$E72,Carriers!$M$2:$M$400,1,Carriers!$P$2:$P$400,"system_of_record")=0),MAX($Z$1:Z71)+1,"")</f>
        <v/>
      </c>
    </row>
    <row r="73" customFormat="false" ht="15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4" t="str">
        <f aca="false">IFERROR(INDEX(Topics!$C$2:$C$100,MATCH($C73,Topics!$A$2:$A$100,0)),"")</f>
        <v/>
      </c>
      <c r="M73" s="34" t="str">
        <f aca="false">IF($B73="required",COUNTIFS($B$2:$B$400,"actual",$C$2:$C$400,$C73,$E$2:$E$400,$E73,$I$2:$I$400,"&lt;&gt;disputed"),"")</f>
        <v/>
      </c>
      <c r="N73" s="34" t="str">
        <f aca="false">IF($B73="required",COUNTIFS($B$2:$B$400,"actual",$C$2:$C$400,$C73,$E$2:$E$400,$E73,$I$2:$I$400,"&lt;&gt;disputed",$D$2:$D$400,$D73)&gt;0,"")</f>
        <v/>
      </c>
      <c r="O73" s="34" t="str">
        <f aca="false">IF($B73="required",SUMIFS(Carriers!$M$2:$M$400,Carriers!$J$2:$J$400,$C73,Carriers!$K$2:$K$400,$E73),"")</f>
        <v/>
      </c>
      <c r="P73" s="34" t="str">
        <f aca="false">IF($B73&lt;&gt;"required","",IF($O73=0,99,_xlfn.MINIFS(Carriers!$G$2:$G$400,Carriers!$J$2:$J$400,$C73,Carriers!$K$2:$K$400,$E73,Carriers!$M$2:$M$400,1)))</f>
        <v/>
      </c>
      <c r="Q73" s="34" t="str">
        <f aca="false">IF($B73="required",INDEX(Lists!$B$2:$B$8,MATCH($G73,Lists!$A$2:$A$8,0)),"")</f>
        <v/>
      </c>
      <c r="R73" s="34" t="str">
        <f aca="false">IF($B73&lt;&gt;"required","",IF($H73&lt;&gt;"sync",TRUE(),COUNTIFS(Carriers!$J$2:$J$400,$C73,Carriers!$K$2:$K$400,$E73,Carriers!$H$2:$H$400,"sync",Carriers!$M$2:$M$400,1)&gt;0))</f>
        <v/>
      </c>
      <c r="S73" s="34" t="str">
        <f aca="false">IF($B73&lt;&gt;"required","",IF($F73&lt;5,FALSE(),IF($O73=0,FALSE(),COUNTIFS(Carriers!$J$2:$J$400,$C73,Carriers!$K$2:$K$400,$E73,Carriers!$M$2:$M$400,1,Carriers!$D$2:$D$400,"push")=0)))</f>
        <v/>
      </c>
      <c r="T73" s="34" t="str">
        <f aca="false">IF($B73&lt;&gt;"required","",IF($M73=0,"missing",IF(NOT($N73),"wrong_producer",IF($P73&gt;$Q73,"latency_gap",IF(OR(NOT($R73),$S73),"channel_mismatch","covered")))))</f>
        <v/>
      </c>
      <c r="U73" s="34" t="str">
        <f aca="false">IF($B73&lt;&gt;"required","",ROUND($F73*INDEX(Lists!$E$2:$E$6,MATCH($T73,Lists!$D$2:$D$6,0)),1))</f>
        <v/>
      </c>
      <c r="V73" s="34" t="str">
        <f aca="false">IF(AND($B73="required",$L73=GoalLens!$B$3),MAX($V$1:V72)+1,"")</f>
        <v/>
      </c>
      <c r="W73" s="34" t="str">
        <f aca="false">IFERROR(INDEX(Stakeholders!$D$2:$D$50,MATCH($D73,Stakeholders!$A$2:$A$50,0)),"")</f>
        <v/>
      </c>
      <c r="X73" s="34" t="str">
        <f aca="false">IFERROR(INDEX(Stakeholders!$D$2:$D$50,MATCH($E73,Stakeholders!$A$2:$A$50,0)),"")</f>
        <v/>
      </c>
      <c r="Y73" s="34" t="str">
        <f aca="false">IF(OR($B73&lt;&gt;"required",$T73="covered",$T73=""),"",1+SUMPRODUCT(ISNUMBER($U$2:$U$400)*($T$2:$T$400&lt;&gt;"covered")*($T$2:$T$400&lt;&gt;"")*($U$2:$U$400&gt;$U73))+COUNTIFS($U$2:U73,$U73,$T$2:T73,"&lt;&gt;covered",$T$2:T73,"&lt;&gt;",$B$2:B73,"required")-1)</f>
        <v/>
      </c>
      <c r="Z73" s="34" t="str">
        <f aca="false">IF(AND($B73="required",$F73&gt;=4,$T73&lt;&gt;"missing",$T73&lt;&gt;"",$M73=1,COUNTIFS(Carriers!$J$2:$J$400,$C73,Carriers!$K$2:$K$400,$E73,Carriers!$M$2:$M$400,1,Carriers!$P$2:$P$400,"system_of_record")=0),MAX($Z$1:Z72)+1,"")</f>
        <v/>
      </c>
    </row>
    <row r="74" customFormat="false" ht="15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4" t="str">
        <f aca="false">IFERROR(INDEX(Topics!$C$2:$C$100,MATCH($C74,Topics!$A$2:$A$100,0)),"")</f>
        <v/>
      </c>
      <c r="M74" s="34" t="str">
        <f aca="false">IF($B74="required",COUNTIFS($B$2:$B$400,"actual",$C$2:$C$400,$C74,$E$2:$E$400,$E74,$I$2:$I$400,"&lt;&gt;disputed"),"")</f>
        <v/>
      </c>
      <c r="N74" s="34" t="str">
        <f aca="false">IF($B74="required",COUNTIFS($B$2:$B$400,"actual",$C$2:$C$400,$C74,$E$2:$E$400,$E74,$I$2:$I$400,"&lt;&gt;disputed",$D$2:$D$400,$D74)&gt;0,"")</f>
        <v/>
      </c>
      <c r="O74" s="34" t="str">
        <f aca="false">IF($B74="required",SUMIFS(Carriers!$M$2:$M$400,Carriers!$J$2:$J$400,$C74,Carriers!$K$2:$K$400,$E74),"")</f>
        <v/>
      </c>
      <c r="P74" s="34" t="str">
        <f aca="false">IF($B74&lt;&gt;"required","",IF($O74=0,99,_xlfn.MINIFS(Carriers!$G$2:$G$400,Carriers!$J$2:$J$400,$C74,Carriers!$K$2:$K$400,$E74,Carriers!$M$2:$M$400,1)))</f>
        <v/>
      </c>
      <c r="Q74" s="34" t="str">
        <f aca="false">IF($B74="required",INDEX(Lists!$B$2:$B$8,MATCH($G74,Lists!$A$2:$A$8,0)),"")</f>
        <v/>
      </c>
      <c r="R74" s="34" t="str">
        <f aca="false">IF($B74&lt;&gt;"required","",IF($H74&lt;&gt;"sync",TRUE(),COUNTIFS(Carriers!$J$2:$J$400,$C74,Carriers!$K$2:$K$400,$E74,Carriers!$H$2:$H$400,"sync",Carriers!$M$2:$M$400,1)&gt;0))</f>
        <v/>
      </c>
      <c r="S74" s="34" t="str">
        <f aca="false">IF($B74&lt;&gt;"required","",IF($F74&lt;5,FALSE(),IF($O74=0,FALSE(),COUNTIFS(Carriers!$J$2:$J$400,$C74,Carriers!$K$2:$K$400,$E74,Carriers!$M$2:$M$400,1,Carriers!$D$2:$D$400,"push")=0)))</f>
        <v/>
      </c>
      <c r="T74" s="34" t="str">
        <f aca="false">IF($B74&lt;&gt;"required","",IF($M74=0,"missing",IF(NOT($N74),"wrong_producer",IF($P74&gt;$Q74,"latency_gap",IF(OR(NOT($R74),$S74),"channel_mismatch","covered")))))</f>
        <v/>
      </c>
      <c r="U74" s="34" t="str">
        <f aca="false">IF($B74&lt;&gt;"required","",ROUND($F74*INDEX(Lists!$E$2:$E$6,MATCH($T74,Lists!$D$2:$D$6,0)),1))</f>
        <v/>
      </c>
      <c r="V74" s="34" t="str">
        <f aca="false">IF(AND($B74="required",$L74=GoalLens!$B$3),MAX($V$1:V73)+1,"")</f>
        <v/>
      </c>
      <c r="W74" s="34" t="str">
        <f aca="false">IFERROR(INDEX(Stakeholders!$D$2:$D$50,MATCH($D74,Stakeholders!$A$2:$A$50,0)),"")</f>
        <v/>
      </c>
      <c r="X74" s="34" t="str">
        <f aca="false">IFERROR(INDEX(Stakeholders!$D$2:$D$50,MATCH($E74,Stakeholders!$A$2:$A$50,0)),"")</f>
        <v/>
      </c>
      <c r="Y74" s="34" t="str">
        <f aca="false">IF(OR($B74&lt;&gt;"required",$T74="covered",$T74=""),"",1+SUMPRODUCT(ISNUMBER($U$2:$U$400)*($T$2:$T$400&lt;&gt;"covered")*($T$2:$T$400&lt;&gt;"")*($U$2:$U$400&gt;$U74))+COUNTIFS($U$2:U74,$U74,$T$2:T74,"&lt;&gt;covered",$T$2:T74,"&lt;&gt;",$B$2:B74,"required")-1)</f>
        <v/>
      </c>
      <c r="Z74" s="34" t="str">
        <f aca="false">IF(AND($B74="required",$F74&gt;=4,$T74&lt;&gt;"missing",$T74&lt;&gt;"",$M74=1,COUNTIFS(Carriers!$J$2:$J$400,$C74,Carriers!$K$2:$K$400,$E74,Carriers!$M$2:$M$400,1,Carriers!$P$2:$P$400,"system_of_record")=0),MAX($Z$1:Z73)+1,"")</f>
        <v/>
      </c>
    </row>
    <row r="75" customFormat="false" ht="15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4" t="str">
        <f aca="false">IFERROR(INDEX(Topics!$C$2:$C$100,MATCH($C75,Topics!$A$2:$A$100,0)),"")</f>
        <v/>
      </c>
      <c r="M75" s="34" t="str">
        <f aca="false">IF($B75="required",COUNTIFS($B$2:$B$400,"actual",$C$2:$C$400,$C75,$E$2:$E$400,$E75,$I$2:$I$400,"&lt;&gt;disputed"),"")</f>
        <v/>
      </c>
      <c r="N75" s="34" t="str">
        <f aca="false">IF($B75="required",COUNTIFS($B$2:$B$400,"actual",$C$2:$C$400,$C75,$E$2:$E$400,$E75,$I$2:$I$400,"&lt;&gt;disputed",$D$2:$D$400,$D75)&gt;0,"")</f>
        <v/>
      </c>
      <c r="O75" s="34" t="str">
        <f aca="false">IF($B75="required",SUMIFS(Carriers!$M$2:$M$400,Carriers!$J$2:$J$400,$C75,Carriers!$K$2:$K$400,$E75),"")</f>
        <v/>
      </c>
      <c r="P75" s="34" t="str">
        <f aca="false">IF($B75&lt;&gt;"required","",IF($O75=0,99,_xlfn.MINIFS(Carriers!$G$2:$G$400,Carriers!$J$2:$J$400,$C75,Carriers!$K$2:$K$400,$E75,Carriers!$M$2:$M$400,1)))</f>
        <v/>
      </c>
      <c r="Q75" s="34" t="str">
        <f aca="false">IF($B75="required",INDEX(Lists!$B$2:$B$8,MATCH($G75,Lists!$A$2:$A$8,0)),"")</f>
        <v/>
      </c>
      <c r="R75" s="34" t="str">
        <f aca="false">IF($B75&lt;&gt;"required","",IF($H75&lt;&gt;"sync",TRUE(),COUNTIFS(Carriers!$J$2:$J$400,$C75,Carriers!$K$2:$K$400,$E75,Carriers!$H$2:$H$400,"sync",Carriers!$M$2:$M$400,1)&gt;0))</f>
        <v/>
      </c>
      <c r="S75" s="34" t="str">
        <f aca="false">IF($B75&lt;&gt;"required","",IF($F75&lt;5,FALSE(),IF($O75=0,FALSE(),COUNTIFS(Carriers!$J$2:$J$400,$C75,Carriers!$K$2:$K$400,$E75,Carriers!$M$2:$M$400,1,Carriers!$D$2:$D$400,"push")=0)))</f>
        <v/>
      </c>
      <c r="T75" s="34" t="str">
        <f aca="false">IF($B75&lt;&gt;"required","",IF($M75=0,"missing",IF(NOT($N75),"wrong_producer",IF($P75&gt;$Q75,"latency_gap",IF(OR(NOT($R75),$S75),"channel_mismatch","covered")))))</f>
        <v/>
      </c>
      <c r="U75" s="34" t="str">
        <f aca="false">IF($B75&lt;&gt;"required","",ROUND($F75*INDEX(Lists!$E$2:$E$6,MATCH($T75,Lists!$D$2:$D$6,0)),1))</f>
        <v/>
      </c>
      <c r="V75" s="34" t="str">
        <f aca="false">IF(AND($B75="required",$L75=GoalLens!$B$3),MAX($V$1:V74)+1,"")</f>
        <v/>
      </c>
      <c r="W75" s="34" t="str">
        <f aca="false">IFERROR(INDEX(Stakeholders!$D$2:$D$50,MATCH($D75,Stakeholders!$A$2:$A$50,0)),"")</f>
        <v/>
      </c>
      <c r="X75" s="34" t="str">
        <f aca="false">IFERROR(INDEX(Stakeholders!$D$2:$D$50,MATCH($E75,Stakeholders!$A$2:$A$50,0)),"")</f>
        <v/>
      </c>
      <c r="Y75" s="34" t="str">
        <f aca="false">IF(OR($B75&lt;&gt;"required",$T75="covered",$T75=""),"",1+SUMPRODUCT(ISNUMBER($U$2:$U$400)*($T$2:$T$400&lt;&gt;"covered")*($T$2:$T$400&lt;&gt;"")*($U$2:$U$400&gt;$U75))+COUNTIFS($U$2:U75,$U75,$T$2:T75,"&lt;&gt;covered",$T$2:T75,"&lt;&gt;",$B$2:B75,"required")-1)</f>
        <v/>
      </c>
      <c r="Z75" s="34" t="str">
        <f aca="false">IF(AND($B75="required",$F75&gt;=4,$T75&lt;&gt;"missing",$T75&lt;&gt;"",$M75=1,COUNTIFS(Carriers!$J$2:$J$400,$C75,Carriers!$K$2:$K$400,$E75,Carriers!$M$2:$M$400,1,Carriers!$P$2:$P$400,"system_of_record")=0),MAX($Z$1:Z74)+1,"")</f>
        <v/>
      </c>
    </row>
    <row r="76" customFormat="false" ht="15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4" t="str">
        <f aca="false">IFERROR(INDEX(Topics!$C$2:$C$100,MATCH($C76,Topics!$A$2:$A$100,0)),"")</f>
        <v/>
      </c>
      <c r="M76" s="34" t="str">
        <f aca="false">IF($B76="required",COUNTIFS($B$2:$B$400,"actual",$C$2:$C$400,$C76,$E$2:$E$400,$E76,$I$2:$I$400,"&lt;&gt;disputed"),"")</f>
        <v/>
      </c>
      <c r="N76" s="34" t="str">
        <f aca="false">IF($B76="required",COUNTIFS($B$2:$B$400,"actual",$C$2:$C$400,$C76,$E$2:$E$400,$E76,$I$2:$I$400,"&lt;&gt;disputed",$D$2:$D$400,$D76)&gt;0,"")</f>
        <v/>
      </c>
      <c r="O76" s="34" t="str">
        <f aca="false">IF($B76="required",SUMIFS(Carriers!$M$2:$M$400,Carriers!$J$2:$J$400,$C76,Carriers!$K$2:$K$400,$E76),"")</f>
        <v/>
      </c>
      <c r="P76" s="34" t="str">
        <f aca="false">IF($B76&lt;&gt;"required","",IF($O76=0,99,_xlfn.MINIFS(Carriers!$G$2:$G$400,Carriers!$J$2:$J$400,$C76,Carriers!$K$2:$K$400,$E76,Carriers!$M$2:$M$400,1)))</f>
        <v/>
      </c>
      <c r="Q76" s="34" t="str">
        <f aca="false">IF($B76="required",INDEX(Lists!$B$2:$B$8,MATCH($G76,Lists!$A$2:$A$8,0)),"")</f>
        <v/>
      </c>
      <c r="R76" s="34" t="str">
        <f aca="false">IF($B76&lt;&gt;"required","",IF($H76&lt;&gt;"sync",TRUE(),COUNTIFS(Carriers!$J$2:$J$400,$C76,Carriers!$K$2:$K$400,$E76,Carriers!$H$2:$H$400,"sync",Carriers!$M$2:$M$400,1)&gt;0))</f>
        <v/>
      </c>
      <c r="S76" s="34" t="str">
        <f aca="false">IF($B76&lt;&gt;"required","",IF($F76&lt;5,FALSE(),IF($O76=0,FALSE(),COUNTIFS(Carriers!$J$2:$J$400,$C76,Carriers!$K$2:$K$400,$E76,Carriers!$M$2:$M$400,1,Carriers!$D$2:$D$400,"push")=0)))</f>
        <v/>
      </c>
      <c r="T76" s="34" t="str">
        <f aca="false">IF($B76&lt;&gt;"required","",IF($M76=0,"missing",IF(NOT($N76),"wrong_producer",IF($P76&gt;$Q76,"latency_gap",IF(OR(NOT($R76),$S76),"channel_mismatch","covered")))))</f>
        <v/>
      </c>
      <c r="U76" s="34" t="str">
        <f aca="false">IF($B76&lt;&gt;"required","",ROUND($F76*INDEX(Lists!$E$2:$E$6,MATCH($T76,Lists!$D$2:$D$6,0)),1))</f>
        <v/>
      </c>
      <c r="V76" s="34" t="str">
        <f aca="false">IF(AND($B76="required",$L76=GoalLens!$B$3),MAX($V$1:V75)+1,"")</f>
        <v/>
      </c>
      <c r="W76" s="34" t="str">
        <f aca="false">IFERROR(INDEX(Stakeholders!$D$2:$D$50,MATCH($D76,Stakeholders!$A$2:$A$50,0)),"")</f>
        <v/>
      </c>
      <c r="X76" s="34" t="str">
        <f aca="false">IFERROR(INDEX(Stakeholders!$D$2:$D$50,MATCH($E76,Stakeholders!$A$2:$A$50,0)),"")</f>
        <v/>
      </c>
      <c r="Y76" s="34" t="str">
        <f aca="false">IF(OR($B76&lt;&gt;"required",$T76="covered",$T76=""),"",1+SUMPRODUCT(ISNUMBER($U$2:$U$400)*($T$2:$T$400&lt;&gt;"covered")*($T$2:$T$400&lt;&gt;"")*($U$2:$U$400&gt;$U76))+COUNTIFS($U$2:U76,$U76,$T$2:T76,"&lt;&gt;covered",$T$2:T76,"&lt;&gt;",$B$2:B76,"required")-1)</f>
        <v/>
      </c>
      <c r="Z76" s="34" t="str">
        <f aca="false">IF(AND($B76="required",$F76&gt;=4,$T76&lt;&gt;"missing",$T76&lt;&gt;"",$M76=1,COUNTIFS(Carriers!$J$2:$J$400,$C76,Carriers!$K$2:$K$400,$E76,Carriers!$M$2:$M$400,1,Carriers!$P$2:$P$400,"system_of_record")=0),MAX($Z$1:Z75)+1,"")</f>
        <v/>
      </c>
    </row>
    <row r="77" customFormat="false" ht="15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4" t="str">
        <f aca="false">IFERROR(INDEX(Topics!$C$2:$C$100,MATCH($C77,Topics!$A$2:$A$100,0)),"")</f>
        <v/>
      </c>
      <c r="M77" s="34" t="str">
        <f aca="false">IF($B77="required",COUNTIFS($B$2:$B$400,"actual",$C$2:$C$400,$C77,$E$2:$E$400,$E77,$I$2:$I$400,"&lt;&gt;disputed"),"")</f>
        <v/>
      </c>
      <c r="N77" s="34" t="str">
        <f aca="false">IF($B77="required",COUNTIFS($B$2:$B$400,"actual",$C$2:$C$400,$C77,$E$2:$E$400,$E77,$I$2:$I$400,"&lt;&gt;disputed",$D$2:$D$400,$D77)&gt;0,"")</f>
        <v/>
      </c>
      <c r="O77" s="34" t="str">
        <f aca="false">IF($B77="required",SUMIFS(Carriers!$M$2:$M$400,Carriers!$J$2:$J$400,$C77,Carriers!$K$2:$K$400,$E77),"")</f>
        <v/>
      </c>
      <c r="P77" s="34" t="str">
        <f aca="false">IF($B77&lt;&gt;"required","",IF($O77=0,99,_xlfn.MINIFS(Carriers!$G$2:$G$400,Carriers!$J$2:$J$400,$C77,Carriers!$K$2:$K$400,$E77,Carriers!$M$2:$M$400,1)))</f>
        <v/>
      </c>
      <c r="Q77" s="34" t="str">
        <f aca="false">IF($B77="required",INDEX(Lists!$B$2:$B$8,MATCH($G77,Lists!$A$2:$A$8,0)),"")</f>
        <v/>
      </c>
      <c r="R77" s="34" t="str">
        <f aca="false">IF($B77&lt;&gt;"required","",IF($H77&lt;&gt;"sync",TRUE(),COUNTIFS(Carriers!$J$2:$J$400,$C77,Carriers!$K$2:$K$400,$E77,Carriers!$H$2:$H$400,"sync",Carriers!$M$2:$M$400,1)&gt;0))</f>
        <v/>
      </c>
      <c r="S77" s="34" t="str">
        <f aca="false">IF($B77&lt;&gt;"required","",IF($F77&lt;5,FALSE(),IF($O77=0,FALSE(),COUNTIFS(Carriers!$J$2:$J$400,$C77,Carriers!$K$2:$K$400,$E77,Carriers!$M$2:$M$400,1,Carriers!$D$2:$D$400,"push")=0)))</f>
        <v/>
      </c>
      <c r="T77" s="34" t="str">
        <f aca="false">IF($B77&lt;&gt;"required","",IF($M77=0,"missing",IF(NOT($N77),"wrong_producer",IF($P77&gt;$Q77,"latency_gap",IF(OR(NOT($R77),$S77),"channel_mismatch","covered")))))</f>
        <v/>
      </c>
      <c r="U77" s="34" t="str">
        <f aca="false">IF($B77&lt;&gt;"required","",ROUND($F77*INDEX(Lists!$E$2:$E$6,MATCH($T77,Lists!$D$2:$D$6,0)),1))</f>
        <v/>
      </c>
      <c r="V77" s="34" t="str">
        <f aca="false">IF(AND($B77="required",$L77=GoalLens!$B$3),MAX($V$1:V76)+1,"")</f>
        <v/>
      </c>
      <c r="W77" s="34" t="str">
        <f aca="false">IFERROR(INDEX(Stakeholders!$D$2:$D$50,MATCH($D77,Stakeholders!$A$2:$A$50,0)),"")</f>
        <v/>
      </c>
      <c r="X77" s="34" t="str">
        <f aca="false">IFERROR(INDEX(Stakeholders!$D$2:$D$50,MATCH($E77,Stakeholders!$A$2:$A$50,0)),"")</f>
        <v/>
      </c>
      <c r="Y77" s="34" t="str">
        <f aca="false">IF(OR($B77&lt;&gt;"required",$T77="covered",$T77=""),"",1+SUMPRODUCT(ISNUMBER($U$2:$U$400)*($T$2:$T$400&lt;&gt;"covered")*($T$2:$T$400&lt;&gt;"")*($U$2:$U$400&gt;$U77))+COUNTIFS($U$2:U77,$U77,$T$2:T77,"&lt;&gt;covered",$T$2:T77,"&lt;&gt;",$B$2:B77,"required")-1)</f>
        <v/>
      </c>
      <c r="Z77" s="34" t="str">
        <f aca="false">IF(AND($B77="required",$F77&gt;=4,$T77&lt;&gt;"missing",$T77&lt;&gt;"",$M77=1,COUNTIFS(Carriers!$J$2:$J$400,$C77,Carriers!$K$2:$K$400,$E77,Carriers!$M$2:$M$400,1,Carriers!$P$2:$P$400,"system_of_record")=0),MAX($Z$1:Z76)+1,"")</f>
        <v/>
      </c>
    </row>
    <row r="78" customFormat="false" ht="15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4" t="str">
        <f aca="false">IFERROR(INDEX(Topics!$C$2:$C$100,MATCH($C78,Topics!$A$2:$A$100,0)),"")</f>
        <v/>
      </c>
      <c r="M78" s="34" t="str">
        <f aca="false">IF($B78="required",COUNTIFS($B$2:$B$400,"actual",$C$2:$C$400,$C78,$E$2:$E$400,$E78,$I$2:$I$400,"&lt;&gt;disputed"),"")</f>
        <v/>
      </c>
      <c r="N78" s="34" t="str">
        <f aca="false">IF($B78="required",COUNTIFS($B$2:$B$400,"actual",$C$2:$C$400,$C78,$E$2:$E$400,$E78,$I$2:$I$400,"&lt;&gt;disputed",$D$2:$D$400,$D78)&gt;0,"")</f>
        <v/>
      </c>
      <c r="O78" s="34" t="str">
        <f aca="false">IF($B78="required",SUMIFS(Carriers!$M$2:$M$400,Carriers!$J$2:$J$400,$C78,Carriers!$K$2:$K$400,$E78),"")</f>
        <v/>
      </c>
      <c r="P78" s="34" t="str">
        <f aca="false">IF($B78&lt;&gt;"required","",IF($O78=0,99,_xlfn.MINIFS(Carriers!$G$2:$G$400,Carriers!$J$2:$J$400,$C78,Carriers!$K$2:$K$400,$E78,Carriers!$M$2:$M$400,1)))</f>
        <v/>
      </c>
      <c r="Q78" s="34" t="str">
        <f aca="false">IF($B78="required",INDEX(Lists!$B$2:$B$8,MATCH($G78,Lists!$A$2:$A$8,0)),"")</f>
        <v/>
      </c>
      <c r="R78" s="34" t="str">
        <f aca="false">IF($B78&lt;&gt;"required","",IF($H78&lt;&gt;"sync",TRUE(),COUNTIFS(Carriers!$J$2:$J$400,$C78,Carriers!$K$2:$K$400,$E78,Carriers!$H$2:$H$400,"sync",Carriers!$M$2:$M$400,1)&gt;0))</f>
        <v/>
      </c>
      <c r="S78" s="34" t="str">
        <f aca="false">IF($B78&lt;&gt;"required","",IF($F78&lt;5,FALSE(),IF($O78=0,FALSE(),COUNTIFS(Carriers!$J$2:$J$400,$C78,Carriers!$K$2:$K$400,$E78,Carriers!$M$2:$M$400,1,Carriers!$D$2:$D$400,"push")=0)))</f>
        <v/>
      </c>
      <c r="T78" s="34" t="str">
        <f aca="false">IF($B78&lt;&gt;"required","",IF($M78=0,"missing",IF(NOT($N78),"wrong_producer",IF($P78&gt;$Q78,"latency_gap",IF(OR(NOT($R78),$S78),"channel_mismatch","covered")))))</f>
        <v/>
      </c>
      <c r="U78" s="34" t="str">
        <f aca="false">IF($B78&lt;&gt;"required","",ROUND($F78*INDEX(Lists!$E$2:$E$6,MATCH($T78,Lists!$D$2:$D$6,0)),1))</f>
        <v/>
      </c>
      <c r="V78" s="34" t="str">
        <f aca="false">IF(AND($B78="required",$L78=GoalLens!$B$3),MAX($V$1:V77)+1,"")</f>
        <v/>
      </c>
      <c r="W78" s="34" t="str">
        <f aca="false">IFERROR(INDEX(Stakeholders!$D$2:$D$50,MATCH($D78,Stakeholders!$A$2:$A$50,0)),"")</f>
        <v/>
      </c>
      <c r="X78" s="34" t="str">
        <f aca="false">IFERROR(INDEX(Stakeholders!$D$2:$D$50,MATCH($E78,Stakeholders!$A$2:$A$50,0)),"")</f>
        <v/>
      </c>
      <c r="Y78" s="34" t="str">
        <f aca="false">IF(OR($B78&lt;&gt;"required",$T78="covered",$T78=""),"",1+SUMPRODUCT(ISNUMBER($U$2:$U$400)*($T$2:$T$400&lt;&gt;"covered")*($T$2:$T$400&lt;&gt;"")*($U$2:$U$400&gt;$U78))+COUNTIFS($U$2:U78,$U78,$T$2:T78,"&lt;&gt;covered",$T$2:T78,"&lt;&gt;",$B$2:B78,"required")-1)</f>
        <v/>
      </c>
      <c r="Z78" s="34" t="str">
        <f aca="false">IF(AND($B78="required",$F78&gt;=4,$T78&lt;&gt;"missing",$T78&lt;&gt;"",$M78=1,COUNTIFS(Carriers!$J$2:$J$400,$C78,Carriers!$K$2:$K$400,$E78,Carriers!$M$2:$M$400,1,Carriers!$P$2:$P$400,"system_of_record")=0),MAX($Z$1:Z77)+1,"")</f>
        <v/>
      </c>
    </row>
    <row r="79" customFormat="false" ht="15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4" t="str">
        <f aca="false">IFERROR(INDEX(Topics!$C$2:$C$100,MATCH($C79,Topics!$A$2:$A$100,0)),"")</f>
        <v/>
      </c>
      <c r="M79" s="34" t="str">
        <f aca="false">IF($B79="required",COUNTIFS($B$2:$B$400,"actual",$C$2:$C$400,$C79,$E$2:$E$400,$E79,$I$2:$I$400,"&lt;&gt;disputed"),"")</f>
        <v/>
      </c>
      <c r="N79" s="34" t="str">
        <f aca="false">IF($B79="required",COUNTIFS($B$2:$B$400,"actual",$C$2:$C$400,$C79,$E$2:$E$400,$E79,$I$2:$I$400,"&lt;&gt;disputed",$D$2:$D$400,$D79)&gt;0,"")</f>
        <v/>
      </c>
      <c r="O79" s="34" t="str">
        <f aca="false">IF($B79="required",SUMIFS(Carriers!$M$2:$M$400,Carriers!$J$2:$J$400,$C79,Carriers!$K$2:$K$400,$E79),"")</f>
        <v/>
      </c>
      <c r="P79" s="34" t="str">
        <f aca="false">IF($B79&lt;&gt;"required","",IF($O79=0,99,_xlfn.MINIFS(Carriers!$G$2:$G$400,Carriers!$J$2:$J$400,$C79,Carriers!$K$2:$K$400,$E79,Carriers!$M$2:$M$400,1)))</f>
        <v/>
      </c>
      <c r="Q79" s="34" t="str">
        <f aca="false">IF($B79="required",INDEX(Lists!$B$2:$B$8,MATCH($G79,Lists!$A$2:$A$8,0)),"")</f>
        <v/>
      </c>
      <c r="R79" s="34" t="str">
        <f aca="false">IF($B79&lt;&gt;"required","",IF($H79&lt;&gt;"sync",TRUE(),COUNTIFS(Carriers!$J$2:$J$400,$C79,Carriers!$K$2:$K$400,$E79,Carriers!$H$2:$H$400,"sync",Carriers!$M$2:$M$400,1)&gt;0))</f>
        <v/>
      </c>
      <c r="S79" s="34" t="str">
        <f aca="false">IF($B79&lt;&gt;"required","",IF($F79&lt;5,FALSE(),IF($O79=0,FALSE(),COUNTIFS(Carriers!$J$2:$J$400,$C79,Carriers!$K$2:$K$400,$E79,Carriers!$M$2:$M$400,1,Carriers!$D$2:$D$400,"push")=0)))</f>
        <v/>
      </c>
      <c r="T79" s="34" t="str">
        <f aca="false">IF($B79&lt;&gt;"required","",IF($M79=0,"missing",IF(NOT($N79),"wrong_producer",IF($P79&gt;$Q79,"latency_gap",IF(OR(NOT($R79),$S79),"channel_mismatch","covered")))))</f>
        <v/>
      </c>
      <c r="U79" s="34" t="str">
        <f aca="false">IF($B79&lt;&gt;"required","",ROUND($F79*INDEX(Lists!$E$2:$E$6,MATCH($T79,Lists!$D$2:$D$6,0)),1))</f>
        <v/>
      </c>
      <c r="V79" s="34" t="str">
        <f aca="false">IF(AND($B79="required",$L79=GoalLens!$B$3),MAX($V$1:V78)+1,"")</f>
        <v/>
      </c>
      <c r="W79" s="34" t="str">
        <f aca="false">IFERROR(INDEX(Stakeholders!$D$2:$D$50,MATCH($D79,Stakeholders!$A$2:$A$50,0)),"")</f>
        <v/>
      </c>
      <c r="X79" s="34" t="str">
        <f aca="false">IFERROR(INDEX(Stakeholders!$D$2:$D$50,MATCH($E79,Stakeholders!$A$2:$A$50,0)),"")</f>
        <v/>
      </c>
      <c r="Y79" s="34" t="str">
        <f aca="false">IF(OR($B79&lt;&gt;"required",$T79="covered",$T79=""),"",1+SUMPRODUCT(ISNUMBER($U$2:$U$400)*($T$2:$T$400&lt;&gt;"covered")*($T$2:$T$400&lt;&gt;"")*($U$2:$U$400&gt;$U79))+COUNTIFS($U$2:U79,$U79,$T$2:T79,"&lt;&gt;covered",$T$2:T79,"&lt;&gt;",$B$2:B79,"required")-1)</f>
        <v/>
      </c>
      <c r="Z79" s="34" t="str">
        <f aca="false">IF(AND($B79="required",$F79&gt;=4,$T79&lt;&gt;"missing",$T79&lt;&gt;"",$M79=1,COUNTIFS(Carriers!$J$2:$J$400,$C79,Carriers!$K$2:$K$400,$E79,Carriers!$M$2:$M$400,1,Carriers!$P$2:$P$400,"system_of_record")=0),MAX($Z$1:Z78)+1,"")</f>
        <v/>
      </c>
    </row>
    <row r="80" customFormat="false" ht="15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4" t="str">
        <f aca="false">IFERROR(INDEX(Topics!$C$2:$C$100,MATCH($C80,Topics!$A$2:$A$100,0)),"")</f>
        <v/>
      </c>
      <c r="M80" s="34" t="str">
        <f aca="false">IF($B80="required",COUNTIFS($B$2:$B$400,"actual",$C$2:$C$400,$C80,$E$2:$E$400,$E80,$I$2:$I$400,"&lt;&gt;disputed"),"")</f>
        <v/>
      </c>
      <c r="N80" s="34" t="str">
        <f aca="false">IF($B80="required",COUNTIFS($B$2:$B$400,"actual",$C$2:$C$400,$C80,$E$2:$E$400,$E80,$I$2:$I$400,"&lt;&gt;disputed",$D$2:$D$400,$D80)&gt;0,"")</f>
        <v/>
      </c>
      <c r="O80" s="34" t="str">
        <f aca="false">IF($B80="required",SUMIFS(Carriers!$M$2:$M$400,Carriers!$J$2:$J$400,$C80,Carriers!$K$2:$K$400,$E80),"")</f>
        <v/>
      </c>
      <c r="P80" s="34" t="str">
        <f aca="false">IF($B80&lt;&gt;"required","",IF($O80=0,99,_xlfn.MINIFS(Carriers!$G$2:$G$400,Carriers!$J$2:$J$400,$C80,Carriers!$K$2:$K$400,$E80,Carriers!$M$2:$M$400,1)))</f>
        <v/>
      </c>
      <c r="Q80" s="34" t="str">
        <f aca="false">IF($B80="required",INDEX(Lists!$B$2:$B$8,MATCH($G80,Lists!$A$2:$A$8,0)),"")</f>
        <v/>
      </c>
      <c r="R80" s="34" t="str">
        <f aca="false">IF($B80&lt;&gt;"required","",IF($H80&lt;&gt;"sync",TRUE(),COUNTIFS(Carriers!$J$2:$J$400,$C80,Carriers!$K$2:$K$400,$E80,Carriers!$H$2:$H$400,"sync",Carriers!$M$2:$M$400,1)&gt;0))</f>
        <v/>
      </c>
      <c r="S80" s="34" t="str">
        <f aca="false">IF($B80&lt;&gt;"required","",IF($F80&lt;5,FALSE(),IF($O80=0,FALSE(),COUNTIFS(Carriers!$J$2:$J$400,$C80,Carriers!$K$2:$K$400,$E80,Carriers!$M$2:$M$400,1,Carriers!$D$2:$D$400,"push")=0)))</f>
        <v/>
      </c>
      <c r="T80" s="34" t="str">
        <f aca="false">IF($B80&lt;&gt;"required","",IF($M80=0,"missing",IF(NOT($N80),"wrong_producer",IF($P80&gt;$Q80,"latency_gap",IF(OR(NOT($R80),$S80),"channel_mismatch","covered")))))</f>
        <v/>
      </c>
      <c r="U80" s="34" t="str">
        <f aca="false">IF($B80&lt;&gt;"required","",ROUND($F80*INDEX(Lists!$E$2:$E$6,MATCH($T80,Lists!$D$2:$D$6,0)),1))</f>
        <v/>
      </c>
      <c r="V80" s="34" t="str">
        <f aca="false">IF(AND($B80="required",$L80=GoalLens!$B$3),MAX($V$1:V79)+1,"")</f>
        <v/>
      </c>
      <c r="W80" s="34" t="str">
        <f aca="false">IFERROR(INDEX(Stakeholders!$D$2:$D$50,MATCH($D80,Stakeholders!$A$2:$A$50,0)),"")</f>
        <v/>
      </c>
      <c r="X80" s="34" t="str">
        <f aca="false">IFERROR(INDEX(Stakeholders!$D$2:$D$50,MATCH($E80,Stakeholders!$A$2:$A$50,0)),"")</f>
        <v/>
      </c>
      <c r="Y80" s="34" t="str">
        <f aca="false">IF(OR($B80&lt;&gt;"required",$T80="covered",$T80=""),"",1+SUMPRODUCT(ISNUMBER($U$2:$U$400)*($T$2:$T$400&lt;&gt;"covered")*($T$2:$T$400&lt;&gt;"")*($U$2:$U$400&gt;$U80))+COUNTIFS($U$2:U80,$U80,$T$2:T80,"&lt;&gt;covered",$T$2:T80,"&lt;&gt;",$B$2:B80,"required")-1)</f>
        <v/>
      </c>
      <c r="Z80" s="34" t="str">
        <f aca="false">IF(AND($B80="required",$F80&gt;=4,$T80&lt;&gt;"missing",$T80&lt;&gt;"",$M80=1,COUNTIFS(Carriers!$J$2:$J$400,$C80,Carriers!$K$2:$K$400,$E80,Carriers!$M$2:$M$400,1,Carriers!$P$2:$P$400,"system_of_record")=0),MAX($Z$1:Z79)+1,"")</f>
        <v/>
      </c>
    </row>
    <row r="81" customFormat="false" ht="15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4" t="str">
        <f aca="false">IFERROR(INDEX(Topics!$C$2:$C$100,MATCH($C81,Topics!$A$2:$A$100,0)),"")</f>
        <v/>
      </c>
      <c r="M81" s="34" t="str">
        <f aca="false">IF($B81="required",COUNTIFS($B$2:$B$400,"actual",$C$2:$C$400,$C81,$E$2:$E$400,$E81,$I$2:$I$400,"&lt;&gt;disputed"),"")</f>
        <v/>
      </c>
      <c r="N81" s="34" t="str">
        <f aca="false">IF($B81="required",COUNTIFS($B$2:$B$400,"actual",$C$2:$C$400,$C81,$E$2:$E$400,$E81,$I$2:$I$400,"&lt;&gt;disputed",$D$2:$D$400,$D81)&gt;0,"")</f>
        <v/>
      </c>
      <c r="O81" s="34" t="str">
        <f aca="false">IF($B81="required",SUMIFS(Carriers!$M$2:$M$400,Carriers!$J$2:$J$400,$C81,Carriers!$K$2:$K$400,$E81),"")</f>
        <v/>
      </c>
      <c r="P81" s="34" t="str">
        <f aca="false">IF($B81&lt;&gt;"required","",IF($O81=0,99,_xlfn.MINIFS(Carriers!$G$2:$G$400,Carriers!$J$2:$J$400,$C81,Carriers!$K$2:$K$400,$E81,Carriers!$M$2:$M$400,1)))</f>
        <v/>
      </c>
      <c r="Q81" s="34" t="str">
        <f aca="false">IF($B81="required",INDEX(Lists!$B$2:$B$8,MATCH($G81,Lists!$A$2:$A$8,0)),"")</f>
        <v/>
      </c>
      <c r="R81" s="34" t="str">
        <f aca="false">IF($B81&lt;&gt;"required","",IF($H81&lt;&gt;"sync",TRUE(),COUNTIFS(Carriers!$J$2:$J$400,$C81,Carriers!$K$2:$K$400,$E81,Carriers!$H$2:$H$400,"sync",Carriers!$M$2:$M$400,1)&gt;0))</f>
        <v/>
      </c>
      <c r="S81" s="34" t="str">
        <f aca="false">IF($B81&lt;&gt;"required","",IF($F81&lt;5,FALSE(),IF($O81=0,FALSE(),COUNTIFS(Carriers!$J$2:$J$400,$C81,Carriers!$K$2:$K$400,$E81,Carriers!$M$2:$M$400,1,Carriers!$D$2:$D$400,"push")=0)))</f>
        <v/>
      </c>
      <c r="T81" s="34" t="str">
        <f aca="false">IF($B81&lt;&gt;"required","",IF($M81=0,"missing",IF(NOT($N81),"wrong_producer",IF($P81&gt;$Q81,"latency_gap",IF(OR(NOT($R81),$S81),"channel_mismatch","covered")))))</f>
        <v/>
      </c>
      <c r="U81" s="34" t="str">
        <f aca="false">IF($B81&lt;&gt;"required","",ROUND($F81*INDEX(Lists!$E$2:$E$6,MATCH($T81,Lists!$D$2:$D$6,0)),1))</f>
        <v/>
      </c>
      <c r="V81" s="34" t="str">
        <f aca="false">IF(AND($B81="required",$L81=GoalLens!$B$3),MAX($V$1:V80)+1,"")</f>
        <v/>
      </c>
      <c r="W81" s="34" t="str">
        <f aca="false">IFERROR(INDEX(Stakeholders!$D$2:$D$50,MATCH($D81,Stakeholders!$A$2:$A$50,0)),"")</f>
        <v/>
      </c>
      <c r="X81" s="34" t="str">
        <f aca="false">IFERROR(INDEX(Stakeholders!$D$2:$D$50,MATCH($E81,Stakeholders!$A$2:$A$50,0)),"")</f>
        <v/>
      </c>
      <c r="Y81" s="34" t="str">
        <f aca="false">IF(OR($B81&lt;&gt;"required",$T81="covered",$T81=""),"",1+SUMPRODUCT(ISNUMBER($U$2:$U$400)*($T$2:$T$400&lt;&gt;"covered")*($T$2:$T$400&lt;&gt;"")*($U$2:$U$400&gt;$U81))+COUNTIFS($U$2:U81,$U81,$T$2:T81,"&lt;&gt;covered",$T$2:T81,"&lt;&gt;",$B$2:B81,"required")-1)</f>
        <v/>
      </c>
      <c r="Z81" s="34" t="str">
        <f aca="false">IF(AND($B81="required",$F81&gt;=4,$T81&lt;&gt;"missing",$T81&lt;&gt;"",$M81=1,COUNTIFS(Carriers!$J$2:$J$400,$C81,Carriers!$K$2:$K$400,$E81,Carriers!$M$2:$M$400,1,Carriers!$P$2:$P$400,"system_of_record")=0),MAX($Z$1:Z80)+1,"")</f>
        <v/>
      </c>
    </row>
    <row r="82" customFormat="false" ht="15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4" t="str">
        <f aca="false">IFERROR(INDEX(Topics!$C$2:$C$100,MATCH($C82,Topics!$A$2:$A$100,0)),"")</f>
        <v/>
      </c>
      <c r="M82" s="34" t="str">
        <f aca="false">IF($B82="required",COUNTIFS($B$2:$B$400,"actual",$C$2:$C$400,$C82,$E$2:$E$400,$E82,$I$2:$I$400,"&lt;&gt;disputed"),"")</f>
        <v/>
      </c>
      <c r="N82" s="34" t="str">
        <f aca="false">IF($B82="required",COUNTIFS($B$2:$B$400,"actual",$C$2:$C$400,$C82,$E$2:$E$400,$E82,$I$2:$I$400,"&lt;&gt;disputed",$D$2:$D$400,$D82)&gt;0,"")</f>
        <v/>
      </c>
      <c r="O82" s="34" t="str">
        <f aca="false">IF($B82="required",SUMIFS(Carriers!$M$2:$M$400,Carriers!$J$2:$J$400,$C82,Carriers!$K$2:$K$400,$E82),"")</f>
        <v/>
      </c>
      <c r="P82" s="34" t="str">
        <f aca="false">IF($B82&lt;&gt;"required","",IF($O82=0,99,_xlfn.MINIFS(Carriers!$G$2:$G$400,Carriers!$J$2:$J$400,$C82,Carriers!$K$2:$K$400,$E82,Carriers!$M$2:$M$400,1)))</f>
        <v/>
      </c>
      <c r="Q82" s="34" t="str">
        <f aca="false">IF($B82="required",INDEX(Lists!$B$2:$B$8,MATCH($G82,Lists!$A$2:$A$8,0)),"")</f>
        <v/>
      </c>
      <c r="R82" s="34" t="str">
        <f aca="false">IF($B82&lt;&gt;"required","",IF($H82&lt;&gt;"sync",TRUE(),COUNTIFS(Carriers!$J$2:$J$400,$C82,Carriers!$K$2:$K$400,$E82,Carriers!$H$2:$H$400,"sync",Carriers!$M$2:$M$400,1)&gt;0))</f>
        <v/>
      </c>
      <c r="S82" s="34" t="str">
        <f aca="false">IF($B82&lt;&gt;"required","",IF($F82&lt;5,FALSE(),IF($O82=0,FALSE(),COUNTIFS(Carriers!$J$2:$J$400,$C82,Carriers!$K$2:$K$400,$E82,Carriers!$M$2:$M$400,1,Carriers!$D$2:$D$400,"push")=0)))</f>
        <v/>
      </c>
      <c r="T82" s="34" t="str">
        <f aca="false">IF($B82&lt;&gt;"required","",IF($M82=0,"missing",IF(NOT($N82),"wrong_producer",IF($P82&gt;$Q82,"latency_gap",IF(OR(NOT($R82),$S82),"channel_mismatch","covered")))))</f>
        <v/>
      </c>
      <c r="U82" s="34" t="str">
        <f aca="false">IF($B82&lt;&gt;"required","",ROUND($F82*INDEX(Lists!$E$2:$E$6,MATCH($T82,Lists!$D$2:$D$6,0)),1))</f>
        <v/>
      </c>
      <c r="V82" s="34" t="str">
        <f aca="false">IF(AND($B82="required",$L82=GoalLens!$B$3),MAX($V$1:V81)+1,"")</f>
        <v/>
      </c>
      <c r="W82" s="34" t="str">
        <f aca="false">IFERROR(INDEX(Stakeholders!$D$2:$D$50,MATCH($D82,Stakeholders!$A$2:$A$50,0)),"")</f>
        <v/>
      </c>
      <c r="X82" s="34" t="str">
        <f aca="false">IFERROR(INDEX(Stakeholders!$D$2:$D$50,MATCH($E82,Stakeholders!$A$2:$A$50,0)),"")</f>
        <v/>
      </c>
      <c r="Y82" s="34" t="str">
        <f aca="false">IF(OR($B82&lt;&gt;"required",$T82="covered",$T82=""),"",1+SUMPRODUCT(ISNUMBER($U$2:$U$400)*($T$2:$T$400&lt;&gt;"covered")*($T$2:$T$400&lt;&gt;"")*($U$2:$U$400&gt;$U82))+COUNTIFS($U$2:U82,$U82,$T$2:T82,"&lt;&gt;covered",$T$2:T82,"&lt;&gt;",$B$2:B82,"required")-1)</f>
        <v/>
      </c>
      <c r="Z82" s="34" t="str">
        <f aca="false">IF(AND($B82="required",$F82&gt;=4,$T82&lt;&gt;"missing",$T82&lt;&gt;"",$M82=1,COUNTIFS(Carriers!$J$2:$J$400,$C82,Carriers!$K$2:$K$400,$E82,Carriers!$M$2:$M$400,1,Carriers!$P$2:$P$400,"system_of_record")=0),MAX($Z$1:Z81)+1,"")</f>
        <v/>
      </c>
    </row>
    <row r="83" customFormat="false" ht="15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4" t="str">
        <f aca="false">IFERROR(INDEX(Topics!$C$2:$C$100,MATCH($C83,Topics!$A$2:$A$100,0)),"")</f>
        <v/>
      </c>
      <c r="M83" s="34" t="str">
        <f aca="false">IF($B83="required",COUNTIFS($B$2:$B$400,"actual",$C$2:$C$400,$C83,$E$2:$E$400,$E83,$I$2:$I$400,"&lt;&gt;disputed"),"")</f>
        <v/>
      </c>
      <c r="N83" s="34" t="str">
        <f aca="false">IF($B83="required",COUNTIFS($B$2:$B$400,"actual",$C$2:$C$400,$C83,$E$2:$E$400,$E83,$I$2:$I$400,"&lt;&gt;disputed",$D$2:$D$400,$D83)&gt;0,"")</f>
        <v/>
      </c>
      <c r="O83" s="34" t="str">
        <f aca="false">IF($B83="required",SUMIFS(Carriers!$M$2:$M$400,Carriers!$J$2:$J$400,$C83,Carriers!$K$2:$K$400,$E83),"")</f>
        <v/>
      </c>
      <c r="P83" s="34" t="str">
        <f aca="false">IF($B83&lt;&gt;"required","",IF($O83=0,99,_xlfn.MINIFS(Carriers!$G$2:$G$400,Carriers!$J$2:$J$400,$C83,Carriers!$K$2:$K$400,$E83,Carriers!$M$2:$M$400,1)))</f>
        <v/>
      </c>
      <c r="Q83" s="34" t="str">
        <f aca="false">IF($B83="required",INDEX(Lists!$B$2:$B$8,MATCH($G83,Lists!$A$2:$A$8,0)),"")</f>
        <v/>
      </c>
      <c r="R83" s="34" t="str">
        <f aca="false">IF($B83&lt;&gt;"required","",IF($H83&lt;&gt;"sync",TRUE(),COUNTIFS(Carriers!$J$2:$J$400,$C83,Carriers!$K$2:$K$400,$E83,Carriers!$H$2:$H$400,"sync",Carriers!$M$2:$M$400,1)&gt;0))</f>
        <v/>
      </c>
      <c r="S83" s="34" t="str">
        <f aca="false">IF($B83&lt;&gt;"required","",IF($F83&lt;5,FALSE(),IF($O83=0,FALSE(),COUNTIFS(Carriers!$J$2:$J$400,$C83,Carriers!$K$2:$K$400,$E83,Carriers!$M$2:$M$400,1,Carriers!$D$2:$D$400,"push")=0)))</f>
        <v/>
      </c>
      <c r="T83" s="34" t="str">
        <f aca="false">IF($B83&lt;&gt;"required","",IF($M83=0,"missing",IF(NOT($N83),"wrong_producer",IF($P83&gt;$Q83,"latency_gap",IF(OR(NOT($R83),$S83),"channel_mismatch","covered")))))</f>
        <v/>
      </c>
      <c r="U83" s="34" t="str">
        <f aca="false">IF($B83&lt;&gt;"required","",ROUND($F83*INDEX(Lists!$E$2:$E$6,MATCH($T83,Lists!$D$2:$D$6,0)),1))</f>
        <v/>
      </c>
      <c r="V83" s="34" t="str">
        <f aca="false">IF(AND($B83="required",$L83=GoalLens!$B$3),MAX($V$1:V82)+1,"")</f>
        <v/>
      </c>
      <c r="W83" s="34" t="str">
        <f aca="false">IFERROR(INDEX(Stakeholders!$D$2:$D$50,MATCH($D83,Stakeholders!$A$2:$A$50,0)),"")</f>
        <v/>
      </c>
      <c r="X83" s="34" t="str">
        <f aca="false">IFERROR(INDEX(Stakeholders!$D$2:$D$50,MATCH($E83,Stakeholders!$A$2:$A$50,0)),"")</f>
        <v/>
      </c>
      <c r="Y83" s="34" t="str">
        <f aca="false">IF(OR($B83&lt;&gt;"required",$T83="covered",$T83=""),"",1+SUMPRODUCT(ISNUMBER($U$2:$U$400)*($T$2:$T$400&lt;&gt;"covered")*($T$2:$T$400&lt;&gt;"")*($U$2:$U$400&gt;$U83))+COUNTIFS($U$2:U83,$U83,$T$2:T83,"&lt;&gt;covered",$T$2:T83,"&lt;&gt;",$B$2:B83,"required")-1)</f>
        <v/>
      </c>
      <c r="Z83" s="34" t="str">
        <f aca="false">IF(AND($B83="required",$F83&gt;=4,$T83&lt;&gt;"missing",$T83&lt;&gt;"",$M83=1,COUNTIFS(Carriers!$J$2:$J$400,$C83,Carriers!$K$2:$K$400,$E83,Carriers!$M$2:$M$400,1,Carriers!$P$2:$P$400,"system_of_record")=0),MAX($Z$1:Z82)+1,"")</f>
        <v/>
      </c>
    </row>
    <row r="84" customFormat="false" ht="15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4" t="str">
        <f aca="false">IFERROR(INDEX(Topics!$C$2:$C$100,MATCH($C84,Topics!$A$2:$A$100,0)),"")</f>
        <v/>
      </c>
      <c r="M84" s="34" t="str">
        <f aca="false">IF($B84="required",COUNTIFS($B$2:$B$400,"actual",$C$2:$C$400,$C84,$E$2:$E$400,$E84,$I$2:$I$400,"&lt;&gt;disputed"),"")</f>
        <v/>
      </c>
      <c r="N84" s="34" t="str">
        <f aca="false">IF($B84="required",COUNTIFS($B$2:$B$400,"actual",$C$2:$C$400,$C84,$E$2:$E$400,$E84,$I$2:$I$400,"&lt;&gt;disputed",$D$2:$D$400,$D84)&gt;0,"")</f>
        <v/>
      </c>
      <c r="O84" s="34" t="str">
        <f aca="false">IF($B84="required",SUMIFS(Carriers!$M$2:$M$400,Carriers!$J$2:$J$400,$C84,Carriers!$K$2:$K$400,$E84),"")</f>
        <v/>
      </c>
      <c r="P84" s="34" t="str">
        <f aca="false">IF($B84&lt;&gt;"required","",IF($O84=0,99,_xlfn.MINIFS(Carriers!$G$2:$G$400,Carriers!$J$2:$J$400,$C84,Carriers!$K$2:$K$400,$E84,Carriers!$M$2:$M$400,1)))</f>
        <v/>
      </c>
      <c r="Q84" s="34" t="str">
        <f aca="false">IF($B84="required",INDEX(Lists!$B$2:$B$8,MATCH($G84,Lists!$A$2:$A$8,0)),"")</f>
        <v/>
      </c>
      <c r="R84" s="34" t="str">
        <f aca="false">IF($B84&lt;&gt;"required","",IF($H84&lt;&gt;"sync",TRUE(),COUNTIFS(Carriers!$J$2:$J$400,$C84,Carriers!$K$2:$K$400,$E84,Carriers!$H$2:$H$400,"sync",Carriers!$M$2:$M$400,1)&gt;0))</f>
        <v/>
      </c>
      <c r="S84" s="34" t="str">
        <f aca="false">IF($B84&lt;&gt;"required","",IF($F84&lt;5,FALSE(),IF($O84=0,FALSE(),COUNTIFS(Carriers!$J$2:$J$400,$C84,Carriers!$K$2:$K$400,$E84,Carriers!$M$2:$M$400,1,Carriers!$D$2:$D$400,"push")=0)))</f>
        <v/>
      </c>
      <c r="T84" s="34" t="str">
        <f aca="false">IF($B84&lt;&gt;"required","",IF($M84=0,"missing",IF(NOT($N84),"wrong_producer",IF($P84&gt;$Q84,"latency_gap",IF(OR(NOT($R84),$S84),"channel_mismatch","covered")))))</f>
        <v/>
      </c>
      <c r="U84" s="34" t="str">
        <f aca="false">IF($B84&lt;&gt;"required","",ROUND($F84*INDEX(Lists!$E$2:$E$6,MATCH($T84,Lists!$D$2:$D$6,0)),1))</f>
        <v/>
      </c>
      <c r="V84" s="34" t="str">
        <f aca="false">IF(AND($B84="required",$L84=GoalLens!$B$3),MAX($V$1:V83)+1,"")</f>
        <v/>
      </c>
      <c r="W84" s="34" t="str">
        <f aca="false">IFERROR(INDEX(Stakeholders!$D$2:$D$50,MATCH($D84,Stakeholders!$A$2:$A$50,0)),"")</f>
        <v/>
      </c>
      <c r="X84" s="34" t="str">
        <f aca="false">IFERROR(INDEX(Stakeholders!$D$2:$D$50,MATCH($E84,Stakeholders!$A$2:$A$50,0)),"")</f>
        <v/>
      </c>
      <c r="Y84" s="34" t="str">
        <f aca="false">IF(OR($B84&lt;&gt;"required",$T84="covered",$T84=""),"",1+SUMPRODUCT(ISNUMBER($U$2:$U$400)*($T$2:$T$400&lt;&gt;"covered")*($T$2:$T$400&lt;&gt;"")*($U$2:$U$400&gt;$U84))+COUNTIFS($U$2:U84,$U84,$T$2:T84,"&lt;&gt;covered",$T$2:T84,"&lt;&gt;",$B$2:B84,"required")-1)</f>
        <v/>
      </c>
      <c r="Z84" s="34" t="str">
        <f aca="false">IF(AND($B84="required",$F84&gt;=4,$T84&lt;&gt;"missing",$T84&lt;&gt;"",$M84=1,COUNTIFS(Carriers!$J$2:$J$400,$C84,Carriers!$K$2:$K$400,$E84,Carriers!$M$2:$M$400,1,Carriers!$P$2:$P$400,"system_of_record")=0),MAX($Z$1:Z83)+1,"")</f>
        <v/>
      </c>
    </row>
    <row r="85" customFormat="false" ht="15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4" t="str">
        <f aca="false">IFERROR(INDEX(Topics!$C$2:$C$100,MATCH($C85,Topics!$A$2:$A$100,0)),"")</f>
        <v/>
      </c>
      <c r="M85" s="34" t="str">
        <f aca="false">IF($B85="required",COUNTIFS($B$2:$B$400,"actual",$C$2:$C$400,$C85,$E$2:$E$400,$E85,$I$2:$I$400,"&lt;&gt;disputed"),"")</f>
        <v/>
      </c>
      <c r="N85" s="34" t="str">
        <f aca="false">IF($B85="required",COUNTIFS($B$2:$B$400,"actual",$C$2:$C$400,$C85,$E$2:$E$400,$E85,$I$2:$I$400,"&lt;&gt;disputed",$D$2:$D$400,$D85)&gt;0,"")</f>
        <v/>
      </c>
      <c r="O85" s="34" t="str">
        <f aca="false">IF($B85="required",SUMIFS(Carriers!$M$2:$M$400,Carriers!$J$2:$J$400,$C85,Carriers!$K$2:$K$400,$E85),"")</f>
        <v/>
      </c>
      <c r="P85" s="34" t="str">
        <f aca="false">IF($B85&lt;&gt;"required","",IF($O85=0,99,_xlfn.MINIFS(Carriers!$G$2:$G$400,Carriers!$J$2:$J$400,$C85,Carriers!$K$2:$K$400,$E85,Carriers!$M$2:$M$400,1)))</f>
        <v/>
      </c>
      <c r="Q85" s="34" t="str">
        <f aca="false">IF($B85="required",INDEX(Lists!$B$2:$B$8,MATCH($G85,Lists!$A$2:$A$8,0)),"")</f>
        <v/>
      </c>
      <c r="R85" s="34" t="str">
        <f aca="false">IF($B85&lt;&gt;"required","",IF($H85&lt;&gt;"sync",TRUE(),COUNTIFS(Carriers!$J$2:$J$400,$C85,Carriers!$K$2:$K$400,$E85,Carriers!$H$2:$H$400,"sync",Carriers!$M$2:$M$400,1)&gt;0))</f>
        <v/>
      </c>
      <c r="S85" s="34" t="str">
        <f aca="false">IF($B85&lt;&gt;"required","",IF($F85&lt;5,FALSE(),IF($O85=0,FALSE(),COUNTIFS(Carriers!$J$2:$J$400,$C85,Carriers!$K$2:$K$400,$E85,Carriers!$M$2:$M$400,1,Carriers!$D$2:$D$400,"push")=0)))</f>
        <v/>
      </c>
      <c r="T85" s="34" t="str">
        <f aca="false">IF($B85&lt;&gt;"required","",IF($M85=0,"missing",IF(NOT($N85),"wrong_producer",IF($P85&gt;$Q85,"latency_gap",IF(OR(NOT($R85),$S85),"channel_mismatch","covered")))))</f>
        <v/>
      </c>
      <c r="U85" s="34" t="str">
        <f aca="false">IF($B85&lt;&gt;"required","",ROUND($F85*INDEX(Lists!$E$2:$E$6,MATCH($T85,Lists!$D$2:$D$6,0)),1))</f>
        <v/>
      </c>
      <c r="V85" s="34" t="str">
        <f aca="false">IF(AND($B85="required",$L85=GoalLens!$B$3),MAX($V$1:V84)+1,"")</f>
        <v/>
      </c>
      <c r="W85" s="34" t="str">
        <f aca="false">IFERROR(INDEX(Stakeholders!$D$2:$D$50,MATCH($D85,Stakeholders!$A$2:$A$50,0)),"")</f>
        <v/>
      </c>
      <c r="X85" s="34" t="str">
        <f aca="false">IFERROR(INDEX(Stakeholders!$D$2:$D$50,MATCH($E85,Stakeholders!$A$2:$A$50,0)),"")</f>
        <v/>
      </c>
      <c r="Y85" s="34" t="str">
        <f aca="false">IF(OR($B85&lt;&gt;"required",$T85="covered",$T85=""),"",1+SUMPRODUCT(ISNUMBER($U$2:$U$400)*($T$2:$T$400&lt;&gt;"covered")*($T$2:$T$400&lt;&gt;"")*($U$2:$U$400&gt;$U85))+COUNTIFS($U$2:U85,$U85,$T$2:T85,"&lt;&gt;covered",$T$2:T85,"&lt;&gt;",$B$2:B85,"required")-1)</f>
        <v/>
      </c>
      <c r="Z85" s="34" t="str">
        <f aca="false">IF(AND($B85="required",$F85&gt;=4,$T85&lt;&gt;"missing",$T85&lt;&gt;"",$M85=1,COUNTIFS(Carriers!$J$2:$J$400,$C85,Carriers!$K$2:$K$400,$E85,Carriers!$M$2:$M$400,1,Carriers!$P$2:$P$400,"system_of_record")=0),MAX($Z$1:Z84)+1,"")</f>
        <v/>
      </c>
    </row>
    <row r="86" customFormat="false" ht="15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4" t="str">
        <f aca="false">IFERROR(INDEX(Topics!$C$2:$C$100,MATCH($C86,Topics!$A$2:$A$100,0)),"")</f>
        <v/>
      </c>
      <c r="M86" s="34" t="str">
        <f aca="false">IF($B86="required",COUNTIFS($B$2:$B$400,"actual",$C$2:$C$400,$C86,$E$2:$E$400,$E86,$I$2:$I$400,"&lt;&gt;disputed"),"")</f>
        <v/>
      </c>
      <c r="N86" s="34" t="str">
        <f aca="false">IF($B86="required",COUNTIFS($B$2:$B$400,"actual",$C$2:$C$400,$C86,$E$2:$E$400,$E86,$I$2:$I$400,"&lt;&gt;disputed",$D$2:$D$400,$D86)&gt;0,"")</f>
        <v/>
      </c>
      <c r="O86" s="34" t="str">
        <f aca="false">IF($B86="required",SUMIFS(Carriers!$M$2:$M$400,Carriers!$J$2:$J$400,$C86,Carriers!$K$2:$K$400,$E86),"")</f>
        <v/>
      </c>
      <c r="P86" s="34" t="str">
        <f aca="false">IF($B86&lt;&gt;"required","",IF($O86=0,99,_xlfn.MINIFS(Carriers!$G$2:$G$400,Carriers!$J$2:$J$400,$C86,Carriers!$K$2:$K$400,$E86,Carriers!$M$2:$M$400,1)))</f>
        <v/>
      </c>
      <c r="Q86" s="34" t="str">
        <f aca="false">IF($B86="required",INDEX(Lists!$B$2:$B$8,MATCH($G86,Lists!$A$2:$A$8,0)),"")</f>
        <v/>
      </c>
      <c r="R86" s="34" t="str">
        <f aca="false">IF($B86&lt;&gt;"required","",IF($H86&lt;&gt;"sync",TRUE(),COUNTIFS(Carriers!$J$2:$J$400,$C86,Carriers!$K$2:$K$400,$E86,Carriers!$H$2:$H$400,"sync",Carriers!$M$2:$M$400,1)&gt;0))</f>
        <v/>
      </c>
      <c r="S86" s="34" t="str">
        <f aca="false">IF($B86&lt;&gt;"required","",IF($F86&lt;5,FALSE(),IF($O86=0,FALSE(),COUNTIFS(Carriers!$J$2:$J$400,$C86,Carriers!$K$2:$K$400,$E86,Carriers!$M$2:$M$400,1,Carriers!$D$2:$D$400,"push")=0)))</f>
        <v/>
      </c>
      <c r="T86" s="34" t="str">
        <f aca="false">IF($B86&lt;&gt;"required","",IF($M86=0,"missing",IF(NOT($N86),"wrong_producer",IF($P86&gt;$Q86,"latency_gap",IF(OR(NOT($R86),$S86),"channel_mismatch","covered")))))</f>
        <v/>
      </c>
      <c r="U86" s="34" t="str">
        <f aca="false">IF($B86&lt;&gt;"required","",ROUND($F86*INDEX(Lists!$E$2:$E$6,MATCH($T86,Lists!$D$2:$D$6,0)),1))</f>
        <v/>
      </c>
      <c r="V86" s="34" t="str">
        <f aca="false">IF(AND($B86="required",$L86=GoalLens!$B$3),MAX($V$1:V85)+1,"")</f>
        <v/>
      </c>
      <c r="W86" s="34" t="str">
        <f aca="false">IFERROR(INDEX(Stakeholders!$D$2:$D$50,MATCH($D86,Stakeholders!$A$2:$A$50,0)),"")</f>
        <v/>
      </c>
      <c r="X86" s="34" t="str">
        <f aca="false">IFERROR(INDEX(Stakeholders!$D$2:$D$50,MATCH($E86,Stakeholders!$A$2:$A$50,0)),"")</f>
        <v/>
      </c>
      <c r="Y86" s="34" t="str">
        <f aca="false">IF(OR($B86&lt;&gt;"required",$T86="covered",$T86=""),"",1+SUMPRODUCT(ISNUMBER($U$2:$U$400)*($T$2:$T$400&lt;&gt;"covered")*($T$2:$T$400&lt;&gt;"")*($U$2:$U$400&gt;$U86))+COUNTIFS($U$2:U86,$U86,$T$2:T86,"&lt;&gt;covered",$T$2:T86,"&lt;&gt;",$B$2:B86,"required")-1)</f>
        <v/>
      </c>
      <c r="Z86" s="34" t="str">
        <f aca="false">IF(AND($B86="required",$F86&gt;=4,$T86&lt;&gt;"missing",$T86&lt;&gt;"",$M86=1,COUNTIFS(Carriers!$J$2:$J$400,$C86,Carriers!$K$2:$K$400,$E86,Carriers!$M$2:$M$400,1,Carriers!$P$2:$P$400,"system_of_record")=0),MAX($Z$1:Z85)+1,"")</f>
        <v/>
      </c>
    </row>
    <row r="87" customFormat="false" ht="15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4" t="str">
        <f aca="false">IFERROR(INDEX(Topics!$C$2:$C$100,MATCH($C87,Topics!$A$2:$A$100,0)),"")</f>
        <v/>
      </c>
      <c r="M87" s="34" t="str">
        <f aca="false">IF($B87="required",COUNTIFS($B$2:$B$400,"actual",$C$2:$C$400,$C87,$E$2:$E$400,$E87,$I$2:$I$400,"&lt;&gt;disputed"),"")</f>
        <v/>
      </c>
      <c r="N87" s="34" t="str">
        <f aca="false">IF($B87="required",COUNTIFS($B$2:$B$400,"actual",$C$2:$C$400,$C87,$E$2:$E$400,$E87,$I$2:$I$400,"&lt;&gt;disputed",$D$2:$D$400,$D87)&gt;0,"")</f>
        <v/>
      </c>
      <c r="O87" s="34" t="str">
        <f aca="false">IF($B87="required",SUMIFS(Carriers!$M$2:$M$400,Carriers!$J$2:$J$400,$C87,Carriers!$K$2:$K$400,$E87),"")</f>
        <v/>
      </c>
      <c r="P87" s="34" t="str">
        <f aca="false">IF($B87&lt;&gt;"required","",IF($O87=0,99,_xlfn.MINIFS(Carriers!$G$2:$G$400,Carriers!$J$2:$J$400,$C87,Carriers!$K$2:$K$400,$E87,Carriers!$M$2:$M$400,1)))</f>
        <v/>
      </c>
      <c r="Q87" s="34" t="str">
        <f aca="false">IF($B87="required",INDEX(Lists!$B$2:$B$8,MATCH($G87,Lists!$A$2:$A$8,0)),"")</f>
        <v/>
      </c>
      <c r="R87" s="34" t="str">
        <f aca="false">IF($B87&lt;&gt;"required","",IF($H87&lt;&gt;"sync",TRUE(),COUNTIFS(Carriers!$J$2:$J$400,$C87,Carriers!$K$2:$K$400,$E87,Carriers!$H$2:$H$400,"sync",Carriers!$M$2:$M$400,1)&gt;0))</f>
        <v/>
      </c>
      <c r="S87" s="34" t="str">
        <f aca="false">IF($B87&lt;&gt;"required","",IF($F87&lt;5,FALSE(),IF($O87=0,FALSE(),COUNTIFS(Carriers!$J$2:$J$400,$C87,Carriers!$K$2:$K$400,$E87,Carriers!$M$2:$M$400,1,Carriers!$D$2:$D$400,"push")=0)))</f>
        <v/>
      </c>
      <c r="T87" s="34" t="str">
        <f aca="false">IF($B87&lt;&gt;"required","",IF($M87=0,"missing",IF(NOT($N87),"wrong_producer",IF($P87&gt;$Q87,"latency_gap",IF(OR(NOT($R87),$S87),"channel_mismatch","covered")))))</f>
        <v/>
      </c>
      <c r="U87" s="34" t="str">
        <f aca="false">IF($B87&lt;&gt;"required","",ROUND($F87*INDEX(Lists!$E$2:$E$6,MATCH($T87,Lists!$D$2:$D$6,0)),1))</f>
        <v/>
      </c>
      <c r="V87" s="34" t="str">
        <f aca="false">IF(AND($B87="required",$L87=GoalLens!$B$3),MAX($V$1:V86)+1,"")</f>
        <v/>
      </c>
      <c r="W87" s="34" t="str">
        <f aca="false">IFERROR(INDEX(Stakeholders!$D$2:$D$50,MATCH($D87,Stakeholders!$A$2:$A$50,0)),"")</f>
        <v/>
      </c>
      <c r="X87" s="34" t="str">
        <f aca="false">IFERROR(INDEX(Stakeholders!$D$2:$D$50,MATCH($E87,Stakeholders!$A$2:$A$50,0)),"")</f>
        <v/>
      </c>
      <c r="Y87" s="34" t="str">
        <f aca="false">IF(OR($B87&lt;&gt;"required",$T87="covered",$T87=""),"",1+SUMPRODUCT(ISNUMBER($U$2:$U$400)*($T$2:$T$400&lt;&gt;"covered")*($T$2:$T$400&lt;&gt;"")*($U$2:$U$400&gt;$U87))+COUNTIFS($U$2:U87,$U87,$T$2:T87,"&lt;&gt;covered",$T$2:T87,"&lt;&gt;",$B$2:B87,"required")-1)</f>
        <v/>
      </c>
      <c r="Z87" s="34" t="str">
        <f aca="false">IF(AND($B87="required",$F87&gt;=4,$T87&lt;&gt;"missing",$T87&lt;&gt;"",$M87=1,COUNTIFS(Carriers!$J$2:$J$400,$C87,Carriers!$K$2:$K$400,$E87,Carriers!$M$2:$M$400,1,Carriers!$P$2:$P$400,"system_of_record")=0),MAX($Z$1:Z86)+1,"")</f>
        <v/>
      </c>
    </row>
    <row r="88" customFormat="false" ht="15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4" t="str">
        <f aca="false">IFERROR(INDEX(Topics!$C$2:$C$100,MATCH($C88,Topics!$A$2:$A$100,0)),"")</f>
        <v/>
      </c>
      <c r="M88" s="34" t="str">
        <f aca="false">IF($B88="required",COUNTIFS($B$2:$B$400,"actual",$C$2:$C$400,$C88,$E$2:$E$400,$E88,$I$2:$I$400,"&lt;&gt;disputed"),"")</f>
        <v/>
      </c>
      <c r="N88" s="34" t="str">
        <f aca="false">IF($B88="required",COUNTIFS($B$2:$B$400,"actual",$C$2:$C$400,$C88,$E$2:$E$400,$E88,$I$2:$I$400,"&lt;&gt;disputed",$D$2:$D$400,$D88)&gt;0,"")</f>
        <v/>
      </c>
      <c r="O88" s="34" t="str">
        <f aca="false">IF($B88="required",SUMIFS(Carriers!$M$2:$M$400,Carriers!$J$2:$J$400,$C88,Carriers!$K$2:$K$400,$E88),"")</f>
        <v/>
      </c>
      <c r="P88" s="34" t="str">
        <f aca="false">IF($B88&lt;&gt;"required","",IF($O88=0,99,_xlfn.MINIFS(Carriers!$G$2:$G$400,Carriers!$J$2:$J$400,$C88,Carriers!$K$2:$K$400,$E88,Carriers!$M$2:$M$400,1)))</f>
        <v/>
      </c>
      <c r="Q88" s="34" t="str">
        <f aca="false">IF($B88="required",INDEX(Lists!$B$2:$B$8,MATCH($G88,Lists!$A$2:$A$8,0)),"")</f>
        <v/>
      </c>
      <c r="R88" s="34" t="str">
        <f aca="false">IF($B88&lt;&gt;"required","",IF($H88&lt;&gt;"sync",TRUE(),COUNTIFS(Carriers!$J$2:$J$400,$C88,Carriers!$K$2:$K$400,$E88,Carriers!$H$2:$H$400,"sync",Carriers!$M$2:$M$400,1)&gt;0))</f>
        <v/>
      </c>
      <c r="S88" s="34" t="str">
        <f aca="false">IF($B88&lt;&gt;"required","",IF($F88&lt;5,FALSE(),IF($O88=0,FALSE(),COUNTIFS(Carriers!$J$2:$J$400,$C88,Carriers!$K$2:$K$400,$E88,Carriers!$M$2:$M$400,1,Carriers!$D$2:$D$400,"push")=0)))</f>
        <v/>
      </c>
      <c r="T88" s="34" t="str">
        <f aca="false">IF($B88&lt;&gt;"required","",IF($M88=0,"missing",IF(NOT($N88),"wrong_producer",IF($P88&gt;$Q88,"latency_gap",IF(OR(NOT($R88),$S88),"channel_mismatch","covered")))))</f>
        <v/>
      </c>
      <c r="U88" s="34" t="str">
        <f aca="false">IF($B88&lt;&gt;"required","",ROUND($F88*INDEX(Lists!$E$2:$E$6,MATCH($T88,Lists!$D$2:$D$6,0)),1))</f>
        <v/>
      </c>
      <c r="V88" s="34" t="str">
        <f aca="false">IF(AND($B88="required",$L88=GoalLens!$B$3),MAX($V$1:V87)+1,"")</f>
        <v/>
      </c>
      <c r="W88" s="34" t="str">
        <f aca="false">IFERROR(INDEX(Stakeholders!$D$2:$D$50,MATCH($D88,Stakeholders!$A$2:$A$50,0)),"")</f>
        <v/>
      </c>
      <c r="X88" s="34" t="str">
        <f aca="false">IFERROR(INDEX(Stakeholders!$D$2:$D$50,MATCH($E88,Stakeholders!$A$2:$A$50,0)),"")</f>
        <v/>
      </c>
      <c r="Y88" s="34" t="str">
        <f aca="false">IF(OR($B88&lt;&gt;"required",$T88="covered",$T88=""),"",1+SUMPRODUCT(ISNUMBER($U$2:$U$400)*($T$2:$T$400&lt;&gt;"covered")*($T$2:$T$400&lt;&gt;"")*($U$2:$U$400&gt;$U88))+COUNTIFS($U$2:U88,$U88,$T$2:T88,"&lt;&gt;covered",$T$2:T88,"&lt;&gt;",$B$2:B88,"required")-1)</f>
        <v/>
      </c>
      <c r="Z88" s="34" t="str">
        <f aca="false">IF(AND($B88="required",$F88&gt;=4,$T88&lt;&gt;"missing",$T88&lt;&gt;"",$M88=1,COUNTIFS(Carriers!$J$2:$J$400,$C88,Carriers!$K$2:$K$400,$E88,Carriers!$M$2:$M$400,1,Carriers!$P$2:$P$400,"system_of_record")=0),MAX($Z$1:Z87)+1,"")</f>
        <v/>
      </c>
    </row>
    <row r="89" customFormat="false" ht="15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4" t="str">
        <f aca="false">IFERROR(INDEX(Topics!$C$2:$C$100,MATCH($C89,Topics!$A$2:$A$100,0)),"")</f>
        <v/>
      </c>
      <c r="M89" s="34" t="str">
        <f aca="false">IF($B89="required",COUNTIFS($B$2:$B$400,"actual",$C$2:$C$400,$C89,$E$2:$E$400,$E89,$I$2:$I$400,"&lt;&gt;disputed"),"")</f>
        <v/>
      </c>
      <c r="N89" s="34" t="str">
        <f aca="false">IF($B89="required",COUNTIFS($B$2:$B$400,"actual",$C$2:$C$400,$C89,$E$2:$E$400,$E89,$I$2:$I$400,"&lt;&gt;disputed",$D$2:$D$400,$D89)&gt;0,"")</f>
        <v/>
      </c>
      <c r="O89" s="34" t="str">
        <f aca="false">IF($B89="required",SUMIFS(Carriers!$M$2:$M$400,Carriers!$J$2:$J$400,$C89,Carriers!$K$2:$K$400,$E89),"")</f>
        <v/>
      </c>
      <c r="P89" s="34" t="str">
        <f aca="false">IF($B89&lt;&gt;"required","",IF($O89=0,99,_xlfn.MINIFS(Carriers!$G$2:$G$400,Carriers!$J$2:$J$400,$C89,Carriers!$K$2:$K$400,$E89,Carriers!$M$2:$M$400,1)))</f>
        <v/>
      </c>
      <c r="Q89" s="34" t="str">
        <f aca="false">IF($B89="required",INDEX(Lists!$B$2:$B$8,MATCH($G89,Lists!$A$2:$A$8,0)),"")</f>
        <v/>
      </c>
      <c r="R89" s="34" t="str">
        <f aca="false">IF($B89&lt;&gt;"required","",IF($H89&lt;&gt;"sync",TRUE(),COUNTIFS(Carriers!$J$2:$J$400,$C89,Carriers!$K$2:$K$400,$E89,Carriers!$H$2:$H$400,"sync",Carriers!$M$2:$M$400,1)&gt;0))</f>
        <v/>
      </c>
      <c r="S89" s="34" t="str">
        <f aca="false">IF($B89&lt;&gt;"required","",IF($F89&lt;5,FALSE(),IF($O89=0,FALSE(),COUNTIFS(Carriers!$J$2:$J$400,$C89,Carriers!$K$2:$K$400,$E89,Carriers!$M$2:$M$400,1,Carriers!$D$2:$D$400,"push")=0)))</f>
        <v/>
      </c>
      <c r="T89" s="34" t="str">
        <f aca="false">IF($B89&lt;&gt;"required","",IF($M89=0,"missing",IF(NOT($N89),"wrong_producer",IF($P89&gt;$Q89,"latency_gap",IF(OR(NOT($R89),$S89),"channel_mismatch","covered")))))</f>
        <v/>
      </c>
      <c r="U89" s="34" t="str">
        <f aca="false">IF($B89&lt;&gt;"required","",ROUND($F89*INDEX(Lists!$E$2:$E$6,MATCH($T89,Lists!$D$2:$D$6,0)),1))</f>
        <v/>
      </c>
      <c r="V89" s="34" t="str">
        <f aca="false">IF(AND($B89="required",$L89=GoalLens!$B$3),MAX($V$1:V88)+1,"")</f>
        <v/>
      </c>
      <c r="W89" s="34" t="str">
        <f aca="false">IFERROR(INDEX(Stakeholders!$D$2:$D$50,MATCH($D89,Stakeholders!$A$2:$A$50,0)),"")</f>
        <v/>
      </c>
      <c r="X89" s="34" t="str">
        <f aca="false">IFERROR(INDEX(Stakeholders!$D$2:$D$50,MATCH($E89,Stakeholders!$A$2:$A$50,0)),"")</f>
        <v/>
      </c>
      <c r="Y89" s="34" t="str">
        <f aca="false">IF(OR($B89&lt;&gt;"required",$T89="covered",$T89=""),"",1+SUMPRODUCT(ISNUMBER($U$2:$U$400)*($T$2:$T$400&lt;&gt;"covered")*($T$2:$T$400&lt;&gt;"")*($U$2:$U$400&gt;$U89))+COUNTIFS($U$2:U89,$U89,$T$2:T89,"&lt;&gt;covered",$T$2:T89,"&lt;&gt;",$B$2:B89,"required")-1)</f>
        <v/>
      </c>
      <c r="Z89" s="34" t="str">
        <f aca="false">IF(AND($B89="required",$F89&gt;=4,$T89&lt;&gt;"missing",$T89&lt;&gt;"",$M89=1,COUNTIFS(Carriers!$J$2:$J$400,$C89,Carriers!$K$2:$K$400,$E89,Carriers!$M$2:$M$400,1,Carriers!$P$2:$P$400,"system_of_record")=0),MAX($Z$1:Z88)+1,"")</f>
        <v/>
      </c>
    </row>
    <row r="90" customFormat="false" ht="15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4" t="str">
        <f aca="false">IFERROR(INDEX(Topics!$C$2:$C$100,MATCH($C90,Topics!$A$2:$A$100,0)),"")</f>
        <v/>
      </c>
      <c r="M90" s="34" t="str">
        <f aca="false">IF($B90="required",COUNTIFS($B$2:$B$400,"actual",$C$2:$C$400,$C90,$E$2:$E$400,$E90,$I$2:$I$400,"&lt;&gt;disputed"),"")</f>
        <v/>
      </c>
      <c r="N90" s="34" t="str">
        <f aca="false">IF($B90="required",COUNTIFS($B$2:$B$400,"actual",$C$2:$C$400,$C90,$E$2:$E$400,$E90,$I$2:$I$400,"&lt;&gt;disputed",$D$2:$D$400,$D90)&gt;0,"")</f>
        <v/>
      </c>
      <c r="O90" s="34" t="str">
        <f aca="false">IF($B90="required",SUMIFS(Carriers!$M$2:$M$400,Carriers!$J$2:$J$400,$C90,Carriers!$K$2:$K$400,$E90),"")</f>
        <v/>
      </c>
      <c r="P90" s="34" t="str">
        <f aca="false">IF($B90&lt;&gt;"required","",IF($O90=0,99,_xlfn.MINIFS(Carriers!$G$2:$G$400,Carriers!$J$2:$J$400,$C90,Carriers!$K$2:$K$400,$E90,Carriers!$M$2:$M$400,1)))</f>
        <v/>
      </c>
      <c r="Q90" s="34" t="str">
        <f aca="false">IF($B90="required",INDEX(Lists!$B$2:$B$8,MATCH($G90,Lists!$A$2:$A$8,0)),"")</f>
        <v/>
      </c>
      <c r="R90" s="34" t="str">
        <f aca="false">IF($B90&lt;&gt;"required","",IF($H90&lt;&gt;"sync",TRUE(),COUNTIFS(Carriers!$J$2:$J$400,$C90,Carriers!$K$2:$K$400,$E90,Carriers!$H$2:$H$400,"sync",Carriers!$M$2:$M$400,1)&gt;0))</f>
        <v/>
      </c>
      <c r="S90" s="34" t="str">
        <f aca="false">IF($B90&lt;&gt;"required","",IF($F90&lt;5,FALSE(),IF($O90=0,FALSE(),COUNTIFS(Carriers!$J$2:$J$400,$C90,Carriers!$K$2:$K$400,$E90,Carriers!$M$2:$M$400,1,Carriers!$D$2:$D$400,"push")=0)))</f>
        <v/>
      </c>
      <c r="T90" s="34" t="str">
        <f aca="false">IF($B90&lt;&gt;"required","",IF($M90=0,"missing",IF(NOT($N90),"wrong_producer",IF($P90&gt;$Q90,"latency_gap",IF(OR(NOT($R90),$S90),"channel_mismatch","covered")))))</f>
        <v/>
      </c>
      <c r="U90" s="34" t="str">
        <f aca="false">IF($B90&lt;&gt;"required","",ROUND($F90*INDEX(Lists!$E$2:$E$6,MATCH($T90,Lists!$D$2:$D$6,0)),1))</f>
        <v/>
      </c>
      <c r="V90" s="34" t="str">
        <f aca="false">IF(AND($B90="required",$L90=GoalLens!$B$3),MAX($V$1:V89)+1,"")</f>
        <v/>
      </c>
      <c r="W90" s="34" t="str">
        <f aca="false">IFERROR(INDEX(Stakeholders!$D$2:$D$50,MATCH($D90,Stakeholders!$A$2:$A$50,0)),"")</f>
        <v/>
      </c>
      <c r="X90" s="34" t="str">
        <f aca="false">IFERROR(INDEX(Stakeholders!$D$2:$D$50,MATCH($E90,Stakeholders!$A$2:$A$50,0)),"")</f>
        <v/>
      </c>
      <c r="Y90" s="34" t="str">
        <f aca="false">IF(OR($B90&lt;&gt;"required",$T90="covered",$T90=""),"",1+SUMPRODUCT(ISNUMBER($U$2:$U$400)*($T$2:$T$400&lt;&gt;"covered")*($T$2:$T$400&lt;&gt;"")*($U$2:$U$400&gt;$U90))+COUNTIFS($U$2:U90,$U90,$T$2:T90,"&lt;&gt;covered",$T$2:T90,"&lt;&gt;",$B$2:B90,"required")-1)</f>
        <v/>
      </c>
      <c r="Z90" s="34" t="str">
        <f aca="false">IF(AND($B90="required",$F90&gt;=4,$T90&lt;&gt;"missing",$T90&lt;&gt;"",$M90=1,COUNTIFS(Carriers!$J$2:$J$400,$C90,Carriers!$K$2:$K$400,$E90,Carriers!$M$2:$M$400,1,Carriers!$P$2:$P$400,"system_of_record")=0),MAX($Z$1:Z89)+1,"")</f>
        <v/>
      </c>
    </row>
    <row r="91" customFormat="false" ht="15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4" t="str">
        <f aca="false">IFERROR(INDEX(Topics!$C$2:$C$100,MATCH($C91,Topics!$A$2:$A$100,0)),"")</f>
        <v/>
      </c>
      <c r="M91" s="34" t="str">
        <f aca="false">IF($B91="required",COUNTIFS($B$2:$B$400,"actual",$C$2:$C$400,$C91,$E$2:$E$400,$E91,$I$2:$I$400,"&lt;&gt;disputed"),"")</f>
        <v/>
      </c>
      <c r="N91" s="34" t="str">
        <f aca="false">IF($B91="required",COUNTIFS($B$2:$B$400,"actual",$C$2:$C$400,$C91,$E$2:$E$400,$E91,$I$2:$I$400,"&lt;&gt;disputed",$D$2:$D$400,$D91)&gt;0,"")</f>
        <v/>
      </c>
      <c r="O91" s="34" t="str">
        <f aca="false">IF($B91="required",SUMIFS(Carriers!$M$2:$M$400,Carriers!$J$2:$J$400,$C91,Carriers!$K$2:$K$400,$E91),"")</f>
        <v/>
      </c>
      <c r="P91" s="34" t="str">
        <f aca="false">IF($B91&lt;&gt;"required","",IF($O91=0,99,_xlfn.MINIFS(Carriers!$G$2:$G$400,Carriers!$J$2:$J$400,$C91,Carriers!$K$2:$K$400,$E91,Carriers!$M$2:$M$400,1)))</f>
        <v/>
      </c>
      <c r="Q91" s="34" t="str">
        <f aca="false">IF($B91="required",INDEX(Lists!$B$2:$B$8,MATCH($G91,Lists!$A$2:$A$8,0)),"")</f>
        <v/>
      </c>
      <c r="R91" s="34" t="str">
        <f aca="false">IF($B91&lt;&gt;"required","",IF($H91&lt;&gt;"sync",TRUE(),COUNTIFS(Carriers!$J$2:$J$400,$C91,Carriers!$K$2:$K$400,$E91,Carriers!$H$2:$H$400,"sync",Carriers!$M$2:$M$400,1)&gt;0))</f>
        <v/>
      </c>
      <c r="S91" s="34" t="str">
        <f aca="false">IF($B91&lt;&gt;"required","",IF($F91&lt;5,FALSE(),IF($O91=0,FALSE(),COUNTIFS(Carriers!$J$2:$J$400,$C91,Carriers!$K$2:$K$400,$E91,Carriers!$M$2:$M$400,1,Carriers!$D$2:$D$400,"push")=0)))</f>
        <v/>
      </c>
      <c r="T91" s="34" t="str">
        <f aca="false">IF($B91&lt;&gt;"required","",IF($M91=0,"missing",IF(NOT($N91),"wrong_producer",IF($P91&gt;$Q91,"latency_gap",IF(OR(NOT($R91),$S91),"channel_mismatch","covered")))))</f>
        <v/>
      </c>
      <c r="U91" s="34" t="str">
        <f aca="false">IF($B91&lt;&gt;"required","",ROUND($F91*INDEX(Lists!$E$2:$E$6,MATCH($T91,Lists!$D$2:$D$6,0)),1))</f>
        <v/>
      </c>
      <c r="V91" s="34" t="str">
        <f aca="false">IF(AND($B91="required",$L91=GoalLens!$B$3),MAX($V$1:V90)+1,"")</f>
        <v/>
      </c>
      <c r="W91" s="34" t="str">
        <f aca="false">IFERROR(INDEX(Stakeholders!$D$2:$D$50,MATCH($D91,Stakeholders!$A$2:$A$50,0)),"")</f>
        <v/>
      </c>
      <c r="X91" s="34" t="str">
        <f aca="false">IFERROR(INDEX(Stakeholders!$D$2:$D$50,MATCH($E91,Stakeholders!$A$2:$A$50,0)),"")</f>
        <v/>
      </c>
      <c r="Y91" s="34" t="str">
        <f aca="false">IF(OR($B91&lt;&gt;"required",$T91="covered",$T91=""),"",1+SUMPRODUCT(ISNUMBER($U$2:$U$400)*($T$2:$T$400&lt;&gt;"covered")*($T$2:$T$400&lt;&gt;"")*($U$2:$U$400&gt;$U91))+COUNTIFS($U$2:U91,$U91,$T$2:T91,"&lt;&gt;covered",$T$2:T91,"&lt;&gt;",$B$2:B91,"required")-1)</f>
        <v/>
      </c>
      <c r="Z91" s="34" t="str">
        <f aca="false">IF(AND($B91="required",$F91&gt;=4,$T91&lt;&gt;"missing",$T91&lt;&gt;"",$M91=1,COUNTIFS(Carriers!$J$2:$J$400,$C91,Carriers!$K$2:$K$400,$E91,Carriers!$M$2:$M$400,1,Carriers!$P$2:$P$400,"system_of_record")=0),MAX($Z$1:Z90)+1,"")</f>
        <v/>
      </c>
    </row>
    <row r="92" customFormat="false" ht="15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4" t="str">
        <f aca="false">IFERROR(INDEX(Topics!$C$2:$C$100,MATCH($C92,Topics!$A$2:$A$100,0)),"")</f>
        <v/>
      </c>
      <c r="M92" s="34" t="str">
        <f aca="false">IF($B92="required",COUNTIFS($B$2:$B$400,"actual",$C$2:$C$400,$C92,$E$2:$E$400,$E92,$I$2:$I$400,"&lt;&gt;disputed"),"")</f>
        <v/>
      </c>
      <c r="N92" s="34" t="str">
        <f aca="false">IF($B92="required",COUNTIFS($B$2:$B$400,"actual",$C$2:$C$400,$C92,$E$2:$E$400,$E92,$I$2:$I$400,"&lt;&gt;disputed",$D$2:$D$400,$D92)&gt;0,"")</f>
        <v/>
      </c>
      <c r="O92" s="34" t="str">
        <f aca="false">IF($B92="required",SUMIFS(Carriers!$M$2:$M$400,Carriers!$J$2:$J$400,$C92,Carriers!$K$2:$K$400,$E92),"")</f>
        <v/>
      </c>
      <c r="P92" s="34" t="str">
        <f aca="false">IF($B92&lt;&gt;"required","",IF($O92=0,99,_xlfn.MINIFS(Carriers!$G$2:$G$400,Carriers!$J$2:$J$400,$C92,Carriers!$K$2:$K$400,$E92,Carriers!$M$2:$M$400,1)))</f>
        <v/>
      </c>
      <c r="Q92" s="34" t="str">
        <f aca="false">IF($B92="required",INDEX(Lists!$B$2:$B$8,MATCH($G92,Lists!$A$2:$A$8,0)),"")</f>
        <v/>
      </c>
      <c r="R92" s="34" t="str">
        <f aca="false">IF($B92&lt;&gt;"required","",IF($H92&lt;&gt;"sync",TRUE(),COUNTIFS(Carriers!$J$2:$J$400,$C92,Carriers!$K$2:$K$400,$E92,Carriers!$H$2:$H$400,"sync",Carriers!$M$2:$M$400,1)&gt;0))</f>
        <v/>
      </c>
      <c r="S92" s="34" t="str">
        <f aca="false">IF($B92&lt;&gt;"required","",IF($F92&lt;5,FALSE(),IF($O92=0,FALSE(),COUNTIFS(Carriers!$J$2:$J$400,$C92,Carriers!$K$2:$K$400,$E92,Carriers!$M$2:$M$400,1,Carriers!$D$2:$D$400,"push")=0)))</f>
        <v/>
      </c>
      <c r="T92" s="34" t="str">
        <f aca="false">IF($B92&lt;&gt;"required","",IF($M92=0,"missing",IF(NOT($N92),"wrong_producer",IF($P92&gt;$Q92,"latency_gap",IF(OR(NOT($R92),$S92),"channel_mismatch","covered")))))</f>
        <v/>
      </c>
      <c r="U92" s="34" t="str">
        <f aca="false">IF($B92&lt;&gt;"required","",ROUND($F92*INDEX(Lists!$E$2:$E$6,MATCH($T92,Lists!$D$2:$D$6,0)),1))</f>
        <v/>
      </c>
      <c r="V92" s="34" t="str">
        <f aca="false">IF(AND($B92="required",$L92=GoalLens!$B$3),MAX($V$1:V91)+1,"")</f>
        <v/>
      </c>
      <c r="W92" s="34" t="str">
        <f aca="false">IFERROR(INDEX(Stakeholders!$D$2:$D$50,MATCH($D92,Stakeholders!$A$2:$A$50,0)),"")</f>
        <v/>
      </c>
      <c r="X92" s="34" t="str">
        <f aca="false">IFERROR(INDEX(Stakeholders!$D$2:$D$50,MATCH($E92,Stakeholders!$A$2:$A$50,0)),"")</f>
        <v/>
      </c>
      <c r="Y92" s="34" t="str">
        <f aca="false">IF(OR($B92&lt;&gt;"required",$T92="covered",$T92=""),"",1+SUMPRODUCT(ISNUMBER($U$2:$U$400)*($T$2:$T$400&lt;&gt;"covered")*($T$2:$T$400&lt;&gt;"")*($U$2:$U$400&gt;$U92))+COUNTIFS($U$2:U92,$U92,$T$2:T92,"&lt;&gt;covered",$T$2:T92,"&lt;&gt;",$B$2:B92,"required")-1)</f>
        <v/>
      </c>
      <c r="Z92" s="34" t="str">
        <f aca="false">IF(AND($B92="required",$F92&gt;=4,$T92&lt;&gt;"missing",$T92&lt;&gt;"",$M92=1,COUNTIFS(Carriers!$J$2:$J$400,$C92,Carriers!$K$2:$K$400,$E92,Carriers!$M$2:$M$400,1,Carriers!$P$2:$P$400,"system_of_record")=0),MAX($Z$1:Z91)+1,"")</f>
        <v/>
      </c>
    </row>
    <row r="93" customFormat="false" ht="15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4" t="str">
        <f aca="false">IFERROR(INDEX(Topics!$C$2:$C$100,MATCH($C93,Topics!$A$2:$A$100,0)),"")</f>
        <v/>
      </c>
      <c r="M93" s="34" t="str">
        <f aca="false">IF($B93="required",COUNTIFS($B$2:$B$400,"actual",$C$2:$C$400,$C93,$E$2:$E$400,$E93,$I$2:$I$400,"&lt;&gt;disputed"),"")</f>
        <v/>
      </c>
      <c r="N93" s="34" t="str">
        <f aca="false">IF($B93="required",COUNTIFS($B$2:$B$400,"actual",$C$2:$C$400,$C93,$E$2:$E$400,$E93,$I$2:$I$400,"&lt;&gt;disputed",$D$2:$D$400,$D93)&gt;0,"")</f>
        <v/>
      </c>
      <c r="O93" s="34" t="str">
        <f aca="false">IF($B93="required",SUMIFS(Carriers!$M$2:$M$400,Carriers!$J$2:$J$400,$C93,Carriers!$K$2:$K$400,$E93),"")</f>
        <v/>
      </c>
      <c r="P93" s="34" t="str">
        <f aca="false">IF($B93&lt;&gt;"required","",IF($O93=0,99,_xlfn.MINIFS(Carriers!$G$2:$G$400,Carriers!$J$2:$J$400,$C93,Carriers!$K$2:$K$400,$E93,Carriers!$M$2:$M$400,1)))</f>
        <v/>
      </c>
      <c r="Q93" s="34" t="str">
        <f aca="false">IF($B93="required",INDEX(Lists!$B$2:$B$8,MATCH($G93,Lists!$A$2:$A$8,0)),"")</f>
        <v/>
      </c>
      <c r="R93" s="34" t="str">
        <f aca="false">IF($B93&lt;&gt;"required","",IF($H93&lt;&gt;"sync",TRUE(),COUNTIFS(Carriers!$J$2:$J$400,$C93,Carriers!$K$2:$K$400,$E93,Carriers!$H$2:$H$400,"sync",Carriers!$M$2:$M$400,1)&gt;0))</f>
        <v/>
      </c>
      <c r="S93" s="34" t="str">
        <f aca="false">IF($B93&lt;&gt;"required","",IF($F93&lt;5,FALSE(),IF($O93=0,FALSE(),COUNTIFS(Carriers!$J$2:$J$400,$C93,Carriers!$K$2:$K$400,$E93,Carriers!$M$2:$M$400,1,Carriers!$D$2:$D$400,"push")=0)))</f>
        <v/>
      </c>
      <c r="T93" s="34" t="str">
        <f aca="false">IF($B93&lt;&gt;"required","",IF($M93=0,"missing",IF(NOT($N93),"wrong_producer",IF($P93&gt;$Q93,"latency_gap",IF(OR(NOT($R93),$S93),"channel_mismatch","covered")))))</f>
        <v/>
      </c>
      <c r="U93" s="34" t="str">
        <f aca="false">IF($B93&lt;&gt;"required","",ROUND($F93*INDEX(Lists!$E$2:$E$6,MATCH($T93,Lists!$D$2:$D$6,0)),1))</f>
        <v/>
      </c>
      <c r="V93" s="34" t="str">
        <f aca="false">IF(AND($B93="required",$L93=GoalLens!$B$3),MAX($V$1:V92)+1,"")</f>
        <v/>
      </c>
      <c r="W93" s="34" t="str">
        <f aca="false">IFERROR(INDEX(Stakeholders!$D$2:$D$50,MATCH($D93,Stakeholders!$A$2:$A$50,0)),"")</f>
        <v/>
      </c>
      <c r="X93" s="34" t="str">
        <f aca="false">IFERROR(INDEX(Stakeholders!$D$2:$D$50,MATCH($E93,Stakeholders!$A$2:$A$50,0)),"")</f>
        <v/>
      </c>
      <c r="Y93" s="34" t="str">
        <f aca="false">IF(OR($B93&lt;&gt;"required",$T93="covered",$T93=""),"",1+SUMPRODUCT(ISNUMBER($U$2:$U$400)*($T$2:$T$400&lt;&gt;"covered")*($T$2:$T$400&lt;&gt;"")*($U$2:$U$400&gt;$U93))+COUNTIFS($U$2:U93,$U93,$T$2:T93,"&lt;&gt;covered",$T$2:T93,"&lt;&gt;",$B$2:B93,"required")-1)</f>
        <v/>
      </c>
      <c r="Z93" s="34" t="str">
        <f aca="false">IF(AND($B93="required",$F93&gt;=4,$T93&lt;&gt;"missing",$T93&lt;&gt;"",$M93=1,COUNTIFS(Carriers!$J$2:$J$400,$C93,Carriers!$K$2:$K$400,$E93,Carriers!$M$2:$M$400,1,Carriers!$P$2:$P$400,"system_of_record")=0),MAX($Z$1:Z92)+1,"")</f>
        <v/>
      </c>
    </row>
    <row r="94" customFormat="false" ht="15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4" t="str">
        <f aca="false">IFERROR(INDEX(Topics!$C$2:$C$100,MATCH($C94,Topics!$A$2:$A$100,0)),"")</f>
        <v/>
      </c>
      <c r="M94" s="34" t="str">
        <f aca="false">IF($B94="required",COUNTIFS($B$2:$B$400,"actual",$C$2:$C$400,$C94,$E$2:$E$400,$E94,$I$2:$I$400,"&lt;&gt;disputed"),"")</f>
        <v/>
      </c>
      <c r="N94" s="34" t="str">
        <f aca="false">IF($B94="required",COUNTIFS($B$2:$B$400,"actual",$C$2:$C$400,$C94,$E$2:$E$400,$E94,$I$2:$I$400,"&lt;&gt;disputed",$D$2:$D$400,$D94)&gt;0,"")</f>
        <v/>
      </c>
      <c r="O94" s="34" t="str">
        <f aca="false">IF($B94="required",SUMIFS(Carriers!$M$2:$M$400,Carriers!$J$2:$J$400,$C94,Carriers!$K$2:$K$400,$E94),"")</f>
        <v/>
      </c>
      <c r="P94" s="34" t="str">
        <f aca="false">IF($B94&lt;&gt;"required","",IF($O94=0,99,_xlfn.MINIFS(Carriers!$G$2:$G$400,Carriers!$J$2:$J$400,$C94,Carriers!$K$2:$K$400,$E94,Carriers!$M$2:$M$400,1)))</f>
        <v/>
      </c>
      <c r="Q94" s="34" t="str">
        <f aca="false">IF($B94="required",INDEX(Lists!$B$2:$B$8,MATCH($G94,Lists!$A$2:$A$8,0)),"")</f>
        <v/>
      </c>
      <c r="R94" s="34" t="str">
        <f aca="false">IF($B94&lt;&gt;"required","",IF($H94&lt;&gt;"sync",TRUE(),COUNTIFS(Carriers!$J$2:$J$400,$C94,Carriers!$K$2:$K$400,$E94,Carriers!$H$2:$H$400,"sync",Carriers!$M$2:$M$400,1)&gt;0))</f>
        <v/>
      </c>
      <c r="S94" s="34" t="str">
        <f aca="false">IF($B94&lt;&gt;"required","",IF($F94&lt;5,FALSE(),IF($O94=0,FALSE(),COUNTIFS(Carriers!$J$2:$J$400,$C94,Carriers!$K$2:$K$400,$E94,Carriers!$M$2:$M$400,1,Carriers!$D$2:$D$400,"push")=0)))</f>
        <v/>
      </c>
      <c r="T94" s="34" t="str">
        <f aca="false">IF($B94&lt;&gt;"required","",IF($M94=0,"missing",IF(NOT($N94),"wrong_producer",IF($P94&gt;$Q94,"latency_gap",IF(OR(NOT($R94),$S94),"channel_mismatch","covered")))))</f>
        <v/>
      </c>
      <c r="U94" s="34" t="str">
        <f aca="false">IF($B94&lt;&gt;"required","",ROUND($F94*INDEX(Lists!$E$2:$E$6,MATCH($T94,Lists!$D$2:$D$6,0)),1))</f>
        <v/>
      </c>
      <c r="V94" s="34" t="str">
        <f aca="false">IF(AND($B94="required",$L94=GoalLens!$B$3),MAX($V$1:V93)+1,"")</f>
        <v/>
      </c>
      <c r="W94" s="34" t="str">
        <f aca="false">IFERROR(INDEX(Stakeholders!$D$2:$D$50,MATCH($D94,Stakeholders!$A$2:$A$50,0)),"")</f>
        <v/>
      </c>
      <c r="X94" s="34" t="str">
        <f aca="false">IFERROR(INDEX(Stakeholders!$D$2:$D$50,MATCH($E94,Stakeholders!$A$2:$A$50,0)),"")</f>
        <v/>
      </c>
      <c r="Y94" s="34" t="str">
        <f aca="false">IF(OR($B94&lt;&gt;"required",$T94="covered",$T94=""),"",1+SUMPRODUCT(ISNUMBER($U$2:$U$400)*($T$2:$T$400&lt;&gt;"covered")*($T$2:$T$400&lt;&gt;"")*($U$2:$U$400&gt;$U94))+COUNTIFS($U$2:U94,$U94,$T$2:T94,"&lt;&gt;covered",$T$2:T94,"&lt;&gt;",$B$2:B94,"required")-1)</f>
        <v/>
      </c>
      <c r="Z94" s="34" t="str">
        <f aca="false">IF(AND($B94="required",$F94&gt;=4,$T94&lt;&gt;"missing",$T94&lt;&gt;"",$M94=1,COUNTIFS(Carriers!$J$2:$J$400,$C94,Carriers!$K$2:$K$400,$E94,Carriers!$M$2:$M$400,1,Carriers!$P$2:$P$400,"system_of_record")=0),MAX($Z$1:Z93)+1,"")</f>
        <v/>
      </c>
    </row>
    <row r="95" customFormat="false" ht="15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4" t="str">
        <f aca="false">IFERROR(INDEX(Topics!$C$2:$C$100,MATCH($C95,Topics!$A$2:$A$100,0)),"")</f>
        <v/>
      </c>
      <c r="M95" s="34" t="str">
        <f aca="false">IF($B95="required",COUNTIFS($B$2:$B$400,"actual",$C$2:$C$400,$C95,$E$2:$E$400,$E95,$I$2:$I$400,"&lt;&gt;disputed"),"")</f>
        <v/>
      </c>
      <c r="N95" s="34" t="str">
        <f aca="false">IF($B95="required",COUNTIFS($B$2:$B$400,"actual",$C$2:$C$400,$C95,$E$2:$E$400,$E95,$I$2:$I$400,"&lt;&gt;disputed",$D$2:$D$400,$D95)&gt;0,"")</f>
        <v/>
      </c>
      <c r="O95" s="34" t="str">
        <f aca="false">IF($B95="required",SUMIFS(Carriers!$M$2:$M$400,Carriers!$J$2:$J$400,$C95,Carriers!$K$2:$K$400,$E95),"")</f>
        <v/>
      </c>
      <c r="P95" s="34" t="str">
        <f aca="false">IF($B95&lt;&gt;"required","",IF($O95=0,99,_xlfn.MINIFS(Carriers!$G$2:$G$400,Carriers!$J$2:$J$400,$C95,Carriers!$K$2:$K$400,$E95,Carriers!$M$2:$M$400,1)))</f>
        <v/>
      </c>
      <c r="Q95" s="34" t="str">
        <f aca="false">IF($B95="required",INDEX(Lists!$B$2:$B$8,MATCH($G95,Lists!$A$2:$A$8,0)),"")</f>
        <v/>
      </c>
      <c r="R95" s="34" t="str">
        <f aca="false">IF($B95&lt;&gt;"required","",IF($H95&lt;&gt;"sync",TRUE(),COUNTIFS(Carriers!$J$2:$J$400,$C95,Carriers!$K$2:$K$400,$E95,Carriers!$H$2:$H$400,"sync",Carriers!$M$2:$M$400,1)&gt;0))</f>
        <v/>
      </c>
      <c r="S95" s="34" t="str">
        <f aca="false">IF($B95&lt;&gt;"required","",IF($F95&lt;5,FALSE(),IF($O95=0,FALSE(),COUNTIFS(Carriers!$J$2:$J$400,$C95,Carriers!$K$2:$K$400,$E95,Carriers!$M$2:$M$400,1,Carriers!$D$2:$D$400,"push")=0)))</f>
        <v/>
      </c>
      <c r="T95" s="34" t="str">
        <f aca="false">IF($B95&lt;&gt;"required","",IF($M95=0,"missing",IF(NOT($N95),"wrong_producer",IF($P95&gt;$Q95,"latency_gap",IF(OR(NOT($R95),$S95),"channel_mismatch","covered")))))</f>
        <v/>
      </c>
      <c r="U95" s="34" t="str">
        <f aca="false">IF($B95&lt;&gt;"required","",ROUND($F95*INDEX(Lists!$E$2:$E$6,MATCH($T95,Lists!$D$2:$D$6,0)),1))</f>
        <v/>
      </c>
      <c r="V95" s="34" t="str">
        <f aca="false">IF(AND($B95="required",$L95=GoalLens!$B$3),MAX($V$1:V94)+1,"")</f>
        <v/>
      </c>
      <c r="W95" s="34" t="str">
        <f aca="false">IFERROR(INDEX(Stakeholders!$D$2:$D$50,MATCH($D95,Stakeholders!$A$2:$A$50,0)),"")</f>
        <v/>
      </c>
      <c r="X95" s="34" t="str">
        <f aca="false">IFERROR(INDEX(Stakeholders!$D$2:$D$50,MATCH($E95,Stakeholders!$A$2:$A$50,0)),"")</f>
        <v/>
      </c>
      <c r="Y95" s="34" t="str">
        <f aca="false">IF(OR($B95&lt;&gt;"required",$T95="covered",$T95=""),"",1+SUMPRODUCT(ISNUMBER($U$2:$U$400)*($T$2:$T$400&lt;&gt;"covered")*($T$2:$T$400&lt;&gt;"")*($U$2:$U$400&gt;$U95))+COUNTIFS($U$2:U95,$U95,$T$2:T95,"&lt;&gt;covered",$T$2:T95,"&lt;&gt;",$B$2:B95,"required")-1)</f>
        <v/>
      </c>
      <c r="Z95" s="34" t="str">
        <f aca="false">IF(AND($B95="required",$F95&gt;=4,$T95&lt;&gt;"missing",$T95&lt;&gt;"",$M95=1,COUNTIFS(Carriers!$J$2:$J$400,$C95,Carriers!$K$2:$K$400,$E95,Carriers!$M$2:$M$400,1,Carriers!$P$2:$P$400,"system_of_record")=0),MAX($Z$1:Z94)+1,"")</f>
        <v/>
      </c>
    </row>
    <row r="96" customFormat="false" ht="15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4" t="str">
        <f aca="false">IFERROR(INDEX(Topics!$C$2:$C$100,MATCH($C96,Topics!$A$2:$A$100,0)),"")</f>
        <v/>
      </c>
      <c r="M96" s="34" t="str">
        <f aca="false">IF($B96="required",COUNTIFS($B$2:$B$400,"actual",$C$2:$C$400,$C96,$E$2:$E$400,$E96,$I$2:$I$400,"&lt;&gt;disputed"),"")</f>
        <v/>
      </c>
      <c r="N96" s="34" t="str">
        <f aca="false">IF($B96="required",COUNTIFS($B$2:$B$400,"actual",$C$2:$C$400,$C96,$E$2:$E$400,$E96,$I$2:$I$400,"&lt;&gt;disputed",$D$2:$D$400,$D96)&gt;0,"")</f>
        <v/>
      </c>
      <c r="O96" s="34" t="str">
        <f aca="false">IF($B96="required",SUMIFS(Carriers!$M$2:$M$400,Carriers!$J$2:$J$400,$C96,Carriers!$K$2:$K$400,$E96),"")</f>
        <v/>
      </c>
      <c r="P96" s="34" t="str">
        <f aca="false">IF($B96&lt;&gt;"required","",IF($O96=0,99,_xlfn.MINIFS(Carriers!$G$2:$G$400,Carriers!$J$2:$J$400,$C96,Carriers!$K$2:$K$400,$E96,Carriers!$M$2:$M$400,1)))</f>
        <v/>
      </c>
      <c r="Q96" s="34" t="str">
        <f aca="false">IF($B96="required",INDEX(Lists!$B$2:$B$8,MATCH($G96,Lists!$A$2:$A$8,0)),"")</f>
        <v/>
      </c>
      <c r="R96" s="34" t="str">
        <f aca="false">IF($B96&lt;&gt;"required","",IF($H96&lt;&gt;"sync",TRUE(),COUNTIFS(Carriers!$J$2:$J$400,$C96,Carriers!$K$2:$K$400,$E96,Carriers!$H$2:$H$400,"sync",Carriers!$M$2:$M$400,1)&gt;0))</f>
        <v/>
      </c>
      <c r="S96" s="34" t="str">
        <f aca="false">IF($B96&lt;&gt;"required","",IF($F96&lt;5,FALSE(),IF($O96=0,FALSE(),COUNTIFS(Carriers!$J$2:$J$400,$C96,Carriers!$K$2:$K$400,$E96,Carriers!$M$2:$M$400,1,Carriers!$D$2:$D$400,"push")=0)))</f>
        <v/>
      </c>
      <c r="T96" s="34" t="str">
        <f aca="false">IF($B96&lt;&gt;"required","",IF($M96=0,"missing",IF(NOT($N96),"wrong_producer",IF($P96&gt;$Q96,"latency_gap",IF(OR(NOT($R96),$S96),"channel_mismatch","covered")))))</f>
        <v/>
      </c>
      <c r="U96" s="34" t="str">
        <f aca="false">IF($B96&lt;&gt;"required","",ROUND($F96*INDEX(Lists!$E$2:$E$6,MATCH($T96,Lists!$D$2:$D$6,0)),1))</f>
        <v/>
      </c>
      <c r="V96" s="34" t="str">
        <f aca="false">IF(AND($B96="required",$L96=GoalLens!$B$3),MAX($V$1:V95)+1,"")</f>
        <v/>
      </c>
      <c r="W96" s="34" t="str">
        <f aca="false">IFERROR(INDEX(Stakeholders!$D$2:$D$50,MATCH($D96,Stakeholders!$A$2:$A$50,0)),"")</f>
        <v/>
      </c>
      <c r="X96" s="34" t="str">
        <f aca="false">IFERROR(INDEX(Stakeholders!$D$2:$D$50,MATCH($E96,Stakeholders!$A$2:$A$50,0)),"")</f>
        <v/>
      </c>
      <c r="Y96" s="34" t="str">
        <f aca="false">IF(OR($B96&lt;&gt;"required",$T96="covered",$T96=""),"",1+SUMPRODUCT(ISNUMBER($U$2:$U$400)*($T$2:$T$400&lt;&gt;"covered")*($T$2:$T$400&lt;&gt;"")*($U$2:$U$400&gt;$U96))+COUNTIFS($U$2:U96,$U96,$T$2:T96,"&lt;&gt;covered",$T$2:T96,"&lt;&gt;",$B$2:B96,"required")-1)</f>
        <v/>
      </c>
      <c r="Z96" s="34" t="str">
        <f aca="false">IF(AND($B96="required",$F96&gt;=4,$T96&lt;&gt;"missing",$T96&lt;&gt;"",$M96=1,COUNTIFS(Carriers!$J$2:$J$400,$C96,Carriers!$K$2:$K$400,$E96,Carriers!$M$2:$M$400,1,Carriers!$P$2:$P$400,"system_of_record")=0),MAX($Z$1:Z95)+1,"")</f>
        <v/>
      </c>
    </row>
    <row r="97" customFormat="false" ht="15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4" t="str">
        <f aca="false">IFERROR(INDEX(Topics!$C$2:$C$100,MATCH($C97,Topics!$A$2:$A$100,0)),"")</f>
        <v/>
      </c>
      <c r="M97" s="34" t="str">
        <f aca="false">IF($B97="required",COUNTIFS($B$2:$B$400,"actual",$C$2:$C$400,$C97,$E$2:$E$400,$E97,$I$2:$I$400,"&lt;&gt;disputed"),"")</f>
        <v/>
      </c>
      <c r="N97" s="34" t="str">
        <f aca="false">IF($B97="required",COUNTIFS($B$2:$B$400,"actual",$C$2:$C$400,$C97,$E$2:$E$400,$E97,$I$2:$I$400,"&lt;&gt;disputed",$D$2:$D$400,$D97)&gt;0,"")</f>
        <v/>
      </c>
      <c r="O97" s="34" t="str">
        <f aca="false">IF($B97="required",SUMIFS(Carriers!$M$2:$M$400,Carriers!$J$2:$J$400,$C97,Carriers!$K$2:$K$400,$E97),"")</f>
        <v/>
      </c>
      <c r="P97" s="34" t="str">
        <f aca="false">IF($B97&lt;&gt;"required","",IF($O97=0,99,_xlfn.MINIFS(Carriers!$G$2:$G$400,Carriers!$J$2:$J$400,$C97,Carriers!$K$2:$K$400,$E97,Carriers!$M$2:$M$400,1)))</f>
        <v/>
      </c>
      <c r="Q97" s="34" t="str">
        <f aca="false">IF($B97="required",INDEX(Lists!$B$2:$B$8,MATCH($G97,Lists!$A$2:$A$8,0)),"")</f>
        <v/>
      </c>
      <c r="R97" s="34" t="str">
        <f aca="false">IF($B97&lt;&gt;"required","",IF($H97&lt;&gt;"sync",TRUE(),COUNTIFS(Carriers!$J$2:$J$400,$C97,Carriers!$K$2:$K$400,$E97,Carriers!$H$2:$H$400,"sync",Carriers!$M$2:$M$400,1)&gt;0))</f>
        <v/>
      </c>
      <c r="S97" s="34" t="str">
        <f aca="false">IF($B97&lt;&gt;"required","",IF($F97&lt;5,FALSE(),IF($O97=0,FALSE(),COUNTIFS(Carriers!$J$2:$J$400,$C97,Carriers!$K$2:$K$400,$E97,Carriers!$M$2:$M$400,1,Carriers!$D$2:$D$400,"push")=0)))</f>
        <v/>
      </c>
      <c r="T97" s="34" t="str">
        <f aca="false">IF($B97&lt;&gt;"required","",IF($M97=0,"missing",IF(NOT($N97),"wrong_producer",IF($P97&gt;$Q97,"latency_gap",IF(OR(NOT($R97),$S97),"channel_mismatch","covered")))))</f>
        <v/>
      </c>
      <c r="U97" s="34" t="str">
        <f aca="false">IF($B97&lt;&gt;"required","",ROUND($F97*INDEX(Lists!$E$2:$E$6,MATCH($T97,Lists!$D$2:$D$6,0)),1))</f>
        <v/>
      </c>
      <c r="V97" s="34" t="str">
        <f aca="false">IF(AND($B97="required",$L97=GoalLens!$B$3),MAX($V$1:V96)+1,"")</f>
        <v/>
      </c>
      <c r="W97" s="34" t="str">
        <f aca="false">IFERROR(INDEX(Stakeholders!$D$2:$D$50,MATCH($D97,Stakeholders!$A$2:$A$50,0)),"")</f>
        <v/>
      </c>
      <c r="X97" s="34" t="str">
        <f aca="false">IFERROR(INDEX(Stakeholders!$D$2:$D$50,MATCH($E97,Stakeholders!$A$2:$A$50,0)),"")</f>
        <v/>
      </c>
      <c r="Y97" s="34" t="str">
        <f aca="false">IF(OR($B97&lt;&gt;"required",$T97="covered",$T97=""),"",1+SUMPRODUCT(ISNUMBER($U$2:$U$400)*($T$2:$T$400&lt;&gt;"covered")*($T$2:$T$400&lt;&gt;"")*($U$2:$U$400&gt;$U97))+COUNTIFS($U$2:U97,$U97,$T$2:T97,"&lt;&gt;covered",$T$2:T97,"&lt;&gt;",$B$2:B97,"required")-1)</f>
        <v/>
      </c>
      <c r="Z97" s="34" t="str">
        <f aca="false">IF(AND($B97="required",$F97&gt;=4,$T97&lt;&gt;"missing",$T97&lt;&gt;"",$M97=1,COUNTIFS(Carriers!$J$2:$J$400,$C97,Carriers!$K$2:$K$400,$E97,Carriers!$M$2:$M$400,1,Carriers!$P$2:$P$400,"system_of_record")=0),MAX($Z$1:Z96)+1,"")</f>
        <v/>
      </c>
    </row>
    <row r="98" customFormat="false" ht="15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4" t="str">
        <f aca="false">IFERROR(INDEX(Topics!$C$2:$C$100,MATCH($C98,Topics!$A$2:$A$100,0)),"")</f>
        <v/>
      </c>
      <c r="M98" s="34" t="str">
        <f aca="false">IF($B98="required",COUNTIFS($B$2:$B$400,"actual",$C$2:$C$400,$C98,$E$2:$E$400,$E98,$I$2:$I$400,"&lt;&gt;disputed"),"")</f>
        <v/>
      </c>
      <c r="N98" s="34" t="str">
        <f aca="false">IF($B98="required",COUNTIFS($B$2:$B$400,"actual",$C$2:$C$400,$C98,$E$2:$E$400,$E98,$I$2:$I$400,"&lt;&gt;disputed",$D$2:$D$400,$D98)&gt;0,"")</f>
        <v/>
      </c>
      <c r="O98" s="34" t="str">
        <f aca="false">IF($B98="required",SUMIFS(Carriers!$M$2:$M$400,Carriers!$J$2:$J$400,$C98,Carriers!$K$2:$K$400,$E98),"")</f>
        <v/>
      </c>
      <c r="P98" s="34" t="str">
        <f aca="false">IF($B98&lt;&gt;"required","",IF($O98=0,99,_xlfn.MINIFS(Carriers!$G$2:$G$400,Carriers!$J$2:$J$400,$C98,Carriers!$K$2:$K$400,$E98,Carriers!$M$2:$M$400,1)))</f>
        <v/>
      </c>
      <c r="Q98" s="34" t="str">
        <f aca="false">IF($B98="required",INDEX(Lists!$B$2:$B$8,MATCH($G98,Lists!$A$2:$A$8,0)),"")</f>
        <v/>
      </c>
      <c r="R98" s="34" t="str">
        <f aca="false">IF($B98&lt;&gt;"required","",IF($H98&lt;&gt;"sync",TRUE(),COUNTIFS(Carriers!$J$2:$J$400,$C98,Carriers!$K$2:$K$400,$E98,Carriers!$H$2:$H$400,"sync",Carriers!$M$2:$M$400,1)&gt;0))</f>
        <v/>
      </c>
      <c r="S98" s="34" t="str">
        <f aca="false">IF($B98&lt;&gt;"required","",IF($F98&lt;5,FALSE(),IF($O98=0,FALSE(),COUNTIFS(Carriers!$J$2:$J$400,$C98,Carriers!$K$2:$K$400,$E98,Carriers!$M$2:$M$400,1,Carriers!$D$2:$D$400,"push")=0)))</f>
        <v/>
      </c>
      <c r="T98" s="34" t="str">
        <f aca="false">IF($B98&lt;&gt;"required","",IF($M98=0,"missing",IF(NOT($N98),"wrong_producer",IF($P98&gt;$Q98,"latency_gap",IF(OR(NOT($R98),$S98),"channel_mismatch","covered")))))</f>
        <v/>
      </c>
      <c r="U98" s="34" t="str">
        <f aca="false">IF($B98&lt;&gt;"required","",ROUND($F98*INDEX(Lists!$E$2:$E$6,MATCH($T98,Lists!$D$2:$D$6,0)),1))</f>
        <v/>
      </c>
      <c r="V98" s="34" t="str">
        <f aca="false">IF(AND($B98="required",$L98=GoalLens!$B$3),MAX($V$1:V97)+1,"")</f>
        <v/>
      </c>
      <c r="W98" s="34" t="str">
        <f aca="false">IFERROR(INDEX(Stakeholders!$D$2:$D$50,MATCH($D98,Stakeholders!$A$2:$A$50,0)),"")</f>
        <v/>
      </c>
      <c r="X98" s="34" t="str">
        <f aca="false">IFERROR(INDEX(Stakeholders!$D$2:$D$50,MATCH($E98,Stakeholders!$A$2:$A$50,0)),"")</f>
        <v/>
      </c>
      <c r="Y98" s="34" t="str">
        <f aca="false">IF(OR($B98&lt;&gt;"required",$T98="covered",$T98=""),"",1+SUMPRODUCT(ISNUMBER($U$2:$U$400)*($T$2:$T$400&lt;&gt;"covered")*($T$2:$T$400&lt;&gt;"")*($U$2:$U$400&gt;$U98))+COUNTIFS($U$2:U98,$U98,$T$2:T98,"&lt;&gt;covered",$T$2:T98,"&lt;&gt;",$B$2:B98,"required")-1)</f>
        <v/>
      </c>
      <c r="Z98" s="34" t="str">
        <f aca="false">IF(AND($B98="required",$F98&gt;=4,$T98&lt;&gt;"missing",$T98&lt;&gt;"",$M98=1,COUNTIFS(Carriers!$J$2:$J$400,$C98,Carriers!$K$2:$K$400,$E98,Carriers!$M$2:$M$400,1,Carriers!$P$2:$P$400,"system_of_record")=0),MAX($Z$1:Z97)+1,"")</f>
        <v/>
      </c>
    </row>
    <row r="99" customFormat="false" ht="15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4" t="str">
        <f aca="false">IFERROR(INDEX(Topics!$C$2:$C$100,MATCH($C99,Topics!$A$2:$A$100,0)),"")</f>
        <v/>
      </c>
      <c r="M99" s="34" t="str">
        <f aca="false">IF($B99="required",COUNTIFS($B$2:$B$400,"actual",$C$2:$C$400,$C99,$E$2:$E$400,$E99,$I$2:$I$400,"&lt;&gt;disputed"),"")</f>
        <v/>
      </c>
      <c r="N99" s="34" t="str">
        <f aca="false">IF($B99="required",COUNTIFS($B$2:$B$400,"actual",$C$2:$C$400,$C99,$E$2:$E$400,$E99,$I$2:$I$400,"&lt;&gt;disputed",$D$2:$D$400,$D99)&gt;0,"")</f>
        <v/>
      </c>
      <c r="O99" s="34" t="str">
        <f aca="false">IF($B99="required",SUMIFS(Carriers!$M$2:$M$400,Carriers!$J$2:$J$400,$C99,Carriers!$K$2:$K$400,$E99),"")</f>
        <v/>
      </c>
      <c r="P99" s="34" t="str">
        <f aca="false">IF($B99&lt;&gt;"required","",IF($O99=0,99,_xlfn.MINIFS(Carriers!$G$2:$G$400,Carriers!$J$2:$J$400,$C99,Carriers!$K$2:$K$400,$E99,Carriers!$M$2:$M$400,1)))</f>
        <v/>
      </c>
      <c r="Q99" s="34" t="str">
        <f aca="false">IF($B99="required",INDEX(Lists!$B$2:$B$8,MATCH($G99,Lists!$A$2:$A$8,0)),"")</f>
        <v/>
      </c>
      <c r="R99" s="34" t="str">
        <f aca="false">IF($B99&lt;&gt;"required","",IF($H99&lt;&gt;"sync",TRUE(),COUNTIFS(Carriers!$J$2:$J$400,$C99,Carriers!$K$2:$K$400,$E99,Carriers!$H$2:$H$400,"sync",Carriers!$M$2:$M$400,1)&gt;0))</f>
        <v/>
      </c>
      <c r="S99" s="34" t="str">
        <f aca="false">IF($B99&lt;&gt;"required","",IF($F99&lt;5,FALSE(),IF($O99=0,FALSE(),COUNTIFS(Carriers!$J$2:$J$400,$C99,Carriers!$K$2:$K$400,$E99,Carriers!$M$2:$M$400,1,Carriers!$D$2:$D$400,"push")=0)))</f>
        <v/>
      </c>
      <c r="T99" s="34" t="str">
        <f aca="false">IF($B99&lt;&gt;"required","",IF($M99=0,"missing",IF(NOT($N99),"wrong_producer",IF($P99&gt;$Q99,"latency_gap",IF(OR(NOT($R99),$S99),"channel_mismatch","covered")))))</f>
        <v/>
      </c>
      <c r="U99" s="34" t="str">
        <f aca="false">IF($B99&lt;&gt;"required","",ROUND($F99*INDEX(Lists!$E$2:$E$6,MATCH($T99,Lists!$D$2:$D$6,0)),1))</f>
        <v/>
      </c>
      <c r="V99" s="34" t="str">
        <f aca="false">IF(AND($B99="required",$L99=GoalLens!$B$3),MAX($V$1:V98)+1,"")</f>
        <v/>
      </c>
      <c r="W99" s="34" t="str">
        <f aca="false">IFERROR(INDEX(Stakeholders!$D$2:$D$50,MATCH($D99,Stakeholders!$A$2:$A$50,0)),"")</f>
        <v/>
      </c>
      <c r="X99" s="34" t="str">
        <f aca="false">IFERROR(INDEX(Stakeholders!$D$2:$D$50,MATCH($E99,Stakeholders!$A$2:$A$50,0)),"")</f>
        <v/>
      </c>
      <c r="Y99" s="34" t="str">
        <f aca="false">IF(OR($B99&lt;&gt;"required",$T99="covered",$T99=""),"",1+SUMPRODUCT(ISNUMBER($U$2:$U$400)*($T$2:$T$400&lt;&gt;"covered")*($T$2:$T$400&lt;&gt;"")*($U$2:$U$400&gt;$U99))+COUNTIFS($U$2:U99,$U99,$T$2:T99,"&lt;&gt;covered",$T$2:T99,"&lt;&gt;",$B$2:B99,"required")-1)</f>
        <v/>
      </c>
      <c r="Z99" s="34" t="str">
        <f aca="false">IF(AND($B99="required",$F99&gt;=4,$T99&lt;&gt;"missing",$T99&lt;&gt;"",$M99=1,COUNTIFS(Carriers!$J$2:$J$400,$C99,Carriers!$K$2:$K$400,$E99,Carriers!$M$2:$M$400,1,Carriers!$P$2:$P$400,"system_of_record")=0),MAX($Z$1:Z98)+1,"")</f>
        <v/>
      </c>
    </row>
    <row r="100" customFormat="false" ht="15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4" t="str">
        <f aca="false">IFERROR(INDEX(Topics!$C$2:$C$100,MATCH($C100,Topics!$A$2:$A$100,0)),"")</f>
        <v/>
      </c>
      <c r="M100" s="34" t="str">
        <f aca="false">IF($B100="required",COUNTIFS($B$2:$B$400,"actual",$C$2:$C$400,$C100,$E$2:$E$400,$E100,$I$2:$I$400,"&lt;&gt;disputed"),"")</f>
        <v/>
      </c>
      <c r="N100" s="34" t="str">
        <f aca="false">IF($B100="required",COUNTIFS($B$2:$B$400,"actual",$C$2:$C$400,$C100,$E$2:$E$400,$E100,$I$2:$I$400,"&lt;&gt;disputed",$D$2:$D$400,$D100)&gt;0,"")</f>
        <v/>
      </c>
      <c r="O100" s="34" t="str">
        <f aca="false">IF($B100="required",SUMIFS(Carriers!$M$2:$M$400,Carriers!$J$2:$J$400,$C100,Carriers!$K$2:$K$400,$E100),"")</f>
        <v/>
      </c>
      <c r="P100" s="34" t="str">
        <f aca="false">IF($B100&lt;&gt;"required","",IF($O100=0,99,_xlfn.MINIFS(Carriers!$G$2:$G$400,Carriers!$J$2:$J$400,$C100,Carriers!$K$2:$K$400,$E100,Carriers!$M$2:$M$400,1)))</f>
        <v/>
      </c>
      <c r="Q100" s="34" t="str">
        <f aca="false">IF($B100="required",INDEX(Lists!$B$2:$B$8,MATCH($G100,Lists!$A$2:$A$8,0)),"")</f>
        <v/>
      </c>
      <c r="R100" s="34" t="str">
        <f aca="false">IF($B100&lt;&gt;"required","",IF($H100&lt;&gt;"sync",TRUE(),COUNTIFS(Carriers!$J$2:$J$400,$C100,Carriers!$K$2:$K$400,$E100,Carriers!$H$2:$H$400,"sync",Carriers!$M$2:$M$400,1)&gt;0))</f>
        <v/>
      </c>
      <c r="S100" s="34" t="str">
        <f aca="false">IF($B100&lt;&gt;"required","",IF($F100&lt;5,FALSE(),IF($O100=0,FALSE(),COUNTIFS(Carriers!$J$2:$J$400,$C100,Carriers!$K$2:$K$400,$E100,Carriers!$M$2:$M$400,1,Carriers!$D$2:$D$400,"push")=0)))</f>
        <v/>
      </c>
      <c r="T100" s="34" t="str">
        <f aca="false">IF($B100&lt;&gt;"required","",IF($M100=0,"missing",IF(NOT($N100),"wrong_producer",IF($P100&gt;$Q100,"latency_gap",IF(OR(NOT($R100),$S100),"channel_mismatch","covered")))))</f>
        <v/>
      </c>
      <c r="U100" s="34" t="str">
        <f aca="false">IF($B100&lt;&gt;"required","",ROUND($F100*INDEX(Lists!$E$2:$E$6,MATCH($T100,Lists!$D$2:$D$6,0)),1))</f>
        <v/>
      </c>
      <c r="V100" s="34" t="str">
        <f aca="false">IF(AND($B100="required",$L100=GoalLens!$B$3),MAX($V$1:V99)+1,"")</f>
        <v/>
      </c>
      <c r="W100" s="34" t="str">
        <f aca="false">IFERROR(INDEX(Stakeholders!$D$2:$D$50,MATCH($D100,Stakeholders!$A$2:$A$50,0)),"")</f>
        <v/>
      </c>
      <c r="X100" s="34" t="str">
        <f aca="false">IFERROR(INDEX(Stakeholders!$D$2:$D$50,MATCH($E100,Stakeholders!$A$2:$A$50,0)),"")</f>
        <v/>
      </c>
      <c r="Y100" s="34" t="str">
        <f aca="false">IF(OR($B100&lt;&gt;"required",$T100="covered",$T100=""),"",1+SUMPRODUCT(ISNUMBER($U$2:$U$400)*($T$2:$T$400&lt;&gt;"covered")*($T$2:$T$400&lt;&gt;"")*($U$2:$U$400&gt;$U100))+COUNTIFS($U$2:U100,$U100,$T$2:T100,"&lt;&gt;covered",$T$2:T100,"&lt;&gt;",$B$2:B100,"required")-1)</f>
        <v/>
      </c>
      <c r="Z100" s="34" t="str">
        <f aca="false">IF(AND($B100="required",$F100&gt;=4,$T100&lt;&gt;"missing",$T100&lt;&gt;"",$M100=1,COUNTIFS(Carriers!$J$2:$J$400,$C100,Carriers!$K$2:$K$400,$E100,Carriers!$M$2:$M$400,1,Carriers!$P$2:$P$400,"system_of_record")=0),MAX($Z$1:Z99)+1,"")</f>
        <v/>
      </c>
    </row>
  </sheetData>
  <conditionalFormatting sqref="T2:T32">
    <cfRule type="cellIs" priority="2" operator="equal" aboveAverage="0" equalAverage="0" bottom="0" percent="0" rank="0" text="" dxfId="0">
      <formula>"missing"</formula>
    </cfRule>
    <cfRule type="cellIs" priority="3" operator="equal" aboveAverage="0" equalAverage="0" bottom="0" percent="0" rank="0" text="" dxfId="1">
      <formula>"wrong_producer"</formula>
    </cfRule>
    <cfRule type="cellIs" priority="4" operator="equal" aboveAverage="0" equalAverage="0" bottom="0" percent="0" rank="0" text="" dxfId="1">
      <formula>"latency_gap"</formula>
    </cfRule>
    <cfRule type="cellIs" priority="5" operator="equal" aboveAverage="0" equalAverage="0" bottom="0" percent="0" rank="0" text="" dxfId="2">
      <formula>"channel_mismatch"</formula>
    </cfRule>
    <cfRule type="cellIs" priority="6" operator="equal" aboveAverage="0" equalAverage="0" bottom="0" percent="0" rank="0" text="" dxfId="3">
      <formula>"covered"</formula>
    </cfRule>
  </conditionalFormatting>
  <dataValidations count="4">
    <dataValidation allowBlank="true" errorStyle="stop" operator="between" showDropDown="false" showErrorMessage="false" showInputMessage="false" sqref="B2:B100" type="list">
      <formula1>"required,actual"</formula1>
      <formula2>0</formula2>
    </dataValidation>
    <dataValidation allowBlank="true" errorStyle="stop" operator="between" showDropDown="false" showErrorMessage="false" showInputMessage="false" sqref="G2:G100" type="list">
      <formula1>CadenceList</formula1>
      <formula2>0</formula2>
    </dataValidation>
    <dataValidation allowBlank="true" errorStyle="stop" operator="between" showDropDown="false" showErrorMessage="false" showInputMessage="false" sqref="H2:H100" type="list">
      <formula1>"sync,async,any"</formula1>
      <formula2>0</formula2>
    </dataValidation>
    <dataValidation allowBlank="true" errorStyle="stop" operator="between" showDropDown="false" showErrorMessage="false" showInputMessage="false" sqref="I2:I100" type="list">
      <formula1>"confirmed,claimed,disputed"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7"/>
    <col collapsed="false" customWidth="true" hidden="false" outlineLevel="0" max="12" min="12" style="1" width="10"/>
    <col collapsed="false" customWidth="true" hidden="false" outlineLevel="0" max="13" min="13" style="1" width="7"/>
    <col collapsed="false" customWidth="true" hidden="false" outlineLevel="0" max="14" min="14" style="1" width="10"/>
    <col collapsed="false" customWidth="true" hidden="false" outlineLevel="0" max="15" min="15" style="1" width="7"/>
  </cols>
  <sheetData>
    <row r="1" customFormat="false" ht="30" hidden="false" customHeight="true" outlineLevel="0" collapsed="false">
      <c r="A1" s="30" t="s">
        <v>17</v>
      </c>
      <c r="B1" s="30" t="s">
        <v>435</v>
      </c>
      <c r="C1" s="30" t="s">
        <v>436</v>
      </c>
      <c r="D1" s="30" t="s">
        <v>437</v>
      </c>
      <c r="E1" s="33" t="s">
        <v>438</v>
      </c>
      <c r="F1" s="33" t="s">
        <v>229</v>
      </c>
      <c r="G1" s="33" t="s">
        <v>439</v>
      </c>
      <c r="H1" s="33" t="s">
        <v>225</v>
      </c>
      <c r="I1" s="33" t="s">
        <v>440</v>
      </c>
      <c r="J1" s="33" t="s">
        <v>13</v>
      </c>
      <c r="K1" s="33" t="s">
        <v>19</v>
      </c>
      <c r="L1" s="33" t="s">
        <v>349</v>
      </c>
      <c r="M1" s="33" t="s">
        <v>441</v>
      </c>
      <c r="N1" s="33" t="s">
        <v>442</v>
      </c>
      <c r="O1" s="33" t="s">
        <v>53</v>
      </c>
      <c r="P1" s="38" t="s">
        <v>41</v>
      </c>
    </row>
    <row r="2" customFormat="false" ht="15" hidden="false" customHeight="true" outlineLevel="0" collapsed="false">
      <c r="A2" s="31" t="s">
        <v>394</v>
      </c>
      <c r="B2" s="31" t="s">
        <v>443</v>
      </c>
      <c r="C2" s="31" t="s">
        <v>261</v>
      </c>
      <c r="D2" s="31" t="s">
        <v>444</v>
      </c>
      <c r="E2" s="34" t="str">
        <f aca="false">IF($A2="","",IF($B2="ritual",IFERROR(INDEX(Rituals!$B$2:$B$50,MATCH($C2,Rituals!$A$2:$A$50,0)),"?"),IFERROR(INDEX(Channels!$B$2:$B$50,MATCH($C2,Channels!$A$2:$A$50,0)),"?")))</f>
        <v>Weekly Supplier Quality Review</v>
      </c>
      <c r="F2" s="34" t="str">
        <f aca="false">IF($A2="","",IF($B2="ritual",IFERROR(INDEX(Rituals!$E$2:$E$50,MATCH($C2,Rituals!$A$2:$A$50,0)),""),IFERROR(INDEX(Channels!$F$2:$F$50,MATCH($C2,Channels!$A$2:$A$50,0)),"")))</f>
        <v>weekly</v>
      </c>
      <c r="G2" s="34" t="n">
        <f aca="false">IF($A2="","",IFERROR(INDEX(Lists!$B$2:$B$8,MATCH($F2,Lists!$A$2:$A$8,0)),99))</f>
        <v>2</v>
      </c>
      <c r="H2" s="34" t="str">
        <f aca="false">IF($A2="","",IF($B2="ritual","sync",IFERROR(INDEX(Channels!$D$2:$D$50,MATCH($C2,Channels!$A$2:$A$50,0)),"")))</f>
        <v>sync</v>
      </c>
      <c r="I2" s="34" t="str">
        <f aca="false">IF($A2="","",IFERROR(INDEX(Flows!$B$2:$B$400,MATCH($A2,Flows!$A$2:$A$400,0)),""))</f>
        <v>actual</v>
      </c>
      <c r="J2" s="34" t="str">
        <f aca="false">IF($A2="","",IFERROR(INDEX(Flows!$C$2:$C$400,MATCH($A2,Flows!$A$2:$A$400,0)),""))</f>
        <v>T1</v>
      </c>
      <c r="K2" s="34" t="str">
        <f aca="false">IF($A2="","",IFERROR(INDEX(Flows!$E$2:$E$400,MATCH($A2,Flows!$A$2:$A$400,0)),""))</f>
        <v>A2</v>
      </c>
      <c r="L2" s="34" t="str">
        <f aca="false">IF($A2="","",IFERROR(INDEX(Flows!$I$2:$I$400,MATCH($A2,Flows!$A$2:$A$400,0)),""))</f>
        <v>confirmed</v>
      </c>
      <c r="M2" s="34" t="n">
        <f aca="false">IF($A2="","",IF(AND($I2="actual",$L2&lt;&gt;"disputed"),1,0))</f>
        <v>1</v>
      </c>
      <c r="N2" s="34" t="n">
        <f aca="false">IF($A2="","",IF($M2=1,IF(COUNTIFS(Flows!$B$2:$B$400,"required",Flows!$C$2:$C$400,$J2,Flows!$E$2:$E$400,$K2)&gt;0,1,0),0))</f>
        <v>1</v>
      </c>
      <c r="O2" s="34" t="str">
        <f aca="false">IF($A2="","",IFERROR(INDEX(Topics!$C$2:$C$100,MATCH($J2,Topics!$A$2:$A$100,0)),""))</f>
        <v>G1</v>
      </c>
      <c r="P2" s="34" t="str">
        <f aca="false">IF($A2="","",IF($B2="ritual","ephemeral",IFERROR(INDEX(Channels!$E$2:$E$50,MATCH($C2,Channels!$A$2:$A$50,0)),"")))</f>
        <v>ephemeral</v>
      </c>
    </row>
    <row r="3" customFormat="false" ht="15" hidden="false" customHeight="true" outlineLevel="0" collapsed="false">
      <c r="A3" s="31" t="s">
        <v>394</v>
      </c>
      <c r="B3" s="31" t="s">
        <v>39</v>
      </c>
      <c r="C3" s="31" t="s">
        <v>214</v>
      </c>
      <c r="D3" s="31" t="s">
        <v>445</v>
      </c>
      <c r="E3" s="34" t="str">
        <f aca="false">IF($A3="","",IF($B3="ritual",IFERROR(INDEX(Rituals!$B$2:$B$50,MATCH($C3,Rituals!$A$2:$A$50,0)),"?"),IFERROR(INDEX(Channels!$B$2:$B$50,MATCH($C3,Channels!$A$2:$A$50,0)),"?")))</f>
        <v>Quality dashboard</v>
      </c>
      <c r="F3" s="34" t="str">
        <f aca="false">IF($A3="","",IF($B3="ritual",IFERROR(INDEX(Rituals!$E$2:$E$50,MATCH($C3,Rituals!$A$2:$A$50,0)),""),IFERROR(INDEX(Channels!$F$2:$F$50,MATCH($C3,Channels!$A$2:$A$50,0)),"")))</f>
        <v>daily</v>
      </c>
      <c r="G3" s="34" t="n">
        <f aca="false">IF($A3="","",IFERROR(INDEX(Lists!$B$2:$B$8,MATCH($F3,Lists!$A$2:$A$8,0)),99))</f>
        <v>1</v>
      </c>
      <c r="H3" s="34" t="str">
        <f aca="false">IF($A3="","",IF($B3="ritual","sync",IFERROR(INDEX(Channels!$D$2:$D$50,MATCH($C3,Channels!$A$2:$A$50,0)),"")))</f>
        <v>async</v>
      </c>
      <c r="I3" s="34" t="str">
        <f aca="false">IF($A3="","",IFERROR(INDEX(Flows!$B$2:$B$400,MATCH($A3,Flows!$A$2:$A$400,0)),""))</f>
        <v>actual</v>
      </c>
      <c r="J3" s="34" t="str">
        <f aca="false">IF($A3="","",IFERROR(INDEX(Flows!$C$2:$C$400,MATCH($A3,Flows!$A$2:$A$400,0)),""))</f>
        <v>T1</v>
      </c>
      <c r="K3" s="34" t="str">
        <f aca="false">IF($A3="","",IFERROR(INDEX(Flows!$E$2:$E$400,MATCH($A3,Flows!$A$2:$A$400,0)),""))</f>
        <v>A2</v>
      </c>
      <c r="L3" s="34" t="str">
        <f aca="false">IF($A3="","",IFERROR(INDEX(Flows!$I$2:$I$400,MATCH($A3,Flows!$A$2:$A$400,0)),""))</f>
        <v>confirmed</v>
      </c>
      <c r="M3" s="34" t="n">
        <f aca="false">IF($A3="","",IF(AND($I3="actual",$L3&lt;&gt;"disputed"),1,0))</f>
        <v>1</v>
      </c>
      <c r="N3" s="34" t="n">
        <f aca="false">IF($A3="","",IF($M3=1,IF(COUNTIFS(Flows!$B$2:$B$400,"required",Flows!$C$2:$C$400,$J3,Flows!$E$2:$E$400,$K3)&gt;0,1,0),0))</f>
        <v>1</v>
      </c>
      <c r="O3" s="34" t="str">
        <f aca="false">IF($A3="","",IFERROR(INDEX(Topics!$C$2:$C$100,MATCH($J3,Topics!$A$2:$A$100,0)),""))</f>
        <v>G1</v>
      </c>
      <c r="P3" s="34" t="str">
        <f aca="false">IF($A3="","",IF($B3="ritual","ephemeral",IFERROR(INDEX(Channels!$E$2:$E$50,MATCH($C3,Channels!$A$2:$A$50,0)),"")))</f>
        <v>system_of_record</v>
      </c>
    </row>
    <row r="4" customFormat="false" ht="15" hidden="false" customHeight="true" outlineLevel="0" collapsed="false">
      <c r="A4" s="31" t="s">
        <v>398</v>
      </c>
      <c r="B4" s="31" t="s">
        <v>443</v>
      </c>
      <c r="C4" s="31" t="s">
        <v>261</v>
      </c>
      <c r="D4" s="31" t="s">
        <v>444</v>
      </c>
      <c r="E4" s="34" t="str">
        <f aca="false">IF($A4="","",IF($B4="ritual",IFERROR(INDEX(Rituals!$B$2:$B$50,MATCH($C4,Rituals!$A$2:$A$50,0)),"?"),IFERROR(INDEX(Channels!$B$2:$B$50,MATCH($C4,Channels!$A$2:$A$50,0)),"?")))</f>
        <v>Weekly Supplier Quality Review</v>
      </c>
      <c r="F4" s="34" t="str">
        <f aca="false">IF($A4="","",IF($B4="ritual",IFERROR(INDEX(Rituals!$E$2:$E$50,MATCH($C4,Rituals!$A$2:$A$50,0)),""),IFERROR(INDEX(Channels!$F$2:$F$50,MATCH($C4,Channels!$A$2:$A$50,0)),"")))</f>
        <v>weekly</v>
      </c>
      <c r="G4" s="34" t="n">
        <f aca="false">IF($A4="","",IFERROR(INDEX(Lists!$B$2:$B$8,MATCH($F4,Lists!$A$2:$A$8,0)),99))</f>
        <v>2</v>
      </c>
      <c r="H4" s="34" t="str">
        <f aca="false">IF($A4="","",IF($B4="ritual","sync",IFERROR(INDEX(Channels!$D$2:$D$50,MATCH($C4,Channels!$A$2:$A$50,0)),"")))</f>
        <v>sync</v>
      </c>
      <c r="I4" s="34" t="str">
        <f aca="false">IF($A4="","",IFERROR(INDEX(Flows!$B$2:$B$400,MATCH($A4,Flows!$A$2:$A$400,0)),""))</f>
        <v>actual</v>
      </c>
      <c r="J4" s="34" t="str">
        <f aca="false">IF($A4="","",IFERROR(INDEX(Flows!$C$2:$C$400,MATCH($A4,Flows!$A$2:$A$400,0)),""))</f>
        <v>T1</v>
      </c>
      <c r="K4" s="34" t="str">
        <f aca="false">IF($A4="","",IFERROR(INDEX(Flows!$E$2:$E$400,MATCH($A4,Flows!$A$2:$A$400,0)),""))</f>
        <v>A1</v>
      </c>
      <c r="L4" s="34" t="str">
        <f aca="false">IF($A4="","",IFERROR(INDEX(Flows!$I$2:$I$400,MATCH($A4,Flows!$A$2:$A$400,0)),""))</f>
        <v>confirmed</v>
      </c>
      <c r="M4" s="34" t="n">
        <f aca="false">IF($A4="","",IF(AND($I4="actual",$L4&lt;&gt;"disputed"),1,0))</f>
        <v>1</v>
      </c>
      <c r="N4" s="34" t="n">
        <f aca="false">IF($A4="","",IF($M4=1,IF(COUNTIFS(Flows!$B$2:$B$400,"required",Flows!$C$2:$C$400,$J4,Flows!$E$2:$E$400,$K4)&gt;0,1,0),0))</f>
        <v>1</v>
      </c>
      <c r="O4" s="34" t="str">
        <f aca="false">IF($A4="","",IFERROR(INDEX(Topics!$C$2:$C$100,MATCH($J4,Topics!$A$2:$A$100,0)),""))</f>
        <v>G1</v>
      </c>
      <c r="P4" s="34" t="str">
        <f aca="false">IF($A4="","",IF($B4="ritual","ephemeral",IFERROR(INDEX(Channels!$E$2:$E$50,MATCH($C4,Channels!$A$2:$A$50,0)),"")))</f>
        <v>ephemeral</v>
      </c>
    </row>
    <row r="5" customFormat="false" ht="15" hidden="false" customHeight="true" outlineLevel="0" collapsed="false">
      <c r="A5" s="31" t="s">
        <v>400</v>
      </c>
      <c r="B5" s="31" t="s">
        <v>443</v>
      </c>
      <c r="C5" s="31" t="s">
        <v>253</v>
      </c>
      <c r="D5" s="31" t="s">
        <v>444</v>
      </c>
      <c r="E5" s="34" t="str">
        <f aca="false">IF($A5="","",IF($B5="ritual",IFERROR(INDEX(Rituals!$B$2:$B$50,MATCH($C5,Rituals!$A$2:$A$50,0)),"?"),IFERROR(INDEX(Channels!$B$2:$B$50,MATCH($C5,Channels!$A$2:$A$50,0)),"?")))</f>
        <v>Daily Production Standup</v>
      </c>
      <c r="F5" s="34" t="str">
        <f aca="false">IF($A5="","",IF($B5="ritual",IFERROR(INDEX(Rituals!$E$2:$E$50,MATCH($C5,Rituals!$A$2:$A$50,0)),""),IFERROR(INDEX(Channels!$F$2:$F$50,MATCH($C5,Channels!$A$2:$A$50,0)),"")))</f>
        <v>daily</v>
      </c>
      <c r="G5" s="34" t="n">
        <f aca="false">IF($A5="","",IFERROR(INDEX(Lists!$B$2:$B$8,MATCH($F5,Lists!$A$2:$A$8,0)),99))</f>
        <v>1</v>
      </c>
      <c r="H5" s="34" t="str">
        <f aca="false">IF($A5="","",IF($B5="ritual","sync",IFERROR(INDEX(Channels!$D$2:$D$50,MATCH($C5,Channels!$A$2:$A$50,0)),"")))</f>
        <v>sync</v>
      </c>
      <c r="I5" s="34" t="str">
        <f aca="false">IF($A5="","",IFERROR(INDEX(Flows!$B$2:$B$400,MATCH($A5,Flows!$A$2:$A$400,0)),""))</f>
        <v>actual</v>
      </c>
      <c r="J5" s="34" t="str">
        <f aca="false">IF($A5="","",IFERROR(INDEX(Flows!$C$2:$C$400,MATCH($A5,Flows!$A$2:$A$400,0)),""))</f>
        <v>T9</v>
      </c>
      <c r="K5" s="34" t="str">
        <f aca="false">IF($A5="","",IFERROR(INDEX(Flows!$E$2:$E$400,MATCH($A5,Flows!$A$2:$A$400,0)),""))</f>
        <v>A3</v>
      </c>
      <c r="L5" s="34" t="str">
        <f aca="false">IF($A5="","",IFERROR(INDEX(Flows!$I$2:$I$400,MATCH($A5,Flows!$A$2:$A$400,0)),""))</f>
        <v>confirmed</v>
      </c>
      <c r="M5" s="34" t="n">
        <f aca="false">IF($A5="","",IF(AND($I5="actual",$L5&lt;&gt;"disputed"),1,0))</f>
        <v>1</v>
      </c>
      <c r="N5" s="34" t="n">
        <f aca="false">IF($A5="","",IF($M5=1,IF(COUNTIFS(Flows!$B$2:$B$400,"required",Flows!$C$2:$C$400,$J5,Flows!$E$2:$E$400,$K5)&gt;0,1,0),0))</f>
        <v>1</v>
      </c>
      <c r="O5" s="34" t="str">
        <f aca="false">IF($A5="","",IFERROR(INDEX(Topics!$C$2:$C$100,MATCH($J5,Topics!$A$2:$A$100,0)),""))</f>
        <v>G1</v>
      </c>
      <c r="P5" s="34" t="str">
        <f aca="false">IF($A5="","",IF($B5="ritual","ephemeral",IFERROR(INDEX(Channels!$E$2:$E$50,MATCH($C5,Channels!$A$2:$A$50,0)),"")))</f>
        <v>ephemeral</v>
      </c>
    </row>
    <row r="6" customFormat="false" ht="15" hidden="false" customHeight="true" outlineLevel="0" collapsed="false">
      <c r="A6" s="31" t="s">
        <v>402</v>
      </c>
      <c r="B6" s="31" t="s">
        <v>443</v>
      </c>
      <c r="C6" s="31" t="s">
        <v>269</v>
      </c>
      <c r="D6" s="31" t="s">
        <v>444</v>
      </c>
      <c r="E6" s="34" t="str">
        <f aca="false">IF($A6="","",IF($B6="ritual",IFERROR(INDEX(Rituals!$B$2:$B$50,MATCH($C6,Rituals!$A$2:$A$50,0)),"?"),IFERROR(INDEX(Channels!$B$2:$B$50,MATCH($C6,Channels!$A$2:$A$50,0)),"?")))</f>
        <v>Monthly Supplier Business Review</v>
      </c>
      <c r="F6" s="34" t="str">
        <f aca="false">IF($A6="","",IF($B6="ritual",IFERROR(INDEX(Rituals!$E$2:$E$50,MATCH($C6,Rituals!$A$2:$A$50,0)),""),IFERROR(INDEX(Channels!$F$2:$F$50,MATCH($C6,Channels!$A$2:$A$50,0)),"")))</f>
        <v>monthly</v>
      </c>
      <c r="G6" s="34" t="n">
        <f aca="false">IF($A6="","",IFERROR(INDEX(Lists!$B$2:$B$8,MATCH($F6,Lists!$A$2:$A$8,0)),99))</f>
        <v>4</v>
      </c>
      <c r="H6" s="34" t="str">
        <f aca="false">IF($A6="","",IF($B6="ritual","sync",IFERROR(INDEX(Channels!$D$2:$D$50,MATCH($C6,Channels!$A$2:$A$50,0)),"")))</f>
        <v>sync</v>
      </c>
      <c r="I6" s="34" t="str">
        <f aca="false">IF($A6="","",IFERROR(INDEX(Flows!$B$2:$B$400,MATCH($A6,Flows!$A$2:$A$400,0)),""))</f>
        <v>actual</v>
      </c>
      <c r="J6" s="34" t="str">
        <f aca="false">IF($A6="","",IFERROR(INDEX(Flows!$C$2:$C$400,MATCH($A6,Flows!$A$2:$A$400,0)),""))</f>
        <v>T5</v>
      </c>
      <c r="K6" s="34" t="str">
        <f aca="false">IF($A6="","",IFERROR(INDEX(Flows!$E$2:$E$400,MATCH($A6,Flows!$A$2:$A$400,0)),""))</f>
        <v>A4</v>
      </c>
      <c r="L6" s="34" t="str">
        <f aca="false">IF($A6="","",IFERROR(INDEX(Flows!$I$2:$I$400,MATCH($A6,Flows!$A$2:$A$400,0)),""))</f>
        <v>confirmed</v>
      </c>
      <c r="M6" s="34" t="n">
        <f aca="false">IF($A6="","",IF(AND($I6="actual",$L6&lt;&gt;"disputed"),1,0))</f>
        <v>1</v>
      </c>
      <c r="N6" s="34" t="n">
        <f aca="false">IF($A6="","",IF($M6=1,IF(COUNTIFS(Flows!$B$2:$B$400,"required",Flows!$C$2:$C$400,$J6,Flows!$E$2:$E$400,$K6)&gt;0,1,0),0))</f>
        <v>1</v>
      </c>
      <c r="O6" s="34" t="str">
        <f aca="false">IF($A6="","",IFERROR(INDEX(Topics!$C$2:$C$100,MATCH($J6,Topics!$A$2:$A$100,0)),""))</f>
        <v>G1</v>
      </c>
      <c r="P6" s="34" t="str">
        <f aca="false">IF($A6="","",IF($B6="ritual","ephemeral",IFERROR(INDEX(Channels!$E$2:$E$50,MATCH($C6,Channels!$A$2:$A$50,0)),"")))</f>
        <v>ephemeral</v>
      </c>
    </row>
    <row r="7" customFormat="false" ht="15" hidden="false" customHeight="true" outlineLevel="0" collapsed="false">
      <c r="A7" s="31" t="s">
        <v>404</v>
      </c>
      <c r="B7" s="31" t="s">
        <v>443</v>
      </c>
      <c r="C7" s="31" t="s">
        <v>269</v>
      </c>
      <c r="D7" s="31" t="s">
        <v>444</v>
      </c>
      <c r="E7" s="34" t="str">
        <f aca="false">IF($A7="","",IF($B7="ritual",IFERROR(INDEX(Rituals!$B$2:$B$50,MATCH($C7,Rituals!$A$2:$A$50,0)),"?"),IFERROR(INDEX(Channels!$B$2:$B$50,MATCH($C7,Channels!$A$2:$A$50,0)),"?")))</f>
        <v>Monthly Supplier Business Review</v>
      </c>
      <c r="F7" s="34" t="str">
        <f aca="false">IF($A7="","",IF($B7="ritual",IFERROR(INDEX(Rituals!$E$2:$E$50,MATCH($C7,Rituals!$A$2:$A$50,0)),""),IFERROR(INDEX(Channels!$F$2:$F$50,MATCH($C7,Channels!$A$2:$A$50,0)),"")))</f>
        <v>monthly</v>
      </c>
      <c r="G7" s="34" t="n">
        <f aca="false">IF($A7="","",IFERROR(INDEX(Lists!$B$2:$B$8,MATCH($F7,Lists!$A$2:$A$8,0)),99))</f>
        <v>4</v>
      </c>
      <c r="H7" s="34" t="str">
        <f aca="false">IF($A7="","",IF($B7="ritual","sync",IFERROR(INDEX(Channels!$D$2:$D$50,MATCH($C7,Channels!$A$2:$A$50,0)),"")))</f>
        <v>sync</v>
      </c>
      <c r="I7" s="34" t="str">
        <f aca="false">IF($A7="","",IFERROR(INDEX(Flows!$B$2:$B$400,MATCH($A7,Flows!$A$2:$A$400,0)),""))</f>
        <v>actual</v>
      </c>
      <c r="J7" s="34" t="str">
        <f aca="false">IF($A7="","",IFERROR(INDEX(Flows!$C$2:$C$400,MATCH($A7,Flows!$A$2:$A$400,0)),""))</f>
        <v>T5</v>
      </c>
      <c r="K7" s="34" t="str">
        <f aca="false">IF($A7="","",IFERROR(INDEX(Flows!$E$2:$E$400,MATCH($A7,Flows!$A$2:$A$400,0)),""))</f>
        <v>A9</v>
      </c>
      <c r="L7" s="34" t="str">
        <f aca="false">IF($A7="","",IFERROR(INDEX(Flows!$I$2:$I$400,MATCH($A7,Flows!$A$2:$A$400,0)),""))</f>
        <v>confirmed</v>
      </c>
      <c r="M7" s="34" t="n">
        <f aca="false">IF($A7="","",IF(AND($I7="actual",$L7&lt;&gt;"disputed"),1,0))</f>
        <v>1</v>
      </c>
      <c r="N7" s="34" t="n">
        <f aca="false">IF($A7="","",IF($M7=1,IF(COUNTIFS(Flows!$B$2:$B$400,"required",Flows!$C$2:$C$400,$J7,Flows!$E$2:$E$400,$K7)&gt;0,1,0),0))</f>
        <v>1</v>
      </c>
      <c r="O7" s="34" t="str">
        <f aca="false">IF($A7="","",IFERROR(INDEX(Topics!$C$2:$C$100,MATCH($J7,Topics!$A$2:$A$100,0)),""))</f>
        <v>G1</v>
      </c>
      <c r="P7" s="34" t="str">
        <f aca="false">IF($A7="","",IF($B7="ritual","ephemeral",IFERROR(INDEX(Channels!$E$2:$E$50,MATCH($C7,Channels!$A$2:$A$50,0)),"")))</f>
        <v>ephemeral</v>
      </c>
    </row>
    <row r="8" customFormat="false" ht="15" hidden="false" customHeight="true" outlineLevel="0" collapsed="false">
      <c r="A8" s="31" t="s">
        <v>405</v>
      </c>
      <c r="B8" s="31" t="s">
        <v>443</v>
      </c>
      <c r="C8" s="31" t="s">
        <v>261</v>
      </c>
      <c r="D8" s="31" t="s">
        <v>444</v>
      </c>
      <c r="E8" s="34" t="str">
        <f aca="false">IF($A8="","",IF($B8="ritual",IFERROR(INDEX(Rituals!$B$2:$B$50,MATCH($C8,Rituals!$A$2:$A$50,0)),"?"),IFERROR(INDEX(Channels!$B$2:$B$50,MATCH($C8,Channels!$A$2:$A$50,0)),"?")))</f>
        <v>Weekly Supplier Quality Review</v>
      </c>
      <c r="F8" s="34" t="str">
        <f aca="false">IF($A8="","",IF($B8="ritual",IFERROR(INDEX(Rituals!$E$2:$E$50,MATCH($C8,Rituals!$A$2:$A$50,0)),""),IFERROR(INDEX(Channels!$F$2:$F$50,MATCH($C8,Channels!$A$2:$A$50,0)),"")))</f>
        <v>weekly</v>
      </c>
      <c r="G8" s="34" t="n">
        <f aca="false">IF($A8="","",IFERROR(INDEX(Lists!$B$2:$B$8,MATCH($F8,Lists!$A$2:$A$8,0)),99))</f>
        <v>2</v>
      </c>
      <c r="H8" s="34" t="str">
        <f aca="false">IF($A8="","",IF($B8="ritual","sync",IFERROR(INDEX(Channels!$D$2:$D$50,MATCH($C8,Channels!$A$2:$A$50,0)),"")))</f>
        <v>sync</v>
      </c>
      <c r="I8" s="34" t="str">
        <f aca="false">IF($A8="","",IFERROR(INDEX(Flows!$B$2:$B$400,MATCH($A8,Flows!$A$2:$A$400,0)),""))</f>
        <v>actual</v>
      </c>
      <c r="J8" s="34" t="str">
        <f aca="false">IF($A8="","",IFERROR(INDEX(Flows!$C$2:$C$400,MATCH($A8,Flows!$A$2:$A$400,0)),""))</f>
        <v>T2</v>
      </c>
      <c r="K8" s="34" t="str">
        <f aca="false">IF($A8="","",IFERROR(INDEX(Flows!$E$2:$E$400,MATCH($A8,Flows!$A$2:$A$400,0)),""))</f>
        <v>A2</v>
      </c>
      <c r="L8" s="34" t="str">
        <f aca="false">IF($A8="","",IFERROR(INDEX(Flows!$I$2:$I$400,MATCH($A8,Flows!$A$2:$A$400,0)),""))</f>
        <v>confirmed</v>
      </c>
      <c r="M8" s="34" t="n">
        <f aca="false">IF($A8="","",IF(AND($I8="actual",$L8&lt;&gt;"disputed"),1,0))</f>
        <v>1</v>
      </c>
      <c r="N8" s="34" t="n">
        <f aca="false">IF($A8="","",IF($M8=1,IF(COUNTIFS(Flows!$B$2:$B$400,"required",Flows!$C$2:$C$400,$J8,Flows!$E$2:$E$400,$K8)&gt;0,1,0),0))</f>
        <v>1</v>
      </c>
      <c r="O8" s="34" t="str">
        <f aca="false">IF($A8="","",IFERROR(INDEX(Topics!$C$2:$C$100,MATCH($J8,Topics!$A$2:$A$100,0)),""))</f>
        <v>G2</v>
      </c>
      <c r="P8" s="34" t="str">
        <f aca="false">IF($A8="","",IF($B8="ritual","ephemeral",IFERROR(INDEX(Channels!$E$2:$E$50,MATCH($C8,Channels!$A$2:$A$50,0)),"")))</f>
        <v>ephemeral</v>
      </c>
    </row>
    <row r="9" customFormat="false" ht="15" hidden="false" customHeight="true" outlineLevel="0" collapsed="false">
      <c r="A9" s="31" t="s">
        <v>405</v>
      </c>
      <c r="B9" s="31" t="s">
        <v>443</v>
      </c>
      <c r="C9" s="31" t="s">
        <v>278</v>
      </c>
      <c r="D9" s="31" t="s">
        <v>444</v>
      </c>
      <c r="E9" s="34" t="str">
        <f aca="false">IF($A9="","",IF($B9="ritual",IFERROR(INDEX(Rituals!$B$2:$B$50,MATCH($C9,Rituals!$A$2:$A$50,0)),"?"),IFERROR(INDEX(Channels!$B$2:$B$50,MATCH($C9,Channels!$A$2:$A$50,0)),"?")))</f>
        <v>NCR Triage</v>
      </c>
      <c r="F9" s="34" t="str">
        <f aca="false">IF($A9="","",IF($B9="ritual",IFERROR(INDEX(Rituals!$E$2:$E$50,MATCH($C9,Rituals!$A$2:$A$50,0)),""),IFERROR(INDEX(Channels!$F$2:$F$50,MATCH($C9,Channels!$A$2:$A$50,0)),"")))</f>
        <v>weekly</v>
      </c>
      <c r="G9" s="34" t="n">
        <f aca="false">IF($A9="","",IFERROR(INDEX(Lists!$B$2:$B$8,MATCH($F9,Lists!$A$2:$A$8,0)),99))</f>
        <v>2</v>
      </c>
      <c r="H9" s="34" t="str">
        <f aca="false">IF($A9="","",IF($B9="ritual","sync",IFERROR(INDEX(Channels!$D$2:$D$50,MATCH($C9,Channels!$A$2:$A$50,0)),"")))</f>
        <v>sync</v>
      </c>
      <c r="I9" s="34" t="str">
        <f aca="false">IF($A9="","",IFERROR(INDEX(Flows!$B$2:$B$400,MATCH($A9,Flows!$A$2:$A$400,0)),""))</f>
        <v>actual</v>
      </c>
      <c r="J9" s="34" t="str">
        <f aca="false">IF($A9="","",IFERROR(INDEX(Flows!$C$2:$C$400,MATCH($A9,Flows!$A$2:$A$400,0)),""))</f>
        <v>T2</v>
      </c>
      <c r="K9" s="34" t="str">
        <f aca="false">IF($A9="","",IFERROR(INDEX(Flows!$E$2:$E$400,MATCH($A9,Flows!$A$2:$A$400,0)),""))</f>
        <v>A2</v>
      </c>
      <c r="L9" s="34" t="str">
        <f aca="false">IF($A9="","",IFERROR(INDEX(Flows!$I$2:$I$400,MATCH($A9,Flows!$A$2:$A$400,0)),""))</f>
        <v>confirmed</v>
      </c>
      <c r="M9" s="34" t="n">
        <f aca="false">IF($A9="","",IF(AND($I9="actual",$L9&lt;&gt;"disputed"),1,0))</f>
        <v>1</v>
      </c>
      <c r="N9" s="34" t="n">
        <f aca="false">IF($A9="","",IF($M9=1,IF(COUNTIFS(Flows!$B$2:$B$400,"required",Flows!$C$2:$C$400,$J9,Flows!$E$2:$E$400,$K9)&gt;0,1,0),0))</f>
        <v>1</v>
      </c>
      <c r="O9" s="34" t="str">
        <f aca="false">IF($A9="","",IFERROR(INDEX(Topics!$C$2:$C$100,MATCH($J9,Topics!$A$2:$A$100,0)),""))</f>
        <v>G2</v>
      </c>
      <c r="P9" s="34" t="str">
        <f aca="false">IF($A9="","",IF($B9="ritual","ephemeral",IFERROR(INDEX(Channels!$E$2:$E$50,MATCH($C9,Channels!$A$2:$A$50,0)),"")))</f>
        <v>ephemeral</v>
      </c>
    </row>
    <row r="10" customFormat="false" ht="15" hidden="false" customHeight="true" outlineLevel="0" collapsed="false">
      <c r="A10" s="31" t="s">
        <v>405</v>
      </c>
      <c r="B10" s="31" t="s">
        <v>39</v>
      </c>
      <c r="C10" s="31" t="s">
        <v>200</v>
      </c>
      <c r="D10" s="31" t="s">
        <v>444</v>
      </c>
      <c r="E10" s="34" t="str">
        <f aca="false">IF($A10="","",IF($B10="ritual",IFERROR(INDEX(Rituals!$B$2:$B$50,MATCH($C10,Rituals!$A$2:$A$50,0)),"?"),IFERROR(INDEX(Channels!$B$2:$B$50,MATCH($C10,Channels!$A$2:$A$50,0)),"?")))</f>
        <v>Email</v>
      </c>
      <c r="F10" s="34" t="str">
        <f aca="false">IF($A10="","",IF($B10="ritual",IFERROR(INDEX(Rituals!$E$2:$E$50,MATCH($C10,Rituals!$A$2:$A$50,0)),""),IFERROR(INDEX(Channels!$F$2:$F$50,MATCH($C10,Channels!$A$2:$A$50,0)),"")))</f>
        <v>continuous</v>
      </c>
      <c r="G10" s="34" t="n">
        <f aca="false">IF($A10="","",IFERROR(INDEX(Lists!$B$2:$B$8,MATCH($F10,Lists!$A$2:$A$8,0)),99))</f>
        <v>0</v>
      </c>
      <c r="H10" s="34" t="str">
        <f aca="false">IF($A10="","",IF($B10="ritual","sync",IFERROR(INDEX(Channels!$D$2:$D$50,MATCH($C10,Channels!$A$2:$A$50,0)),"")))</f>
        <v>async</v>
      </c>
      <c r="I10" s="34" t="str">
        <f aca="false">IF($A10="","",IFERROR(INDEX(Flows!$B$2:$B$400,MATCH($A10,Flows!$A$2:$A$400,0)),""))</f>
        <v>actual</v>
      </c>
      <c r="J10" s="34" t="str">
        <f aca="false">IF($A10="","",IFERROR(INDEX(Flows!$C$2:$C$400,MATCH($A10,Flows!$A$2:$A$400,0)),""))</f>
        <v>T2</v>
      </c>
      <c r="K10" s="34" t="str">
        <f aca="false">IF($A10="","",IFERROR(INDEX(Flows!$E$2:$E$400,MATCH($A10,Flows!$A$2:$A$400,0)),""))</f>
        <v>A2</v>
      </c>
      <c r="L10" s="34" t="str">
        <f aca="false">IF($A10="","",IFERROR(INDEX(Flows!$I$2:$I$400,MATCH($A10,Flows!$A$2:$A$400,0)),""))</f>
        <v>confirmed</v>
      </c>
      <c r="M10" s="34" t="n">
        <f aca="false">IF($A10="","",IF(AND($I10="actual",$L10&lt;&gt;"disputed"),1,0))</f>
        <v>1</v>
      </c>
      <c r="N10" s="34" t="n">
        <f aca="false">IF($A10="","",IF($M10=1,IF(COUNTIFS(Flows!$B$2:$B$400,"required",Flows!$C$2:$C$400,$J10,Flows!$E$2:$E$400,$K10)&gt;0,1,0),0))</f>
        <v>1</v>
      </c>
      <c r="O10" s="34" t="str">
        <f aca="false">IF($A10="","",IFERROR(INDEX(Topics!$C$2:$C$100,MATCH($J10,Topics!$A$2:$A$100,0)),""))</f>
        <v>G2</v>
      </c>
      <c r="P10" s="34" t="str">
        <f aca="false">IF($A10="","",IF($B10="ritual","ephemeral",IFERROR(INDEX(Channels!$E$2:$E$50,MATCH($C10,Channels!$A$2:$A$50,0)),"")))</f>
        <v>searchable</v>
      </c>
    </row>
    <row r="11" customFormat="false" ht="15" hidden="false" customHeight="true" outlineLevel="0" collapsed="false">
      <c r="A11" s="31" t="s">
        <v>407</v>
      </c>
      <c r="B11" s="31" t="s">
        <v>443</v>
      </c>
      <c r="C11" s="31" t="s">
        <v>269</v>
      </c>
      <c r="D11" s="31" t="s">
        <v>444</v>
      </c>
      <c r="E11" s="34" t="str">
        <f aca="false">IF($A11="","",IF($B11="ritual",IFERROR(INDEX(Rituals!$B$2:$B$50,MATCH($C11,Rituals!$A$2:$A$50,0)),"?"),IFERROR(INDEX(Channels!$B$2:$B$50,MATCH($C11,Channels!$A$2:$A$50,0)),"?")))</f>
        <v>Monthly Supplier Business Review</v>
      </c>
      <c r="F11" s="34" t="str">
        <f aca="false">IF($A11="","",IF($B11="ritual",IFERROR(INDEX(Rituals!$E$2:$E$50,MATCH($C11,Rituals!$A$2:$A$50,0)),""),IFERROR(INDEX(Channels!$F$2:$F$50,MATCH($C11,Channels!$A$2:$A$50,0)),"")))</f>
        <v>monthly</v>
      </c>
      <c r="G11" s="34" t="n">
        <f aca="false">IF($A11="","",IFERROR(INDEX(Lists!$B$2:$B$8,MATCH($F11,Lists!$A$2:$A$8,0)),99))</f>
        <v>4</v>
      </c>
      <c r="H11" s="34" t="str">
        <f aca="false">IF($A11="","",IF($B11="ritual","sync",IFERROR(INDEX(Channels!$D$2:$D$50,MATCH($C11,Channels!$A$2:$A$50,0)),"")))</f>
        <v>sync</v>
      </c>
      <c r="I11" s="34" t="str">
        <f aca="false">IF($A11="","",IFERROR(INDEX(Flows!$B$2:$B$400,MATCH($A11,Flows!$A$2:$A$400,0)),""))</f>
        <v>actual</v>
      </c>
      <c r="J11" s="34" t="str">
        <f aca="false">IF($A11="","",IFERROR(INDEX(Flows!$C$2:$C$400,MATCH($A11,Flows!$A$2:$A$400,0)),""))</f>
        <v>T2</v>
      </c>
      <c r="K11" s="34" t="str">
        <f aca="false">IF($A11="","",IFERROR(INDEX(Flows!$E$2:$E$400,MATCH($A11,Flows!$A$2:$A$400,0)),""))</f>
        <v>A4</v>
      </c>
      <c r="L11" s="34" t="str">
        <f aca="false">IF($A11="","",IFERROR(INDEX(Flows!$I$2:$I$400,MATCH($A11,Flows!$A$2:$A$400,0)),""))</f>
        <v>confirmed</v>
      </c>
      <c r="M11" s="34" t="n">
        <f aca="false">IF($A11="","",IF(AND($I11="actual",$L11&lt;&gt;"disputed"),1,0))</f>
        <v>1</v>
      </c>
      <c r="N11" s="34" t="n">
        <f aca="false">IF($A11="","",IF($M11=1,IF(COUNTIFS(Flows!$B$2:$B$400,"required",Flows!$C$2:$C$400,$J11,Flows!$E$2:$E$400,$K11)&gt;0,1,0),0))</f>
        <v>1</v>
      </c>
      <c r="O11" s="34" t="str">
        <f aca="false">IF($A11="","",IFERROR(INDEX(Topics!$C$2:$C$100,MATCH($J11,Topics!$A$2:$A$100,0)),""))</f>
        <v>G2</v>
      </c>
      <c r="P11" s="34" t="str">
        <f aca="false">IF($A11="","",IF($B11="ritual","ephemeral",IFERROR(INDEX(Channels!$E$2:$E$50,MATCH($C11,Channels!$A$2:$A$50,0)),"")))</f>
        <v>ephemeral</v>
      </c>
    </row>
    <row r="12" customFormat="false" ht="15" hidden="false" customHeight="true" outlineLevel="0" collapsed="false">
      <c r="A12" s="31" t="s">
        <v>409</v>
      </c>
      <c r="B12" s="31" t="s">
        <v>39</v>
      </c>
      <c r="C12" s="31" t="s">
        <v>200</v>
      </c>
      <c r="D12" s="31" t="s">
        <v>444</v>
      </c>
      <c r="E12" s="34" t="str">
        <f aca="false">IF($A12="","",IF($B12="ritual",IFERROR(INDEX(Rituals!$B$2:$B$50,MATCH($C12,Rituals!$A$2:$A$50,0)),"?"),IFERROR(INDEX(Channels!$B$2:$B$50,MATCH($C12,Channels!$A$2:$A$50,0)),"?")))</f>
        <v>Email</v>
      </c>
      <c r="F12" s="34" t="str">
        <f aca="false">IF($A12="","",IF($B12="ritual",IFERROR(INDEX(Rituals!$E$2:$E$50,MATCH($C12,Rituals!$A$2:$A$50,0)),""),IFERROR(INDEX(Channels!$F$2:$F$50,MATCH($C12,Channels!$A$2:$A$50,0)),"")))</f>
        <v>continuous</v>
      </c>
      <c r="G12" s="34" t="n">
        <f aca="false">IF($A12="","",IFERROR(INDEX(Lists!$B$2:$B$8,MATCH($F12,Lists!$A$2:$A$8,0)),99))</f>
        <v>0</v>
      </c>
      <c r="H12" s="34" t="str">
        <f aca="false">IF($A12="","",IF($B12="ritual","sync",IFERROR(INDEX(Channels!$D$2:$D$50,MATCH($C12,Channels!$A$2:$A$50,0)),"")))</f>
        <v>async</v>
      </c>
      <c r="I12" s="34" t="str">
        <f aca="false">IF($A12="","",IFERROR(INDEX(Flows!$B$2:$B$400,MATCH($A12,Flows!$A$2:$A$400,0)),""))</f>
        <v>actual</v>
      </c>
      <c r="J12" s="34" t="str">
        <f aca="false">IF($A12="","",IFERROR(INDEX(Flows!$C$2:$C$400,MATCH($A12,Flows!$A$2:$A$400,0)),""))</f>
        <v>T3</v>
      </c>
      <c r="K12" s="34" t="str">
        <f aca="false">IF($A12="","",IFERROR(INDEX(Flows!$E$2:$E$400,MATCH($A12,Flows!$A$2:$A$400,0)),""))</f>
        <v>A2</v>
      </c>
      <c r="L12" s="34" t="str">
        <f aca="false">IF($A12="","",IFERROR(INDEX(Flows!$I$2:$I$400,MATCH($A12,Flows!$A$2:$A$400,0)),""))</f>
        <v>claimed</v>
      </c>
      <c r="M12" s="34" t="n">
        <f aca="false">IF($A12="","",IF(AND($I12="actual",$L12&lt;&gt;"disputed"),1,0))</f>
        <v>1</v>
      </c>
      <c r="N12" s="34" t="n">
        <f aca="false">IF($A12="","",IF($M12=1,IF(COUNTIFS(Flows!$B$2:$B$400,"required",Flows!$C$2:$C$400,$J12,Flows!$E$2:$E$400,$K12)&gt;0,1,0),0))</f>
        <v>1</v>
      </c>
      <c r="O12" s="34" t="str">
        <f aca="false">IF($A12="","",IFERROR(INDEX(Topics!$C$2:$C$100,MATCH($J12,Topics!$A$2:$A$100,0)),""))</f>
        <v>G2</v>
      </c>
      <c r="P12" s="34" t="str">
        <f aca="false">IF($A12="","",IF($B12="ritual","ephemeral",IFERROR(INDEX(Channels!$E$2:$E$50,MATCH($C12,Channels!$A$2:$A$50,0)),"")))</f>
        <v>searchable</v>
      </c>
    </row>
    <row r="13" customFormat="false" ht="15" hidden="false" customHeight="true" outlineLevel="0" collapsed="false">
      <c r="A13" s="31" t="s">
        <v>412</v>
      </c>
      <c r="B13" s="31" t="s">
        <v>443</v>
      </c>
      <c r="C13" s="31" t="s">
        <v>261</v>
      </c>
      <c r="D13" s="31" t="s">
        <v>444</v>
      </c>
      <c r="E13" s="34" t="str">
        <f aca="false">IF($A13="","",IF($B13="ritual",IFERROR(INDEX(Rituals!$B$2:$B$50,MATCH($C13,Rituals!$A$2:$A$50,0)),"?"),IFERROR(INDEX(Channels!$B$2:$B$50,MATCH($C13,Channels!$A$2:$A$50,0)),"?")))</f>
        <v>Weekly Supplier Quality Review</v>
      </c>
      <c r="F13" s="34" t="str">
        <f aca="false">IF($A13="","",IF($B13="ritual",IFERROR(INDEX(Rituals!$E$2:$E$50,MATCH($C13,Rituals!$A$2:$A$50,0)),""),IFERROR(INDEX(Channels!$F$2:$F$50,MATCH($C13,Channels!$A$2:$A$50,0)),"")))</f>
        <v>weekly</v>
      </c>
      <c r="G13" s="34" t="n">
        <f aca="false">IF($A13="","",IFERROR(INDEX(Lists!$B$2:$B$8,MATCH($F13,Lists!$A$2:$A$8,0)),99))</f>
        <v>2</v>
      </c>
      <c r="H13" s="34" t="str">
        <f aca="false">IF($A13="","",IF($B13="ritual","sync",IFERROR(INDEX(Channels!$D$2:$D$50,MATCH($C13,Channels!$A$2:$A$50,0)),"")))</f>
        <v>sync</v>
      </c>
      <c r="I13" s="34" t="str">
        <f aca="false">IF($A13="","",IFERROR(INDEX(Flows!$B$2:$B$400,MATCH($A13,Flows!$A$2:$A$400,0)),""))</f>
        <v>actual</v>
      </c>
      <c r="J13" s="34" t="str">
        <f aca="false">IF($A13="","",IFERROR(INDEX(Flows!$C$2:$C$400,MATCH($A13,Flows!$A$2:$A$400,0)),""))</f>
        <v>T8</v>
      </c>
      <c r="K13" s="34" t="str">
        <f aca="false">IF($A13="","",IFERROR(INDEX(Flows!$E$2:$E$400,MATCH($A13,Flows!$A$2:$A$400,0)),""))</f>
        <v>A6</v>
      </c>
      <c r="L13" s="34" t="str">
        <f aca="false">IF($A13="","",IFERROR(INDEX(Flows!$I$2:$I$400,MATCH($A13,Flows!$A$2:$A$400,0)),""))</f>
        <v>confirmed</v>
      </c>
      <c r="M13" s="34" t="n">
        <f aca="false">IF($A13="","",IF(AND($I13="actual",$L13&lt;&gt;"disputed"),1,0))</f>
        <v>1</v>
      </c>
      <c r="N13" s="34" t="n">
        <f aca="false">IF($A13="","",IF($M13=1,IF(COUNTIFS(Flows!$B$2:$B$400,"required",Flows!$C$2:$C$400,$J13,Flows!$E$2:$E$400,$K13)&gt;0,1,0),0))</f>
        <v>1</v>
      </c>
      <c r="O13" s="34" t="str">
        <f aca="false">IF($A13="","",IFERROR(INDEX(Topics!$C$2:$C$100,MATCH($J13,Topics!$A$2:$A$100,0)),""))</f>
        <v>G2</v>
      </c>
      <c r="P13" s="34" t="str">
        <f aca="false">IF($A13="","",IF($B13="ritual","ephemeral",IFERROR(INDEX(Channels!$E$2:$E$50,MATCH($C13,Channels!$A$2:$A$50,0)),"")))</f>
        <v>ephemeral</v>
      </c>
    </row>
    <row r="14" customFormat="false" ht="15" hidden="false" customHeight="true" outlineLevel="0" collapsed="false">
      <c r="A14" s="31" t="s">
        <v>414</v>
      </c>
      <c r="B14" s="31" t="s">
        <v>39</v>
      </c>
      <c r="C14" s="31" t="s">
        <v>206</v>
      </c>
      <c r="D14" s="31" t="s">
        <v>444</v>
      </c>
      <c r="E14" s="34" t="str">
        <f aca="false">IF($A14="","",IF($B14="ritual",IFERROR(INDEX(Rituals!$B$2:$B$50,MATCH($C14,Rituals!$A$2:$A$50,0)),"?"),IFERROR(INDEX(Channels!$B$2:$B$50,MATCH($C14,Channels!$A$2:$A$50,0)),"?")))</f>
        <v>Teams chat</v>
      </c>
      <c r="F14" s="34" t="str">
        <f aca="false">IF($A14="","",IF($B14="ritual",IFERROR(INDEX(Rituals!$E$2:$E$50,MATCH($C14,Rituals!$A$2:$A$50,0)),""),IFERROR(INDEX(Channels!$F$2:$F$50,MATCH($C14,Channels!$A$2:$A$50,0)),"")))</f>
        <v>continuous</v>
      </c>
      <c r="G14" s="34" t="n">
        <f aca="false">IF($A14="","",IFERROR(INDEX(Lists!$B$2:$B$8,MATCH($F14,Lists!$A$2:$A$8,0)),99))</f>
        <v>0</v>
      </c>
      <c r="H14" s="34" t="str">
        <f aca="false">IF($A14="","",IF($B14="ritual","sync",IFERROR(INDEX(Channels!$D$2:$D$50,MATCH($C14,Channels!$A$2:$A$50,0)),"")))</f>
        <v>async</v>
      </c>
      <c r="I14" s="34" t="str">
        <f aca="false">IF($A14="","",IFERROR(INDEX(Flows!$B$2:$B$400,MATCH($A14,Flows!$A$2:$A$400,0)),""))</f>
        <v>actual</v>
      </c>
      <c r="J14" s="34" t="str">
        <f aca="false">IF($A14="","",IFERROR(INDEX(Flows!$C$2:$C$400,MATCH($A14,Flows!$A$2:$A$400,0)),""))</f>
        <v>T8</v>
      </c>
      <c r="K14" s="34" t="str">
        <f aca="false">IF($A14="","",IFERROR(INDEX(Flows!$E$2:$E$400,MATCH($A14,Flows!$A$2:$A$400,0)),""))</f>
        <v>A5</v>
      </c>
      <c r="L14" s="34" t="str">
        <f aca="false">IF($A14="","",IFERROR(INDEX(Flows!$I$2:$I$400,MATCH($A14,Flows!$A$2:$A$400,0)),""))</f>
        <v>confirmed</v>
      </c>
      <c r="M14" s="34" t="n">
        <f aca="false">IF($A14="","",IF(AND($I14="actual",$L14&lt;&gt;"disputed"),1,0))</f>
        <v>1</v>
      </c>
      <c r="N14" s="34" t="n">
        <f aca="false">IF($A14="","",IF($M14=1,IF(COUNTIFS(Flows!$B$2:$B$400,"required",Flows!$C$2:$C$400,$J14,Flows!$E$2:$E$400,$K14)&gt;0,1,0),0))</f>
        <v>1</v>
      </c>
      <c r="O14" s="34" t="str">
        <f aca="false">IF($A14="","",IFERROR(INDEX(Topics!$C$2:$C$100,MATCH($J14,Topics!$A$2:$A$100,0)),""))</f>
        <v>G2</v>
      </c>
      <c r="P14" s="34" t="str">
        <f aca="false">IF($A14="","",IF($B14="ritual","ephemeral",IFERROR(INDEX(Channels!$E$2:$E$50,MATCH($C14,Channels!$A$2:$A$50,0)),"")))</f>
        <v>ephemeral</v>
      </c>
    </row>
    <row r="15" customFormat="false" ht="15" hidden="false" customHeight="true" outlineLevel="0" collapsed="false">
      <c r="A15" s="31" t="s">
        <v>416</v>
      </c>
      <c r="B15" s="31" t="s">
        <v>39</v>
      </c>
      <c r="C15" s="31" t="s">
        <v>200</v>
      </c>
      <c r="D15" s="31" t="s">
        <v>444</v>
      </c>
      <c r="E15" s="34" t="str">
        <f aca="false">IF($A15="","",IF($B15="ritual",IFERROR(INDEX(Rituals!$B$2:$B$50,MATCH($C15,Rituals!$A$2:$A$50,0)),"?"),IFERROR(INDEX(Channels!$B$2:$B$50,MATCH($C15,Channels!$A$2:$A$50,0)),"?")))</f>
        <v>Email</v>
      </c>
      <c r="F15" s="34" t="str">
        <f aca="false">IF($A15="","",IF($B15="ritual",IFERROR(INDEX(Rituals!$E$2:$E$50,MATCH($C15,Rituals!$A$2:$A$50,0)),""),IFERROR(INDEX(Channels!$F$2:$F$50,MATCH($C15,Channels!$A$2:$A$50,0)),"")))</f>
        <v>continuous</v>
      </c>
      <c r="G15" s="34" t="n">
        <f aca="false">IF($A15="","",IFERROR(INDEX(Lists!$B$2:$B$8,MATCH($F15,Lists!$A$2:$A$8,0)),99))</f>
        <v>0</v>
      </c>
      <c r="H15" s="34" t="str">
        <f aca="false">IF($A15="","",IF($B15="ritual","sync",IFERROR(INDEX(Channels!$D$2:$D$50,MATCH($C15,Channels!$A$2:$A$50,0)),"")))</f>
        <v>async</v>
      </c>
      <c r="I15" s="34" t="str">
        <f aca="false">IF($A15="","",IFERROR(INDEX(Flows!$B$2:$B$400,MATCH($A15,Flows!$A$2:$A$400,0)),""))</f>
        <v>actual</v>
      </c>
      <c r="J15" s="34" t="str">
        <f aca="false">IF($A15="","",IFERROR(INDEX(Flows!$C$2:$C$400,MATCH($A15,Flows!$A$2:$A$400,0)),""))</f>
        <v>T6</v>
      </c>
      <c r="K15" s="34" t="str">
        <f aca="false">IF($A15="","",IFERROR(INDEX(Flows!$E$2:$E$400,MATCH($A15,Flows!$A$2:$A$400,0)),""))</f>
        <v>A4</v>
      </c>
      <c r="L15" s="34" t="str">
        <f aca="false">IF($A15="","",IFERROR(INDEX(Flows!$I$2:$I$400,MATCH($A15,Flows!$A$2:$A$400,0)),""))</f>
        <v>confirmed</v>
      </c>
      <c r="M15" s="34" t="n">
        <f aca="false">IF($A15="","",IF(AND($I15="actual",$L15&lt;&gt;"disputed"),1,0))</f>
        <v>1</v>
      </c>
      <c r="N15" s="34" t="n">
        <f aca="false">IF($A15="","",IF($M15=1,IF(COUNTIFS(Flows!$B$2:$B$400,"required",Flows!$C$2:$C$400,$J15,Flows!$E$2:$E$400,$K15)&gt;0,1,0),0))</f>
        <v>1</v>
      </c>
      <c r="O15" s="34" t="str">
        <f aca="false">IF($A15="","",IFERROR(INDEX(Topics!$C$2:$C$100,MATCH($J15,Topics!$A$2:$A$100,0)),""))</f>
        <v>G3</v>
      </c>
      <c r="P15" s="34" t="str">
        <f aca="false">IF($A15="","",IF($B15="ritual","ephemeral",IFERROR(INDEX(Channels!$E$2:$E$50,MATCH($C15,Channels!$A$2:$A$50,0)),"")))</f>
        <v>searchable</v>
      </c>
    </row>
    <row r="16" customFormat="false" ht="15" hidden="false" customHeight="true" outlineLevel="0" collapsed="false">
      <c r="A16" s="31" t="s">
        <v>418</v>
      </c>
      <c r="B16" s="31" t="s">
        <v>443</v>
      </c>
      <c r="C16" s="31" t="s">
        <v>269</v>
      </c>
      <c r="D16" s="31" t="s">
        <v>444</v>
      </c>
      <c r="E16" s="34" t="str">
        <f aca="false">IF($A16="","",IF($B16="ritual",IFERROR(INDEX(Rituals!$B$2:$B$50,MATCH($C16,Rituals!$A$2:$A$50,0)),"?"),IFERROR(INDEX(Channels!$B$2:$B$50,MATCH($C16,Channels!$A$2:$A$50,0)),"?")))</f>
        <v>Monthly Supplier Business Review</v>
      </c>
      <c r="F16" s="34" t="str">
        <f aca="false">IF($A16="","",IF($B16="ritual",IFERROR(INDEX(Rituals!$E$2:$E$50,MATCH($C16,Rituals!$A$2:$A$50,0)),""),IFERROR(INDEX(Channels!$F$2:$F$50,MATCH($C16,Channels!$A$2:$A$50,0)),"")))</f>
        <v>monthly</v>
      </c>
      <c r="G16" s="34" t="n">
        <f aca="false">IF($A16="","",IFERROR(INDEX(Lists!$B$2:$B$8,MATCH($F16,Lists!$A$2:$A$8,0)),99))</f>
        <v>4</v>
      </c>
      <c r="H16" s="34" t="str">
        <f aca="false">IF($A16="","",IF($B16="ritual","sync",IFERROR(INDEX(Channels!$D$2:$D$50,MATCH($C16,Channels!$A$2:$A$50,0)),"")))</f>
        <v>sync</v>
      </c>
      <c r="I16" s="34" t="str">
        <f aca="false">IF($A16="","",IFERROR(INDEX(Flows!$B$2:$B$400,MATCH($A16,Flows!$A$2:$A$400,0)),""))</f>
        <v>actual</v>
      </c>
      <c r="J16" s="34" t="str">
        <f aca="false">IF($A16="","",IFERROR(INDEX(Flows!$C$2:$C$400,MATCH($A16,Flows!$A$2:$A$400,0)),""))</f>
        <v>T6</v>
      </c>
      <c r="K16" s="34" t="str">
        <f aca="false">IF($A16="","",IFERROR(INDEX(Flows!$E$2:$E$400,MATCH($A16,Flows!$A$2:$A$400,0)),""))</f>
        <v>A8</v>
      </c>
      <c r="L16" s="34" t="str">
        <f aca="false">IF($A16="","",IFERROR(INDEX(Flows!$I$2:$I$400,MATCH($A16,Flows!$A$2:$A$400,0)),""))</f>
        <v>confirmed</v>
      </c>
      <c r="M16" s="34" t="n">
        <f aca="false">IF($A16="","",IF(AND($I16="actual",$L16&lt;&gt;"disputed"),1,0))</f>
        <v>1</v>
      </c>
      <c r="N16" s="34" t="n">
        <f aca="false">IF($A16="","",IF($M16=1,IF(COUNTIFS(Flows!$B$2:$B$400,"required",Flows!$C$2:$C$400,$J16,Flows!$E$2:$E$400,$K16)&gt;0,1,0),0))</f>
        <v>1</v>
      </c>
      <c r="O16" s="34" t="str">
        <f aca="false">IF($A16="","",IFERROR(INDEX(Topics!$C$2:$C$100,MATCH($J16,Topics!$A$2:$A$100,0)),""))</f>
        <v>G3</v>
      </c>
      <c r="P16" s="34" t="str">
        <f aca="false">IF($A16="","",IF($B16="ritual","ephemeral",IFERROR(INDEX(Channels!$E$2:$E$50,MATCH($C16,Channels!$A$2:$A$50,0)),"")))</f>
        <v>ephemeral</v>
      </c>
    </row>
    <row r="17" customFormat="false" ht="15" hidden="false" customHeight="true" outlineLevel="0" collapsed="false">
      <c r="A17" s="31" t="s">
        <v>420</v>
      </c>
      <c r="B17" s="31" t="s">
        <v>443</v>
      </c>
      <c r="C17" s="31" t="s">
        <v>292</v>
      </c>
      <c r="D17" s="31" t="s">
        <v>444</v>
      </c>
      <c r="E17" s="34" t="str">
        <f aca="false">IF($A17="","",IF($B17="ritual",IFERROR(INDEX(Rituals!$B$2:$B$50,MATCH($C17,Rituals!$A$2:$A$50,0)),"?"),IFERROR(INDEX(Channels!$B$2:$B$50,MATCH($C17,Channels!$A$2:$A$50,0)),"?")))</f>
        <v>Audit Readiness Checkpoint</v>
      </c>
      <c r="F17" s="34" t="str">
        <f aca="false">IF($A17="","",IF($B17="ritual",IFERROR(INDEX(Rituals!$E$2:$E$50,MATCH($C17,Rituals!$A$2:$A$50,0)),""),IFERROR(INDEX(Channels!$F$2:$F$50,MATCH($C17,Channels!$A$2:$A$50,0)),"")))</f>
        <v>monthly</v>
      </c>
      <c r="G17" s="34" t="n">
        <f aca="false">IF($A17="","",IFERROR(INDEX(Lists!$B$2:$B$8,MATCH($F17,Lists!$A$2:$A$8,0)),99))</f>
        <v>4</v>
      </c>
      <c r="H17" s="34" t="str">
        <f aca="false">IF($A17="","",IF($B17="ritual","sync",IFERROR(INDEX(Channels!$D$2:$D$50,MATCH($C17,Channels!$A$2:$A$50,0)),"")))</f>
        <v>sync</v>
      </c>
      <c r="I17" s="34" t="str">
        <f aca="false">IF($A17="","",IFERROR(INDEX(Flows!$B$2:$B$400,MATCH($A17,Flows!$A$2:$A$400,0)),""))</f>
        <v>actual</v>
      </c>
      <c r="J17" s="34" t="str">
        <f aca="false">IF($A17="","",IFERROR(INDEX(Flows!$C$2:$C$400,MATCH($A17,Flows!$A$2:$A$400,0)),""))</f>
        <v>T7</v>
      </c>
      <c r="K17" s="34" t="str">
        <f aca="false">IF($A17="","",IFERROR(INDEX(Flows!$E$2:$E$400,MATCH($A17,Flows!$A$2:$A$400,0)),""))</f>
        <v>A1</v>
      </c>
      <c r="L17" s="34" t="str">
        <f aca="false">IF($A17="","",IFERROR(INDEX(Flows!$I$2:$I$400,MATCH($A17,Flows!$A$2:$A$400,0)),""))</f>
        <v>confirmed</v>
      </c>
      <c r="M17" s="34" t="n">
        <f aca="false">IF($A17="","",IF(AND($I17="actual",$L17&lt;&gt;"disputed"),1,0))</f>
        <v>1</v>
      </c>
      <c r="N17" s="34" t="n">
        <f aca="false">IF($A17="","",IF($M17=1,IF(COUNTIFS(Flows!$B$2:$B$400,"required",Flows!$C$2:$C$400,$J17,Flows!$E$2:$E$400,$K17)&gt;0,1,0),0))</f>
        <v>1</v>
      </c>
      <c r="O17" s="34" t="str">
        <f aca="false">IF($A17="","",IFERROR(INDEX(Topics!$C$2:$C$100,MATCH($J17,Topics!$A$2:$A$100,0)),""))</f>
        <v>G4</v>
      </c>
      <c r="P17" s="34" t="str">
        <f aca="false">IF($A17="","",IF($B17="ritual","ephemeral",IFERROR(INDEX(Channels!$E$2:$E$50,MATCH($C17,Channels!$A$2:$A$50,0)),"")))</f>
        <v>ephemeral</v>
      </c>
    </row>
    <row r="18" customFormat="false" ht="15" hidden="false" customHeight="true" outlineLevel="0" collapsed="false">
      <c r="A18" s="31" t="s">
        <v>422</v>
      </c>
      <c r="B18" s="31" t="s">
        <v>39</v>
      </c>
      <c r="C18" s="31" t="s">
        <v>200</v>
      </c>
      <c r="D18" s="31" t="s">
        <v>444</v>
      </c>
      <c r="E18" s="34" t="str">
        <f aca="false">IF($A18="","",IF($B18="ritual",IFERROR(INDEX(Rituals!$B$2:$B$50,MATCH($C18,Rituals!$A$2:$A$50,0)),"?"),IFERROR(INDEX(Channels!$B$2:$B$50,MATCH($C18,Channels!$A$2:$A$50,0)),"?")))</f>
        <v>Email</v>
      </c>
      <c r="F18" s="34" t="str">
        <f aca="false">IF($A18="","",IF($B18="ritual",IFERROR(INDEX(Rituals!$E$2:$E$50,MATCH($C18,Rituals!$A$2:$A$50,0)),""),IFERROR(INDEX(Channels!$F$2:$F$50,MATCH($C18,Channels!$A$2:$A$50,0)),"")))</f>
        <v>continuous</v>
      </c>
      <c r="G18" s="34" t="n">
        <f aca="false">IF($A18="","",IFERROR(INDEX(Lists!$B$2:$B$8,MATCH($F18,Lists!$A$2:$A$8,0)),99))</f>
        <v>0</v>
      </c>
      <c r="H18" s="34" t="str">
        <f aca="false">IF($A18="","",IF($B18="ritual","sync",IFERROR(INDEX(Channels!$D$2:$D$50,MATCH($C18,Channels!$A$2:$A$50,0)),"")))</f>
        <v>async</v>
      </c>
      <c r="I18" s="34" t="str">
        <f aca="false">IF($A18="","",IFERROR(INDEX(Flows!$B$2:$B$400,MATCH($A18,Flows!$A$2:$A$400,0)),""))</f>
        <v>actual</v>
      </c>
      <c r="J18" s="34" t="str">
        <f aca="false">IF($A18="","",IFERROR(INDEX(Flows!$C$2:$C$400,MATCH($A18,Flows!$A$2:$A$400,0)),""))</f>
        <v>T9</v>
      </c>
      <c r="K18" s="34" t="str">
        <f aca="false">IF($A18="","",IFERROR(INDEX(Flows!$E$2:$E$400,MATCH($A18,Flows!$A$2:$A$400,0)),""))</f>
        <v>A8</v>
      </c>
      <c r="L18" s="34" t="str">
        <f aca="false">IF($A18="","",IFERROR(INDEX(Flows!$I$2:$I$400,MATCH($A18,Flows!$A$2:$A$400,0)),""))</f>
        <v>confirmed</v>
      </c>
      <c r="M18" s="34" t="n">
        <f aca="false">IF($A18="","",IF(AND($I18="actual",$L18&lt;&gt;"disputed"),1,0))</f>
        <v>1</v>
      </c>
      <c r="N18" s="34" t="n">
        <f aca="false">IF($A18="","",IF($M18=1,IF(COUNTIFS(Flows!$B$2:$B$400,"required",Flows!$C$2:$C$400,$J18,Flows!$E$2:$E$400,$K18)&gt;0,1,0),0))</f>
        <v>0</v>
      </c>
      <c r="O18" s="34" t="str">
        <f aca="false">IF($A18="","",IFERROR(INDEX(Topics!$C$2:$C$100,MATCH($J18,Topics!$A$2:$A$100,0)),""))</f>
        <v>G1</v>
      </c>
      <c r="P18" s="34" t="str">
        <f aca="false">IF($A18="","",IF($B18="ritual","ephemeral",IFERROR(INDEX(Channels!$E$2:$E$50,MATCH($C18,Channels!$A$2:$A$50,0)),"")))</f>
        <v>searchable</v>
      </c>
    </row>
    <row r="19" customFormat="false" ht="15" hidden="false" customHeight="true" outlineLevel="0" collapsed="false">
      <c r="A19" s="31" t="s">
        <v>424</v>
      </c>
      <c r="B19" s="31" t="s">
        <v>443</v>
      </c>
      <c r="C19" s="31" t="s">
        <v>285</v>
      </c>
      <c r="D19" s="31" t="s">
        <v>444</v>
      </c>
      <c r="E19" s="34" t="str">
        <f aca="false">IF($A19="","",IF($B19="ritual",IFERROR(INDEX(Rituals!$B$2:$B$50,MATCH($C19,Rituals!$A$2:$A$50,0)),"?"),IFERROR(INDEX(Channels!$B$2:$B$50,MATCH($C19,Channels!$A$2:$A$50,0)),"?")))</f>
        <v>Legacy Metrics Review</v>
      </c>
      <c r="F19" s="34" t="str">
        <f aca="false">IF($A19="","",IF($B19="ritual",IFERROR(INDEX(Rituals!$E$2:$E$50,MATCH($C19,Rituals!$A$2:$A$50,0)),""),IFERROR(INDEX(Channels!$F$2:$F$50,MATCH($C19,Channels!$A$2:$A$50,0)),"")))</f>
        <v>monthly</v>
      </c>
      <c r="G19" s="34" t="n">
        <f aca="false">IF($A19="","",IFERROR(INDEX(Lists!$B$2:$B$8,MATCH($F19,Lists!$A$2:$A$8,0)),99))</f>
        <v>4</v>
      </c>
      <c r="H19" s="34" t="str">
        <f aca="false">IF($A19="","",IF($B19="ritual","sync",IFERROR(INDEX(Channels!$D$2:$D$50,MATCH($C19,Channels!$A$2:$A$50,0)),"")))</f>
        <v>sync</v>
      </c>
      <c r="I19" s="34" t="str">
        <f aca="false">IF($A19="","",IFERROR(INDEX(Flows!$B$2:$B$400,MATCH($A19,Flows!$A$2:$A$400,0)),""))</f>
        <v>actual</v>
      </c>
      <c r="J19" s="34" t="str">
        <f aca="false">IF($A19="","",IFERROR(INDEX(Flows!$C$2:$C$400,MATCH($A19,Flows!$A$2:$A$400,0)),""))</f>
        <v>T9</v>
      </c>
      <c r="K19" s="34" t="str">
        <f aca="false">IF($A19="","",IFERROR(INDEX(Flows!$E$2:$E$400,MATCH($A19,Flows!$A$2:$A$400,0)),""))</f>
        <v>A10</v>
      </c>
      <c r="L19" s="34" t="str">
        <f aca="false">IF($A19="","",IFERROR(INDEX(Flows!$I$2:$I$400,MATCH($A19,Flows!$A$2:$A$400,0)),""))</f>
        <v>confirmed</v>
      </c>
      <c r="M19" s="34" t="n">
        <f aca="false">IF($A19="","",IF(AND($I19="actual",$L19&lt;&gt;"disputed"),1,0))</f>
        <v>1</v>
      </c>
      <c r="N19" s="34" t="n">
        <f aca="false">IF($A19="","",IF($M19=1,IF(COUNTIFS(Flows!$B$2:$B$400,"required",Flows!$C$2:$C$400,$J19,Flows!$E$2:$E$400,$K19)&gt;0,1,0),0))</f>
        <v>0</v>
      </c>
      <c r="O19" s="34" t="str">
        <f aca="false">IF($A19="","",IFERROR(INDEX(Topics!$C$2:$C$100,MATCH($J19,Topics!$A$2:$A$100,0)),""))</f>
        <v>G1</v>
      </c>
      <c r="P19" s="34" t="str">
        <f aca="false">IF($A19="","",IF($B19="ritual","ephemeral",IFERROR(INDEX(Channels!$E$2:$E$50,MATCH($C19,Channels!$A$2:$A$50,0)),"")))</f>
        <v>ephemeral</v>
      </c>
    </row>
    <row r="20" customFormat="false" ht="15" hidden="false" customHeight="true" outlineLevel="0" collapsed="false">
      <c r="A20" s="31" t="s">
        <v>426</v>
      </c>
      <c r="B20" s="31" t="s">
        <v>39</v>
      </c>
      <c r="C20" s="31" t="s">
        <v>200</v>
      </c>
      <c r="D20" s="31" t="s">
        <v>444</v>
      </c>
      <c r="E20" s="34" t="str">
        <f aca="false">IF($A20="","",IF($B20="ritual",IFERROR(INDEX(Rituals!$B$2:$B$50,MATCH($C20,Rituals!$A$2:$A$50,0)),"?"),IFERROR(INDEX(Channels!$B$2:$B$50,MATCH($C20,Channels!$A$2:$A$50,0)),"?")))</f>
        <v>Email</v>
      </c>
      <c r="F20" s="34" t="str">
        <f aca="false">IF($A20="","",IF($B20="ritual",IFERROR(INDEX(Rituals!$E$2:$E$50,MATCH($C20,Rituals!$A$2:$A$50,0)),""),IFERROR(INDEX(Channels!$F$2:$F$50,MATCH($C20,Channels!$A$2:$A$50,0)),"")))</f>
        <v>continuous</v>
      </c>
      <c r="G20" s="34" t="n">
        <f aca="false">IF($A20="","",IFERROR(INDEX(Lists!$B$2:$B$8,MATCH($F20,Lists!$A$2:$A$8,0)),99))</f>
        <v>0</v>
      </c>
      <c r="H20" s="34" t="str">
        <f aca="false">IF($A20="","",IF($B20="ritual","sync",IFERROR(INDEX(Channels!$D$2:$D$50,MATCH($C20,Channels!$A$2:$A$50,0)),"")))</f>
        <v>async</v>
      </c>
      <c r="I20" s="34" t="str">
        <f aca="false">IF($A20="","",IFERROR(INDEX(Flows!$B$2:$B$400,MATCH($A20,Flows!$A$2:$A$400,0)),""))</f>
        <v>actual</v>
      </c>
      <c r="J20" s="34" t="str">
        <f aca="false">IF($A20="","",IFERROR(INDEX(Flows!$C$2:$C$400,MATCH($A20,Flows!$A$2:$A$400,0)),""))</f>
        <v>T9</v>
      </c>
      <c r="K20" s="34" t="str">
        <f aca="false">IF($A20="","",IFERROR(INDEX(Flows!$E$2:$E$400,MATCH($A20,Flows!$A$2:$A$400,0)),""))</f>
        <v>A4</v>
      </c>
      <c r="L20" s="34" t="str">
        <f aca="false">IF($A20="","",IFERROR(INDEX(Flows!$I$2:$I$400,MATCH($A20,Flows!$A$2:$A$400,0)),""))</f>
        <v>disputed</v>
      </c>
      <c r="M20" s="34" t="n">
        <f aca="false">IF($A20="","",IF(AND($I20="actual",$L20&lt;&gt;"disputed"),1,0))</f>
        <v>0</v>
      </c>
      <c r="N20" s="34" t="n">
        <f aca="false">IF($A20="","",IF($M20=1,IF(COUNTIFS(Flows!$B$2:$B$400,"required",Flows!$C$2:$C$400,$J20,Flows!$E$2:$E$400,$K20)&gt;0,1,0),0))</f>
        <v>0</v>
      </c>
      <c r="O20" s="34" t="str">
        <f aca="false">IF($A20="","",IFERROR(INDEX(Topics!$C$2:$C$100,MATCH($J20,Topics!$A$2:$A$100,0)),""))</f>
        <v>G1</v>
      </c>
      <c r="P20" s="34" t="str">
        <f aca="false">IF($A20="","",IF($B20="ritual","ephemeral",IFERROR(INDEX(Channels!$E$2:$E$50,MATCH($C20,Channels!$A$2:$A$50,0)),"")))</f>
        <v>searchable</v>
      </c>
    </row>
    <row r="21" customFormat="false" ht="15" hidden="false" customHeight="true" outlineLevel="0" collapsed="false">
      <c r="A21" s="31" t="s">
        <v>433</v>
      </c>
      <c r="B21" s="31" t="s">
        <v>39</v>
      </c>
      <c r="C21" s="31" t="s">
        <v>200</v>
      </c>
      <c r="D21" s="31" t="s">
        <v>444</v>
      </c>
      <c r="E21" s="34" t="str">
        <f aca="false">IF($A21="","",IF($B21="ritual",IFERROR(INDEX(Rituals!$B$2:$B$50,MATCH($C21,Rituals!$A$2:$A$50,0)),"?"),IFERROR(INDEX(Channels!$B$2:$B$50,MATCH($C21,Channels!$A$2:$A$50,0)),"?")))</f>
        <v>Email</v>
      </c>
      <c r="F21" s="34" t="str">
        <f aca="false">IF($A21="","",IF($B21="ritual",IFERROR(INDEX(Rituals!$E$2:$E$50,MATCH($C21,Rituals!$A$2:$A$50,0)),""),IFERROR(INDEX(Channels!$F$2:$F$50,MATCH($C21,Channels!$A$2:$A$50,0)),"")))</f>
        <v>continuous</v>
      </c>
      <c r="G21" s="34" t="n">
        <f aca="false">IF($A21="","",IFERROR(INDEX(Lists!$B$2:$B$8,MATCH($F21,Lists!$A$2:$A$8,0)),99))</f>
        <v>0</v>
      </c>
      <c r="H21" s="34" t="str">
        <f aca="false">IF($A21="","",IF($B21="ritual","sync",IFERROR(INDEX(Channels!$D$2:$D$50,MATCH($C21,Channels!$A$2:$A$50,0)),"")))</f>
        <v>async</v>
      </c>
      <c r="I21" s="34" t="str">
        <f aca="false">IF($A21="","",IFERROR(INDEX(Flows!$B$2:$B$400,MATCH($A21,Flows!$A$2:$A$400,0)),""))</f>
        <v>actual</v>
      </c>
      <c r="J21" s="34" t="str">
        <f aca="false">IF($A21="","",IFERROR(INDEX(Flows!$C$2:$C$400,MATCH($A21,Flows!$A$2:$A$400,0)),""))</f>
        <v>T10</v>
      </c>
      <c r="K21" s="34" t="str">
        <f aca="false">IF($A21="","",IFERROR(INDEX(Flows!$E$2:$E$400,MATCH($A21,Flows!$A$2:$A$400,0)),""))</f>
        <v>A2</v>
      </c>
      <c r="L21" s="34" t="str">
        <f aca="false">IF($A21="","",IFERROR(INDEX(Flows!$I$2:$I$400,MATCH($A21,Flows!$A$2:$A$400,0)),""))</f>
        <v>confirmed</v>
      </c>
      <c r="M21" s="34" t="n">
        <f aca="false">IF($A21="","",IF(AND($I21="actual",$L21&lt;&gt;"disputed"),1,0))</f>
        <v>1</v>
      </c>
      <c r="N21" s="34" t="n">
        <f aca="false">IF($A21="","",IF($M21=1,IF(COUNTIFS(Flows!$B$2:$B$400,"required",Flows!$C$2:$C$400,$J21,Flows!$E$2:$E$400,$K21)&gt;0,1,0),0))</f>
        <v>1</v>
      </c>
      <c r="O21" s="34" t="str">
        <f aca="false">IF($A21="","",IFERROR(INDEX(Topics!$C$2:$C$100,MATCH($J21,Topics!$A$2:$A$100,0)),""))</f>
        <v>G5</v>
      </c>
      <c r="P21" s="34" t="str">
        <f aca="false">IF($A21="","",IF($B21="ritual","ephemeral",IFERROR(INDEX(Channels!$E$2:$E$50,MATCH($C21,Channels!$A$2:$A$50,0)),"")))</f>
        <v>searchable</v>
      </c>
    </row>
    <row r="22" customFormat="false" ht="15" hidden="false" customHeight="true" outlineLevel="0" collapsed="false">
      <c r="A22" s="31"/>
      <c r="B22" s="31"/>
      <c r="C22" s="31"/>
      <c r="D22" s="31"/>
      <c r="E22" s="34" t="str">
        <f aca="false">IF($A22="","",IF($B22="ritual",IFERROR(INDEX(Rituals!$B$2:$B$50,MATCH($C22,Rituals!$A$2:$A$50,0)),"?"),IFERROR(INDEX(Channels!$B$2:$B$50,MATCH($C22,Channels!$A$2:$A$50,0)),"?")))</f>
        <v/>
      </c>
      <c r="F22" s="34" t="str">
        <f aca="false">IF($A22="","",IF($B22="ritual",IFERROR(INDEX(Rituals!$E$2:$E$50,MATCH($C22,Rituals!$A$2:$A$50,0)),""),IFERROR(INDEX(Channels!$F$2:$F$50,MATCH($C22,Channels!$A$2:$A$50,0)),"")))</f>
        <v/>
      </c>
      <c r="G22" s="34" t="str">
        <f aca="false">IF($A22="","",IFERROR(INDEX(Lists!$B$2:$B$8,MATCH($F22,Lists!$A$2:$A$8,0)),99))</f>
        <v/>
      </c>
      <c r="H22" s="34" t="str">
        <f aca="false">IF($A22="","",IF($B22="ritual","sync",IFERROR(INDEX(Channels!$D$2:$D$50,MATCH($C22,Channels!$A$2:$A$50,0)),"")))</f>
        <v/>
      </c>
      <c r="I22" s="34" t="str">
        <f aca="false">IF($A22="","",IFERROR(INDEX(Flows!$B$2:$B$400,MATCH($A22,Flows!$A$2:$A$400,0)),""))</f>
        <v/>
      </c>
      <c r="J22" s="34" t="str">
        <f aca="false">IF($A22="","",IFERROR(INDEX(Flows!$C$2:$C$400,MATCH($A22,Flows!$A$2:$A$400,0)),""))</f>
        <v/>
      </c>
      <c r="K22" s="34" t="str">
        <f aca="false">IF($A22="","",IFERROR(INDEX(Flows!$E$2:$E$400,MATCH($A22,Flows!$A$2:$A$400,0)),""))</f>
        <v/>
      </c>
      <c r="L22" s="34" t="str">
        <f aca="false">IF($A22="","",IFERROR(INDEX(Flows!$I$2:$I$400,MATCH($A22,Flows!$A$2:$A$400,0)),""))</f>
        <v/>
      </c>
      <c r="M22" s="34" t="str">
        <f aca="false">IF($A22="","",IF(AND($I22="actual",$L22&lt;&gt;"disputed"),1,0))</f>
        <v/>
      </c>
      <c r="N22" s="34" t="str">
        <f aca="false">IF($A22="","",IF($M22=1,IF(COUNTIFS(Flows!$B$2:$B$400,"required",Flows!$C$2:$C$400,$J22,Flows!$E$2:$E$400,$K22)&gt;0,1,0),0))</f>
        <v/>
      </c>
      <c r="O22" s="34" t="str">
        <f aca="false">IF($A22="","",IFERROR(INDEX(Topics!$C$2:$C$100,MATCH($J22,Topics!$A$2:$A$100,0)),""))</f>
        <v/>
      </c>
      <c r="P22" s="34" t="str">
        <f aca="false">IF($A22="","",IF($B22="ritual","ephemeral",IFERROR(INDEX(Channels!$E$2:$E$50,MATCH($C22,Channels!$A$2:$A$50,0)),"")))</f>
        <v/>
      </c>
    </row>
    <row r="23" customFormat="false" ht="15" hidden="false" customHeight="true" outlineLevel="0" collapsed="false">
      <c r="A23" s="31"/>
      <c r="B23" s="31"/>
      <c r="C23" s="31"/>
      <c r="D23" s="31"/>
      <c r="E23" s="34" t="str">
        <f aca="false">IF($A23="","",IF($B23="ritual",IFERROR(INDEX(Rituals!$B$2:$B$50,MATCH($C23,Rituals!$A$2:$A$50,0)),"?"),IFERROR(INDEX(Channels!$B$2:$B$50,MATCH($C23,Channels!$A$2:$A$50,0)),"?")))</f>
        <v/>
      </c>
      <c r="F23" s="34" t="str">
        <f aca="false">IF($A23="","",IF($B23="ritual",IFERROR(INDEX(Rituals!$E$2:$E$50,MATCH($C23,Rituals!$A$2:$A$50,0)),""),IFERROR(INDEX(Channels!$F$2:$F$50,MATCH($C23,Channels!$A$2:$A$50,0)),"")))</f>
        <v/>
      </c>
      <c r="G23" s="34" t="str">
        <f aca="false">IF($A23="","",IFERROR(INDEX(Lists!$B$2:$B$8,MATCH($F23,Lists!$A$2:$A$8,0)),99))</f>
        <v/>
      </c>
      <c r="H23" s="34" t="str">
        <f aca="false">IF($A23="","",IF($B23="ritual","sync",IFERROR(INDEX(Channels!$D$2:$D$50,MATCH($C23,Channels!$A$2:$A$50,0)),"")))</f>
        <v/>
      </c>
      <c r="I23" s="34" t="str">
        <f aca="false">IF($A23="","",IFERROR(INDEX(Flows!$B$2:$B$400,MATCH($A23,Flows!$A$2:$A$400,0)),""))</f>
        <v/>
      </c>
      <c r="J23" s="34" t="str">
        <f aca="false">IF($A23="","",IFERROR(INDEX(Flows!$C$2:$C$400,MATCH($A23,Flows!$A$2:$A$400,0)),""))</f>
        <v/>
      </c>
      <c r="K23" s="34" t="str">
        <f aca="false">IF($A23="","",IFERROR(INDEX(Flows!$E$2:$E$400,MATCH($A23,Flows!$A$2:$A$400,0)),""))</f>
        <v/>
      </c>
      <c r="L23" s="34" t="str">
        <f aca="false">IF($A23="","",IFERROR(INDEX(Flows!$I$2:$I$400,MATCH($A23,Flows!$A$2:$A$400,0)),""))</f>
        <v/>
      </c>
      <c r="M23" s="34" t="str">
        <f aca="false">IF($A23="","",IF(AND($I23="actual",$L23&lt;&gt;"disputed"),1,0))</f>
        <v/>
      </c>
      <c r="N23" s="34" t="str">
        <f aca="false">IF($A23="","",IF($M23=1,IF(COUNTIFS(Flows!$B$2:$B$400,"required",Flows!$C$2:$C$400,$J23,Flows!$E$2:$E$400,$K23)&gt;0,1,0),0))</f>
        <v/>
      </c>
      <c r="O23" s="34" t="str">
        <f aca="false">IF($A23="","",IFERROR(INDEX(Topics!$C$2:$C$100,MATCH($J23,Topics!$A$2:$A$100,0)),""))</f>
        <v/>
      </c>
      <c r="P23" s="34" t="str">
        <f aca="false">IF($A23="","",IF($B23="ritual","ephemeral",IFERROR(INDEX(Channels!$E$2:$E$50,MATCH($C23,Channels!$A$2:$A$50,0)),"")))</f>
        <v/>
      </c>
    </row>
    <row r="24" customFormat="false" ht="15" hidden="false" customHeight="true" outlineLevel="0" collapsed="false">
      <c r="A24" s="31"/>
      <c r="B24" s="31"/>
      <c r="C24" s="31"/>
      <c r="D24" s="31"/>
      <c r="E24" s="34" t="str">
        <f aca="false">IF($A24="","",IF($B24="ritual",IFERROR(INDEX(Rituals!$B$2:$B$50,MATCH($C24,Rituals!$A$2:$A$50,0)),"?"),IFERROR(INDEX(Channels!$B$2:$B$50,MATCH($C24,Channels!$A$2:$A$50,0)),"?")))</f>
        <v/>
      </c>
      <c r="F24" s="34" t="str">
        <f aca="false">IF($A24="","",IF($B24="ritual",IFERROR(INDEX(Rituals!$E$2:$E$50,MATCH($C24,Rituals!$A$2:$A$50,0)),""),IFERROR(INDEX(Channels!$F$2:$F$50,MATCH($C24,Channels!$A$2:$A$50,0)),"")))</f>
        <v/>
      </c>
      <c r="G24" s="34" t="str">
        <f aca="false">IF($A24="","",IFERROR(INDEX(Lists!$B$2:$B$8,MATCH($F24,Lists!$A$2:$A$8,0)),99))</f>
        <v/>
      </c>
      <c r="H24" s="34" t="str">
        <f aca="false">IF($A24="","",IF($B24="ritual","sync",IFERROR(INDEX(Channels!$D$2:$D$50,MATCH($C24,Channels!$A$2:$A$50,0)),"")))</f>
        <v/>
      </c>
      <c r="I24" s="34" t="str">
        <f aca="false">IF($A24="","",IFERROR(INDEX(Flows!$B$2:$B$400,MATCH($A24,Flows!$A$2:$A$400,0)),""))</f>
        <v/>
      </c>
      <c r="J24" s="34" t="str">
        <f aca="false">IF($A24="","",IFERROR(INDEX(Flows!$C$2:$C$400,MATCH($A24,Flows!$A$2:$A$400,0)),""))</f>
        <v/>
      </c>
      <c r="K24" s="34" t="str">
        <f aca="false">IF($A24="","",IFERROR(INDEX(Flows!$E$2:$E$400,MATCH($A24,Flows!$A$2:$A$400,0)),""))</f>
        <v/>
      </c>
      <c r="L24" s="34" t="str">
        <f aca="false">IF($A24="","",IFERROR(INDEX(Flows!$I$2:$I$400,MATCH($A24,Flows!$A$2:$A$400,0)),""))</f>
        <v/>
      </c>
      <c r="M24" s="34" t="str">
        <f aca="false">IF($A24="","",IF(AND($I24="actual",$L24&lt;&gt;"disputed"),1,0))</f>
        <v/>
      </c>
      <c r="N24" s="34" t="str">
        <f aca="false">IF($A24="","",IF($M24=1,IF(COUNTIFS(Flows!$B$2:$B$400,"required",Flows!$C$2:$C$400,$J24,Flows!$E$2:$E$400,$K24)&gt;0,1,0),0))</f>
        <v/>
      </c>
      <c r="O24" s="34" t="str">
        <f aca="false">IF($A24="","",IFERROR(INDEX(Topics!$C$2:$C$100,MATCH($J24,Topics!$A$2:$A$100,0)),""))</f>
        <v/>
      </c>
      <c r="P24" s="34" t="str">
        <f aca="false">IF($A24="","",IF($B24="ritual","ephemeral",IFERROR(INDEX(Channels!$E$2:$E$50,MATCH($C24,Channels!$A$2:$A$50,0)),"")))</f>
        <v/>
      </c>
    </row>
    <row r="25" customFormat="false" ht="15" hidden="false" customHeight="true" outlineLevel="0" collapsed="false">
      <c r="A25" s="31"/>
      <c r="B25" s="31"/>
      <c r="C25" s="31"/>
      <c r="D25" s="31"/>
      <c r="E25" s="34" t="str">
        <f aca="false">IF($A25="","",IF($B25="ritual",IFERROR(INDEX(Rituals!$B$2:$B$50,MATCH($C25,Rituals!$A$2:$A$50,0)),"?"),IFERROR(INDEX(Channels!$B$2:$B$50,MATCH($C25,Channels!$A$2:$A$50,0)),"?")))</f>
        <v/>
      </c>
      <c r="F25" s="34" t="str">
        <f aca="false">IF($A25="","",IF($B25="ritual",IFERROR(INDEX(Rituals!$E$2:$E$50,MATCH($C25,Rituals!$A$2:$A$50,0)),""),IFERROR(INDEX(Channels!$F$2:$F$50,MATCH($C25,Channels!$A$2:$A$50,0)),"")))</f>
        <v/>
      </c>
      <c r="G25" s="34" t="str">
        <f aca="false">IF($A25="","",IFERROR(INDEX(Lists!$B$2:$B$8,MATCH($F25,Lists!$A$2:$A$8,0)),99))</f>
        <v/>
      </c>
      <c r="H25" s="34" t="str">
        <f aca="false">IF($A25="","",IF($B25="ritual","sync",IFERROR(INDEX(Channels!$D$2:$D$50,MATCH($C25,Channels!$A$2:$A$50,0)),"")))</f>
        <v/>
      </c>
      <c r="I25" s="34" t="str">
        <f aca="false">IF($A25="","",IFERROR(INDEX(Flows!$B$2:$B$400,MATCH($A25,Flows!$A$2:$A$400,0)),""))</f>
        <v/>
      </c>
      <c r="J25" s="34" t="str">
        <f aca="false">IF($A25="","",IFERROR(INDEX(Flows!$C$2:$C$400,MATCH($A25,Flows!$A$2:$A$400,0)),""))</f>
        <v/>
      </c>
      <c r="K25" s="34" t="str">
        <f aca="false">IF($A25="","",IFERROR(INDEX(Flows!$E$2:$E$400,MATCH($A25,Flows!$A$2:$A$400,0)),""))</f>
        <v/>
      </c>
      <c r="L25" s="34" t="str">
        <f aca="false">IF($A25="","",IFERROR(INDEX(Flows!$I$2:$I$400,MATCH($A25,Flows!$A$2:$A$400,0)),""))</f>
        <v/>
      </c>
      <c r="M25" s="34" t="str">
        <f aca="false">IF($A25="","",IF(AND($I25="actual",$L25&lt;&gt;"disputed"),1,0))</f>
        <v/>
      </c>
      <c r="N25" s="34" t="str">
        <f aca="false">IF($A25="","",IF($M25=1,IF(COUNTIFS(Flows!$B$2:$B$400,"required",Flows!$C$2:$C$400,$J25,Flows!$E$2:$E$400,$K25)&gt;0,1,0),0))</f>
        <v/>
      </c>
      <c r="O25" s="34" t="str">
        <f aca="false">IF($A25="","",IFERROR(INDEX(Topics!$C$2:$C$100,MATCH($J25,Topics!$A$2:$A$100,0)),""))</f>
        <v/>
      </c>
      <c r="P25" s="34" t="str">
        <f aca="false">IF($A25="","",IF($B25="ritual","ephemeral",IFERROR(INDEX(Channels!$E$2:$E$50,MATCH($C25,Channels!$A$2:$A$50,0)),"")))</f>
        <v/>
      </c>
    </row>
    <row r="26" customFormat="false" ht="15" hidden="false" customHeight="true" outlineLevel="0" collapsed="false">
      <c r="A26" s="31"/>
      <c r="B26" s="31"/>
      <c r="C26" s="31"/>
      <c r="D26" s="31"/>
      <c r="E26" s="34" t="str">
        <f aca="false">IF($A26="","",IF($B26="ritual",IFERROR(INDEX(Rituals!$B$2:$B$50,MATCH($C26,Rituals!$A$2:$A$50,0)),"?"),IFERROR(INDEX(Channels!$B$2:$B$50,MATCH($C26,Channels!$A$2:$A$50,0)),"?")))</f>
        <v/>
      </c>
      <c r="F26" s="34" t="str">
        <f aca="false">IF($A26="","",IF($B26="ritual",IFERROR(INDEX(Rituals!$E$2:$E$50,MATCH($C26,Rituals!$A$2:$A$50,0)),""),IFERROR(INDEX(Channels!$F$2:$F$50,MATCH($C26,Channels!$A$2:$A$50,0)),"")))</f>
        <v/>
      </c>
      <c r="G26" s="34" t="str">
        <f aca="false">IF($A26="","",IFERROR(INDEX(Lists!$B$2:$B$8,MATCH($F26,Lists!$A$2:$A$8,0)),99))</f>
        <v/>
      </c>
      <c r="H26" s="34" t="str">
        <f aca="false">IF($A26="","",IF($B26="ritual","sync",IFERROR(INDEX(Channels!$D$2:$D$50,MATCH($C26,Channels!$A$2:$A$50,0)),"")))</f>
        <v/>
      </c>
      <c r="I26" s="34" t="str">
        <f aca="false">IF($A26="","",IFERROR(INDEX(Flows!$B$2:$B$400,MATCH($A26,Flows!$A$2:$A$400,0)),""))</f>
        <v/>
      </c>
      <c r="J26" s="34" t="str">
        <f aca="false">IF($A26="","",IFERROR(INDEX(Flows!$C$2:$C$400,MATCH($A26,Flows!$A$2:$A$400,0)),""))</f>
        <v/>
      </c>
      <c r="K26" s="34" t="str">
        <f aca="false">IF($A26="","",IFERROR(INDEX(Flows!$E$2:$E$400,MATCH($A26,Flows!$A$2:$A$400,0)),""))</f>
        <v/>
      </c>
      <c r="L26" s="34" t="str">
        <f aca="false">IF($A26="","",IFERROR(INDEX(Flows!$I$2:$I$400,MATCH($A26,Flows!$A$2:$A$400,0)),""))</f>
        <v/>
      </c>
      <c r="M26" s="34" t="str">
        <f aca="false">IF($A26="","",IF(AND($I26="actual",$L26&lt;&gt;"disputed"),1,0))</f>
        <v/>
      </c>
      <c r="N26" s="34" t="str">
        <f aca="false">IF($A26="","",IF($M26=1,IF(COUNTIFS(Flows!$B$2:$B$400,"required",Flows!$C$2:$C$400,$J26,Flows!$E$2:$E$400,$K26)&gt;0,1,0),0))</f>
        <v/>
      </c>
      <c r="O26" s="34" t="str">
        <f aca="false">IF($A26="","",IFERROR(INDEX(Topics!$C$2:$C$100,MATCH($J26,Topics!$A$2:$A$100,0)),""))</f>
        <v/>
      </c>
      <c r="P26" s="34" t="str">
        <f aca="false">IF($A26="","",IF($B26="ritual","ephemeral",IFERROR(INDEX(Channels!$E$2:$E$50,MATCH($C26,Channels!$A$2:$A$50,0)),"")))</f>
        <v/>
      </c>
    </row>
    <row r="27" customFormat="false" ht="15" hidden="false" customHeight="true" outlineLevel="0" collapsed="false">
      <c r="A27" s="31"/>
      <c r="B27" s="31"/>
      <c r="C27" s="31"/>
      <c r="D27" s="31"/>
      <c r="E27" s="34" t="str">
        <f aca="false">IF($A27="","",IF($B27="ritual",IFERROR(INDEX(Rituals!$B$2:$B$50,MATCH($C27,Rituals!$A$2:$A$50,0)),"?"),IFERROR(INDEX(Channels!$B$2:$B$50,MATCH($C27,Channels!$A$2:$A$50,0)),"?")))</f>
        <v/>
      </c>
      <c r="F27" s="34" t="str">
        <f aca="false">IF($A27="","",IF($B27="ritual",IFERROR(INDEX(Rituals!$E$2:$E$50,MATCH($C27,Rituals!$A$2:$A$50,0)),""),IFERROR(INDEX(Channels!$F$2:$F$50,MATCH($C27,Channels!$A$2:$A$50,0)),"")))</f>
        <v/>
      </c>
      <c r="G27" s="34" t="str">
        <f aca="false">IF($A27="","",IFERROR(INDEX(Lists!$B$2:$B$8,MATCH($F27,Lists!$A$2:$A$8,0)),99))</f>
        <v/>
      </c>
      <c r="H27" s="34" t="str">
        <f aca="false">IF($A27="","",IF($B27="ritual","sync",IFERROR(INDEX(Channels!$D$2:$D$50,MATCH($C27,Channels!$A$2:$A$50,0)),"")))</f>
        <v/>
      </c>
      <c r="I27" s="34" t="str">
        <f aca="false">IF($A27="","",IFERROR(INDEX(Flows!$B$2:$B$400,MATCH($A27,Flows!$A$2:$A$400,0)),""))</f>
        <v/>
      </c>
      <c r="J27" s="34" t="str">
        <f aca="false">IF($A27="","",IFERROR(INDEX(Flows!$C$2:$C$400,MATCH($A27,Flows!$A$2:$A$400,0)),""))</f>
        <v/>
      </c>
      <c r="K27" s="34" t="str">
        <f aca="false">IF($A27="","",IFERROR(INDEX(Flows!$E$2:$E$400,MATCH($A27,Flows!$A$2:$A$400,0)),""))</f>
        <v/>
      </c>
      <c r="L27" s="34" t="str">
        <f aca="false">IF($A27="","",IFERROR(INDEX(Flows!$I$2:$I$400,MATCH($A27,Flows!$A$2:$A$400,0)),""))</f>
        <v/>
      </c>
      <c r="M27" s="34" t="str">
        <f aca="false">IF($A27="","",IF(AND($I27="actual",$L27&lt;&gt;"disputed"),1,0))</f>
        <v/>
      </c>
      <c r="N27" s="34" t="str">
        <f aca="false">IF($A27="","",IF($M27=1,IF(COUNTIFS(Flows!$B$2:$B$400,"required",Flows!$C$2:$C$400,$J27,Flows!$E$2:$E$400,$K27)&gt;0,1,0),0))</f>
        <v/>
      </c>
      <c r="O27" s="34" t="str">
        <f aca="false">IF($A27="","",IFERROR(INDEX(Topics!$C$2:$C$100,MATCH($J27,Topics!$A$2:$A$100,0)),""))</f>
        <v/>
      </c>
      <c r="P27" s="34" t="str">
        <f aca="false">IF($A27="","",IF($B27="ritual","ephemeral",IFERROR(INDEX(Channels!$E$2:$E$50,MATCH($C27,Channels!$A$2:$A$50,0)),"")))</f>
        <v/>
      </c>
    </row>
    <row r="28" customFormat="false" ht="15" hidden="false" customHeight="true" outlineLevel="0" collapsed="false">
      <c r="A28" s="31"/>
      <c r="B28" s="31"/>
      <c r="C28" s="31"/>
      <c r="D28" s="31"/>
      <c r="E28" s="34" t="str">
        <f aca="false">IF($A28="","",IF($B28="ritual",IFERROR(INDEX(Rituals!$B$2:$B$50,MATCH($C28,Rituals!$A$2:$A$50,0)),"?"),IFERROR(INDEX(Channels!$B$2:$B$50,MATCH($C28,Channels!$A$2:$A$50,0)),"?")))</f>
        <v/>
      </c>
      <c r="F28" s="34" t="str">
        <f aca="false">IF($A28="","",IF($B28="ritual",IFERROR(INDEX(Rituals!$E$2:$E$50,MATCH($C28,Rituals!$A$2:$A$50,0)),""),IFERROR(INDEX(Channels!$F$2:$F$50,MATCH($C28,Channels!$A$2:$A$50,0)),"")))</f>
        <v/>
      </c>
      <c r="G28" s="34" t="str">
        <f aca="false">IF($A28="","",IFERROR(INDEX(Lists!$B$2:$B$8,MATCH($F28,Lists!$A$2:$A$8,0)),99))</f>
        <v/>
      </c>
      <c r="H28" s="34" t="str">
        <f aca="false">IF($A28="","",IF($B28="ritual","sync",IFERROR(INDEX(Channels!$D$2:$D$50,MATCH($C28,Channels!$A$2:$A$50,0)),"")))</f>
        <v/>
      </c>
      <c r="I28" s="34" t="str">
        <f aca="false">IF($A28="","",IFERROR(INDEX(Flows!$B$2:$B$400,MATCH($A28,Flows!$A$2:$A$400,0)),""))</f>
        <v/>
      </c>
      <c r="J28" s="34" t="str">
        <f aca="false">IF($A28="","",IFERROR(INDEX(Flows!$C$2:$C$400,MATCH($A28,Flows!$A$2:$A$400,0)),""))</f>
        <v/>
      </c>
      <c r="K28" s="34" t="str">
        <f aca="false">IF($A28="","",IFERROR(INDEX(Flows!$E$2:$E$400,MATCH($A28,Flows!$A$2:$A$400,0)),""))</f>
        <v/>
      </c>
      <c r="L28" s="34" t="str">
        <f aca="false">IF($A28="","",IFERROR(INDEX(Flows!$I$2:$I$400,MATCH($A28,Flows!$A$2:$A$400,0)),""))</f>
        <v/>
      </c>
      <c r="M28" s="34" t="str">
        <f aca="false">IF($A28="","",IF(AND($I28="actual",$L28&lt;&gt;"disputed"),1,0))</f>
        <v/>
      </c>
      <c r="N28" s="34" t="str">
        <f aca="false">IF($A28="","",IF($M28=1,IF(COUNTIFS(Flows!$B$2:$B$400,"required",Flows!$C$2:$C$400,$J28,Flows!$E$2:$E$400,$K28)&gt;0,1,0),0))</f>
        <v/>
      </c>
      <c r="O28" s="34" t="str">
        <f aca="false">IF($A28="","",IFERROR(INDEX(Topics!$C$2:$C$100,MATCH($J28,Topics!$A$2:$A$100,0)),""))</f>
        <v/>
      </c>
      <c r="P28" s="34" t="str">
        <f aca="false">IF($A28="","",IF($B28="ritual","ephemeral",IFERROR(INDEX(Channels!$E$2:$E$50,MATCH($C28,Channels!$A$2:$A$50,0)),"")))</f>
        <v/>
      </c>
    </row>
    <row r="29" customFormat="false" ht="15" hidden="false" customHeight="true" outlineLevel="0" collapsed="false">
      <c r="A29" s="31"/>
      <c r="B29" s="31"/>
      <c r="C29" s="31"/>
      <c r="D29" s="31"/>
      <c r="E29" s="34" t="str">
        <f aca="false">IF($A29="","",IF($B29="ritual",IFERROR(INDEX(Rituals!$B$2:$B$50,MATCH($C29,Rituals!$A$2:$A$50,0)),"?"),IFERROR(INDEX(Channels!$B$2:$B$50,MATCH($C29,Channels!$A$2:$A$50,0)),"?")))</f>
        <v/>
      </c>
      <c r="F29" s="34" t="str">
        <f aca="false">IF($A29="","",IF($B29="ritual",IFERROR(INDEX(Rituals!$E$2:$E$50,MATCH($C29,Rituals!$A$2:$A$50,0)),""),IFERROR(INDEX(Channels!$F$2:$F$50,MATCH($C29,Channels!$A$2:$A$50,0)),"")))</f>
        <v/>
      </c>
      <c r="G29" s="34" t="str">
        <f aca="false">IF($A29="","",IFERROR(INDEX(Lists!$B$2:$B$8,MATCH($F29,Lists!$A$2:$A$8,0)),99))</f>
        <v/>
      </c>
      <c r="H29" s="34" t="str">
        <f aca="false">IF($A29="","",IF($B29="ritual","sync",IFERROR(INDEX(Channels!$D$2:$D$50,MATCH($C29,Channels!$A$2:$A$50,0)),"")))</f>
        <v/>
      </c>
      <c r="I29" s="34" t="str">
        <f aca="false">IF($A29="","",IFERROR(INDEX(Flows!$B$2:$B$400,MATCH($A29,Flows!$A$2:$A$400,0)),""))</f>
        <v/>
      </c>
      <c r="J29" s="34" t="str">
        <f aca="false">IF($A29="","",IFERROR(INDEX(Flows!$C$2:$C$400,MATCH($A29,Flows!$A$2:$A$400,0)),""))</f>
        <v/>
      </c>
      <c r="K29" s="34" t="str">
        <f aca="false">IF($A29="","",IFERROR(INDEX(Flows!$E$2:$E$400,MATCH($A29,Flows!$A$2:$A$400,0)),""))</f>
        <v/>
      </c>
      <c r="L29" s="34" t="str">
        <f aca="false">IF($A29="","",IFERROR(INDEX(Flows!$I$2:$I$400,MATCH($A29,Flows!$A$2:$A$400,0)),""))</f>
        <v/>
      </c>
      <c r="M29" s="34" t="str">
        <f aca="false">IF($A29="","",IF(AND($I29="actual",$L29&lt;&gt;"disputed"),1,0))</f>
        <v/>
      </c>
      <c r="N29" s="34" t="str">
        <f aca="false">IF($A29="","",IF($M29=1,IF(COUNTIFS(Flows!$B$2:$B$400,"required",Flows!$C$2:$C$400,$J29,Flows!$E$2:$E$400,$K29)&gt;0,1,0),0))</f>
        <v/>
      </c>
      <c r="O29" s="34" t="str">
        <f aca="false">IF($A29="","",IFERROR(INDEX(Topics!$C$2:$C$100,MATCH($J29,Topics!$A$2:$A$100,0)),""))</f>
        <v/>
      </c>
      <c r="P29" s="34" t="str">
        <f aca="false">IF($A29="","",IF($B29="ritual","ephemeral",IFERROR(INDEX(Channels!$E$2:$E$50,MATCH($C29,Channels!$A$2:$A$50,0)),"")))</f>
        <v/>
      </c>
    </row>
    <row r="30" customFormat="false" ht="15" hidden="false" customHeight="true" outlineLevel="0" collapsed="false">
      <c r="A30" s="31"/>
      <c r="B30" s="31"/>
      <c r="C30" s="31"/>
      <c r="D30" s="31"/>
      <c r="E30" s="34" t="str">
        <f aca="false">IF($A30="","",IF($B30="ritual",IFERROR(INDEX(Rituals!$B$2:$B$50,MATCH($C30,Rituals!$A$2:$A$50,0)),"?"),IFERROR(INDEX(Channels!$B$2:$B$50,MATCH($C30,Channels!$A$2:$A$50,0)),"?")))</f>
        <v/>
      </c>
      <c r="F30" s="34" t="str">
        <f aca="false">IF($A30="","",IF($B30="ritual",IFERROR(INDEX(Rituals!$E$2:$E$50,MATCH($C30,Rituals!$A$2:$A$50,0)),""),IFERROR(INDEX(Channels!$F$2:$F$50,MATCH($C30,Channels!$A$2:$A$50,0)),"")))</f>
        <v/>
      </c>
      <c r="G30" s="34" t="str">
        <f aca="false">IF($A30="","",IFERROR(INDEX(Lists!$B$2:$B$8,MATCH($F30,Lists!$A$2:$A$8,0)),99))</f>
        <v/>
      </c>
      <c r="H30" s="34" t="str">
        <f aca="false">IF($A30="","",IF($B30="ritual","sync",IFERROR(INDEX(Channels!$D$2:$D$50,MATCH($C30,Channels!$A$2:$A$50,0)),"")))</f>
        <v/>
      </c>
      <c r="I30" s="34" t="str">
        <f aca="false">IF($A30="","",IFERROR(INDEX(Flows!$B$2:$B$400,MATCH($A30,Flows!$A$2:$A$400,0)),""))</f>
        <v/>
      </c>
      <c r="J30" s="34" t="str">
        <f aca="false">IF($A30="","",IFERROR(INDEX(Flows!$C$2:$C$400,MATCH($A30,Flows!$A$2:$A$400,0)),""))</f>
        <v/>
      </c>
      <c r="K30" s="34" t="str">
        <f aca="false">IF($A30="","",IFERROR(INDEX(Flows!$E$2:$E$400,MATCH($A30,Flows!$A$2:$A$400,0)),""))</f>
        <v/>
      </c>
      <c r="L30" s="34" t="str">
        <f aca="false">IF($A30="","",IFERROR(INDEX(Flows!$I$2:$I$400,MATCH($A30,Flows!$A$2:$A$400,0)),""))</f>
        <v/>
      </c>
      <c r="M30" s="34" t="str">
        <f aca="false">IF($A30="","",IF(AND($I30="actual",$L30&lt;&gt;"disputed"),1,0))</f>
        <v/>
      </c>
      <c r="N30" s="34" t="str">
        <f aca="false">IF($A30="","",IF($M30=1,IF(COUNTIFS(Flows!$B$2:$B$400,"required",Flows!$C$2:$C$400,$J30,Flows!$E$2:$E$400,$K30)&gt;0,1,0),0))</f>
        <v/>
      </c>
      <c r="O30" s="34" t="str">
        <f aca="false">IF($A30="","",IFERROR(INDEX(Topics!$C$2:$C$100,MATCH($J30,Topics!$A$2:$A$100,0)),""))</f>
        <v/>
      </c>
      <c r="P30" s="34" t="str">
        <f aca="false">IF($A30="","",IF($B30="ritual","ephemeral",IFERROR(INDEX(Channels!$E$2:$E$50,MATCH($C30,Channels!$A$2:$A$50,0)),"")))</f>
        <v/>
      </c>
    </row>
    <row r="31" customFormat="false" ht="15" hidden="false" customHeight="true" outlineLevel="0" collapsed="false">
      <c r="A31" s="31"/>
      <c r="B31" s="31"/>
      <c r="C31" s="31"/>
      <c r="D31" s="31"/>
      <c r="E31" s="34" t="str">
        <f aca="false">IF($A31="","",IF($B31="ritual",IFERROR(INDEX(Rituals!$B$2:$B$50,MATCH($C31,Rituals!$A$2:$A$50,0)),"?"),IFERROR(INDEX(Channels!$B$2:$B$50,MATCH($C31,Channels!$A$2:$A$50,0)),"?")))</f>
        <v/>
      </c>
      <c r="F31" s="34" t="str">
        <f aca="false">IF($A31="","",IF($B31="ritual",IFERROR(INDEX(Rituals!$E$2:$E$50,MATCH($C31,Rituals!$A$2:$A$50,0)),""),IFERROR(INDEX(Channels!$F$2:$F$50,MATCH($C31,Channels!$A$2:$A$50,0)),"")))</f>
        <v/>
      </c>
      <c r="G31" s="34" t="str">
        <f aca="false">IF($A31="","",IFERROR(INDEX(Lists!$B$2:$B$8,MATCH($F31,Lists!$A$2:$A$8,0)),99))</f>
        <v/>
      </c>
      <c r="H31" s="34" t="str">
        <f aca="false">IF($A31="","",IF($B31="ritual","sync",IFERROR(INDEX(Channels!$D$2:$D$50,MATCH($C31,Channels!$A$2:$A$50,0)),"")))</f>
        <v/>
      </c>
      <c r="I31" s="34" t="str">
        <f aca="false">IF($A31="","",IFERROR(INDEX(Flows!$B$2:$B$400,MATCH($A31,Flows!$A$2:$A$400,0)),""))</f>
        <v/>
      </c>
      <c r="J31" s="34" t="str">
        <f aca="false">IF($A31="","",IFERROR(INDEX(Flows!$C$2:$C$400,MATCH($A31,Flows!$A$2:$A$400,0)),""))</f>
        <v/>
      </c>
      <c r="K31" s="34" t="str">
        <f aca="false">IF($A31="","",IFERROR(INDEX(Flows!$E$2:$E$400,MATCH($A31,Flows!$A$2:$A$400,0)),""))</f>
        <v/>
      </c>
      <c r="L31" s="34" t="str">
        <f aca="false">IF($A31="","",IFERROR(INDEX(Flows!$I$2:$I$400,MATCH($A31,Flows!$A$2:$A$400,0)),""))</f>
        <v/>
      </c>
      <c r="M31" s="34" t="str">
        <f aca="false">IF($A31="","",IF(AND($I31="actual",$L31&lt;&gt;"disputed"),1,0))</f>
        <v/>
      </c>
      <c r="N31" s="34" t="str">
        <f aca="false">IF($A31="","",IF($M31=1,IF(COUNTIFS(Flows!$B$2:$B$400,"required",Flows!$C$2:$C$400,$J31,Flows!$E$2:$E$400,$K31)&gt;0,1,0),0))</f>
        <v/>
      </c>
      <c r="O31" s="34" t="str">
        <f aca="false">IF($A31="","",IFERROR(INDEX(Topics!$C$2:$C$100,MATCH($J31,Topics!$A$2:$A$100,0)),""))</f>
        <v/>
      </c>
      <c r="P31" s="34" t="str">
        <f aca="false">IF($A31="","",IF($B31="ritual","ephemeral",IFERROR(INDEX(Channels!$E$2:$E$50,MATCH($C31,Channels!$A$2:$A$50,0)),"")))</f>
        <v/>
      </c>
    </row>
    <row r="32" customFormat="false" ht="15" hidden="false" customHeight="true" outlineLevel="0" collapsed="false">
      <c r="A32" s="31"/>
      <c r="B32" s="31"/>
      <c r="C32" s="31"/>
      <c r="D32" s="31"/>
      <c r="E32" s="34" t="str">
        <f aca="false">IF($A32="","",IF($B32="ritual",IFERROR(INDEX(Rituals!$B$2:$B$50,MATCH($C32,Rituals!$A$2:$A$50,0)),"?"),IFERROR(INDEX(Channels!$B$2:$B$50,MATCH($C32,Channels!$A$2:$A$50,0)),"?")))</f>
        <v/>
      </c>
      <c r="F32" s="34" t="str">
        <f aca="false">IF($A32="","",IF($B32="ritual",IFERROR(INDEX(Rituals!$E$2:$E$50,MATCH($C32,Rituals!$A$2:$A$50,0)),""),IFERROR(INDEX(Channels!$F$2:$F$50,MATCH($C32,Channels!$A$2:$A$50,0)),"")))</f>
        <v/>
      </c>
      <c r="G32" s="34" t="str">
        <f aca="false">IF($A32="","",IFERROR(INDEX(Lists!$B$2:$B$8,MATCH($F32,Lists!$A$2:$A$8,0)),99))</f>
        <v/>
      </c>
      <c r="H32" s="34" t="str">
        <f aca="false">IF($A32="","",IF($B32="ritual","sync",IFERROR(INDEX(Channels!$D$2:$D$50,MATCH($C32,Channels!$A$2:$A$50,0)),"")))</f>
        <v/>
      </c>
      <c r="I32" s="34" t="str">
        <f aca="false">IF($A32="","",IFERROR(INDEX(Flows!$B$2:$B$400,MATCH($A32,Flows!$A$2:$A$400,0)),""))</f>
        <v/>
      </c>
      <c r="J32" s="34" t="str">
        <f aca="false">IF($A32="","",IFERROR(INDEX(Flows!$C$2:$C$400,MATCH($A32,Flows!$A$2:$A$400,0)),""))</f>
        <v/>
      </c>
      <c r="K32" s="34" t="str">
        <f aca="false">IF($A32="","",IFERROR(INDEX(Flows!$E$2:$E$400,MATCH($A32,Flows!$A$2:$A$400,0)),""))</f>
        <v/>
      </c>
      <c r="L32" s="34" t="str">
        <f aca="false">IF($A32="","",IFERROR(INDEX(Flows!$I$2:$I$400,MATCH($A32,Flows!$A$2:$A$400,0)),""))</f>
        <v/>
      </c>
      <c r="M32" s="34" t="str">
        <f aca="false">IF($A32="","",IF(AND($I32="actual",$L32&lt;&gt;"disputed"),1,0))</f>
        <v/>
      </c>
      <c r="N32" s="34" t="str">
        <f aca="false">IF($A32="","",IF($M32=1,IF(COUNTIFS(Flows!$B$2:$B$400,"required",Flows!$C$2:$C$400,$J32,Flows!$E$2:$E$400,$K32)&gt;0,1,0),0))</f>
        <v/>
      </c>
      <c r="O32" s="34" t="str">
        <f aca="false">IF($A32="","",IFERROR(INDEX(Topics!$C$2:$C$100,MATCH($J32,Topics!$A$2:$A$100,0)),""))</f>
        <v/>
      </c>
      <c r="P32" s="34" t="str">
        <f aca="false">IF($A32="","",IF($B32="ritual","ephemeral",IFERROR(INDEX(Channels!$E$2:$E$50,MATCH($C32,Channels!$A$2:$A$50,0)),"")))</f>
        <v/>
      </c>
    </row>
    <row r="33" customFormat="false" ht="15" hidden="false" customHeight="true" outlineLevel="0" collapsed="false">
      <c r="A33" s="31"/>
      <c r="B33" s="31"/>
      <c r="C33" s="31"/>
      <c r="D33" s="31"/>
      <c r="E33" s="34" t="str">
        <f aca="false">IF($A33="","",IF($B33="ritual",IFERROR(INDEX(Rituals!$B$2:$B$50,MATCH($C33,Rituals!$A$2:$A$50,0)),"?"),IFERROR(INDEX(Channels!$B$2:$B$50,MATCH($C33,Channels!$A$2:$A$50,0)),"?")))</f>
        <v/>
      </c>
      <c r="F33" s="34" t="str">
        <f aca="false">IF($A33="","",IF($B33="ritual",IFERROR(INDEX(Rituals!$E$2:$E$50,MATCH($C33,Rituals!$A$2:$A$50,0)),""),IFERROR(INDEX(Channels!$F$2:$F$50,MATCH($C33,Channels!$A$2:$A$50,0)),"")))</f>
        <v/>
      </c>
      <c r="G33" s="34" t="str">
        <f aca="false">IF($A33="","",IFERROR(INDEX(Lists!$B$2:$B$8,MATCH($F33,Lists!$A$2:$A$8,0)),99))</f>
        <v/>
      </c>
      <c r="H33" s="34" t="str">
        <f aca="false">IF($A33="","",IF($B33="ritual","sync",IFERROR(INDEX(Channels!$D$2:$D$50,MATCH($C33,Channels!$A$2:$A$50,0)),"")))</f>
        <v/>
      </c>
      <c r="I33" s="34" t="str">
        <f aca="false">IF($A33="","",IFERROR(INDEX(Flows!$B$2:$B$400,MATCH($A33,Flows!$A$2:$A$400,0)),""))</f>
        <v/>
      </c>
      <c r="J33" s="34" t="str">
        <f aca="false">IF($A33="","",IFERROR(INDEX(Flows!$C$2:$C$400,MATCH($A33,Flows!$A$2:$A$400,0)),""))</f>
        <v/>
      </c>
      <c r="K33" s="34" t="str">
        <f aca="false">IF($A33="","",IFERROR(INDEX(Flows!$E$2:$E$400,MATCH($A33,Flows!$A$2:$A$400,0)),""))</f>
        <v/>
      </c>
      <c r="L33" s="34" t="str">
        <f aca="false">IF($A33="","",IFERROR(INDEX(Flows!$I$2:$I$400,MATCH($A33,Flows!$A$2:$A$400,0)),""))</f>
        <v/>
      </c>
      <c r="M33" s="34" t="str">
        <f aca="false">IF($A33="","",IF(AND($I33="actual",$L33&lt;&gt;"disputed"),1,0))</f>
        <v/>
      </c>
      <c r="N33" s="34" t="str">
        <f aca="false">IF($A33="","",IF($M33=1,IF(COUNTIFS(Flows!$B$2:$B$400,"required",Flows!$C$2:$C$400,$J33,Flows!$E$2:$E$400,$K33)&gt;0,1,0),0))</f>
        <v/>
      </c>
      <c r="O33" s="34" t="str">
        <f aca="false">IF($A33="","",IFERROR(INDEX(Topics!$C$2:$C$100,MATCH($J33,Topics!$A$2:$A$100,0)),""))</f>
        <v/>
      </c>
      <c r="P33" s="34" t="str">
        <f aca="false">IF($A33="","",IF($B33="ritual","ephemeral",IFERROR(INDEX(Channels!$E$2:$E$50,MATCH($C33,Channels!$A$2:$A$50,0)),"")))</f>
        <v/>
      </c>
    </row>
    <row r="34" customFormat="false" ht="15" hidden="false" customHeight="true" outlineLevel="0" collapsed="false">
      <c r="A34" s="31"/>
      <c r="B34" s="31"/>
      <c r="C34" s="31"/>
      <c r="D34" s="31"/>
      <c r="E34" s="34" t="str">
        <f aca="false">IF($A34="","",IF($B34="ritual",IFERROR(INDEX(Rituals!$B$2:$B$50,MATCH($C34,Rituals!$A$2:$A$50,0)),"?"),IFERROR(INDEX(Channels!$B$2:$B$50,MATCH($C34,Channels!$A$2:$A$50,0)),"?")))</f>
        <v/>
      </c>
      <c r="F34" s="34" t="str">
        <f aca="false">IF($A34="","",IF($B34="ritual",IFERROR(INDEX(Rituals!$E$2:$E$50,MATCH($C34,Rituals!$A$2:$A$50,0)),""),IFERROR(INDEX(Channels!$F$2:$F$50,MATCH($C34,Channels!$A$2:$A$50,0)),"")))</f>
        <v/>
      </c>
      <c r="G34" s="34" t="str">
        <f aca="false">IF($A34="","",IFERROR(INDEX(Lists!$B$2:$B$8,MATCH($F34,Lists!$A$2:$A$8,0)),99))</f>
        <v/>
      </c>
      <c r="H34" s="34" t="str">
        <f aca="false">IF($A34="","",IF($B34="ritual","sync",IFERROR(INDEX(Channels!$D$2:$D$50,MATCH($C34,Channels!$A$2:$A$50,0)),"")))</f>
        <v/>
      </c>
      <c r="I34" s="34" t="str">
        <f aca="false">IF($A34="","",IFERROR(INDEX(Flows!$B$2:$B$400,MATCH($A34,Flows!$A$2:$A$400,0)),""))</f>
        <v/>
      </c>
      <c r="J34" s="34" t="str">
        <f aca="false">IF($A34="","",IFERROR(INDEX(Flows!$C$2:$C$400,MATCH($A34,Flows!$A$2:$A$400,0)),""))</f>
        <v/>
      </c>
      <c r="K34" s="34" t="str">
        <f aca="false">IF($A34="","",IFERROR(INDEX(Flows!$E$2:$E$400,MATCH($A34,Flows!$A$2:$A$400,0)),""))</f>
        <v/>
      </c>
      <c r="L34" s="34" t="str">
        <f aca="false">IF($A34="","",IFERROR(INDEX(Flows!$I$2:$I$400,MATCH($A34,Flows!$A$2:$A$400,0)),""))</f>
        <v/>
      </c>
      <c r="M34" s="34" t="str">
        <f aca="false">IF($A34="","",IF(AND($I34="actual",$L34&lt;&gt;"disputed"),1,0))</f>
        <v/>
      </c>
      <c r="N34" s="34" t="str">
        <f aca="false">IF($A34="","",IF($M34=1,IF(COUNTIFS(Flows!$B$2:$B$400,"required",Flows!$C$2:$C$400,$J34,Flows!$E$2:$E$400,$K34)&gt;0,1,0),0))</f>
        <v/>
      </c>
      <c r="O34" s="34" t="str">
        <f aca="false">IF($A34="","",IFERROR(INDEX(Topics!$C$2:$C$100,MATCH($J34,Topics!$A$2:$A$100,0)),""))</f>
        <v/>
      </c>
      <c r="P34" s="34" t="str">
        <f aca="false">IF($A34="","",IF($B34="ritual","ephemeral",IFERROR(INDEX(Channels!$E$2:$E$50,MATCH($C34,Channels!$A$2:$A$50,0)),"")))</f>
        <v/>
      </c>
    </row>
    <row r="35" customFormat="false" ht="15" hidden="false" customHeight="true" outlineLevel="0" collapsed="false">
      <c r="A35" s="31"/>
      <c r="B35" s="31"/>
      <c r="C35" s="31"/>
      <c r="D35" s="31"/>
      <c r="E35" s="34" t="str">
        <f aca="false">IF($A35="","",IF($B35="ritual",IFERROR(INDEX(Rituals!$B$2:$B$50,MATCH($C35,Rituals!$A$2:$A$50,0)),"?"),IFERROR(INDEX(Channels!$B$2:$B$50,MATCH($C35,Channels!$A$2:$A$50,0)),"?")))</f>
        <v/>
      </c>
      <c r="F35" s="34" t="str">
        <f aca="false">IF($A35="","",IF($B35="ritual",IFERROR(INDEX(Rituals!$E$2:$E$50,MATCH($C35,Rituals!$A$2:$A$50,0)),""),IFERROR(INDEX(Channels!$F$2:$F$50,MATCH($C35,Channels!$A$2:$A$50,0)),"")))</f>
        <v/>
      </c>
      <c r="G35" s="34" t="str">
        <f aca="false">IF($A35="","",IFERROR(INDEX(Lists!$B$2:$B$8,MATCH($F35,Lists!$A$2:$A$8,0)),99))</f>
        <v/>
      </c>
      <c r="H35" s="34" t="str">
        <f aca="false">IF($A35="","",IF($B35="ritual","sync",IFERROR(INDEX(Channels!$D$2:$D$50,MATCH($C35,Channels!$A$2:$A$50,0)),"")))</f>
        <v/>
      </c>
      <c r="I35" s="34" t="str">
        <f aca="false">IF($A35="","",IFERROR(INDEX(Flows!$B$2:$B$400,MATCH($A35,Flows!$A$2:$A$400,0)),""))</f>
        <v/>
      </c>
      <c r="J35" s="34" t="str">
        <f aca="false">IF($A35="","",IFERROR(INDEX(Flows!$C$2:$C$400,MATCH($A35,Flows!$A$2:$A$400,0)),""))</f>
        <v/>
      </c>
      <c r="K35" s="34" t="str">
        <f aca="false">IF($A35="","",IFERROR(INDEX(Flows!$E$2:$E$400,MATCH($A35,Flows!$A$2:$A$400,0)),""))</f>
        <v/>
      </c>
      <c r="L35" s="34" t="str">
        <f aca="false">IF($A35="","",IFERROR(INDEX(Flows!$I$2:$I$400,MATCH($A35,Flows!$A$2:$A$400,0)),""))</f>
        <v/>
      </c>
      <c r="M35" s="34" t="str">
        <f aca="false">IF($A35="","",IF(AND($I35="actual",$L35&lt;&gt;"disputed"),1,0))</f>
        <v/>
      </c>
      <c r="N35" s="34" t="str">
        <f aca="false">IF($A35="","",IF($M35=1,IF(COUNTIFS(Flows!$B$2:$B$400,"required",Flows!$C$2:$C$400,$J35,Flows!$E$2:$E$400,$K35)&gt;0,1,0),0))</f>
        <v/>
      </c>
      <c r="O35" s="34" t="str">
        <f aca="false">IF($A35="","",IFERROR(INDEX(Topics!$C$2:$C$100,MATCH($J35,Topics!$A$2:$A$100,0)),""))</f>
        <v/>
      </c>
      <c r="P35" s="34" t="str">
        <f aca="false">IF($A35="","",IF($B35="ritual","ephemeral",IFERROR(INDEX(Channels!$E$2:$E$50,MATCH($C35,Channels!$A$2:$A$50,0)),"")))</f>
        <v/>
      </c>
    </row>
    <row r="36" customFormat="false" ht="15" hidden="false" customHeight="true" outlineLevel="0" collapsed="false">
      <c r="A36" s="31"/>
      <c r="B36" s="31"/>
      <c r="C36" s="31"/>
      <c r="D36" s="31"/>
      <c r="E36" s="34" t="str">
        <f aca="false">IF($A36="","",IF($B36="ritual",IFERROR(INDEX(Rituals!$B$2:$B$50,MATCH($C36,Rituals!$A$2:$A$50,0)),"?"),IFERROR(INDEX(Channels!$B$2:$B$50,MATCH($C36,Channels!$A$2:$A$50,0)),"?")))</f>
        <v/>
      </c>
      <c r="F36" s="34" t="str">
        <f aca="false">IF($A36="","",IF($B36="ritual",IFERROR(INDEX(Rituals!$E$2:$E$50,MATCH($C36,Rituals!$A$2:$A$50,0)),""),IFERROR(INDEX(Channels!$F$2:$F$50,MATCH($C36,Channels!$A$2:$A$50,0)),"")))</f>
        <v/>
      </c>
      <c r="G36" s="34" t="str">
        <f aca="false">IF($A36="","",IFERROR(INDEX(Lists!$B$2:$B$8,MATCH($F36,Lists!$A$2:$A$8,0)),99))</f>
        <v/>
      </c>
      <c r="H36" s="34" t="str">
        <f aca="false">IF($A36="","",IF($B36="ritual","sync",IFERROR(INDEX(Channels!$D$2:$D$50,MATCH($C36,Channels!$A$2:$A$50,0)),"")))</f>
        <v/>
      </c>
      <c r="I36" s="34" t="str">
        <f aca="false">IF($A36="","",IFERROR(INDEX(Flows!$B$2:$B$400,MATCH($A36,Flows!$A$2:$A$400,0)),""))</f>
        <v/>
      </c>
      <c r="J36" s="34" t="str">
        <f aca="false">IF($A36="","",IFERROR(INDEX(Flows!$C$2:$C$400,MATCH($A36,Flows!$A$2:$A$400,0)),""))</f>
        <v/>
      </c>
      <c r="K36" s="34" t="str">
        <f aca="false">IF($A36="","",IFERROR(INDEX(Flows!$E$2:$E$400,MATCH($A36,Flows!$A$2:$A$400,0)),""))</f>
        <v/>
      </c>
      <c r="L36" s="34" t="str">
        <f aca="false">IF($A36="","",IFERROR(INDEX(Flows!$I$2:$I$400,MATCH($A36,Flows!$A$2:$A$400,0)),""))</f>
        <v/>
      </c>
      <c r="M36" s="34" t="str">
        <f aca="false">IF($A36="","",IF(AND($I36="actual",$L36&lt;&gt;"disputed"),1,0))</f>
        <v/>
      </c>
      <c r="N36" s="34" t="str">
        <f aca="false">IF($A36="","",IF($M36=1,IF(COUNTIFS(Flows!$B$2:$B$400,"required",Flows!$C$2:$C$400,$J36,Flows!$E$2:$E$400,$K36)&gt;0,1,0),0))</f>
        <v/>
      </c>
      <c r="O36" s="34" t="str">
        <f aca="false">IF($A36="","",IFERROR(INDEX(Topics!$C$2:$C$100,MATCH($J36,Topics!$A$2:$A$100,0)),""))</f>
        <v/>
      </c>
      <c r="P36" s="34" t="str">
        <f aca="false">IF($A36="","",IF($B36="ritual","ephemeral",IFERROR(INDEX(Channels!$E$2:$E$50,MATCH($C36,Channels!$A$2:$A$50,0)),"")))</f>
        <v/>
      </c>
    </row>
    <row r="37" customFormat="false" ht="15" hidden="false" customHeight="true" outlineLevel="0" collapsed="false">
      <c r="A37" s="31"/>
      <c r="B37" s="31"/>
      <c r="C37" s="31"/>
      <c r="D37" s="31"/>
      <c r="E37" s="34" t="str">
        <f aca="false">IF($A37="","",IF($B37="ritual",IFERROR(INDEX(Rituals!$B$2:$B$50,MATCH($C37,Rituals!$A$2:$A$50,0)),"?"),IFERROR(INDEX(Channels!$B$2:$B$50,MATCH($C37,Channels!$A$2:$A$50,0)),"?")))</f>
        <v/>
      </c>
      <c r="F37" s="34" t="str">
        <f aca="false">IF($A37="","",IF($B37="ritual",IFERROR(INDEX(Rituals!$E$2:$E$50,MATCH($C37,Rituals!$A$2:$A$50,0)),""),IFERROR(INDEX(Channels!$F$2:$F$50,MATCH($C37,Channels!$A$2:$A$50,0)),"")))</f>
        <v/>
      </c>
      <c r="G37" s="34" t="str">
        <f aca="false">IF($A37="","",IFERROR(INDEX(Lists!$B$2:$B$8,MATCH($F37,Lists!$A$2:$A$8,0)),99))</f>
        <v/>
      </c>
      <c r="H37" s="34" t="str">
        <f aca="false">IF($A37="","",IF($B37="ritual","sync",IFERROR(INDEX(Channels!$D$2:$D$50,MATCH($C37,Channels!$A$2:$A$50,0)),"")))</f>
        <v/>
      </c>
      <c r="I37" s="34" t="str">
        <f aca="false">IF($A37="","",IFERROR(INDEX(Flows!$B$2:$B$400,MATCH($A37,Flows!$A$2:$A$400,0)),""))</f>
        <v/>
      </c>
      <c r="J37" s="34" t="str">
        <f aca="false">IF($A37="","",IFERROR(INDEX(Flows!$C$2:$C$400,MATCH($A37,Flows!$A$2:$A$400,0)),""))</f>
        <v/>
      </c>
      <c r="K37" s="34" t="str">
        <f aca="false">IF($A37="","",IFERROR(INDEX(Flows!$E$2:$E$400,MATCH($A37,Flows!$A$2:$A$400,0)),""))</f>
        <v/>
      </c>
      <c r="L37" s="34" t="str">
        <f aca="false">IF($A37="","",IFERROR(INDEX(Flows!$I$2:$I$400,MATCH($A37,Flows!$A$2:$A$400,0)),""))</f>
        <v/>
      </c>
      <c r="M37" s="34" t="str">
        <f aca="false">IF($A37="","",IF(AND($I37="actual",$L37&lt;&gt;"disputed"),1,0))</f>
        <v/>
      </c>
      <c r="N37" s="34" t="str">
        <f aca="false">IF($A37="","",IF($M37=1,IF(COUNTIFS(Flows!$B$2:$B$400,"required",Flows!$C$2:$C$400,$J37,Flows!$E$2:$E$400,$K37)&gt;0,1,0),0))</f>
        <v/>
      </c>
      <c r="O37" s="34" t="str">
        <f aca="false">IF($A37="","",IFERROR(INDEX(Topics!$C$2:$C$100,MATCH($J37,Topics!$A$2:$A$100,0)),""))</f>
        <v/>
      </c>
      <c r="P37" s="34" t="str">
        <f aca="false">IF($A37="","",IF($B37="ritual","ephemeral",IFERROR(INDEX(Channels!$E$2:$E$50,MATCH($C37,Channels!$A$2:$A$50,0)),"")))</f>
        <v/>
      </c>
    </row>
    <row r="38" customFormat="false" ht="15" hidden="false" customHeight="true" outlineLevel="0" collapsed="false">
      <c r="A38" s="31"/>
      <c r="B38" s="31"/>
      <c r="C38" s="31"/>
      <c r="D38" s="31"/>
      <c r="E38" s="34" t="str">
        <f aca="false">IF($A38="","",IF($B38="ritual",IFERROR(INDEX(Rituals!$B$2:$B$50,MATCH($C38,Rituals!$A$2:$A$50,0)),"?"),IFERROR(INDEX(Channels!$B$2:$B$50,MATCH($C38,Channels!$A$2:$A$50,0)),"?")))</f>
        <v/>
      </c>
      <c r="F38" s="34" t="str">
        <f aca="false">IF($A38="","",IF($B38="ritual",IFERROR(INDEX(Rituals!$E$2:$E$50,MATCH($C38,Rituals!$A$2:$A$50,0)),""),IFERROR(INDEX(Channels!$F$2:$F$50,MATCH($C38,Channels!$A$2:$A$50,0)),"")))</f>
        <v/>
      </c>
      <c r="G38" s="34" t="str">
        <f aca="false">IF($A38="","",IFERROR(INDEX(Lists!$B$2:$B$8,MATCH($F38,Lists!$A$2:$A$8,0)),99))</f>
        <v/>
      </c>
      <c r="H38" s="34" t="str">
        <f aca="false">IF($A38="","",IF($B38="ritual","sync",IFERROR(INDEX(Channels!$D$2:$D$50,MATCH($C38,Channels!$A$2:$A$50,0)),"")))</f>
        <v/>
      </c>
      <c r="I38" s="34" t="str">
        <f aca="false">IF($A38="","",IFERROR(INDEX(Flows!$B$2:$B$400,MATCH($A38,Flows!$A$2:$A$400,0)),""))</f>
        <v/>
      </c>
      <c r="J38" s="34" t="str">
        <f aca="false">IF($A38="","",IFERROR(INDEX(Flows!$C$2:$C$400,MATCH($A38,Flows!$A$2:$A$400,0)),""))</f>
        <v/>
      </c>
      <c r="K38" s="34" t="str">
        <f aca="false">IF($A38="","",IFERROR(INDEX(Flows!$E$2:$E$400,MATCH($A38,Flows!$A$2:$A$400,0)),""))</f>
        <v/>
      </c>
      <c r="L38" s="34" t="str">
        <f aca="false">IF($A38="","",IFERROR(INDEX(Flows!$I$2:$I$400,MATCH($A38,Flows!$A$2:$A$400,0)),""))</f>
        <v/>
      </c>
      <c r="M38" s="34" t="str">
        <f aca="false">IF($A38="","",IF(AND($I38="actual",$L38&lt;&gt;"disputed"),1,0))</f>
        <v/>
      </c>
      <c r="N38" s="34" t="str">
        <f aca="false">IF($A38="","",IF($M38=1,IF(COUNTIFS(Flows!$B$2:$B$400,"required",Flows!$C$2:$C$400,$J38,Flows!$E$2:$E$400,$K38)&gt;0,1,0),0))</f>
        <v/>
      </c>
      <c r="O38" s="34" t="str">
        <f aca="false">IF($A38="","",IFERROR(INDEX(Topics!$C$2:$C$100,MATCH($J38,Topics!$A$2:$A$100,0)),""))</f>
        <v/>
      </c>
      <c r="P38" s="34" t="str">
        <f aca="false">IF($A38="","",IF($B38="ritual","ephemeral",IFERROR(INDEX(Channels!$E$2:$E$50,MATCH($C38,Channels!$A$2:$A$50,0)),"")))</f>
        <v/>
      </c>
    </row>
    <row r="39" customFormat="false" ht="15" hidden="false" customHeight="true" outlineLevel="0" collapsed="false">
      <c r="A39" s="31"/>
      <c r="B39" s="31"/>
      <c r="C39" s="31"/>
      <c r="D39" s="31"/>
      <c r="E39" s="34" t="str">
        <f aca="false">IF($A39="","",IF($B39="ritual",IFERROR(INDEX(Rituals!$B$2:$B$50,MATCH($C39,Rituals!$A$2:$A$50,0)),"?"),IFERROR(INDEX(Channels!$B$2:$B$50,MATCH($C39,Channels!$A$2:$A$50,0)),"?")))</f>
        <v/>
      </c>
      <c r="F39" s="34" t="str">
        <f aca="false">IF($A39="","",IF($B39="ritual",IFERROR(INDEX(Rituals!$E$2:$E$50,MATCH($C39,Rituals!$A$2:$A$50,0)),""),IFERROR(INDEX(Channels!$F$2:$F$50,MATCH($C39,Channels!$A$2:$A$50,0)),"")))</f>
        <v/>
      </c>
      <c r="G39" s="34" t="str">
        <f aca="false">IF($A39="","",IFERROR(INDEX(Lists!$B$2:$B$8,MATCH($F39,Lists!$A$2:$A$8,0)),99))</f>
        <v/>
      </c>
      <c r="H39" s="34" t="str">
        <f aca="false">IF($A39="","",IF($B39="ritual","sync",IFERROR(INDEX(Channels!$D$2:$D$50,MATCH($C39,Channels!$A$2:$A$50,0)),"")))</f>
        <v/>
      </c>
      <c r="I39" s="34" t="str">
        <f aca="false">IF($A39="","",IFERROR(INDEX(Flows!$B$2:$B$400,MATCH($A39,Flows!$A$2:$A$400,0)),""))</f>
        <v/>
      </c>
      <c r="J39" s="34" t="str">
        <f aca="false">IF($A39="","",IFERROR(INDEX(Flows!$C$2:$C$400,MATCH($A39,Flows!$A$2:$A$400,0)),""))</f>
        <v/>
      </c>
      <c r="K39" s="34" t="str">
        <f aca="false">IF($A39="","",IFERROR(INDEX(Flows!$E$2:$E$400,MATCH($A39,Flows!$A$2:$A$400,0)),""))</f>
        <v/>
      </c>
      <c r="L39" s="34" t="str">
        <f aca="false">IF($A39="","",IFERROR(INDEX(Flows!$I$2:$I$400,MATCH($A39,Flows!$A$2:$A$400,0)),""))</f>
        <v/>
      </c>
      <c r="M39" s="34" t="str">
        <f aca="false">IF($A39="","",IF(AND($I39="actual",$L39&lt;&gt;"disputed"),1,0))</f>
        <v/>
      </c>
      <c r="N39" s="34" t="str">
        <f aca="false">IF($A39="","",IF($M39=1,IF(COUNTIFS(Flows!$B$2:$B$400,"required",Flows!$C$2:$C$400,$J39,Flows!$E$2:$E$400,$K39)&gt;0,1,0),0))</f>
        <v/>
      </c>
      <c r="O39" s="34" t="str">
        <f aca="false">IF($A39="","",IFERROR(INDEX(Topics!$C$2:$C$100,MATCH($J39,Topics!$A$2:$A$100,0)),""))</f>
        <v/>
      </c>
      <c r="P39" s="34" t="str">
        <f aca="false">IF($A39="","",IF($B39="ritual","ephemeral",IFERROR(INDEX(Channels!$E$2:$E$50,MATCH($C39,Channels!$A$2:$A$50,0)),"")))</f>
        <v/>
      </c>
    </row>
    <row r="40" customFormat="false" ht="15" hidden="false" customHeight="true" outlineLevel="0" collapsed="false">
      <c r="A40" s="31"/>
      <c r="B40" s="31"/>
      <c r="C40" s="31"/>
      <c r="D40" s="31"/>
      <c r="E40" s="34" t="str">
        <f aca="false">IF($A40="","",IF($B40="ritual",IFERROR(INDEX(Rituals!$B$2:$B$50,MATCH($C40,Rituals!$A$2:$A$50,0)),"?"),IFERROR(INDEX(Channels!$B$2:$B$50,MATCH($C40,Channels!$A$2:$A$50,0)),"?")))</f>
        <v/>
      </c>
      <c r="F40" s="34" t="str">
        <f aca="false">IF($A40="","",IF($B40="ritual",IFERROR(INDEX(Rituals!$E$2:$E$50,MATCH($C40,Rituals!$A$2:$A$50,0)),""),IFERROR(INDEX(Channels!$F$2:$F$50,MATCH($C40,Channels!$A$2:$A$50,0)),"")))</f>
        <v/>
      </c>
      <c r="G40" s="34" t="str">
        <f aca="false">IF($A40="","",IFERROR(INDEX(Lists!$B$2:$B$8,MATCH($F40,Lists!$A$2:$A$8,0)),99))</f>
        <v/>
      </c>
      <c r="H40" s="34" t="str">
        <f aca="false">IF($A40="","",IF($B40="ritual","sync",IFERROR(INDEX(Channels!$D$2:$D$50,MATCH($C40,Channels!$A$2:$A$50,0)),"")))</f>
        <v/>
      </c>
      <c r="I40" s="34" t="str">
        <f aca="false">IF($A40="","",IFERROR(INDEX(Flows!$B$2:$B$400,MATCH($A40,Flows!$A$2:$A$400,0)),""))</f>
        <v/>
      </c>
      <c r="J40" s="34" t="str">
        <f aca="false">IF($A40="","",IFERROR(INDEX(Flows!$C$2:$C$400,MATCH($A40,Flows!$A$2:$A$400,0)),""))</f>
        <v/>
      </c>
      <c r="K40" s="34" t="str">
        <f aca="false">IF($A40="","",IFERROR(INDEX(Flows!$E$2:$E$400,MATCH($A40,Flows!$A$2:$A$400,0)),""))</f>
        <v/>
      </c>
      <c r="L40" s="34" t="str">
        <f aca="false">IF($A40="","",IFERROR(INDEX(Flows!$I$2:$I$400,MATCH($A40,Flows!$A$2:$A$400,0)),""))</f>
        <v/>
      </c>
      <c r="M40" s="34" t="str">
        <f aca="false">IF($A40="","",IF(AND($I40="actual",$L40&lt;&gt;"disputed"),1,0))</f>
        <v/>
      </c>
      <c r="N40" s="34" t="str">
        <f aca="false">IF($A40="","",IF($M40=1,IF(COUNTIFS(Flows!$B$2:$B$400,"required",Flows!$C$2:$C$400,$J40,Flows!$E$2:$E$400,$K40)&gt;0,1,0),0))</f>
        <v/>
      </c>
      <c r="O40" s="34" t="str">
        <f aca="false">IF($A40="","",IFERROR(INDEX(Topics!$C$2:$C$100,MATCH($J40,Topics!$A$2:$A$100,0)),""))</f>
        <v/>
      </c>
      <c r="P40" s="34" t="str">
        <f aca="false">IF($A40="","",IF($B40="ritual","ephemeral",IFERROR(INDEX(Channels!$E$2:$E$50,MATCH($C40,Channels!$A$2:$A$50,0)),"")))</f>
        <v/>
      </c>
    </row>
    <row r="41" customFormat="false" ht="15" hidden="false" customHeight="true" outlineLevel="0" collapsed="false">
      <c r="A41" s="31"/>
      <c r="B41" s="31"/>
      <c r="C41" s="31"/>
      <c r="D41" s="31"/>
      <c r="E41" s="34" t="str">
        <f aca="false">IF($A41="","",IF($B41="ritual",IFERROR(INDEX(Rituals!$B$2:$B$50,MATCH($C41,Rituals!$A$2:$A$50,0)),"?"),IFERROR(INDEX(Channels!$B$2:$B$50,MATCH($C41,Channels!$A$2:$A$50,0)),"?")))</f>
        <v/>
      </c>
      <c r="F41" s="34" t="str">
        <f aca="false">IF($A41="","",IF($B41="ritual",IFERROR(INDEX(Rituals!$E$2:$E$50,MATCH($C41,Rituals!$A$2:$A$50,0)),""),IFERROR(INDEX(Channels!$F$2:$F$50,MATCH($C41,Channels!$A$2:$A$50,0)),"")))</f>
        <v/>
      </c>
      <c r="G41" s="34" t="str">
        <f aca="false">IF($A41="","",IFERROR(INDEX(Lists!$B$2:$B$8,MATCH($F41,Lists!$A$2:$A$8,0)),99))</f>
        <v/>
      </c>
      <c r="H41" s="34" t="str">
        <f aca="false">IF($A41="","",IF($B41="ritual","sync",IFERROR(INDEX(Channels!$D$2:$D$50,MATCH($C41,Channels!$A$2:$A$50,0)),"")))</f>
        <v/>
      </c>
      <c r="I41" s="34" t="str">
        <f aca="false">IF($A41="","",IFERROR(INDEX(Flows!$B$2:$B$400,MATCH($A41,Flows!$A$2:$A$400,0)),""))</f>
        <v/>
      </c>
      <c r="J41" s="34" t="str">
        <f aca="false">IF($A41="","",IFERROR(INDEX(Flows!$C$2:$C$400,MATCH($A41,Flows!$A$2:$A$400,0)),""))</f>
        <v/>
      </c>
      <c r="K41" s="34" t="str">
        <f aca="false">IF($A41="","",IFERROR(INDEX(Flows!$E$2:$E$400,MATCH($A41,Flows!$A$2:$A$400,0)),""))</f>
        <v/>
      </c>
      <c r="L41" s="34" t="str">
        <f aca="false">IF($A41="","",IFERROR(INDEX(Flows!$I$2:$I$400,MATCH($A41,Flows!$A$2:$A$400,0)),""))</f>
        <v/>
      </c>
      <c r="M41" s="34" t="str">
        <f aca="false">IF($A41="","",IF(AND($I41="actual",$L41&lt;&gt;"disputed"),1,0))</f>
        <v/>
      </c>
      <c r="N41" s="34" t="str">
        <f aca="false">IF($A41="","",IF($M41=1,IF(COUNTIFS(Flows!$B$2:$B$400,"required",Flows!$C$2:$C$400,$J41,Flows!$E$2:$E$400,$K41)&gt;0,1,0),0))</f>
        <v/>
      </c>
      <c r="O41" s="34" t="str">
        <f aca="false">IF($A41="","",IFERROR(INDEX(Topics!$C$2:$C$100,MATCH($J41,Topics!$A$2:$A$100,0)),""))</f>
        <v/>
      </c>
      <c r="P41" s="34" t="str">
        <f aca="false">IF($A41="","",IF($B41="ritual","ephemeral",IFERROR(INDEX(Channels!$E$2:$E$50,MATCH($C41,Channels!$A$2:$A$50,0)),"")))</f>
        <v/>
      </c>
    </row>
    <row r="42" customFormat="false" ht="15" hidden="false" customHeight="true" outlineLevel="0" collapsed="false">
      <c r="A42" s="31"/>
      <c r="B42" s="31"/>
      <c r="C42" s="31"/>
      <c r="D42" s="31"/>
      <c r="E42" s="34" t="str">
        <f aca="false">IF($A42="","",IF($B42="ritual",IFERROR(INDEX(Rituals!$B$2:$B$50,MATCH($C42,Rituals!$A$2:$A$50,0)),"?"),IFERROR(INDEX(Channels!$B$2:$B$50,MATCH($C42,Channels!$A$2:$A$50,0)),"?")))</f>
        <v/>
      </c>
      <c r="F42" s="34" t="str">
        <f aca="false">IF($A42="","",IF($B42="ritual",IFERROR(INDEX(Rituals!$E$2:$E$50,MATCH($C42,Rituals!$A$2:$A$50,0)),""),IFERROR(INDEX(Channels!$F$2:$F$50,MATCH($C42,Channels!$A$2:$A$50,0)),"")))</f>
        <v/>
      </c>
      <c r="G42" s="34" t="str">
        <f aca="false">IF($A42="","",IFERROR(INDEX(Lists!$B$2:$B$8,MATCH($F42,Lists!$A$2:$A$8,0)),99))</f>
        <v/>
      </c>
      <c r="H42" s="34" t="str">
        <f aca="false">IF($A42="","",IF($B42="ritual","sync",IFERROR(INDEX(Channels!$D$2:$D$50,MATCH($C42,Channels!$A$2:$A$50,0)),"")))</f>
        <v/>
      </c>
      <c r="I42" s="34" t="str">
        <f aca="false">IF($A42="","",IFERROR(INDEX(Flows!$B$2:$B$400,MATCH($A42,Flows!$A$2:$A$400,0)),""))</f>
        <v/>
      </c>
      <c r="J42" s="34" t="str">
        <f aca="false">IF($A42="","",IFERROR(INDEX(Flows!$C$2:$C$400,MATCH($A42,Flows!$A$2:$A$400,0)),""))</f>
        <v/>
      </c>
      <c r="K42" s="34" t="str">
        <f aca="false">IF($A42="","",IFERROR(INDEX(Flows!$E$2:$E$400,MATCH($A42,Flows!$A$2:$A$400,0)),""))</f>
        <v/>
      </c>
      <c r="L42" s="34" t="str">
        <f aca="false">IF($A42="","",IFERROR(INDEX(Flows!$I$2:$I$400,MATCH($A42,Flows!$A$2:$A$400,0)),""))</f>
        <v/>
      </c>
      <c r="M42" s="34" t="str">
        <f aca="false">IF($A42="","",IF(AND($I42="actual",$L42&lt;&gt;"disputed"),1,0))</f>
        <v/>
      </c>
      <c r="N42" s="34" t="str">
        <f aca="false">IF($A42="","",IF($M42=1,IF(COUNTIFS(Flows!$B$2:$B$400,"required",Flows!$C$2:$C$400,$J42,Flows!$E$2:$E$400,$K42)&gt;0,1,0),0))</f>
        <v/>
      </c>
      <c r="O42" s="34" t="str">
        <f aca="false">IF($A42="","",IFERROR(INDEX(Topics!$C$2:$C$100,MATCH($J42,Topics!$A$2:$A$100,0)),""))</f>
        <v/>
      </c>
      <c r="P42" s="34" t="str">
        <f aca="false">IF($A42="","",IF($B42="ritual","ephemeral",IFERROR(INDEX(Channels!$E$2:$E$50,MATCH($C42,Channels!$A$2:$A$50,0)),"")))</f>
        <v/>
      </c>
    </row>
    <row r="43" customFormat="false" ht="15" hidden="false" customHeight="true" outlineLevel="0" collapsed="false">
      <c r="A43" s="31"/>
      <c r="B43" s="31"/>
      <c r="C43" s="31"/>
      <c r="D43" s="31"/>
      <c r="E43" s="34" t="str">
        <f aca="false">IF($A43="","",IF($B43="ritual",IFERROR(INDEX(Rituals!$B$2:$B$50,MATCH($C43,Rituals!$A$2:$A$50,0)),"?"),IFERROR(INDEX(Channels!$B$2:$B$50,MATCH($C43,Channels!$A$2:$A$50,0)),"?")))</f>
        <v/>
      </c>
      <c r="F43" s="34" t="str">
        <f aca="false">IF($A43="","",IF($B43="ritual",IFERROR(INDEX(Rituals!$E$2:$E$50,MATCH($C43,Rituals!$A$2:$A$50,0)),""),IFERROR(INDEX(Channels!$F$2:$F$50,MATCH($C43,Channels!$A$2:$A$50,0)),"")))</f>
        <v/>
      </c>
      <c r="G43" s="34" t="str">
        <f aca="false">IF($A43="","",IFERROR(INDEX(Lists!$B$2:$B$8,MATCH($F43,Lists!$A$2:$A$8,0)),99))</f>
        <v/>
      </c>
      <c r="H43" s="34" t="str">
        <f aca="false">IF($A43="","",IF($B43="ritual","sync",IFERROR(INDEX(Channels!$D$2:$D$50,MATCH($C43,Channels!$A$2:$A$50,0)),"")))</f>
        <v/>
      </c>
      <c r="I43" s="34" t="str">
        <f aca="false">IF($A43="","",IFERROR(INDEX(Flows!$B$2:$B$400,MATCH($A43,Flows!$A$2:$A$400,0)),""))</f>
        <v/>
      </c>
      <c r="J43" s="34" t="str">
        <f aca="false">IF($A43="","",IFERROR(INDEX(Flows!$C$2:$C$400,MATCH($A43,Flows!$A$2:$A$400,0)),""))</f>
        <v/>
      </c>
      <c r="K43" s="34" t="str">
        <f aca="false">IF($A43="","",IFERROR(INDEX(Flows!$E$2:$E$400,MATCH($A43,Flows!$A$2:$A$400,0)),""))</f>
        <v/>
      </c>
      <c r="L43" s="34" t="str">
        <f aca="false">IF($A43="","",IFERROR(INDEX(Flows!$I$2:$I$400,MATCH($A43,Flows!$A$2:$A$400,0)),""))</f>
        <v/>
      </c>
      <c r="M43" s="34" t="str">
        <f aca="false">IF($A43="","",IF(AND($I43="actual",$L43&lt;&gt;"disputed"),1,0))</f>
        <v/>
      </c>
      <c r="N43" s="34" t="str">
        <f aca="false">IF($A43="","",IF($M43=1,IF(COUNTIFS(Flows!$B$2:$B$400,"required",Flows!$C$2:$C$400,$J43,Flows!$E$2:$E$400,$K43)&gt;0,1,0),0))</f>
        <v/>
      </c>
      <c r="O43" s="34" t="str">
        <f aca="false">IF($A43="","",IFERROR(INDEX(Topics!$C$2:$C$100,MATCH($J43,Topics!$A$2:$A$100,0)),""))</f>
        <v/>
      </c>
      <c r="P43" s="34" t="str">
        <f aca="false">IF($A43="","",IF($B43="ritual","ephemeral",IFERROR(INDEX(Channels!$E$2:$E$50,MATCH($C43,Channels!$A$2:$A$50,0)),"")))</f>
        <v/>
      </c>
    </row>
    <row r="44" customFormat="false" ht="15" hidden="false" customHeight="true" outlineLevel="0" collapsed="false">
      <c r="A44" s="31"/>
      <c r="B44" s="31"/>
      <c r="C44" s="31"/>
      <c r="D44" s="31"/>
      <c r="E44" s="34" t="str">
        <f aca="false">IF($A44="","",IF($B44="ritual",IFERROR(INDEX(Rituals!$B$2:$B$50,MATCH($C44,Rituals!$A$2:$A$50,0)),"?"),IFERROR(INDEX(Channels!$B$2:$B$50,MATCH($C44,Channels!$A$2:$A$50,0)),"?")))</f>
        <v/>
      </c>
      <c r="F44" s="34" t="str">
        <f aca="false">IF($A44="","",IF($B44="ritual",IFERROR(INDEX(Rituals!$E$2:$E$50,MATCH($C44,Rituals!$A$2:$A$50,0)),""),IFERROR(INDEX(Channels!$F$2:$F$50,MATCH($C44,Channels!$A$2:$A$50,0)),"")))</f>
        <v/>
      </c>
      <c r="G44" s="34" t="str">
        <f aca="false">IF($A44="","",IFERROR(INDEX(Lists!$B$2:$B$8,MATCH($F44,Lists!$A$2:$A$8,0)),99))</f>
        <v/>
      </c>
      <c r="H44" s="34" t="str">
        <f aca="false">IF($A44="","",IF($B44="ritual","sync",IFERROR(INDEX(Channels!$D$2:$D$50,MATCH($C44,Channels!$A$2:$A$50,0)),"")))</f>
        <v/>
      </c>
      <c r="I44" s="34" t="str">
        <f aca="false">IF($A44="","",IFERROR(INDEX(Flows!$B$2:$B$400,MATCH($A44,Flows!$A$2:$A$400,0)),""))</f>
        <v/>
      </c>
      <c r="J44" s="34" t="str">
        <f aca="false">IF($A44="","",IFERROR(INDEX(Flows!$C$2:$C$400,MATCH($A44,Flows!$A$2:$A$400,0)),""))</f>
        <v/>
      </c>
      <c r="K44" s="34" t="str">
        <f aca="false">IF($A44="","",IFERROR(INDEX(Flows!$E$2:$E$400,MATCH($A44,Flows!$A$2:$A$400,0)),""))</f>
        <v/>
      </c>
      <c r="L44" s="34" t="str">
        <f aca="false">IF($A44="","",IFERROR(INDEX(Flows!$I$2:$I$400,MATCH($A44,Flows!$A$2:$A$400,0)),""))</f>
        <v/>
      </c>
      <c r="M44" s="34" t="str">
        <f aca="false">IF($A44="","",IF(AND($I44="actual",$L44&lt;&gt;"disputed"),1,0))</f>
        <v/>
      </c>
      <c r="N44" s="34" t="str">
        <f aca="false">IF($A44="","",IF($M44=1,IF(COUNTIFS(Flows!$B$2:$B$400,"required",Flows!$C$2:$C$400,$J44,Flows!$E$2:$E$400,$K44)&gt;0,1,0),0))</f>
        <v/>
      </c>
      <c r="O44" s="34" t="str">
        <f aca="false">IF($A44="","",IFERROR(INDEX(Topics!$C$2:$C$100,MATCH($J44,Topics!$A$2:$A$100,0)),""))</f>
        <v/>
      </c>
      <c r="P44" s="34" t="str">
        <f aca="false">IF($A44="","",IF($B44="ritual","ephemeral",IFERROR(INDEX(Channels!$E$2:$E$50,MATCH($C44,Channels!$A$2:$A$50,0)),"")))</f>
        <v/>
      </c>
    </row>
    <row r="45" customFormat="false" ht="15" hidden="false" customHeight="true" outlineLevel="0" collapsed="false">
      <c r="A45" s="31"/>
      <c r="B45" s="31"/>
      <c r="C45" s="31"/>
      <c r="D45" s="31"/>
      <c r="E45" s="34" t="str">
        <f aca="false">IF($A45="","",IF($B45="ritual",IFERROR(INDEX(Rituals!$B$2:$B$50,MATCH($C45,Rituals!$A$2:$A$50,0)),"?"),IFERROR(INDEX(Channels!$B$2:$B$50,MATCH($C45,Channels!$A$2:$A$50,0)),"?")))</f>
        <v/>
      </c>
      <c r="F45" s="34" t="str">
        <f aca="false">IF($A45="","",IF($B45="ritual",IFERROR(INDEX(Rituals!$E$2:$E$50,MATCH($C45,Rituals!$A$2:$A$50,0)),""),IFERROR(INDEX(Channels!$F$2:$F$50,MATCH($C45,Channels!$A$2:$A$50,0)),"")))</f>
        <v/>
      </c>
      <c r="G45" s="34" t="str">
        <f aca="false">IF($A45="","",IFERROR(INDEX(Lists!$B$2:$B$8,MATCH($F45,Lists!$A$2:$A$8,0)),99))</f>
        <v/>
      </c>
      <c r="H45" s="34" t="str">
        <f aca="false">IF($A45="","",IF($B45="ritual","sync",IFERROR(INDEX(Channels!$D$2:$D$50,MATCH($C45,Channels!$A$2:$A$50,0)),"")))</f>
        <v/>
      </c>
      <c r="I45" s="34" t="str">
        <f aca="false">IF($A45="","",IFERROR(INDEX(Flows!$B$2:$B$400,MATCH($A45,Flows!$A$2:$A$400,0)),""))</f>
        <v/>
      </c>
      <c r="J45" s="34" t="str">
        <f aca="false">IF($A45="","",IFERROR(INDEX(Flows!$C$2:$C$400,MATCH($A45,Flows!$A$2:$A$400,0)),""))</f>
        <v/>
      </c>
      <c r="K45" s="34" t="str">
        <f aca="false">IF($A45="","",IFERROR(INDEX(Flows!$E$2:$E$400,MATCH($A45,Flows!$A$2:$A$400,0)),""))</f>
        <v/>
      </c>
      <c r="L45" s="34" t="str">
        <f aca="false">IF($A45="","",IFERROR(INDEX(Flows!$I$2:$I$400,MATCH($A45,Flows!$A$2:$A$400,0)),""))</f>
        <v/>
      </c>
      <c r="M45" s="34" t="str">
        <f aca="false">IF($A45="","",IF(AND($I45="actual",$L45&lt;&gt;"disputed"),1,0))</f>
        <v/>
      </c>
      <c r="N45" s="34" t="str">
        <f aca="false">IF($A45="","",IF($M45=1,IF(COUNTIFS(Flows!$B$2:$B$400,"required",Flows!$C$2:$C$400,$J45,Flows!$E$2:$E$400,$K45)&gt;0,1,0),0))</f>
        <v/>
      </c>
      <c r="O45" s="34" t="str">
        <f aca="false">IF($A45="","",IFERROR(INDEX(Topics!$C$2:$C$100,MATCH($J45,Topics!$A$2:$A$100,0)),""))</f>
        <v/>
      </c>
      <c r="P45" s="34" t="str">
        <f aca="false">IF($A45="","",IF($B45="ritual","ephemeral",IFERROR(INDEX(Channels!$E$2:$E$50,MATCH($C45,Channels!$A$2:$A$50,0)),"")))</f>
        <v/>
      </c>
    </row>
    <row r="46" customFormat="false" ht="15" hidden="false" customHeight="true" outlineLevel="0" collapsed="false">
      <c r="A46" s="31"/>
      <c r="B46" s="31"/>
      <c r="C46" s="31"/>
      <c r="D46" s="31"/>
      <c r="E46" s="34" t="str">
        <f aca="false">IF($A46="","",IF($B46="ritual",IFERROR(INDEX(Rituals!$B$2:$B$50,MATCH($C46,Rituals!$A$2:$A$50,0)),"?"),IFERROR(INDEX(Channels!$B$2:$B$50,MATCH($C46,Channels!$A$2:$A$50,0)),"?")))</f>
        <v/>
      </c>
      <c r="F46" s="34" t="str">
        <f aca="false">IF($A46="","",IF($B46="ritual",IFERROR(INDEX(Rituals!$E$2:$E$50,MATCH($C46,Rituals!$A$2:$A$50,0)),""),IFERROR(INDEX(Channels!$F$2:$F$50,MATCH($C46,Channels!$A$2:$A$50,0)),"")))</f>
        <v/>
      </c>
      <c r="G46" s="34" t="str">
        <f aca="false">IF($A46="","",IFERROR(INDEX(Lists!$B$2:$B$8,MATCH($F46,Lists!$A$2:$A$8,0)),99))</f>
        <v/>
      </c>
      <c r="H46" s="34" t="str">
        <f aca="false">IF($A46="","",IF($B46="ritual","sync",IFERROR(INDEX(Channels!$D$2:$D$50,MATCH($C46,Channels!$A$2:$A$50,0)),"")))</f>
        <v/>
      </c>
      <c r="I46" s="34" t="str">
        <f aca="false">IF($A46="","",IFERROR(INDEX(Flows!$B$2:$B$400,MATCH($A46,Flows!$A$2:$A$400,0)),""))</f>
        <v/>
      </c>
      <c r="J46" s="34" t="str">
        <f aca="false">IF($A46="","",IFERROR(INDEX(Flows!$C$2:$C$400,MATCH($A46,Flows!$A$2:$A$400,0)),""))</f>
        <v/>
      </c>
      <c r="K46" s="34" t="str">
        <f aca="false">IF($A46="","",IFERROR(INDEX(Flows!$E$2:$E$400,MATCH($A46,Flows!$A$2:$A$400,0)),""))</f>
        <v/>
      </c>
      <c r="L46" s="34" t="str">
        <f aca="false">IF($A46="","",IFERROR(INDEX(Flows!$I$2:$I$400,MATCH($A46,Flows!$A$2:$A$400,0)),""))</f>
        <v/>
      </c>
      <c r="M46" s="34" t="str">
        <f aca="false">IF($A46="","",IF(AND($I46="actual",$L46&lt;&gt;"disputed"),1,0))</f>
        <v/>
      </c>
      <c r="N46" s="34" t="str">
        <f aca="false">IF($A46="","",IF($M46=1,IF(COUNTIFS(Flows!$B$2:$B$400,"required",Flows!$C$2:$C$400,$J46,Flows!$E$2:$E$400,$K46)&gt;0,1,0),0))</f>
        <v/>
      </c>
      <c r="O46" s="34" t="str">
        <f aca="false">IF($A46="","",IFERROR(INDEX(Topics!$C$2:$C$100,MATCH($J46,Topics!$A$2:$A$100,0)),""))</f>
        <v/>
      </c>
      <c r="P46" s="34" t="str">
        <f aca="false">IF($A46="","",IF($B46="ritual","ephemeral",IFERROR(INDEX(Channels!$E$2:$E$50,MATCH($C46,Channels!$A$2:$A$50,0)),"")))</f>
        <v/>
      </c>
    </row>
    <row r="47" customFormat="false" ht="15" hidden="false" customHeight="true" outlineLevel="0" collapsed="false">
      <c r="A47" s="31"/>
      <c r="B47" s="31"/>
      <c r="C47" s="31"/>
      <c r="D47" s="31"/>
      <c r="E47" s="34" t="str">
        <f aca="false">IF($A47="","",IF($B47="ritual",IFERROR(INDEX(Rituals!$B$2:$B$50,MATCH($C47,Rituals!$A$2:$A$50,0)),"?"),IFERROR(INDEX(Channels!$B$2:$B$50,MATCH($C47,Channels!$A$2:$A$50,0)),"?")))</f>
        <v/>
      </c>
      <c r="F47" s="34" t="str">
        <f aca="false">IF($A47="","",IF($B47="ritual",IFERROR(INDEX(Rituals!$E$2:$E$50,MATCH($C47,Rituals!$A$2:$A$50,0)),""),IFERROR(INDEX(Channels!$F$2:$F$50,MATCH($C47,Channels!$A$2:$A$50,0)),"")))</f>
        <v/>
      </c>
      <c r="G47" s="34" t="str">
        <f aca="false">IF($A47="","",IFERROR(INDEX(Lists!$B$2:$B$8,MATCH($F47,Lists!$A$2:$A$8,0)),99))</f>
        <v/>
      </c>
      <c r="H47" s="34" t="str">
        <f aca="false">IF($A47="","",IF($B47="ritual","sync",IFERROR(INDEX(Channels!$D$2:$D$50,MATCH($C47,Channels!$A$2:$A$50,0)),"")))</f>
        <v/>
      </c>
      <c r="I47" s="34" t="str">
        <f aca="false">IF($A47="","",IFERROR(INDEX(Flows!$B$2:$B$400,MATCH($A47,Flows!$A$2:$A$400,0)),""))</f>
        <v/>
      </c>
      <c r="J47" s="34" t="str">
        <f aca="false">IF($A47="","",IFERROR(INDEX(Flows!$C$2:$C$400,MATCH($A47,Flows!$A$2:$A$400,0)),""))</f>
        <v/>
      </c>
      <c r="K47" s="34" t="str">
        <f aca="false">IF($A47="","",IFERROR(INDEX(Flows!$E$2:$E$400,MATCH($A47,Flows!$A$2:$A$400,0)),""))</f>
        <v/>
      </c>
      <c r="L47" s="34" t="str">
        <f aca="false">IF($A47="","",IFERROR(INDEX(Flows!$I$2:$I$400,MATCH($A47,Flows!$A$2:$A$400,0)),""))</f>
        <v/>
      </c>
      <c r="M47" s="34" t="str">
        <f aca="false">IF($A47="","",IF(AND($I47="actual",$L47&lt;&gt;"disputed"),1,0))</f>
        <v/>
      </c>
      <c r="N47" s="34" t="str">
        <f aca="false">IF($A47="","",IF($M47=1,IF(COUNTIFS(Flows!$B$2:$B$400,"required",Flows!$C$2:$C$400,$J47,Flows!$E$2:$E$400,$K47)&gt;0,1,0),0))</f>
        <v/>
      </c>
      <c r="O47" s="34" t="str">
        <f aca="false">IF($A47="","",IFERROR(INDEX(Topics!$C$2:$C$100,MATCH($J47,Topics!$A$2:$A$100,0)),""))</f>
        <v/>
      </c>
      <c r="P47" s="34" t="str">
        <f aca="false">IF($A47="","",IF($B47="ritual","ephemeral",IFERROR(INDEX(Channels!$E$2:$E$50,MATCH($C47,Channels!$A$2:$A$50,0)),"")))</f>
        <v/>
      </c>
    </row>
    <row r="48" customFormat="false" ht="15" hidden="false" customHeight="true" outlineLevel="0" collapsed="false">
      <c r="A48" s="31"/>
      <c r="B48" s="31"/>
      <c r="C48" s="31"/>
      <c r="D48" s="31"/>
      <c r="E48" s="34" t="str">
        <f aca="false">IF($A48="","",IF($B48="ritual",IFERROR(INDEX(Rituals!$B$2:$B$50,MATCH($C48,Rituals!$A$2:$A$50,0)),"?"),IFERROR(INDEX(Channels!$B$2:$B$50,MATCH($C48,Channels!$A$2:$A$50,0)),"?")))</f>
        <v/>
      </c>
      <c r="F48" s="34" t="str">
        <f aca="false">IF($A48="","",IF($B48="ritual",IFERROR(INDEX(Rituals!$E$2:$E$50,MATCH($C48,Rituals!$A$2:$A$50,0)),""),IFERROR(INDEX(Channels!$F$2:$F$50,MATCH($C48,Channels!$A$2:$A$50,0)),"")))</f>
        <v/>
      </c>
      <c r="G48" s="34" t="str">
        <f aca="false">IF($A48="","",IFERROR(INDEX(Lists!$B$2:$B$8,MATCH($F48,Lists!$A$2:$A$8,0)),99))</f>
        <v/>
      </c>
      <c r="H48" s="34" t="str">
        <f aca="false">IF($A48="","",IF($B48="ritual","sync",IFERROR(INDEX(Channels!$D$2:$D$50,MATCH($C48,Channels!$A$2:$A$50,0)),"")))</f>
        <v/>
      </c>
      <c r="I48" s="34" t="str">
        <f aca="false">IF($A48="","",IFERROR(INDEX(Flows!$B$2:$B$400,MATCH($A48,Flows!$A$2:$A$400,0)),""))</f>
        <v/>
      </c>
      <c r="J48" s="34" t="str">
        <f aca="false">IF($A48="","",IFERROR(INDEX(Flows!$C$2:$C$400,MATCH($A48,Flows!$A$2:$A$400,0)),""))</f>
        <v/>
      </c>
      <c r="K48" s="34" t="str">
        <f aca="false">IF($A48="","",IFERROR(INDEX(Flows!$E$2:$E$400,MATCH($A48,Flows!$A$2:$A$400,0)),""))</f>
        <v/>
      </c>
      <c r="L48" s="34" t="str">
        <f aca="false">IF($A48="","",IFERROR(INDEX(Flows!$I$2:$I$400,MATCH($A48,Flows!$A$2:$A$400,0)),""))</f>
        <v/>
      </c>
      <c r="M48" s="34" t="str">
        <f aca="false">IF($A48="","",IF(AND($I48="actual",$L48&lt;&gt;"disputed"),1,0))</f>
        <v/>
      </c>
      <c r="N48" s="34" t="str">
        <f aca="false">IF($A48="","",IF($M48=1,IF(COUNTIFS(Flows!$B$2:$B$400,"required",Flows!$C$2:$C$400,$J48,Flows!$E$2:$E$400,$K48)&gt;0,1,0),0))</f>
        <v/>
      </c>
      <c r="O48" s="34" t="str">
        <f aca="false">IF($A48="","",IFERROR(INDEX(Topics!$C$2:$C$100,MATCH($J48,Topics!$A$2:$A$100,0)),""))</f>
        <v/>
      </c>
      <c r="P48" s="34" t="str">
        <f aca="false">IF($A48="","",IF($B48="ritual","ephemeral",IFERROR(INDEX(Channels!$E$2:$E$50,MATCH($C48,Channels!$A$2:$A$50,0)),"")))</f>
        <v/>
      </c>
    </row>
    <row r="49" customFormat="false" ht="15" hidden="false" customHeight="true" outlineLevel="0" collapsed="false">
      <c r="A49" s="31"/>
      <c r="B49" s="31"/>
      <c r="C49" s="31"/>
      <c r="D49" s="31"/>
      <c r="E49" s="34" t="str">
        <f aca="false">IF($A49="","",IF($B49="ritual",IFERROR(INDEX(Rituals!$B$2:$B$50,MATCH($C49,Rituals!$A$2:$A$50,0)),"?"),IFERROR(INDEX(Channels!$B$2:$B$50,MATCH($C49,Channels!$A$2:$A$50,0)),"?")))</f>
        <v/>
      </c>
      <c r="F49" s="34" t="str">
        <f aca="false">IF($A49="","",IF($B49="ritual",IFERROR(INDEX(Rituals!$E$2:$E$50,MATCH($C49,Rituals!$A$2:$A$50,0)),""),IFERROR(INDEX(Channels!$F$2:$F$50,MATCH($C49,Channels!$A$2:$A$50,0)),"")))</f>
        <v/>
      </c>
      <c r="G49" s="34" t="str">
        <f aca="false">IF($A49="","",IFERROR(INDEX(Lists!$B$2:$B$8,MATCH($F49,Lists!$A$2:$A$8,0)),99))</f>
        <v/>
      </c>
      <c r="H49" s="34" t="str">
        <f aca="false">IF($A49="","",IF($B49="ritual","sync",IFERROR(INDEX(Channels!$D$2:$D$50,MATCH($C49,Channels!$A$2:$A$50,0)),"")))</f>
        <v/>
      </c>
      <c r="I49" s="34" t="str">
        <f aca="false">IF($A49="","",IFERROR(INDEX(Flows!$B$2:$B$400,MATCH($A49,Flows!$A$2:$A$400,0)),""))</f>
        <v/>
      </c>
      <c r="J49" s="34" t="str">
        <f aca="false">IF($A49="","",IFERROR(INDEX(Flows!$C$2:$C$400,MATCH($A49,Flows!$A$2:$A$400,0)),""))</f>
        <v/>
      </c>
      <c r="K49" s="34" t="str">
        <f aca="false">IF($A49="","",IFERROR(INDEX(Flows!$E$2:$E$400,MATCH($A49,Flows!$A$2:$A$400,0)),""))</f>
        <v/>
      </c>
      <c r="L49" s="34" t="str">
        <f aca="false">IF($A49="","",IFERROR(INDEX(Flows!$I$2:$I$400,MATCH($A49,Flows!$A$2:$A$400,0)),""))</f>
        <v/>
      </c>
      <c r="M49" s="34" t="str">
        <f aca="false">IF($A49="","",IF(AND($I49="actual",$L49&lt;&gt;"disputed"),1,0))</f>
        <v/>
      </c>
      <c r="N49" s="34" t="str">
        <f aca="false">IF($A49="","",IF($M49=1,IF(COUNTIFS(Flows!$B$2:$B$400,"required",Flows!$C$2:$C$400,$J49,Flows!$E$2:$E$400,$K49)&gt;0,1,0),0))</f>
        <v/>
      </c>
      <c r="O49" s="34" t="str">
        <f aca="false">IF($A49="","",IFERROR(INDEX(Topics!$C$2:$C$100,MATCH($J49,Topics!$A$2:$A$100,0)),""))</f>
        <v/>
      </c>
      <c r="P49" s="34" t="str">
        <f aca="false">IF($A49="","",IF($B49="ritual","ephemeral",IFERROR(INDEX(Channels!$E$2:$E$50,MATCH($C49,Channels!$A$2:$A$50,0)),"")))</f>
        <v/>
      </c>
    </row>
    <row r="50" customFormat="false" ht="15" hidden="false" customHeight="true" outlineLevel="0" collapsed="false">
      <c r="A50" s="31"/>
      <c r="B50" s="31"/>
      <c r="C50" s="31"/>
      <c r="D50" s="31"/>
      <c r="E50" s="34" t="str">
        <f aca="false">IF($A50="","",IF($B50="ritual",IFERROR(INDEX(Rituals!$B$2:$B$50,MATCH($C50,Rituals!$A$2:$A$50,0)),"?"),IFERROR(INDEX(Channels!$B$2:$B$50,MATCH($C50,Channels!$A$2:$A$50,0)),"?")))</f>
        <v/>
      </c>
      <c r="F50" s="34" t="str">
        <f aca="false">IF($A50="","",IF($B50="ritual",IFERROR(INDEX(Rituals!$E$2:$E$50,MATCH($C50,Rituals!$A$2:$A$50,0)),""),IFERROR(INDEX(Channels!$F$2:$F$50,MATCH($C50,Channels!$A$2:$A$50,0)),"")))</f>
        <v/>
      </c>
      <c r="G50" s="34" t="str">
        <f aca="false">IF($A50="","",IFERROR(INDEX(Lists!$B$2:$B$8,MATCH($F50,Lists!$A$2:$A$8,0)),99))</f>
        <v/>
      </c>
      <c r="H50" s="34" t="str">
        <f aca="false">IF($A50="","",IF($B50="ritual","sync",IFERROR(INDEX(Channels!$D$2:$D$50,MATCH($C50,Channels!$A$2:$A$50,0)),"")))</f>
        <v/>
      </c>
      <c r="I50" s="34" t="str">
        <f aca="false">IF($A50="","",IFERROR(INDEX(Flows!$B$2:$B$400,MATCH($A50,Flows!$A$2:$A$400,0)),""))</f>
        <v/>
      </c>
      <c r="J50" s="34" t="str">
        <f aca="false">IF($A50="","",IFERROR(INDEX(Flows!$C$2:$C$400,MATCH($A50,Flows!$A$2:$A$400,0)),""))</f>
        <v/>
      </c>
      <c r="K50" s="34" t="str">
        <f aca="false">IF($A50="","",IFERROR(INDEX(Flows!$E$2:$E$400,MATCH($A50,Flows!$A$2:$A$400,0)),""))</f>
        <v/>
      </c>
      <c r="L50" s="34" t="str">
        <f aca="false">IF($A50="","",IFERROR(INDEX(Flows!$I$2:$I$400,MATCH($A50,Flows!$A$2:$A$400,0)),""))</f>
        <v/>
      </c>
      <c r="M50" s="34" t="str">
        <f aca="false">IF($A50="","",IF(AND($I50="actual",$L50&lt;&gt;"disputed"),1,0))</f>
        <v/>
      </c>
      <c r="N50" s="34" t="str">
        <f aca="false">IF($A50="","",IF($M50=1,IF(COUNTIFS(Flows!$B$2:$B$400,"required",Flows!$C$2:$C$400,$J50,Flows!$E$2:$E$400,$K50)&gt;0,1,0),0))</f>
        <v/>
      </c>
      <c r="O50" s="34" t="str">
        <f aca="false">IF($A50="","",IFERROR(INDEX(Topics!$C$2:$C$100,MATCH($J50,Topics!$A$2:$A$100,0)),""))</f>
        <v/>
      </c>
      <c r="P50" s="34" t="str">
        <f aca="false">IF($A50="","",IF($B50="ritual","ephemeral",IFERROR(INDEX(Channels!$E$2:$E$50,MATCH($C50,Channels!$A$2:$A$50,0)),"")))</f>
        <v/>
      </c>
    </row>
    <row r="51" customFormat="false" ht="15" hidden="false" customHeight="true" outlineLevel="0" collapsed="false">
      <c r="A51" s="31"/>
      <c r="B51" s="31"/>
      <c r="C51" s="31"/>
      <c r="D51" s="31"/>
      <c r="E51" s="34" t="str">
        <f aca="false">IF($A51="","",IF($B51="ritual",IFERROR(INDEX(Rituals!$B$2:$B$50,MATCH($C51,Rituals!$A$2:$A$50,0)),"?"),IFERROR(INDEX(Channels!$B$2:$B$50,MATCH($C51,Channels!$A$2:$A$50,0)),"?")))</f>
        <v/>
      </c>
      <c r="F51" s="34" t="str">
        <f aca="false">IF($A51="","",IF($B51="ritual",IFERROR(INDEX(Rituals!$E$2:$E$50,MATCH($C51,Rituals!$A$2:$A$50,0)),""),IFERROR(INDEX(Channels!$F$2:$F$50,MATCH($C51,Channels!$A$2:$A$50,0)),"")))</f>
        <v/>
      </c>
      <c r="G51" s="34" t="str">
        <f aca="false">IF($A51="","",IFERROR(INDEX(Lists!$B$2:$B$8,MATCH($F51,Lists!$A$2:$A$8,0)),99))</f>
        <v/>
      </c>
      <c r="H51" s="34" t="str">
        <f aca="false">IF($A51="","",IF($B51="ritual","sync",IFERROR(INDEX(Channels!$D$2:$D$50,MATCH($C51,Channels!$A$2:$A$50,0)),"")))</f>
        <v/>
      </c>
      <c r="I51" s="34" t="str">
        <f aca="false">IF($A51="","",IFERROR(INDEX(Flows!$B$2:$B$400,MATCH($A51,Flows!$A$2:$A$400,0)),""))</f>
        <v/>
      </c>
      <c r="J51" s="34" t="str">
        <f aca="false">IF($A51="","",IFERROR(INDEX(Flows!$C$2:$C$400,MATCH($A51,Flows!$A$2:$A$400,0)),""))</f>
        <v/>
      </c>
      <c r="K51" s="34" t="str">
        <f aca="false">IF($A51="","",IFERROR(INDEX(Flows!$E$2:$E$400,MATCH($A51,Flows!$A$2:$A$400,0)),""))</f>
        <v/>
      </c>
      <c r="L51" s="34" t="str">
        <f aca="false">IF($A51="","",IFERROR(INDEX(Flows!$I$2:$I$400,MATCH($A51,Flows!$A$2:$A$400,0)),""))</f>
        <v/>
      </c>
      <c r="M51" s="34" t="str">
        <f aca="false">IF($A51="","",IF(AND($I51="actual",$L51&lt;&gt;"disputed"),1,0))</f>
        <v/>
      </c>
      <c r="N51" s="34" t="str">
        <f aca="false">IF($A51="","",IF($M51=1,IF(COUNTIFS(Flows!$B$2:$B$400,"required",Flows!$C$2:$C$400,$J51,Flows!$E$2:$E$400,$K51)&gt;0,1,0),0))</f>
        <v/>
      </c>
      <c r="O51" s="34" t="str">
        <f aca="false">IF($A51="","",IFERROR(INDEX(Topics!$C$2:$C$100,MATCH($J51,Topics!$A$2:$A$100,0)),""))</f>
        <v/>
      </c>
      <c r="P51" s="34" t="str">
        <f aca="false">IF($A51="","",IF($B51="ritual","ephemeral",IFERROR(INDEX(Channels!$E$2:$E$50,MATCH($C51,Channels!$A$2:$A$50,0)),"")))</f>
        <v/>
      </c>
    </row>
    <row r="52" customFormat="false" ht="15" hidden="false" customHeight="true" outlineLevel="0" collapsed="false">
      <c r="A52" s="31"/>
      <c r="B52" s="31"/>
      <c r="C52" s="31"/>
      <c r="D52" s="31"/>
      <c r="E52" s="34" t="str">
        <f aca="false">IF($A52="","",IF($B52="ritual",IFERROR(INDEX(Rituals!$B$2:$B$50,MATCH($C52,Rituals!$A$2:$A$50,0)),"?"),IFERROR(INDEX(Channels!$B$2:$B$50,MATCH($C52,Channels!$A$2:$A$50,0)),"?")))</f>
        <v/>
      </c>
      <c r="F52" s="34" t="str">
        <f aca="false">IF($A52="","",IF($B52="ritual",IFERROR(INDEX(Rituals!$E$2:$E$50,MATCH($C52,Rituals!$A$2:$A$50,0)),""),IFERROR(INDEX(Channels!$F$2:$F$50,MATCH($C52,Channels!$A$2:$A$50,0)),"")))</f>
        <v/>
      </c>
      <c r="G52" s="34" t="str">
        <f aca="false">IF($A52="","",IFERROR(INDEX(Lists!$B$2:$B$8,MATCH($F52,Lists!$A$2:$A$8,0)),99))</f>
        <v/>
      </c>
      <c r="H52" s="34" t="str">
        <f aca="false">IF($A52="","",IF($B52="ritual","sync",IFERROR(INDEX(Channels!$D$2:$D$50,MATCH($C52,Channels!$A$2:$A$50,0)),"")))</f>
        <v/>
      </c>
      <c r="I52" s="34" t="str">
        <f aca="false">IF($A52="","",IFERROR(INDEX(Flows!$B$2:$B$400,MATCH($A52,Flows!$A$2:$A$400,0)),""))</f>
        <v/>
      </c>
      <c r="J52" s="34" t="str">
        <f aca="false">IF($A52="","",IFERROR(INDEX(Flows!$C$2:$C$400,MATCH($A52,Flows!$A$2:$A$400,0)),""))</f>
        <v/>
      </c>
      <c r="K52" s="34" t="str">
        <f aca="false">IF($A52="","",IFERROR(INDEX(Flows!$E$2:$E$400,MATCH($A52,Flows!$A$2:$A$400,0)),""))</f>
        <v/>
      </c>
      <c r="L52" s="34" t="str">
        <f aca="false">IF($A52="","",IFERROR(INDEX(Flows!$I$2:$I$400,MATCH($A52,Flows!$A$2:$A$400,0)),""))</f>
        <v/>
      </c>
      <c r="M52" s="34" t="str">
        <f aca="false">IF($A52="","",IF(AND($I52="actual",$L52&lt;&gt;"disputed"),1,0))</f>
        <v/>
      </c>
      <c r="N52" s="34" t="str">
        <f aca="false">IF($A52="","",IF($M52=1,IF(COUNTIFS(Flows!$B$2:$B$400,"required",Flows!$C$2:$C$400,$J52,Flows!$E$2:$E$400,$K52)&gt;0,1,0),0))</f>
        <v/>
      </c>
      <c r="O52" s="34" t="str">
        <f aca="false">IF($A52="","",IFERROR(INDEX(Topics!$C$2:$C$100,MATCH($J52,Topics!$A$2:$A$100,0)),""))</f>
        <v/>
      </c>
      <c r="P52" s="34" t="str">
        <f aca="false">IF($A52="","",IF($B52="ritual","ephemeral",IFERROR(INDEX(Channels!$E$2:$E$50,MATCH($C52,Channels!$A$2:$A$50,0)),"")))</f>
        <v/>
      </c>
    </row>
    <row r="53" customFormat="false" ht="15" hidden="false" customHeight="true" outlineLevel="0" collapsed="false">
      <c r="A53" s="31"/>
      <c r="B53" s="31"/>
      <c r="C53" s="31"/>
      <c r="D53" s="31"/>
      <c r="E53" s="34" t="str">
        <f aca="false">IF($A53="","",IF($B53="ritual",IFERROR(INDEX(Rituals!$B$2:$B$50,MATCH($C53,Rituals!$A$2:$A$50,0)),"?"),IFERROR(INDEX(Channels!$B$2:$B$50,MATCH($C53,Channels!$A$2:$A$50,0)),"?")))</f>
        <v/>
      </c>
      <c r="F53" s="34" t="str">
        <f aca="false">IF($A53="","",IF($B53="ritual",IFERROR(INDEX(Rituals!$E$2:$E$50,MATCH($C53,Rituals!$A$2:$A$50,0)),""),IFERROR(INDEX(Channels!$F$2:$F$50,MATCH($C53,Channels!$A$2:$A$50,0)),"")))</f>
        <v/>
      </c>
      <c r="G53" s="34" t="str">
        <f aca="false">IF($A53="","",IFERROR(INDEX(Lists!$B$2:$B$8,MATCH($F53,Lists!$A$2:$A$8,0)),99))</f>
        <v/>
      </c>
      <c r="H53" s="34" t="str">
        <f aca="false">IF($A53="","",IF($B53="ritual","sync",IFERROR(INDEX(Channels!$D$2:$D$50,MATCH($C53,Channels!$A$2:$A$50,0)),"")))</f>
        <v/>
      </c>
      <c r="I53" s="34" t="str">
        <f aca="false">IF($A53="","",IFERROR(INDEX(Flows!$B$2:$B$400,MATCH($A53,Flows!$A$2:$A$400,0)),""))</f>
        <v/>
      </c>
      <c r="J53" s="34" t="str">
        <f aca="false">IF($A53="","",IFERROR(INDEX(Flows!$C$2:$C$400,MATCH($A53,Flows!$A$2:$A$400,0)),""))</f>
        <v/>
      </c>
      <c r="K53" s="34" t="str">
        <f aca="false">IF($A53="","",IFERROR(INDEX(Flows!$E$2:$E$400,MATCH($A53,Flows!$A$2:$A$400,0)),""))</f>
        <v/>
      </c>
      <c r="L53" s="34" t="str">
        <f aca="false">IF($A53="","",IFERROR(INDEX(Flows!$I$2:$I$400,MATCH($A53,Flows!$A$2:$A$400,0)),""))</f>
        <v/>
      </c>
      <c r="M53" s="34" t="str">
        <f aca="false">IF($A53="","",IF(AND($I53="actual",$L53&lt;&gt;"disputed"),1,0))</f>
        <v/>
      </c>
      <c r="N53" s="34" t="str">
        <f aca="false">IF($A53="","",IF($M53=1,IF(COUNTIFS(Flows!$B$2:$B$400,"required",Flows!$C$2:$C$400,$J53,Flows!$E$2:$E$400,$K53)&gt;0,1,0),0))</f>
        <v/>
      </c>
      <c r="O53" s="34" t="str">
        <f aca="false">IF($A53="","",IFERROR(INDEX(Topics!$C$2:$C$100,MATCH($J53,Topics!$A$2:$A$100,0)),""))</f>
        <v/>
      </c>
      <c r="P53" s="34" t="str">
        <f aca="false">IF($A53="","",IF($B53="ritual","ephemeral",IFERROR(INDEX(Channels!$E$2:$E$50,MATCH($C53,Channels!$A$2:$A$50,0)),"")))</f>
        <v/>
      </c>
    </row>
    <row r="54" customFormat="false" ht="15" hidden="false" customHeight="true" outlineLevel="0" collapsed="false">
      <c r="A54" s="31"/>
      <c r="B54" s="31"/>
      <c r="C54" s="31"/>
      <c r="D54" s="31"/>
      <c r="E54" s="34" t="str">
        <f aca="false">IF($A54="","",IF($B54="ritual",IFERROR(INDEX(Rituals!$B$2:$B$50,MATCH($C54,Rituals!$A$2:$A$50,0)),"?"),IFERROR(INDEX(Channels!$B$2:$B$50,MATCH($C54,Channels!$A$2:$A$50,0)),"?")))</f>
        <v/>
      </c>
      <c r="F54" s="34" t="str">
        <f aca="false">IF($A54="","",IF($B54="ritual",IFERROR(INDEX(Rituals!$E$2:$E$50,MATCH($C54,Rituals!$A$2:$A$50,0)),""),IFERROR(INDEX(Channels!$F$2:$F$50,MATCH($C54,Channels!$A$2:$A$50,0)),"")))</f>
        <v/>
      </c>
      <c r="G54" s="34" t="str">
        <f aca="false">IF($A54="","",IFERROR(INDEX(Lists!$B$2:$B$8,MATCH($F54,Lists!$A$2:$A$8,0)),99))</f>
        <v/>
      </c>
      <c r="H54" s="34" t="str">
        <f aca="false">IF($A54="","",IF($B54="ritual","sync",IFERROR(INDEX(Channels!$D$2:$D$50,MATCH($C54,Channels!$A$2:$A$50,0)),"")))</f>
        <v/>
      </c>
      <c r="I54" s="34" t="str">
        <f aca="false">IF($A54="","",IFERROR(INDEX(Flows!$B$2:$B$400,MATCH($A54,Flows!$A$2:$A$400,0)),""))</f>
        <v/>
      </c>
      <c r="J54" s="34" t="str">
        <f aca="false">IF($A54="","",IFERROR(INDEX(Flows!$C$2:$C$400,MATCH($A54,Flows!$A$2:$A$400,0)),""))</f>
        <v/>
      </c>
      <c r="K54" s="34" t="str">
        <f aca="false">IF($A54="","",IFERROR(INDEX(Flows!$E$2:$E$400,MATCH($A54,Flows!$A$2:$A$400,0)),""))</f>
        <v/>
      </c>
      <c r="L54" s="34" t="str">
        <f aca="false">IF($A54="","",IFERROR(INDEX(Flows!$I$2:$I$400,MATCH($A54,Flows!$A$2:$A$400,0)),""))</f>
        <v/>
      </c>
      <c r="M54" s="34" t="str">
        <f aca="false">IF($A54="","",IF(AND($I54="actual",$L54&lt;&gt;"disputed"),1,0))</f>
        <v/>
      </c>
      <c r="N54" s="34" t="str">
        <f aca="false">IF($A54="","",IF($M54=1,IF(COUNTIFS(Flows!$B$2:$B$400,"required",Flows!$C$2:$C$400,$J54,Flows!$E$2:$E$400,$K54)&gt;0,1,0),0))</f>
        <v/>
      </c>
      <c r="O54" s="34" t="str">
        <f aca="false">IF($A54="","",IFERROR(INDEX(Topics!$C$2:$C$100,MATCH($J54,Topics!$A$2:$A$100,0)),""))</f>
        <v/>
      </c>
      <c r="P54" s="34" t="str">
        <f aca="false">IF($A54="","",IF($B54="ritual","ephemeral",IFERROR(INDEX(Channels!$E$2:$E$50,MATCH($C54,Channels!$A$2:$A$50,0)),"")))</f>
        <v/>
      </c>
    </row>
    <row r="55" customFormat="false" ht="15" hidden="false" customHeight="true" outlineLevel="0" collapsed="false">
      <c r="A55" s="31"/>
      <c r="B55" s="31"/>
      <c r="C55" s="31"/>
      <c r="D55" s="31"/>
      <c r="E55" s="34" t="str">
        <f aca="false">IF($A55="","",IF($B55="ritual",IFERROR(INDEX(Rituals!$B$2:$B$50,MATCH($C55,Rituals!$A$2:$A$50,0)),"?"),IFERROR(INDEX(Channels!$B$2:$B$50,MATCH($C55,Channels!$A$2:$A$50,0)),"?")))</f>
        <v/>
      </c>
      <c r="F55" s="34" t="str">
        <f aca="false">IF($A55="","",IF($B55="ritual",IFERROR(INDEX(Rituals!$E$2:$E$50,MATCH($C55,Rituals!$A$2:$A$50,0)),""),IFERROR(INDEX(Channels!$F$2:$F$50,MATCH($C55,Channels!$A$2:$A$50,0)),"")))</f>
        <v/>
      </c>
      <c r="G55" s="34" t="str">
        <f aca="false">IF($A55="","",IFERROR(INDEX(Lists!$B$2:$B$8,MATCH($F55,Lists!$A$2:$A$8,0)),99))</f>
        <v/>
      </c>
      <c r="H55" s="34" t="str">
        <f aca="false">IF($A55="","",IF($B55="ritual","sync",IFERROR(INDEX(Channels!$D$2:$D$50,MATCH($C55,Channels!$A$2:$A$50,0)),"")))</f>
        <v/>
      </c>
      <c r="I55" s="34" t="str">
        <f aca="false">IF($A55="","",IFERROR(INDEX(Flows!$B$2:$B$400,MATCH($A55,Flows!$A$2:$A$400,0)),""))</f>
        <v/>
      </c>
      <c r="J55" s="34" t="str">
        <f aca="false">IF($A55="","",IFERROR(INDEX(Flows!$C$2:$C$400,MATCH($A55,Flows!$A$2:$A$400,0)),""))</f>
        <v/>
      </c>
      <c r="K55" s="34" t="str">
        <f aca="false">IF($A55="","",IFERROR(INDEX(Flows!$E$2:$E$400,MATCH($A55,Flows!$A$2:$A$400,0)),""))</f>
        <v/>
      </c>
      <c r="L55" s="34" t="str">
        <f aca="false">IF($A55="","",IFERROR(INDEX(Flows!$I$2:$I$400,MATCH($A55,Flows!$A$2:$A$400,0)),""))</f>
        <v/>
      </c>
      <c r="M55" s="34" t="str">
        <f aca="false">IF($A55="","",IF(AND($I55="actual",$L55&lt;&gt;"disputed"),1,0))</f>
        <v/>
      </c>
      <c r="N55" s="34" t="str">
        <f aca="false">IF($A55="","",IF($M55=1,IF(COUNTIFS(Flows!$B$2:$B$400,"required",Flows!$C$2:$C$400,$J55,Flows!$E$2:$E$400,$K55)&gt;0,1,0),0))</f>
        <v/>
      </c>
      <c r="O55" s="34" t="str">
        <f aca="false">IF($A55="","",IFERROR(INDEX(Topics!$C$2:$C$100,MATCH($J55,Topics!$A$2:$A$100,0)),""))</f>
        <v/>
      </c>
      <c r="P55" s="34" t="str">
        <f aca="false">IF($A55="","",IF($B55="ritual","ephemeral",IFERROR(INDEX(Channels!$E$2:$E$50,MATCH($C55,Channels!$A$2:$A$50,0)),"")))</f>
        <v/>
      </c>
    </row>
    <row r="56" customFormat="false" ht="15" hidden="false" customHeight="true" outlineLevel="0" collapsed="false">
      <c r="A56" s="31"/>
      <c r="B56" s="31"/>
      <c r="C56" s="31"/>
      <c r="D56" s="31"/>
      <c r="E56" s="34" t="str">
        <f aca="false">IF($A56="","",IF($B56="ritual",IFERROR(INDEX(Rituals!$B$2:$B$50,MATCH($C56,Rituals!$A$2:$A$50,0)),"?"),IFERROR(INDEX(Channels!$B$2:$B$50,MATCH($C56,Channels!$A$2:$A$50,0)),"?")))</f>
        <v/>
      </c>
      <c r="F56" s="34" t="str">
        <f aca="false">IF($A56="","",IF($B56="ritual",IFERROR(INDEX(Rituals!$E$2:$E$50,MATCH($C56,Rituals!$A$2:$A$50,0)),""),IFERROR(INDEX(Channels!$F$2:$F$50,MATCH($C56,Channels!$A$2:$A$50,0)),"")))</f>
        <v/>
      </c>
      <c r="G56" s="34" t="str">
        <f aca="false">IF($A56="","",IFERROR(INDEX(Lists!$B$2:$B$8,MATCH($F56,Lists!$A$2:$A$8,0)),99))</f>
        <v/>
      </c>
      <c r="H56" s="34" t="str">
        <f aca="false">IF($A56="","",IF($B56="ritual","sync",IFERROR(INDEX(Channels!$D$2:$D$50,MATCH($C56,Channels!$A$2:$A$50,0)),"")))</f>
        <v/>
      </c>
      <c r="I56" s="34" t="str">
        <f aca="false">IF($A56="","",IFERROR(INDEX(Flows!$B$2:$B$400,MATCH($A56,Flows!$A$2:$A$400,0)),""))</f>
        <v/>
      </c>
      <c r="J56" s="34" t="str">
        <f aca="false">IF($A56="","",IFERROR(INDEX(Flows!$C$2:$C$400,MATCH($A56,Flows!$A$2:$A$400,0)),""))</f>
        <v/>
      </c>
      <c r="K56" s="34" t="str">
        <f aca="false">IF($A56="","",IFERROR(INDEX(Flows!$E$2:$E$400,MATCH($A56,Flows!$A$2:$A$400,0)),""))</f>
        <v/>
      </c>
      <c r="L56" s="34" t="str">
        <f aca="false">IF($A56="","",IFERROR(INDEX(Flows!$I$2:$I$400,MATCH($A56,Flows!$A$2:$A$400,0)),""))</f>
        <v/>
      </c>
      <c r="M56" s="34" t="str">
        <f aca="false">IF($A56="","",IF(AND($I56="actual",$L56&lt;&gt;"disputed"),1,0))</f>
        <v/>
      </c>
      <c r="N56" s="34" t="str">
        <f aca="false">IF($A56="","",IF($M56=1,IF(COUNTIFS(Flows!$B$2:$B$400,"required",Flows!$C$2:$C$400,$J56,Flows!$E$2:$E$400,$K56)&gt;0,1,0),0))</f>
        <v/>
      </c>
      <c r="O56" s="34" t="str">
        <f aca="false">IF($A56="","",IFERROR(INDEX(Topics!$C$2:$C$100,MATCH($J56,Topics!$A$2:$A$100,0)),""))</f>
        <v/>
      </c>
      <c r="P56" s="34" t="str">
        <f aca="false">IF($A56="","",IF($B56="ritual","ephemeral",IFERROR(INDEX(Channels!$E$2:$E$50,MATCH($C56,Channels!$A$2:$A$50,0)),"")))</f>
        <v/>
      </c>
    </row>
    <row r="57" customFormat="false" ht="15" hidden="false" customHeight="true" outlineLevel="0" collapsed="false">
      <c r="A57" s="31"/>
      <c r="B57" s="31"/>
      <c r="C57" s="31"/>
      <c r="D57" s="31"/>
      <c r="E57" s="34" t="str">
        <f aca="false">IF($A57="","",IF($B57="ritual",IFERROR(INDEX(Rituals!$B$2:$B$50,MATCH($C57,Rituals!$A$2:$A$50,0)),"?"),IFERROR(INDEX(Channels!$B$2:$B$50,MATCH($C57,Channels!$A$2:$A$50,0)),"?")))</f>
        <v/>
      </c>
      <c r="F57" s="34" t="str">
        <f aca="false">IF($A57="","",IF($B57="ritual",IFERROR(INDEX(Rituals!$E$2:$E$50,MATCH($C57,Rituals!$A$2:$A$50,0)),""),IFERROR(INDEX(Channels!$F$2:$F$50,MATCH($C57,Channels!$A$2:$A$50,0)),"")))</f>
        <v/>
      </c>
      <c r="G57" s="34" t="str">
        <f aca="false">IF($A57="","",IFERROR(INDEX(Lists!$B$2:$B$8,MATCH($F57,Lists!$A$2:$A$8,0)),99))</f>
        <v/>
      </c>
      <c r="H57" s="34" t="str">
        <f aca="false">IF($A57="","",IF($B57="ritual","sync",IFERROR(INDEX(Channels!$D$2:$D$50,MATCH($C57,Channels!$A$2:$A$50,0)),"")))</f>
        <v/>
      </c>
      <c r="I57" s="34" t="str">
        <f aca="false">IF($A57="","",IFERROR(INDEX(Flows!$B$2:$B$400,MATCH($A57,Flows!$A$2:$A$400,0)),""))</f>
        <v/>
      </c>
      <c r="J57" s="34" t="str">
        <f aca="false">IF($A57="","",IFERROR(INDEX(Flows!$C$2:$C$400,MATCH($A57,Flows!$A$2:$A$400,0)),""))</f>
        <v/>
      </c>
      <c r="K57" s="34" t="str">
        <f aca="false">IF($A57="","",IFERROR(INDEX(Flows!$E$2:$E$400,MATCH($A57,Flows!$A$2:$A$400,0)),""))</f>
        <v/>
      </c>
      <c r="L57" s="34" t="str">
        <f aca="false">IF($A57="","",IFERROR(INDEX(Flows!$I$2:$I$400,MATCH($A57,Flows!$A$2:$A$400,0)),""))</f>
        <v/>
      </c>
      <c r="M57" s="34" t="str">
        <f aca="false">IF($A57="","",IF(AND($I57="actual",$L57&lt;&gt;"disputed"),1,0))</f>
        <v/>
      </c>
      <c r="N57" s="34" t="str">
        <f aca="false">IF($A57="","",IF($M57=1,IF(COUNTIFS(Flows!$B$2:$B$400,"required",Flows!$C$2:$C$400,$J57,Flows!$E$2:$E$400,$K57)&gt;0,1,0),0))</f>
        <v/>
      </c>
      <c r="O57" s="34" t="str">
        <f aca="false">IF($A57="","",IFERROR(INDEX(Topics!$C$2:$C$100,MATCH($J57,Topics!$A$2:$A$100,0)),""))</f>
        <v/>
      </c>
      <c r="P57" s="34" t="str">
        <f aca="false">IF($A57="","",IF($B57="ritual","ephemeral",IFERROR(INDEX(Channels!$E$2:$E$50,MATCH($C57,Channels!$A$2:$A$50,0)),"")))</f>
        <v/>
      </c>
    </row>
    <row r="58" customFormat="false" ht="15" hidden="false" customHeight="true" outlineLevel="0" collapsed="false">
      <c r="A58" s="31"/>
      <c r="B58" s="31"/>
      <c r="C58" s="31"/>
      <c r="D58" s="31"/>
      <c r="E58" s="34" t="str">
        <f aca="false">IF($A58="","",IF($B58="ritual",IFERROR(INDEX(Rituals!$B$2:$B$50,MATCH($C58,Rituals!$A$2:$A$50,0)),"?"),IFERROR(INDEX(Channels!$B$2:$B$50,MATCH($C58,Channels!$A$2:$A$50,0)),"?")))</f>
        <v/>
      </c>
      <c r="F58" s="34" t="str">
        <f aca="false">IF($A58="","",IF($B58="ritual",IFERROR(INDEX(Rituals!$E$2:$E$50,MATCH($C58,Rituals!$A$2:$A$50,0)),""),IFERROR(INDEX(Channels!$F$2:$F$50,MATCH($C58,Channels!$A$2:$A$50,0)),"")))</f>
        <v/>
      </c>
      <c r="G58" s="34" t="str">
        <f aca="false">IF($A58="","",IFERROR(INDEX(Lists!$B$2:$B$8,MATCH($F58,Lists!$A$2:$A$8,0)),99))</f>
        <v/>
      </c>
      <c r="H58" s="34" t="str">
        <f aca="false">IF($A58="","",IF($B58="ritual","sync",IFERROR(INDEX(Channels!$D$2:$D$50,MATCH($C58,Channels!$A$2:$A$50,0)),"")))</f>
        <v/>
      </c>
      <c r="I58" s="34" t="str">
        <f aca="false">IF($A58="","",IFERROR(INDEX(Flows!$B$2:$B$400,MATCH($A58,Flows!$A$2:$A$400,0)),""))</f>
        <v/>
      </c>
      <c r="J58" s="34" t="str">
        <f aca="false">IF($A58="","",IFERROR(INDEX(Flows!$C$2:$C$400,MATCH($A58,Flows!$A$2:$A$400,0)),""))</f>
        <v/>
      </c>
      <c r="K58" s="34" t="str">
        <f aca="false">IF($A58="","",IFERROR(INDEX(Flows!$E$2:$E$400,MATCH($A58,Flows!$A$2:$A$400,0)),""))</f>
        <v/>
      </c>
      <c r="L58" s="34" t="str">
        <f aca="false">IF($A58="","",IFERROR(INDEX(Flows!$I$2:$I$400,MATCH($A58,Flows!$A$2:$A$400,0)),""))</f>
        <v/>
      </c>
      <c r="M58" s="34" t="str">
        <f aca="false">IF($A58="","",IF(AND($I58="actual",$L58&lt;&gt;"disputed"),1,0))</f>
        <v/>
      </c>
      <c r="N58" s="34" t="str">
        <f aca="false">IF($A58="","",IF($M58=1,IF(COUNTIFS(Flows!$B$2:$B$400,"required",Flows!$C$2:$C$400,$J58,Flows!$E$2:$E$400,$K58)&gt;0,1,0),0))</f>
        <v/>
      </c>
      <c r="O58" s="34" t="str">
        <f aca="false">IF($A58="","",IFERROR(INDEX(Topics!$C$2:$C$100,MATCH($J58,Topics!$A$2:$A$100,0)),""))</f>
        <v/>
      </c>
      <c r="P58" s="34" t="str">
        <f aca="false">IF($A58="","",IF($B58="ritual","ephemeral",IFERROR(INDEX(Channels!$E$2:$E$50,MATCH($C58,Channels!$A$2:$A$50,0)),"")))</f>
        <v/>
      </c>
    </row>
    <row r="59" customFormat="false" ht="15" hidden="false" customHeight="true" outlineLevel="0" collapsed="false">
      <c r="A59" s="31"/>
      <c r="B59" s="31"/>
      <c r="C59" s="31"/>
      <c r="D59" s="31"/>
      <c r="E59" s="34" t="str">
        <f aca="false">IF($A59="","",IF($B59="ritual",IFERROR(INDEX(Rituals!$B$2:$B$50,MATCH($C59,Rituals!$A$2:$A$50,0)),"?"),IFERROR(INDEX(Channels!$B$2:$B$50,MATCH($C59,Channels!$A$2:$A$50,0)),"?")))</f>
        <v/>
      </c>
      <c r="F59" s="34" t="str">
        <f aca="false">IF($A59="","",IF($B59="ritual",IFERROR(INDEX(Rituals!$E$2:$E$50,MATCH($C59,Rituals!$A$2:$A$50,0)),""),IFERROR(INDEX(Channels!$F$2:$F$50,MATCH($C59,Channels!$A$2:$A$50,0)),"")))</f>
        <v/>
      </c>
      <c r="G59" s="34" t="str">
        <f aca="false">IF($A59="","",IFERROR(INDEX(Lists!$B$2:$B$8,MATCH($F59,Lists!$A$2:$A$8,0)),99))</f>
        <v/>
      </c>
      <c r="H59" s="34" t="str">
        <f aca="false">IF($A59="","",IF($B59="ritual","sync",IFERROR(INDEX(Channels!$D$2:$D$50,MATCH($C59,Channels!$A$2:$A$50,0)),"")))</f>
        <v/>
      </c>
      <c r="I59" s="34" t="str">
        <f aca="false">IF($A59="","",IFERROR(INDEX(Flows!$B$2:$B$400,MATCH($A59,Flows!$A$2:$A$400,0)),""))</f>
        <v/>
      </c>
      <c r="J59" s="34" t="str">
        <f aca="false">IF($A59="","",IFERROR(INDEX(Flows!$C$2:$C$400,MATCH($A59,Flows!$A$2:$A$400,0)),""))</f>
        <v/>
      </c>
      <c r="K59" s="34" t="str">
        <f aca="false">IF($A59="","",IFERROR(INDEX(Flows!$E$2:$E$400,MATCH($A59,Flows!$A$2:$A$400,0)),""))</f>
        <v/>
      </c>
      <c r="L59" s="34" t="str">
        <f aca="false">IF($A59="","",IFERROR(INDEX(Flows!$I$2:$I$400,MATCH($A59,Flows!$A$2:$A$400,0)),""))</f>
        <v/>
      </c>
      <c r="M59" s="34" t="str">
        <f aca="false">IF($A59="","",IF(AND($I59="actual",$L59&lt;&gt;"disputed"),1,0))</f>
        <v/>
      </c>
      <c r="N59" s="34" t="str">
        <f aca="false">IF($A59="","",IF($M59=1,IF(COUNTIFS(Flows!$B$2:$B$400,"required",Flows!$C$2:$C$400,$J59,Flows!$E$2:$E$400,$K59)&gt;0,1,0),0))</f>
        <v/>
      </c>
      <c r="O59" s="34" t="str">
        <f aca="false">IF($A59="","",IFERROR(INDEX(Topics!$C$2:$C$100,MATCH($J59,Topics!$A$2:$A$100,0)),""))</f>
        <v/>
      </c>
      <c r="P59" s="34" t="str">
        <f aca="false">IF($A59="","",IF($B59="ritual","ephemeral",IFERROR(INDEX(Channels!$E$2:$E$50,MATCH($C59,Channels!$A$2:$A$50,0)),"")))</f>
        <v/>
      </c>
    </row>
    <row r="60" customFormat="false" ht="15" hidden="false" customHeight="true" outlineLevel="0" collapsed="false">
      <c r="A60" s="31"/>
      <c r="B60" s="31"/>
      <c r="C60" s="31"/>
      <c r="D60" s="31"/>
      <c r="E60" s="34" t="str">
        <f aca="false">IF($A60="","",IF($B60="ritual",IFERROR(INDEX(Rituals!$B$2:$B$50,MATCH($C60,Rituals!$A$2:$A$50,0)),"?"),IFERROR(INDEX(Channels!$B$2:$B$50,MATCH($C60,Channels!$A$2:$A$50,0)),"?")))</f>
        <v/>
      </c>
      <c r="F60" s="34" t="str">
        <f aca="false">IF($A60="","",IF($B60="ritual",IFERROR(INDEX(Rituals!$E$2:$E$50,MATCH($C60,Rituals!$A$2:$A$50,0)),""),IFERROR(INDEX(Channels!$F$2:$F$50,MATCH($C60,Channels!$A$2:$A$50,0)),"")))</f>
        <v/>
      </c>
      <c r="G60" s="34" t="str">
        <f aca="false">IF($A60="","",IFERROR(INDEX(Lists!$B$2:$B$8,MATCH($F60,Lists!$A$2:$A$8,0)),99))</f>
        <v/>
      </c>
      <c r="H60" s="34" t="str">
        <f aca="false">IF($A60="","",IF($B60="ritual","sync",IFERROR(INDEX(Channels!$D$2:$D$50,MATCH($C60,Channels!$A$2:$A$50,0)),"")))</f>
        <v/>
      </c>
      <c r="I60" s="34" t="str">
        <f aca="false">IF($A60="","",IFERROR(INDEX(Flows!$B$2:$B$400,MATCH($A60,Flows!$A$2:$A$400,0)),""))</f>
        <v/>
      </c>
      <c r="J60" s="34" t="str">
        <f aca="false">IF($A60="","",IFERROR(INDEX(Flows!$C$2:$C$400,MATCH($A60,Flows!$A$2:$A$400,0)),""))</f>
        <v/>
      </c>
      <c r="K60" s="34" t="str">
        <f aca="false">IF($A60="","",IFERROR(INDEX(Flows!$E$2:$E$400,MATCH($A60,Flows!$A$2:$A$400,0)),""))</f>
        <v/>
      </c>
      <c r="L60" s="34" t="str">
        <f aca="false">IF($A60="","",IFERROR(INDEX(Flows!$I$2:$I$400,MATCH($A60,Flows!$A$2:$A$400,0)),""))</f>
        <v/>
      </c>
      <c r="M60" s="34" t="str">
        <f aca="false">IF($A60="","",IF(AND($I60="actual",$L60&lt;&gt;"disputed"),1,0))</f>
        <v/>
      </c>
      <c r="N60" s="34" t="str">
        <f aca="false">IF($A60="","",IF($M60=1,IF(COUNTIFS(Flows!$B$2:$B$400,"required",Flows!$C$2:$C$400,$J60,Flows!$E$2:$E$400,$K60)&gt;0,1,0),0))</f>
        <v/>
      </c>
      <c r="O60" s="34" t="str">
        <f aca="false">IF($A60="","",IFERROR(INDEX(Topics!$C$2:$C$100,MATCH($J60,Topics!$A$2:$A$100,0)),""))</f>
        <v/>
      </c>
      <c r="P60" s="34" t="str">
        <f aca="false">IF($A60="","",IF($B60="ritual","ephemeral",IFERROR(INDEX(Channels!$E$2:$E$50,MATCH($C60,Channels!$A$2:$A$50,0)),"")))</f>
        <v/>
      </c>
    </row>
    <row r="61" customFormat="false" ht="15" hidden="false" customHeight="true" outlineLevel="0" collapsed="false">
      <c r="A61" s="31"/>
      <c r="B61" s="31"/>
      <c r="C61" s="31"/>
      <c r="D61" s="31"/>
      <c r="E61" s="34" t="str">
        <f aca="false">IF($A61="","",IF($B61="ritual",IFERROR(INDEX(Rituals!$B$2:$B$50,MATCH($C61,Rituals!$A$2:$A$50,0)),"?"),IFERROR(INDEX(Channels!$B$2:$B$50,MATCH($C61,Channels!$A$2:$A$50,0)),"?")))</f>
        <v/>
      </c>
      <c r="F61" s="34" t="str">
        <f aca="false">IF($A61="","",IF($B61="ritual",IFERROR(INDEX(Rituals!$E$2:$E$50,MATCH($C61,Rituals!$A$2:$A$50,0)),""),IFERROR(INDEX(Channels!$F$2:$F$50,MATCH($C61,Channels!$A$2:$A$50,0)),"")))</f>
        <v/>
      </c>
      <c r="G61" s="34" t="str">
        <f aca="false">IF($A61="","",IFERROR(INDEX(Lists!$B$2:$B$8,MATCH($F61,Lists!$A$2:$A$8,0)),99))</f>
        <v/>
      </c>
      <c r="H61" s="34" t="str">
        <f aca="false">IF($A61="","",IF($B61="ritual","sync",IFERROR(INDEX(Channels!$D$2:$D$50,MATCH($C61,Channels!$A$2:$A$50,0)),"")))</f>
        <v/>
      </c>
      <c r="I61" s="34" t="str">
        <f aca="false">IF($A61="","",IFERROR(INDEX(Flows!$B$2:$B$400,MATCH($A61,Flows!$A$2:$A$400,0)),""))</f>
        <v/>
      </c>
      <c r="J61" s="34" t="str">
        <f aca="false">IF($A61="","",IFERROR(INDEX(Flows!$C$2:$C$400,MATCH($A61,Flows!$A$2:$A$400,0)),""))</f>
        <v/>
      </c>
      <c r="K61" s="34" t="str">
        <f aca="false">IF($A61="","",IFERROR(INDEX(Flows!$E$2:$E$400,MATCH($A61,Flows!$A$2:$A$400,0)),""))</f>
        <v/>
      </c>
      <c r="L61" s="34" t="str">
        <f aca="false">IF($A61="","",IFERROR(INDEX(Flows!$I$2:$I$400,MATCH($A61,Flows!$A$2:$A$400,0)),""))</f>
        <v/>
      </c>
      <c r="M61" s="34" t="str">
        <f aca="false">IF($A61="","",IF(AND($I61="actual",$L61&lt;&gt;"disputed"),1,0))</f>
        <v/>
      </c>
      <c r="N61" s="34" t="str">
        <f aca="false">IF($A61="","",IF($M61=1,IF(COUNTIFS(Flows!$B$2:$B$400,"required",Flows!$C$2:$C$400,$J61,Flows!$E$2:$E$400,$K61)&gt;0,1,0),0))</f>
        <v/>
      </c>
      <c r="O61" s="34" t="str">
        <f aca="false">IF($A61="","",IFERROR(INDEX(Topics!$C$2:$C$100,MATCH($J61,Topics!$A$2:$A$100,0)),""))</f>
        <v/>
      </c>
      <c r="P61" s="34" t="str">
        <f aca="false">IF($A61="","",IF($B61="ritual","ephemeral",IFERROR(INDEX(Channels!$E$2:$E$50,MATCH($C61,Channels!$A$2:$A$50,0)),"")))</f>
        <v/>
      </c>
    </row>
    <row r="62" customFormat="false" ht="15" hidden="false" customHeight="true" outlineLevel="0" collapsed="false">
      <c r="A62" s="31"/>
      <c r="B62" s="31"/>
      <c r="C62" s="31"/>
      <c r="D62" s="31"/>
      <c r="E62" s="34" t="str">
        <f aca="false">IF($A62="","",IF($B62="ritual",IFERROR(INDEX(Rituals!$B$2:$B$50,MATCH($C62,Rituals!$A$2:$A$50,0)),"?"),IFERROR(INDEX(Channels!$B$2:$B$50,MATCH($C62,Channels!$A$2:$A$50,0)),"?")))</f>
        <v/>
      </c>
      <c r="F62" s="34" t="str">
        <f aca="false">IF($A62="","",IF($B62="ritual",IFERROR(INDEX(Rituals!$E$2:$E$50,MATCH($C62,Rituals!$A$2:$A$50,0)),""),IFERROR(INDEX(Channels!$F$2:$F$50,MATCH($C62,Channels!$A$2:$A$50,0)),"")))</f>
        <v/>
      </c>
      <c r="G62" s="34" t="str">
        <f aca="false">IF($A62="","",IFERROR(INDEX(Lists!$B$2:$B$8,MATCH($F62,Lists!$A$2:$A$8,0)),99))</f>
        <v/>
      </c>
      <c r="H62" s="34" t="str">
        <f aca="false">IF($A62="","",IF($B62="ritual","sync",IFERROR(INDEX(Channels!$D$2:$D$50,MATCH($C62,Channels!$A$2:$A$50,0)),"")))</f>
        <v/>
      </c>
      <c r="I62" s="34" t="str">
        <f aca="false">IF($A62="","",IFERROR(INDEX(Flows!$B$2:$B$400,MATCH($A62,Flows!$A$2:$A$400,0)),""))</f>
        <v/>
      </c>
      <c r="J62" s="34" t="str">
        <f aca="false">IF($A62="","",IFERROR(INDEX(Flows!$C$2:$C$400,MATCH($A62,Flows!$A$2:$A$400,0)),""))</f>
        <v/>
      </c>
      <c r="K62" s="34" t="str">
        <f aca="false">IF($A62="","",IFERROR(INDEX(Flows!$E$2:$E$400,MATCH($A62,Flows!$A$2:$A$400,0)),""))</f>
        <v/>
      </c>
      <c r="L62" s="34" t="str">
        <f aca="false">IF($A62="","",IFERROR(INDEX(Flows!$I$2:$I$400,MATCH($A62,Flows!$A$2:$A$400,0)),""))</f>
        <v/>
      </c>
      <c r="M62" s="34" t="str">
        <f aca="false">IF($A62="","",IF(AND($I62="actual",$L62&lt;&gt;"disputed"),1,0))</f>
        <v/>
      </c>
      <c r="N62" s="34" t="str">
        <f aca="false">IF($A62="","",IF($M62=1,IF(COUNTIFS(Flows!$B$2:$B$400,"required",Flows!$C$2:$C$400,$J62,Flows!$E$2:$E$400,$K62)&gt;0,1,0),0))</f>
        <v/>
      </c>
      <c r="O62" s="34" t="str">
        <f aca="false">IF($A62="","",IFERROR(INDEX(Topics!$C$2:$C$100,MATCH($J62,Topics!$A$2:$A$100,0)),""))</f>
        <v/>
      </c>
      <c r="P62" s="34" t="str">
        <f aca="false">IF($A62="","",IF($B62="ritual","ephemeral",IFERROR(INDEX(Channels!$E$2:$E$50,MATCH($C62,Channels!$A$2:$A$50,0)),"")))</f>
        <v/>
      </c>
    </row>
    <row r="63" customFormat="false" ht="15" hidden="false" customHeight="true" outlineLevel="0" collapsed="false">
      <c r="A63" s="31"/>
      <c r="B63" s="31"/>
      <c r="C63" s="31"/>
      <c r="D63" s="31"/>
      <c r="E63" s="34" t="str">
        <f aca="false">IF($A63="","",IF($B63="ritual",IFERROR(INDEX(Rituals!$B$2:$B$50,MATCH($C63,Rituals!$A$2:$A$50,0)),"?"),IFERROR(INDEX(Channels!$B$2:$B$50,MATCH($C63,Channels!$A$2:$A$50,0)),"?")))</f>
        <v/>
      </c>
      <c r="F63" s="34" t="str">
        <f aca="false">IF($A63="","",IF($B63="ritual",IFERROR(INDEX(Rituals!$E$2:$E$50,MATCH($C63,Rituals!$A$2:$A$50,0)),""),IFERROR(INDEX(Channels!$F$2:$F$50,MATCH($C63,Channels!$A$2:$A$50,0)),"")))</f>
        <v/>
      </c>
      <c r="G63" s="34" t="str">
        <f aca="false">IF($A63="","",IFERROR(INDEX(Lists!$B$2:$B$8,MATCH($F63,Lists!$A$2:$A$8,0)),99))</f>
        <v/>
      </c>
      <c r="H63" s="34" t="str">
        <f aca="false">IF($A63="","",IF($B63="ritual","sync",IFERROR(INDEX(Channels!$D$2:$D$50,MATCH($C63,Channels!$A$2:$A$50,0)),"")))</f>
        <v/>
      </c>
      <c r="I63" s="34" t="str">
        <f aca="false">IF($A63="","",IFERROR(INDEX(Flows!$B$2:$B$400,MATCH($A63,Flows!$A$2:$A$400,0)),""))</f>
        <v/>
      </c>
      <c r="J63" s="34" t="str">
        <f aca="false">IF($A63="","",IFERROR(INDEX(Flows!$C$2:$C$400,MATCH($A63,Flows!$A$2:$A$400,0)),""))</f>
        <v/>
      </c>
      <c r="K63" s="34" t="str">
        <f aca="false">IF($A63="","",IFERROR(INDEX(Flows!$E$2:$E$400,MATCH($A63,Flows!$A$2:$A$400,0)),""))</f>
        <v/>
      </c>
      <c r="L63" s="34" t="str">
        <f aca="false">IF($A63="","",IFERROR(INDEX(Flows!$I$2:$I$400,MATCH($A63,Flows!$A$2:$A$400,0)),""))</f>
        <v/>
      </c>
      <c r="M63" s="34" t="str">
        <f aca="false">IF($A63="","",IF(AND($I63="actual",$L63&lt;&gt;"disputed"),1,0))</f>
        <v/>
      </c>
      <c r="N63" s="34" t="str">
        <f aca="false">IF($A63="","",IF($M63=1,IF(COUNTIFS(Flows!$B$2:$B$400,"required",Flows!$C$2:$C$400,$J63,Flows!$E$2:$E$400,$K63)&gt;0,1,0),0))</f>
        <v/>
      </c>
      <c r="O63" s="34" t="str">
        <f aca="false">IF($A63="","",IFERROR(INDEX(Topics!$C$2:$C$100,MATCH($J63,Topics!$A$2:$A$100,0)),""))</f>
        <v/>
      </c>
      <c r="P63" s="34" t="str">
        <f aca="false">IF($A63="","",IF($B63="ritual","ephemeral",IFERROR(INDEX(Channels!$E$2:$E$50,MATCH($C63,Channels!$A$2:$A$50,0)),"")))</f>
        <v/>
      </c>
    </row>
    <row r="64" customFormat="false" ht="15" hidden="false" customHeight="true" outlineLevel="0" collapsed="false">
      <c r="A64" s="31"/>
      <c r="B64" s="31"/>
      <c r="C64" s="31"/>
      <c r="D64" s="31"/>
      <c r="E64" s="34" t="str">
        <f aca="false">IF($A64="","",IF($B64="ritual",IFERROR(INDEX(Rituals!$B$2:$B$50,MATCH($C64,Rituals!$A$2:$A$50,0)),"?"),IFERROR(INDEX(Channels!$B$2:$B$50,MATCH($C64,Channels!$A$2:$A$50,0)),"?")))</f>
        <v/>
      </c>
      <c r="F64" s="34" t="str">
        <f aca="false">IF($A64="","",IF($B64="ritual",IFERROR(INDEX(Rituals!$E$2:$E$50,MATCH($C64,Rituals!$A$2:$A$50,0)),""),IFERROR(INDEX(Channels!$F$2:$F$50,MATCH($C64,Channels!$A$2:$A$50,0)),"")))</f>
        <v/>
      </c>
      <c r="G64" s="34" t="str">
        <f aca="false">IF($A64="","",IFERROR(INDEX(Lists!$B$2:$B$8,MATCH($F64,Lists!$A$2:$A$8,0)),99))</f>
        <v/>
      </c>
      <c r="H64" s="34" t="str">
        <f aca="false">IF($A64="","",IF($B64="ritual","sync",IFERROR(INDEX(Channels!$D$2:$D$50,MATCH($C64,Channels!$A$2:$A$50,0)),"")))</f>
        <v/>
      </c>
      <c r="I64" s="34" t="str">
        <f aca="false">IF($A64="","",IFERROR(INDEX(Flows!$B$2:$B$400,MATCH($A64,Flows!$A$2:$A$400,0)),""))</f>
        <v/>
      </c>
      <c r="J64" s="34" t="str">
        <f aca="false">IF($A64="","",IFERROR(INDEX(Flows!$C$2:$C$400,MATCH($A64,Flows!$A$2:$A$400,0)),""))</f>
        <v/>
      </c>
      <c r="K64" s="34" t="str">
        <f aca="false">IF($A64="","",IFERROR(INDEX(Flows!$E$2:$E$400,MATCH($A64,Flows!$A$2:$A$400,0)),""))</f>
        <v/>
      </c>
      <c r="L64" s="34" t="str">
        <f aca="false">IF($A64="","",IFERROR(INDEX(Flows!$I$2:$I$400,MATCH($A64,Flows!$A$2:$A$400,0)),""))</f>
        <v/>
      </c>
      <c r="M64" s="34" t="str">
        <f aca="false">IF($A64="","",IF(AND($I64="actual",$L64&lt;&gt;"disputed"),1,0))</f>
        <v/>
      </c>
      <c r="N64" s="34" t="str">
        <f aca="false">IF($A64="","",IF($M64=1,IF(COUNTIFS(Flows!$B$2:$B$400,"required",Flows!$C$2:$C$400,$J64,Flows!$E$2:$E$400,$K64)&gt;0,1,0),0))</f>
        <v/>
      </c>
      <c r="O64" s="34" t="str">
        <f aca="false">IF($A64="","",IFERROR(INDEX(Topics!$C$2:$C$100,MATCH($J64,Topics!$A$2:$A$100,0)),""))</f>
        <v/>
      </c>
      <c r="P64" s="34" t="str">
        <f aca="false">IF($A64="","",IF($B64="ritual","ephemeral",IFERROR(INDEX(Channels!$E$2:$E$50,MATCH($C64,Channels!$A$2:$A$50,0)),"")))</f>
        <v/>
      </c>
    </row>
    <row r="65" customFormat="false" ht="15" hidden="false" customHeight="true" outlineLevel="0" collapsed="false">
      <c r="A65" s="31"/>
      <c r="B65" s="31"/>
      <c r="C65" s="31"/>
      <c r="D65" s="31"/>
      <c r="E65" s="34" t="str">
        <f aca="false">IF($A65="","",IF($B65="ritual",IFERROR(INDEX(Rituals!$B$2:$B$50,MATCH($C65,Rituals!$A$2:$A$50,0)),"?"),IFERROR(INDEX(Channels!$B$2:$B$50,MATCH($C65,Channels!$A$2:$A$50,0)),"?")))</f>
        <v/>
      </c>
      <c r="F65" s="34" t="str">
        <f aca="false">IF($A65="","",IF($B65="ritual",IFERROR(INDEX(Rituals!$E$2:$E$50,MATCH($C65,Rituals!$A$2:$A$50,0)),""),IFERROR(INDEX(Channels!$F$2:$F$50,MATCH($C65,Channels!$A$2:$A$50,0)),"")))</f>
        <v/>
      </c>
      <c r="G65" s="34" t="str">
        <f aca="false">IF($A65="","",IFERROR(INDEX(Lists!$B$2:$B$8,MATCH($F65,Lists!$A$2:$A$8,0)),99))</f>
        <v/>
      </c>
      <c r="H65" s="34" t="str">
        <f aca="false">IF($A65="","",IF($B65="ritual","sync",IFERROR(INDEX(Channels!$D$2:$D$50,MATCH($C65,Channels!$A$2:$A$50,0)),"")))</f>
        <v/>
      </c>
      <c r="I65" s="34" t="str">
        <f aca="false">IF($A65="","",IFERROR(INDEX(Flows!$B$2:$B$400,MATCH($A65,Flows!$A$2:$A$400,0)),""))</f>
        <v/>
      </c>
      <c r="J65" s="34" t="str">
        <f aca="false">IF($A65="","",IFERROR(INDEX(Flows!$C$2:$C$400,MATCH($A65,Flows!$A$2:$A$400,0)),""))</f>
        <v/>
      </c>
      <c r="K65" s="34" t="str">
        <f aca="false">IF($A65="","",IFERROR(INDEX(Flows!$E$2:$E$400,MATCH($A65,Flows!$A$2:$A$400,0)),""))</f>
        <v/>
      </c>
      <c r="L65" s="34" t="str">
        <f aca="false">IF($A65="","",IFERROR(INDEX(Flows!$I$2:$I$400,MATCH($A65,Flows!$A$2:$A$400,0)),""))</f>
        <v/>
      </c>
      <c r="M65" s="34" t="str">
        <f aca="false">IF($A65="","",IF(AND($I65="actual",$L65&lt;&gt;"disputed"),1,0))</f>
        <v/>
      </c>
      <c r="N65" s="34" t="str">
        <f aca="false">IF($A65="","",IF($M65=1,IF(COUNTIFS(Flows!$B$2:$B$400,"required",Flows!$C$2:$C$400,$J65,Flows!$E$2:$E$400,$K65)&gt;0,1,0),0))</f>
        <v/>
      </c>
      <c r="O65" s="34" t="str">
        <f aca="false">IF($A65="","",IFERROR(INDEX(Topics!$C$2:$C$100,MATCH($J65,Topics!$A$2:$A$100,0)),""))</f>
        <v/>
      </c>
      <c r="P65" s="34" t="str">
        <f aca="false">IF($A65="","",IF($B65="ritual","ephemeral",IFERROR(INDEX(Channels!$E$2:$E$50,MATCH($C65,Channels!$A$2:$A$50,0)),"")))</f>
        <v/>
      </c>
    </row>
    <row r="66" customFormat="false" ht="15" hidden="false" customHeight="true" outlineLevel="0" collapsed="false">
      <c r="A66" s="31"/>
      <c r="B66" s="31"/>
      <c r="C66" s="31"/>
      <c r="D66" s="31"/>
      <c r="E66" s="34" t="str">
        <f aca="false">IF($A66="","",IF($B66="ritual",IFERROR(INDEX(Rituals!$B$2:$B$50,MATCH($C66,Rituals!$A$2:$A$50,0)),"?"),IFERROR(INDEX(Channels!$B$2:$B$50,MATCH($C66,Channels!$A$2:$A$50,0)),"?")))</f>
        <v/>
      </c>
      <c r="F66" s="34" t="str">
        <f aca="false">IF($A66="","",IF($B66="ritual",IFERROR(INDEX(Rituals!$E$2:$E$50,MATCH($C66,Rituals!$A$2:$A$50,0)),""),IFERROR(INDEX(Channels!$F$2:$F$50,MATCH($C66,Channels!$A$2:$A$50,0)),"")))</f>
        <v/>
      </c>
      <c r="G66" s="34" t="str">
        <f aca="false">IF($A66="","",IFERROR(INDEX(Lists!$B$2:$B$8,MATCH($F66,Lists!$A$2:$A$8,0)),99))</f>
        <v/>
      </c>
      <c r="H66" s="34" t="str">
        <f aca="false">IF($A66="","",IF($B66="ritual","sync",IFERROR(INDEX(Channels!$D$2:$D$50,MATCH($C66,Channels!$A$2:$A$50,0)),"")))</f>
        <v/>
      </c>
      <c r="I66" s="34" t="str">
        <f aca="false">IF($A66="","",IFERROR(INDEX(Flows!$B$2:$B$400,MATCH($A66,Flows!$A$2:$A$400,0)),""))</f>
        <v/>
      </c>
      <c r="J66" s="34" t="str">
        <f aca="false">IF($A66="","",IFERROR(INDEX(Flows!$C$2:$C$400,MATCH($A66,Flows!$A$2:$A$400,0)),""))</f>
        <v/>
      </c>
      <c r="K66" s="34" t="str">
        <f aca="false">IF($A66="","",IFERROR(INDEX(Flows!$E$2:$E$400,MATCH($A66,Flows!$A$2:$A$400,0)),""))</f>
        <v/>
      </c>
      <c r="L66" s="34" t="str">
        <f aca="false">IF($A66="","",IFERROR(INDEX(Flows!$I$2:$I$400,MATCH($A66,Flows!$A$2:$A$400,0)),""))</f>
        <v/>
      </c>
      <c r="M66" s="34" t="str">
        <f aca="false">IF($A66="","",IF(AND($I66="actual",$L66&lt;&gt;"disputed"),1,0))</f>
        <v/>
      </c>
      <c r="N66" s="34" t="str">
        <f aca="false">IF($A66="","",IF($M66=1,IF(COUNTIFS(Flows!$B$2:$B$400,"required",Flows!$C$2:$C$400,$J66,Flows!$E$2:$E$400,$K66)&gt;0,1,0),0))</f>
        <v/>
      </c>
      <c r="O66" s="34" t="str">
        <f aca="false">IF($A66="","",IFERROR(INDEX(Topics!$C$2:$C$100,MATCH($J66,Topics!$A$2:$A$100,0)),""))</f>
        <v/>
      </c>
      <c r="P66" s="34" t="str">
        <f aca="false">IF($A66="","",IF($B66="ritual","ephemeral",IFERROR(INDEX(Channels!$E$2:$E$50,MATCH($C66,Channels!$A$2:$A$50,0)),"")))</f>
        <v/>
      </c>
    </row>
    <row r="67" customFormat="false" ht="15" hidden="false" customHeight="true" outlineLevel="0" collapsed="false">
      <c r="A67" s="31"/>
      <c r="B67" s="31"/>
      <c r="C67" s="31"/>
      <c r="D67" s="31"/>
      <c r="E67" s="34" t="str">
        <f aca="false">IF($A67="","",IF($B67="ritual",IFERROR(INDEX(Rituals!$B$2:$B$50,MATCH($C67,Rituals!$A$2:$A$50,0)),"?"),IFERROR(INDEX(Channels!$B$2:$B$50,MATCH($C67,Channels!$A$2:$A$50,0)),"?")))</f>
        <v/>
      </c>
      <c r="F67" s="34" t="str">
        <f aca="false">IF($A67="","",IF($B67="ritual",IFERROR(INDEX(Rituals!$E$2:$E$50,MATCH($C67,Rituals!$A$2:$A$50,0)),""),IFERROR(INDEX(Channels!$F$2:$F$50,MATCH($C67,Channels!$A$2:$A$50,0)),"")))</f>
        <v/>
      </c>
      <c r="G67" s="34" t="str">
        <f aca="false">IF($A67="","",IFERROR(INDEX(Lists!$B$2:$B$8,MATCH($F67,Lists!$A$2:$A$8,0)),99))</f>
        <v/>
      </c>
      <c r="H67" s="34" t="str">
        <f aca="false">IF($A67="","",IF($B67="ritual","sync",IFERROR(INDEX(Channels!$D$2:$D$50,MATCH($C67,Channels!$A$2:$A$50,0)),"")))</f>
        <v/>
      </c>
      <c r="I67" s="34" t="str">
        <f aca="false">IF($A67="","",IFERROR(INDEX(Flows!$B$2:$B$400,MATCH($A67,Flows!$A$2:$A$400,0)),""))</f>
        <v/>
      </c>
      <c r="J67" s="34" t="str">
        <f aca="false">IF($A67="","",IFERROR(INDEX(Flows!$C$2:$C$400,MATCH($A67,Flows!$A$2:$A$400,0)),""))</f>
        <v/>
      </c>
      <c r="K67" s="34" t="str">
        <f aca="false">IF($A67="","",IFERROR(INDEX(Flows!$E$2:$E$400,MATCH($A67,Flows!$A$2:$A$400,0)),""))</f>
        <v/>
      </c>
      <c r="L67" s="34" t="str">
        <f aca="false">IF($A67="","",IFERROR(INDEX(Flows!$I$2:$I$400,MATCH($A67,Flows!$A$2:$A$400,0)),""))</f>
        <v/>
      </c>
      <c r="M67" s="34" t="str">
        <f aca="false">IF($A67="","",IF(AND($I67="actual",$L67&lt;&gt;"disputed"),1,0))</f>
        <v/>
      </c>
      <c r="N67" s="34" t="str">
        <f aca="false">IF($A67="","",IF($M67=1,IF(COUNTIFS(Flows!$B$2:$B$400,"required",Flows!$C$2:$C$400,$J67,Flows!$E$2:$E$400,$K67)&gt;0,1,0),0))</f>
        <v/>
      </c>
      <c r="O67" s="34" t="str">
        <f aca="false">IF($A67="","",IFERROR(INDEX(Topics!$C$2:$C$100,MATCH($J67,Topics!$A$2:$A$100,0)),""))</f>
        <v/>
      </c>
      <c r="P67" s="34" t="str">
        <f aca="false">IF($A67="","",IF($B67="ritual","ephemeral",IFERROR(INDEX(Channels!$E$2:$E$50,MATCH($C67,Channels!$A$2:$A$50,0)),"")))</f>
        <v/>
      </c>
    </row>
    <row r="68" customFormat="false" ht="15" hidden="false" customHeight="true" outlineLevel="0" collapsed="false">
      <c r="A68" s="31"/>
      <c r="B68" s="31"/>
      <c r="C68" s="31"/>
      <c r="D68" s="31"/>
      <c r="E68" s="34" t="str">
        <f aca="false">IF($A68="","",IF($B68="ritual",IFERROR(INDEX(Rituals!$B$2:$B$50,MATCH($C68,Rituals!$A$2:$A$50,0)),"?"),IFERROR(INDEX(Channels!$B$2:$B$50,MATCH($C68,Channels!$A$2:$A$50,0)),"?")))</f>
        <v/>
      </c>
      <c r="F68" s="34" t="str">
        <f aca="false">IF($A68="","",IF($B68="ritual",IFERROR(INDEX(Rituals!$E$2:$E$50,MATCH($C68,Rituals!$A$2:$A$50,0)),""),IFERROR(INDEX(Channels!$F$2:$F$50,MATCH($C68,Channels!$A$2:$A$50,0)),"")))</f>
        <v/>
      </c>
      <c r="G68" s="34" t="str">
        <f aca="false">IF($A68="","",IFERROR(INDEX(Lists!$B$2:$B$8,MATCH($F68,Lists!$A$2:$A$8,0)),99))</f>
        <v/>
      </c>
      <c r="H68" s="34" t="str">
        <f aca="false">IF($A68="","",IF($B68="ritual","sync",IFERROR(INDEX(Channels!$D$2:$D$50,MATCH($C68,Channels!$A$2:$A$50,0)),"")))</f>
        <v/>
      </c>
      <c r="I68" s="34" t="str">
        <f aca="false">IF($A68="","",IFERROR(INDEX(Flows!$B$2:$B$400,MATCH($A68,Flows!$A$2:$A$400,0)),""))</f>
        <v/>
      </c>
      <c r="J68" s="34" t="str">
        <f aca="false">IF($A68="","",IFERROR(INDEX(Flows!$C$2:$C$400,MATCH($A68,Flows!$A$2:$A$400,0)),""))</f>
        <v/>
      </c>
      <c r="K68" s="34" t="str">
        <f aca="false">IF($A68="","",IFERROR(INDEX(Flows!$E$2:$E$400,MATCH($A68,Flows!$A$2:$A$400,0)),""))</f>
        <v/>
      </c>
      <c r="L68" s="34" t="str">
        <f aca="false">IF($A68="","",IFERROR(INDEX(Flows!$I$2:$I$400,MATCH($A68,Flows!$A$2:$A$400,0)),""))</f>
        <v/>
      </c>
      <c r="M68" s="34" t="str">
        <f aca="false">IF($A68="","",IF(AND($I68="actual",$L68&lt;&gt;"disputed"),1,0))</f>
        <v/>
      </c>
      <c r="N68" s="34" t="str">
        <f aca="false">IF($A68="","",IF($M68=1,IF(COUNTIFS(Flows!$B$2:$B$400,"required",Flows!$C$2:$C$400,$J68,Flows!$E$2:$E$400,$K68)&gt;0,1,0),0))</f>
        <v/>
      </c>
      <c r="O68" s="34" t="str">
        <f aca="false">IF($A68="","",IFERROR(INDEX(Topics!$C$2:$C$100,MATCH($J68,Topics!$A$2:$A$100,0)),""))</f>
        <v/>
      </c>
      <c r="P68" s="34" t="str">
        <f aca="false">IF($A68="","",IF($B68="ritual","ephemeral",IFERROR(INDEX(Channels!$E$2:$E$50,MATCH($C68,Channels!$A$2:$A$50,0)),"")))</f>
        <v/>
      </c>
    </row>
    <row r="69" customFormat="false" ht="15" hidden="false" customHeight="true" outlineLevel="0" collapsed="false">
      <c r="A69" s="31"/>
      <c r="B69" s="31"/>
      <c r="C69" s="31"/>
      <c r="D69" s="31"/>
      <c r="E69" s="34" t="str">
        <f aca="false">IF($A69="","",IF($B69="ritual",IFERROR(INDEX(Rituals!$B$2:$B$50,MATCH($C69,Rituals!$A$2:$A$50,0)),"?"),IFERROR(INDEX(Channels!$B$2:$B$50,MATCH($C69,Channels!$A$2:$A$50,0)),"?")))</f>
        <v/>
      </c>
      <c r="F69" s="34" t="str">
        <f aca="false">IF($A69="","",IF($B69="ritual",IFERROR(INDEX(Rituals!$E$2:$E$50,MATCH($C69,Rituals!$A$2:$A$50,0)),""),IFERROR(INDEX(Channels!$F$2:$F$50,MATCH($C69,Channels!$A$2:$A$50,0)),"")))</f>
        <v/>
      </c>
      <c r="G69" s="34" t="str">
        <f aca="false">IF($A69="","",IFERROR(INDEX(Lists!$B$2:$B$8,MATCH($F69,Lists!$A$2:$A$8,0)),99))</f>
        <v/>
      </c>
      <c r="H69" s="34" t="str">
        <f aca="false">IF($A69="","",IF($B69="ritual","sync",IFERROR(INDEX(Channels!$D$2:$D$50,MATCH($C69,Channels!$A$2:$A$50,0)),"")))</f>
        <v/>
      </c>
      <c r="I69" s="34" t="str">
        <f aca="false">IF($A69="","",IFERROR(INDEX(Flows!$B$2:$B$400,MATCH($A69,Flows!$A$2:$A$400,0)),""))</f>
        <v/>
      </c>
      <c r="J69" s="34" t="str">
        <f aca="false">IF($A69="","",IFERROR(INDEX(Flows!$C$2:$C$400,MATCH($A69,Flows!$A$2:$A$400,0)),""))</f>
        <v/>
      </c>
      <c r="K69" s="34" t="str">
        <f aca="false">IF($A69="","",IFERROR(INDEX(Flows!$E$2:$E$400,MATCH($A69,Flows!$A$2:$A$400,0)),""))</f>
        <v/>
      </c>
      <c r="L69" s="34" t="str">
        <f aca="false">IF($A69="","",IFERROR(INDEX(Flows!$I$2:$I$400,MATCH($A69,Flows!$A$2:$A$400,0)),""))</f>
        <v/>
      </c>
      <c r="M69" s="34" t="str">
        <f aca="false">IF($A69="","",IF(AND($I69="actual",$L69&lt;&gt;"disputed"),1,0))</f>
        <v/>
      </c>
      <c r="N69" s="34" t="str">
        <f aca="false">IF($A69="","",IF($M69=1,IF(COUNTIFS(Flows!$B$2:$B$400,"required",Flows!$C$2:$C$400,$J69,Flows!$E$2:$E$400,$K69)&gt;0,1,0),0))</f>
        <v/>
      </c>
      <c r="O69" s="34" t="str">
        <f aca="false">IF($A69="","",IFERROR(INDEX(Topics!$C$2:$C$100,MATCH($J69,Topics!$A$2:$A$100,0)),""))</f>
        <v/>
      </c>
      <c r="P69" s="34" t="str">
        <f aca="false">IF($A69="","",IF($B69="ritual","ephemeral",IFERROR(INDEX(Channels!$E$2:$E$50,MATCH($C69,Channels!$A$2:$A$50,0)),"")))</f>
        <v/>
      </c>
    </row>
    <row r="70" customFormat="false" ht="15" hidden="false" customHeight="true" outlineLevel="0" collapsed="false">
      <c r="A70" s="31"/>
      <c r="B70" s="31"/>
      <c r="C70" s="31"/>
      <c r="D70" s="31"/>
      <c r="E70" s="34" t="str">
        <f aca="false">IF($A70="","",IF($B70="ritual",IFERROR(INDEX(Rituals!$B$2:$B$50,MATCH($C70,Rituals!$A$2:$A$50,0)),"?"),IFERROR(INDEX(Channels!$B$2:$B$50,MATCH($C70,Channels!$A$2:$A$50,0)),"?")))</f>
        <v/>
      </c>
      <c r="F70" s="34" t="str">
        <f aca="false">IF($A70="","",IF($B70="ritual",IFERROR(INDEX(Rituals!$E$2:$E$50,MATCH($C70,Rituals!$A$2:$A$50,0)),""),IFERROR(INDEX(Channels!$F$2:$F$50,MATCH($C70,Channels!$A$2:$A$50,0)),"")))</f>
        <v/>
      </c>
      <c r="G70" s="34" t="str">
        <f aca="false">IF($A70="","",IFERROR(INDEX(Lists!$B$2:$B$8,MATCH($F70,Lists!$A$2:$A$8,0)),99))</f>
        <v/>
      </c>
      <c r="H70" s="34" t="str">
        <f aca="false">IF($A70="","",IF($B70="ritual","sync",IFERROR(INDEX(Channels!$D$2:$D$50,MATCH($C70,Channels!$A$2:$A$50,0)),"")))</f>
        <v/>
      </c>
      <c r="I70" s="34" t="str">
        <f aca="false">IF($A70="","",IFERROR(INDEX(Flows!$B$2:$B$400,MATCH($A70,Flows!$A$2:$A$400,0)),""))</f>
        <v/>
      </c>
      <c r="J70" s="34" t="str">
        <f aca="false">IF($A70="","",IFERROR(INDEX(Flows!$C$2:$C$400,MATCH($A70,Flows!$A$2:$A$400,0)),""))</f>
        <v/>
      </c>
      <c r="K70" s="34" t="str">
        <f aca="false">IF($A70="","",IFERROR(INDEX(Flows!$E$2:$E$400,MATCH($A70,Flows!$A$2:$A$400,0)),""))</f>
        <v/>
      </c>
      <c r="L70" s="34" t="str">
        <f aca="false">IF($A70="","",IFERROR(INDEX(Flows!$I$2:$I$400,MATCH($A70,Flows!$A$2:$A$400,0)),""))</f>
        <v/>
      </c>
      <c r="M70" s="34" t="str">
        <f aca="false">IF($A70="","",IF(AND($I70="actual",$L70&lt;&gt;"disputed"),1,0))</f>
        <v/>
      </c>
      <c r="N70" s="34" t="str">
        <f aca="false">IF($A70="","",IF($M70=1,IF(COUNTIFS(Flows!$B$2:$B$400,"required",Flows!$C$2:$C$400,$J70,Flows!$E$2:$E$400,$K70)&gt;0,1,0),0))</f>
        <v/>
      </c>
      <c r="O70" s="34" t="str">
        <f aca="false">IF($A70="","",IFERROR(INDEX(Topics!$C$2:$C$100,MATCH($J70,Topics!$A$2:$A$100,0)),""))</f>
        <v/>
      </c>
      <c r="P70" s="34" t="str">
        <f aca="false">IF($A70="","",IF($B70="ritual","ephemeral",IFERROR(INDEX(Channels!$E$2:$E$50,MATCH($C70,Channels!$A$2:$A$50,0)),"")))</f>
        <v/>
      </c>
    </row>
    <row r="71" customFormat="false" ht="15" hidden="false" customHeight="true" outlineLevel="0" collapsed="false">
      <c r="A71" s="31"/>
      <c r="B71" s="31"/>
      <c r="C71" s="31"/>
      <c r="D71" s="31"/>
      <c r="E71" s="34" t="str">
        <f aca="false">IF($A71="","",IF($B71="ritual",IFERROR(INDEX(Rituals!$B$2:$B$50,MATCH($C71,Rituals!$A$2:$A$50,0)),"?"),IFERROR(INDEX(Channels!$B$2:$B$50,MATCH($C71,Channels!$A$2:$A$50,0)),"?")))</f>
        <v/>
      </c>
      <c r="F71" s="34" t="str">
        <f aca="false">IF($A71="","",IF($B71="ritual",IFERROR(INDEX(Rituals!$E$2:$E$50,MATCH($C71,Rituals!$A$2:$A$50,0)),""),IFERROR(INDEX(Channels!$F$2:$F$50,MATCH($C71,Channels!$A$2:$A$50,0)),"")))</f>
        <v/>
      </c>
      <c r="G71" s="34" t="str">
        <f aca="false">IF($A71="","",IFERROR(INDEX(Lists!$B$2:$B$8,MATCH($F71,Lists!$A$2:$A$8,0)),99))</f>
        <v/>
      </c>
      <c r="H71" s="34" t="str">
        <f aca="false">IF($A71="","",IF($B71="ritual","sync",IFERROR(INDEX(Channels!$D$2:$D$50,MATCH($C71,Channels!$A$2:$A$50,0)),"")))</f>
        <v/>
      </c>
      <c r="I71" s="34" t="str">
        <f aca="false">IF($A71="","",IFERROR(INDEX(Flows!$B$2:$B$400,MATCH($A71,Flows!$A$2:$A$400,0)),""))</f>
        <v/>
      </c>
      <c r="J71" s="34" t="str">
        <f aca="false">IF($A71="","",IFERROR(INDEX(Flows!$C$2:$C$400,MATCH($A71,Flows!$A$2:$A$400,0)),""))</f>
        <v/>
      </c>
      <c r="K71" s="34" t="str">
        <f aca="false">IF($A71="","",IFERROR(INDEX(Flows!$E$2:$E$400,MATCH($A71,Flows!$A$2:$A$400,0)),""))</f>
        <v/>
      </c>
      <c r="L71" s="34" t="str">
        <f aca="false">IF($A71="","",IFERROR(INDEX(Flows!$I$2:$I$400,MATCH($A71,Flows!$A$2:$A$400,0)),""))</f>
        <v/>
      </c>
      <c r="M71" s="34" t="str">
        <f aca="false">IF($A71="","",IF(AND($I71="actual",$L71&lt;&gt;"disputed"),1,0))</f>
        <v/>
      </c>
      <c r="N71" s="34" t="str">
        <f aca="false">IF($A71="","",IF($M71=1,IF(COUNTIFS(Flows!$B$2:$B$400,"required",Flows!$C$2:$C$400,$J71,Flows!$E$2:$E$400,$K71)&gt;0,1,0),0))</f>
        <v/>
      </c>
      <c r="O71" s="34" t="str">
        <f aca="false">IF($A71="","",IFERROR(INDEX(Topics!$C$2:$C$100,MATCH($J71,Topics!$A$2:$A$100,0)),""))</f>
        <v/>
      </c>
      <c r="P71" s="34" t="str">
        <f aca="false">IF($A71="","",IF($B71="ritual","ephemeral",IFERROR(INDEX(Channels!$E$2:$E$50,MATCH($C71,Channels!$A$2:$A$50,0)),"")))</f>
        <v/>
      </c>
    </row>
    <row r="72" customFormat="false" ht="15" hidden="false" customHeight="true" outlineLevel="0" collapsed="false">
      <c r="A72" s="31"/>
      <c r="B72" s="31"/>
      <c r="C72" s="31"/>
      <c r="D72" s="31"/>
      <c r="E72" s="34" t="str">
        <f aca="false">IF($A72="","",IF($B72="ritual",IFERROR(INDEX(Rituals!$B$2:$B$50,MATCH($C72,Rituals!$A$2:$A$50,0)),"?"),IFERROR(INDEX(Channels!$B$2:$B$50,MATCH($C72,Channels!$A$2:$A$50,0)),"?")))</f>
        <v/>
      </c>
      <c r="F72" s="34" t="str">
        <f aca="false">IF($A72="","",IF($B72="ritual",IFERROR(INDEX(Rituals!$E$2:$E$50,MATCH($C72,Rituals!$A$2:$A$50,0)),""),IFERROR(INDEX(Channels!$F$2:$F$50,MATCH($C72,Channels!$A$2:$A$50,0)),"")))</f>
        <v/>
      </c>
      <c r="G72" s="34" t="str">
        <f aca="false">IF($A72="","",IFERROR(INDEX(Lists!$B$2:$B$8,MATCH($F72,Lists!$A$2:$A$8,0)),99))</f>
        <v/>
      </c>
      <c r="H72" s="34" t="str">
        <f aca="false">IF($A72="","",IF($B72="ritual","sync",IFERROR(INDEX(Channels!$D$2:$D$50,MATCH($C72,Channels!$A$2:$A$50,0)),"")))</f>
        <v/>
      </c>
      <c r="I72" s="34" t="str">
        <f aca="false">IF($A72="","",IFERROR(INDEX(Flows!$B$2:$B$400,MATCH($A72,Flows!$A$2:$A$400,0)),""))</f>
        <v/>
      </c>
      <c r="J72" s="34" t="str">
        <f aca="false">IF($A72="","",IFERROR(INDEX(Flows!$C$2:$C$400,MATCH($A72,Flows!$A$2:$A$400,0)),""))</f>
        <v/>
      </c>
      <c r="K72" s="34" t="str">
        <f aca="false">IF($A72="","",IFERROR(INDEX(Flows!$E$2:$E$400,MATCH($A72,Flows!$A$2:$A$400,0)),""))</f>
        <v/>
      </c>
      <c r="L72" s="34" t="str">
        <f aca="false">IF($A72="","",IFERROR(INDEX(Flows!$I$2:$I$400,MATCH($A72,Flows!$A$2:$A$400,0)),""))</f>
        <v/>
      </c>
      <c r="M72" s="34" t="str">
        <f aca="false">IF($A72="","",IF(AND($I72="actual",$L72&lt;&gt;"disputed"),1,0))</f>
        <v/>
      </c>
      <c r="N72" s="34" t="str">
        <f aca="false">IF($A72="","",IF($M72=1,IF(COUNTIFS(Flows!$B$2:$B$400,"required",Flows!$C$2:$C$400,$J72,Flows!$E$2:$E$400,$K72)&gt;0,1,0),0))</f>
        <v/>
      </c>
      <c r="O72" s="34" t="str">
        <f aca="false">IF($A72="","",IFERROR(INDEX(Topics!$C$2:$C$100,MATCH($J72,Topics!$A$2:$A$100,0)),""))</f>
        <v/>
      </c>
      <c r="P72" s="34" t="str">
        <f aca="false">IF($A72="","",IF($B72="ritual","ephemeral",IFERROR(INDEX(Channels!$E$2:$E$50,MATCH($C72,Channels!$A$2:$A$50,0)),"")))</f>
        <v/>
      </c>
    </row>
    <row r="73" customFormat="false" ht="15" hidden="false" customHeight="true" outlineLevel="0" collapsed="false">
      <c r="A73" s="31"/>
      <c r="B73" s="31"/>
      <c r="C73" s="31"/>
      <c r="D73" s="31"/>
      <c r="E73" s="34" t="str">
        <f aca="false">IF($A73="","",IF($B73="ritual",IFERROR(INDEX(Rituals!$B$2:$B$50,MATCH($C73,Rituals!$A$2:$A$50,0)),"?"),IFERROR(INDEX(Channels!$B$2:$B$50,MATCH($C73,Channels!$A$2:$A$50,0)),"?")))</f>
        <v/>
      </c>
      <c r="F73" s="34" t="str">
        <f aca="false">IF($A73="","",IF($B73="ritual",IFERROR(INDEX(Rituals!$E$2:$E$50,MATCH($C73,Rituals!$A$2:$A$50,0)),""),IFERROR(INDEX(Channels!$F$2:$F$50,MATCH($C73,Channels!$A$2:$A$50,0)),"")))</f>
        <v/>
      </c>
      <c r="G73" s="34" t="str">
        <f aca="false">IF($A73="","",IFERROR(INDEX(Lists!$B$2:$B$8,MATCH($F73,Lists!$A$2:$A$8,0)),99))</f>
        <v/>
      </c>
      <c r="H73" s="34" t="str">
        <f aca="false">IF($A73="","",IF($B73="ritual","sync",IFERROR(INDEX(Channels!$D$2:$D$50,MATCH($C73,Channels!$A$2:$A$50,0)),"")))</f>
        <v/>
      </c>
      <c r="I73" s="34" t="str">
        <f aca="false">IF($A73="","",IFERROR(INDEX(Flows!$B$2:$B$400,MATCH($A73,Flows!$A$2:$A$400,0)),""))</f>
        <v/>
      </c>
      <c r="J73" s="34" t="str">
        <f aca="false">IF($A73="","",IFERROR(INDEX(Flows!$C$2:$C$400,MATCH($A73,Flows!$A$2:$A$400,0)),""))</f>
        <v/>
      </c>
      <c r="K73" s="34" t="str">
        <f aca="false">IF($A73="","",IFERROR(INDEX(Flows!$E$2:$E$400,MATCH($A73,Flows!$A$2:$A$400,0)),""))</f>
        <v/>
      </c>
      <c r="L73" s="34" t="str">
        <f aca="false">IF($A73="","",IFERROR(INDEX(Flows!$I$2:$I$400,MATCH($A73,Flows!$A$2:$A$400,0)),""))</f>
        <v/>
      </c>
      <c r="M73" s="34" t="str">
        <f aca="false">IF($A73="","",IF(AND($I73="actual",$L73&lt;&gt;"disputed"),1,0))</f>
        <v/>
      </c>
      <c r="N73" s="34" t="str">
        <f aca="false">IF($A73="","",IF($M73=1,IF(COUNTIFS(Flows!$B$2:$B$400,"required",Flows!$C$2:$C$400,$J73,Flows!$E$2:$E$400,$K73)&gt;0,1,0),0))</f>
        <v/>
      </c>
      <c r="O73" s="34" t="str">
        <f aca="false">IF($A73="","",IFERROR(INDEX(Topics!$C$2:$C$100,MATCH($J73,Topics!$A$2:$A$100,0)),""))</f>
        <v/>
      </c>
      <c r="P73" s="34" t="str">
        <f aca="false">IF($A73="","",IF($B73="ritual","ephemeral",IFERROR(INDEX(Channels!$E$2:$E$50,MATCH($C73,Channels!$A$2:$A$50,0)),"")))</f>
        <v/>
      </c>
    </row>
    <row r="74" customFormat="false" ht="15" hidden="false" customHeight="true" outlineLevel="0" collapsed="false">
      <c r="A74" s="31"/>
      <c r="B74" s="31"/>
      <c r="C74" s="31"/>
      <c r="D74" s="31"/>
      <c r="E74" s="34" t="str">
        <f aca="false">IF($A74="","",IF($B74="ritual",IFERROR(INDEX(Rituals!$B$2:$B$50,MATCH($C74,Rituals!$A$2:$A$50,0)),"?"),IFERROR(INDEX(Channels!$B$2:$B$50,MATCH($C74,Channels!$A$2:$A$50,0)),"?")))</f>
        <v/>
      </c>
      <c r="F74" s="34" t="str">
        <f aca="false">IF($A74="","",IF($B74="ritual",IFERROR(INDEX(Rituals!$E$2:$E$50,MATCH($C74,Rituals!$A$2:$A$50,0)),""),IFERROR(INDEX(Channels!$F$2:$F$50,MATCH($C74,Channels!$A$2:$A$50,0)),"")))</f>
        <v/>
      </c>
      <c r="G74" s="34" t="str">
        <f aca="false">IF($A74="","",IFERROR(INDEX(Lists!$B$2:$B$8,MATCH($F74,Lists!$A$2:$A$8,0)),99))</f>
        <v/>
      </c>
      <c r="H74" s="34" t="str">
        <f aca="false">IF($A74="","",IF($B74="ritual","sync",IFERROR(INDEX(Channels!$D$2:$D$50,MATCH($C74,Channels!$A$2:$A$50,0)),"")))</f>
        <v/>
      </c>
      <c r="I74" s="34" t="str">
        <f aca="false">IF($A74="","",IFERROR(INDEX(Flows!$B$2:$B$400,MATCH($A74,Flows!$A$2:$A$400,0)),""))</f>
        <v/>
      </c>
      <c r="J74" s="34" t="str">
        <f aca="false">IF($A74="","",IFERROR(INDEX(Flows!$C$2:$C$400,MATCH($A74,Flows!$A$2:$A$400,0)),""))</f>
        <v/>
      </c>
      <c r="K74" s="34" t="str">
        <f aca="false">IF($A74="","",IFERROR(INDEX(Flows!$E$2:$E$400,MATCH($A74,Flows!$A$2:$A$400,0)),""))</f>
        <v/>
      </c>
      <c r="L74" s="34" t="str">
        <f aca="false">IF($A74="","",IFERROR(INDEX(Flows!$I$2:$I$400,MATCH($A74,Flows!$A$2:$A$400,0)),""))</f>
        <v/>
      </c>
      <c r="M74" s="34" t="str">
        <f aca="false">IF($A74="","",IF(AND($I74="actual",$L74&lt;&gt;"disputed"),1,0))</f>
        <v/>
      </c>
      <c r="N74" s="34" t="str">
        <f aca="false">IF($A74="","",IF($M74=1,IF(COUNTIFS(Flows!$B$2:$B$400,"required",Flows!$C$2:$C$400,$J74,Flows!$E$2:$E$400,$K74)&gt;0,1,0),0))</f>
        <v/>
      </c>
      <c r="O74" s="34" t="str">
        <f aca="false">IF($A74="","",IFERROR(INDEX(Topics!$C$2:$C$100,MATCH($J74,Topics!$A$2:$A$100,0)),""))</f>
        <v/>
      </c>
      <c r="P74" s="34" t="str">
        <f aca="false">IF($A74="","",IF($B74="ritual","ephemeral",IFERROR(INDEX(Channels!$E$2:$E$50,MATCH($C74,Channels!$A$2:$A$50,0)),"")))</f>
        <v/>
      </c>
    </row>
    <row r="75" customFormat="false" ht="15" hidden="false" customHeight="true" outlineLevel="0" collapsed="false">
      <c r="A75" s="31"/>
      <c r="B75" s="31"/>
      <c r="C75" s="31"/>
      <c r="D75" s="31"/>
      <c r="E75" s="34" t="str">
        <f aca="false">IF($A75="","",IF($B75="ritual",IFERROR(INDEX(Rituals!$B$2:$B$50,MATCH($C75,Rituals!$A$2:$A$50,0)),"?"),IFERROR(INDEX(Channels!$B$2:$B$50,MATCH($C75,Channels!$A$2:$A$50,0)),"?")))</f>
        <v/>
      </c>
      <c r="F75" s="34" t="str">
        <f aca="false">IF($A75="","",IF($B75="ritual",IFERROR(INDEX(Rituals!$E$2:$E$50,MATCH($C75,Rituals!$A$2:$A$50,0)),""),IFERROR(INDEX(Channels!$F$2:$F$50,MATCH($C75,Channels!$A$2:$A$50,0)),"")))</f>
        <v/>
      </c>
      <c r="G75" s="34" t="str">
        <f aca="false">IF($A75="","",IFERROR(INDEX(Lists!$B$2:$B$8,MATCH($F75,Lists!$A$2:$A$8,0)),99))</f>
        <v/>
      </c>
      <c r="H75" s="34" t="str">
        <f aca="false">IF($A75="","",IF($B75="ritual","sync",IFERROR(INDEX(Channels!$D$2:$D$50,MATCH($C75,Channels!$A$2:$A$50,0)),"")))</f>
        <v/>
      </c>
      <c r="I75" s="34" t="str">
        <f aca="false">IF($A75="","",IFERROR(INDEX(Flows!$B$2:$B$400,MATCH($A75,Flows!$A$2:$A$400,0)),""))</f>
        <v/>
      </c>
      <c r="J75" s="34" t="str">
        <f aca="false">IF($A75="","",IFERROR(INDEX(Flows!$C$2:$C$400,MATCH($A75,Flows!$A$2:$A$400,0)),""))</f>
        <v/>
      </c>
      <c r="K75" s="34" t="str">
        <f aca="false">IF($A75="","",IFERROR(INDEX(Flows!$E$2:$E$400,MATCH($A75,Flows!$A$2:$A$400,0)),""))</f>
        <v/>
      </c>
      <c r="L75" s="34" t="str">
        <f aca="false">IF($A75="","",IFERROR(INDEX(Flows!$I$2:$I$400,MATCH($A75,Flows!$A$2:$A$400,0)),""))</f>
        <v/>
      </c>
      <c r="M75" s="34" t="str">
        <f aca="false">IF($A75="","",IF(AND($I75="actual",$L75&lt;&gt;"disputed"),1,0))</f>
        <v/>
      </c>
      <c r="N75" s="34" t="str">
        <f aca="false">IF($A75="","",IF($M75=1,IF(COUNTIFS(Flows!$B$2:$B$400,"required",Flows!$C$2:$C$400,$J75,Flows!$E$2:$E$400,$K75)&gt;0,1,0),0))</f>
        <v/>
      </c>
      <c r="O75" s="34" t="str">
        <f aca="false">IF($A75="","",IFERROR(INDEX(Topics!$C$2:$C$100,MATCH($J75,Topics!$A$2:$A$100,0)),""))</f>
        <v/>
      </c>
      <c r="P75" s="34" t="str">
        <f aca="false">IF($A75="","",IF($B75="ritual","ephemeral",IFERROR(INDEX(Channels!$E$2:$E$50,MATCH($C75,Channels!$A$2:$A$50,0)),"")))</f>
        <v/>
      </c>
    </row>
    <row r="76" customFormat="false" ht="15" hidden="false" customHeight="true" outlineLevel="0" collapsed="false">
      <c r="A76" s="31"/>
      <c r="B76" s="31"/>
      <c r="C76" s="31"/>
      <c r="D76" s="31"/>
      <c r="E76" s="34" t="str">
        <f aca="false">IF($A76="","",IF($B76="ritual",IFERROR(INDEX(Rituals!$B$2:$B$50,MATCH($C76,Rituals!$A$2:$A$50,0)),"?"),IFERROR(INDEX(Channels!$B$2:$B$50,MATCH($C76,Channels!$A$2:$A$50,0)),"?")))</f>
        <v/>
      </c>
      <c r="F76" s="34" t="str">
        <f aca="false">IF($A76="","",IF($B76="ritual",IFERROR(INDEX(Rituals!$E$2:$E$50,MATCH($C76,Rituals!$A$2:$A$50,0)),""),IFERROR(INDEX(Channels!$F$2:$F$50,MATCH($C76,Channels!$A$2:$A$50,0)),"")))</f>
        <v/>
      </c>
      <c r="G76" s="34" t="str">
        <f aca="false">IF($A76="","",IFERROR(INDEX(Lists!$B$2:$B$8,MATCH($F76,Lists!$A$2:$A$8,0)),99))</f>
        <v/>
      </c>
      <c r="H76" s="34" t="str">
        <f aca="false">IF($A76="","",IF($B76="ritual","sync",IFERROR(INDEX(Channels!$D$2:$D$50,MATCH($C76,Channels!$A$2:$A$50,0)),"")))</f>
        <v/>
      </c>
      <c r="I76" s="34" t="str">
        <f aca="false">IF($A76="","",IFERROR(INDEX(Flows!$B$2:$B$400,MATCH($A76,Flows!$A$2:$A$400,0)),""))</f>
        <v/>
      </c>
      <c r="J76" s="34" t="str">
        <f aca="false">IF($A76="","",IFERROR(INDEX(Flows!$C$2:$C$400,MATCH($A76,Flows!$A$2:$A$400,0)),""))</f>
        <v/>
      </c>
      <c r="K76" s="34" t="str">
        <f aca="false">IF($A76="","",IFERROR(INDEX(Flows!$E$2:$E$400,MATCH($A76,Flows!$A$2:$A$400,0)),""))</f>
        <v/>
      </c>
      <c r="L76" s="34" t="str">
        <f aca="false">IF($A76="","",IFERROR(INDEX(Flows!$I$2:$I$400,MATCH($A76,Flows!$A$2:$A$400,0)),""))</f>
        <v/>
      </c>
      <c r="M76" s="34" t="str">
        <f aca="false">IF($A76="","",IF(AND($I76="actual",$L76&lt;&gt;"disputed"),1,0))</f>
        <v/>
      </c>
      <c r="N76" s="34" t="str">
        <f aca="false">IF($A76="","",IF($M76=1,IF(COUNTIFS(Flows!$B$2:$B$400,"required",Flows!$C$2:$C$400,$J76,Flows!$E$2:$E$400,$K76)&gt;0,1,0),0))</f>
        <v/>
      </c>
      <c r="O76" s="34" t="str">
        <f aca="false">IF($A76="","",IFERROR(INDEX(Topics!$C$2:$C$100,MATCH($J76,Topics!$A$2:$A$100,0)),""))</f>
        <v/>
      </c>
      <c r="P76" s="34" t="str">
        <f aca="false">IF($A76="","",IF($B76="ritual","ephemeral",IFERROR(INDEX(Channels!$E$2:$E$50,MATCH($C76,Channels!$A$2:$A$50,0)),"")))</f>
        <v/>
      </c>
    </row>
    <row r="77" customFormat="false" ht="15" hidden="false" customHeight="true" outlineLevel="0" collapsed="false">
      <c r="A77" s="31"/>
      <c r="B77" s="31"/>
      <c r="C77" s="31"/>
      <c r="D77" s="31"/>
      <c r="E77" s="34" t="str">
        <f aca="false">IF($A77="","",IF($B77="ritual",IFERROR(INDEX(Rituals!$B$2:$B$50,MATCH($C77,Rituals!$A$2:$A$50,0)),"?"),IFERROR(INDEX(Channels!$B$2:$B$50,MATCH($C77,Channels!$A$2:$A$50,0)),"?")))</f>
        <v/>
      </c>
      <c r="F77" s="34" t="str">
        <f aca="false">IF($A77="","",IF($B77="ritual",IFERROR(INDEX(Rituals!$E$2:$E$50,MATCH($C77,Rituals!$A$2:$A$50,0)),""),IFERROR(INDEX(Channels!$F$2:$F$50,MATCH($C77,Channels!$A$2:$A$50,0)),"")))</f>
        <v/>
      </c>
      <c r="G77" s="34" t="str">
        <f aca="false">IF($A77="","",IFERROR(INDEX(Lists!$B$2:$B$8,MATCH($F77,Lists!$A$2:$A$8,0)),99))</f>
        <v/>
      </c>
      <c r="H77" s="34" t="str">
        <f aca="false">IF($A77="","",IF($B77="ritual","sync",IFERROR(INDEX(Channels!$D$2:$D$50,MATCH($C77,Channels!$A$2:$A$50,0)),"")))</f>
        <v/>
      </c>
      <c r="I77" s="34" t="str">
        <f aca="false">IF($A77="","",IFERROR(INDEX(Flows!$B$2:$B$400,MATCH($A77,Flows!$A$2:$A$400,0)),""))</f>
        <v/>
      </c>
      <c r="J77" s="34" t="str">
        <f aca="false">IF($A77="","",IFERROR(INDEX(Flows!$C$2:$C$400,MATCH($A77,Flows!$A$2:$A$400,0)),""))</f>
        <v/>
      </c>
      <c r="K77" s="34" t="str">
        <f aca="false">IF($A77="","",IFERROR(INDEX(Flows!$E$2:$E$400,MATCH($A77,Flows!$A$2:$A$400,0)),""))</f>
        <v/>
      </c>
      <c r="L77" s="34" t="str">
        <f aca="false">IF($A77="","",IFERROR(INDEX(Flows!$I$2:$I$400,MATCH($A77,Flows!$A$2:$A$400,0)),""))</f>
        <v/>
      </c>
      <c r="M77" s="34" t="str">
        <f aca="false">IF($A77="","",IF(AND($I77="actual",$L77&lt;&gt;"disputed"),1,0))</f>
        <v/>
      </c>
      <c r="N77" s="34" t="str">
        <f aca="false">IF($A77="","",IF($M77=1,IF(COUNTIFS(Flows!$B$2:$B$400,"required",Flows!$C$2:$C$400,$J77,Flows!$E$2:$E$400,$K77)&gt;0,1,0),0))</f>
        <v/>
      </c>
      <c r="O77" s="34" t="str">
        <f aca="false">IF($A77="","",IFERROR(INDEX(Topics!$C$2:$C$100,MATCH($J77,Topics!$A$2:$A$100,0)),""))</f>
        <v/>
      </c>
      <c r="P77" s="34" t="str">
        <f aca="false">IF($A77="","",IF($B77="ritual","ephemeral",IFERROR(INDEX(Channels!$E$2:$E$50,MATCH($C77,Channels!$A$2:$A$50,0)),"")))</f>
        <v/>
      </c>
    </row>
    <row r="78" customFormat="false" ht="15" hidden="false" customHeight="true" outlineLevel="0" collapsed="false">
      <c r="A78" s="31"/>
      <c r="B78" s="31"/>
      <c r="C78" s="31"/>
      <c r="D78" s="31"/>
      <c r="E78" s="34" t="str">
        <f aca="false">IF($A78="","",IF($B78="ritual",IFERROR(INDEX(Rituals!$B$2:$B$50,MATCH($C78,Rituals!$A$2:$A$50,0)),"?"),IFERROR(INDEX(Channels!$B$2:$B$50,MATCH($C78,Channels!$A$2:$A$50,0)),"?")))</f>
        <v/>
      </c>
      <c r="F78" s="34" t="str">
        <f aca="false">IF($A78="","",IF($B78="ritual",IFERROR(INDEX(Rituals!$E$2:$E$50,MATCH($C78,Rituals!$A$2:$A$50,0)),""),IFERROR(INDEX(Channels!$F$2:$F$50,MATCH($C78,Channels!$A$2:$A$50,0)),"")))</f>
        <v/>
      </c>
      <c r="G78" s="34" t="str">
        <f aca="false">IF($A78="","",IFERROR(INDEX(Lists!$B$2:$B$8,MATCH($F78,Lists!$A$2:$A$8,0)),99))</f>
        <v/>
      </c>
      <c r="H78" s="34" t="str">
        <f aca="false">IF($A78="","",IF($B78="ritual","sync",IFERROR(INDEX(Channels!$D$2:$D$50,MATCH($C78,Channels!$A$2:$A$50,0)),"")))</f>
        <v/>
      </c>
      <c r="I78" s="34" t="str">
        <f aca="false">IF($A78="","",IFERROR(INDEX(Flows!$B$2:$B$400,MATCH($A78,Flows!$A$2:$A$400,0)),""))</f>
        <v/>
      </c>
      <c r="J78" s="34" t="str">
        <f aca="false">IF($A78="","",IFERROR(INDEX(Flows!$C$2:$C$400,MATCH($A78,Flows!$A$2:$A$400,0)),""))</f>
        <v/>
      </c>
      <c r="K78" s="34" t="str">
        <f aca="false">IF($A78="","",IFERROR(INDEX(Flows!$E$2:$E$400,MATCH($A78,Flows!$A$2:$A$400,0)),""))</f>
        <v/>
      </c>
      <c r="L78" s="34" t="str">
        <f aca="false">IF($A78="","",IFERROR(INDEX(Flows!$I$2:$I$400,MATCH($A78,Flows!$A$2:$A$400,0)),""))</f>
        <v/>
      </c>
      <c r="M78" s="34" t="str">
        <f aca="false">IF($A78="","",IF(AND($I78="actual",$L78&lt;&gt;"disputed"),1,0))</f>
        <v/>
      </c>
      <c r="N78" s="34" t="str">
        <f aca="false">IF($A78="","",IF($M78=1,IF(COUNTIFS(Flows!$B$2:$B$400,"required",Flows!$C$2:$C$400,$J78,Flows!$E$2:$E$400,$K78)&gt;0,1,0),0))</f>
        <v/>
      </c>
      <c r="O78" s="34" t="str">
        <f aca="false">IF($A78="","",IFERROR(INDEX(Topics!$C$2:$C$100,MATCH($J78,Topics!$A$2:$A$100,0)),""))</f>
        <v/>
      </c>
      <c r="P78" s="34" t="str">
        <f aca="false">IF($A78="","",IF($B78="ritual","ephemeral",IFERROR(INDEX(Channels!$E$2:$E$50,MATCH($C78,Channels!$A$2:$A$50,0)),"")))</f>
        <v/>
      </c>
    </row>
    <row r="79" customFormat="false" ht="15" hidden="false" customHeight="true" outlineLevel="0" collapsed="false">
      <c r="A79" s="31"/>
      <c r="B79" s="31"/>
      <c r="C79" s="31"/>
      <c r="D79" s="31"/>
      <c r="E79" s="34" t="str">
        <f aca="false">IF($A79="","",IF($B79="ritual",IFERROR(INDEX(Rituals!$B$2:$B$50,MATCH($C79,Rituals!$A$2:$A$50,0)),"?"),IFERROR(INDEX(Channels!$B$2:$B$50,MATCH($C79,Channels!$A$2:$A$50,0)),"?")))</f>
        <v/>
      </c>
      <c r="F79" s="34" t="str">
        <f aca="false">IF($A79="","",IF($B79="ritual",IFERROR(INDEX(Rituals!$E$2:$E$50,MATCH($C79,Rituals!$A$2:$A$50,0)),""),IFERROR(INDEX(Channels!$F$2:$F$50,MATCH($C79,Channels!$A$2:$A$50,0)),"")))</f>
        <v/>
      </c>
      <c r="G79" s="34" t="str">
        <f aca="false">IF($A79="","",IFERROR(INDEX(Lists!$B$2:$B$8,MATCH($F79,Lists!$A$2:$A$8,0)),99))</f>
        <v/>
      </c>
      <c r="H79" s="34" t="str">
        <f aca="false">IF($A79="","",IF($B79="ritual","sync",IFERROR(INDEX(Channels!$D$2:$D$50,MATCH($C79,Channels!$A$2:$A$50,0)),"")))</f>
        <v/>
      </c>
      <c r="I79" s="34" t="str">
        <f aca="false">IF($A79="","",IFERROR(INDEX(Flows!$B$2:$B$400,MATCH($A79,Flows!$A$2:$A$400,0)),""))</f>
        <v/>
      </c>
      <c r="J79" s="34" t="str">
        <f aca="false">IF($A79="","",IFERROR(INDEX(Flows!$C$2:$C$400,MATCH($A79,Flows!$A$2:$A$400,0)),""))</f>
        <v/>
      </c>
      <c r="K79" s="34" t="str">
        <f aca="false">IF($A79="","",IFERROR(INDEX(Flows!$E$2:$E$400,MATCH($A79,Flows!$A$2:$A$400,0)),""))</f>
        <v/>
      </c>
      <c r="L79" s="34" t="str">
        <f aca="false">IF($A79="","",IFERROR(INDEX(Flows!$I$2:$I$400,MATCH($A79,Flows!$A$2:$A$400,0)),""))</f>
        <v/>
      </c>
      <c r="M79" s="34" t="str">
        <f aca="false">IF($A79="","",IF(AND($I79="actual",$L79&lt;&gt;"disputed"),1,0))</f>
        <v/>
      </c>
      <c r="N79" s="34" t="str">
        <f aca="false">IF($A79="","",IF($M79=1,IF(COUNTIFS(Flows!$B$2:$B$400,"required",Flows!$C$2:$C$400,$J79,Flows!$E$2:$E$400,$K79)&gt;0,1,0),0))</f>
        <v/>
      </c>
      <c r="O79" s="34" t="str">
        <f aca="false">IF($A79="","",IFERROR(INDEX(Topics!$C$2:$C$100,MATCH($J79,Topics!$A$2:$A$100,0)),""))</f>
        <v/>
      </c>
      <c r="P79" s="34" t="str">
        <f aca="false">IF($A79="","",IF($B79="ritual","ephemeral",IFERROR(INDEX(Channels!$E$2:$E$50,MATCH($C79,Channels!$A$2:$A$50,0)),"")))</f>
        <v/>
      </c>
    </row>
    <row r="80" customFormat="false" ht="15" hidden="false" customHeight="true" outlineLevel="0" collapsed="false">
      <c r="A80" s="31"/>
      <c r="B80" s="31"/>
      <c r="C80" s="31"/>
      <c r="D80" s="31"/>
      <c r="E80" s="34" t="str">
        <f aca="false">IF($A80="","",IF($B80="ritual",IFERROR(INDEX(Rituals!$B$2:$B$50,MATCH($C80,Rituals!$A$2:$A$50,0)),"?"),IFERROR(INDEX(Channels!$B$2:$B$50,MATCH($C80,Channels!$A$2:$A$50,0)),"?")))</f>
        <v/>
      </c>
      <c r="F80" s="34" t="str">
        <f aca="false">IF($A80="","",IF($B80="ritual",IFERROR(INDEX(Rituals!$E$2:$E$50,MATCH($C80,Rituals!$A$2:$A$50,0)),""),IFERROR(INDEX(Channels!$F$2:$F$50,MATCH($C80,Channels!$A$2:$A$50,0)),"")))</f>
        <v/>
      </c>
      <c r="G80" s="34" t="str">
        <f aca="false">IF($A80="","",IFERROR(INDEX(Lists!$B$2:$B$8,MATCH($F80,Lists!$A$2:$A$8,0)),99))</f>
        <v/>
      </c>
      <c r="H80" s="34" t="str">
        <f aca="false">IF($A80="","",IF($B80="ritual","sync",IFERROR(INDEX(Channels!$D$2:$D$50,MATCH($C80,Channels!$A$2:$A$50,0)),"")))</f>
        <v/>
      </c>
      <c r="I80" s="34" t="str">
        <f aca="false">IF($A80="","",IFERROR(INDEX(Flows!$B$2:$B$400,MATCH($A80,Flows!$A$2:$A$400,0)),""))</f>
        <v/>
      </c>
      <c r="J80" s="34" t="str">
        <f aca="false">IF($A80="","",IFERROR(INDEX(Flows!$C$2:$C$400,MATCH($A80,Flows!$A$2:$A$400,0)),""))</f>
        <v/>
      </c>
      <c r="K80" s="34" t="str">
        <f aca="false">IF($A80="","",IFERROR(INDEX(Flows!$E$2:$E$400,MATCH($A80,Flows!$A$2:$A$400,0)),""))</f>
        <v/>
      </c>
      <c r="L80" s="34" t="str">
        <f aca="false">IF($A80="","",IFERROR(INDEX(Flows!$I$2:$I$400,MATCH($A80,Flows!$A$2:$A$400,0)),""))</f>
        <v/>
      </c>
      <c r="M80" s="34" t="str">
        <f aca="false">IF($A80="","",IF(AND($I80="actual",$L80&lt;&gt;"disputed"),1,0))</f>
        <v/>
      </c>
      <c r="N80" s="34" t="str">
        <f aca="false">IF($A80="","",IF($M80=1,IF(COUNTIFS(Flows!$B$2:$B$400,"required",Flows!$C$2:$C$400,$J80,Flows!$E$2:$E$400,$K80)&gt;0,1,0),0))</f>
        <v/>
      </c>
      <c r="O80" s="34" t="str">
        <f aca="false">IF($A80="","",IFERROR(INDEX(Topics!$C$2:$C$100,MATCH($J80,Topics!$A$2:$A$100,0)),""))</f>
        <v/>
      </c>
      <c r="P80" s="34" t="str">
        <f aca="false">IF($A80="","",IF($B80="ritual","ephemeral",IFERROR(INDEX(Channels!$E$2:$E$50,MATCH($C80,Channels!$A$2:$A$50,0)),"")))</f>
        <v/>
      </c>
    </row>
    <row r="81" customFormat="false" ht="15" hidden="false" customHeight="true" outlineLevel="0" collapsed="false">
      <c r="A81" s="31"/>
      <c r="B81" s="31"/>
      <c r="C81" s="31"/>
      <c r="D81" s="31"/>
      <c r="E81" s="34" t="str">
        <f aca="false">IF($A81="","",IF($B81="ritual",IFERROR(INDEX(Rituals!$B$2:$B$50,MATCH($C81,Rituals!$A$2:$A$50,0)),"?"),IFERROR(INDEX(Channels!$B$2:$B$50,MATCH($C81,Channels!$A$2:$A$50,0)),"?")))</f>
        <v/>
      </c>
      <c r="F81" s="34" t="str">
        <f aca="false">IF($A81="","",IF($B81="ritual",IFERROR(INDEX(Rituals!$E$2:$E$50,MATCH($C81,Rituals!$A$2:$A$50,0)),""),IFERROR(INDEX(Channels!$F$2:$F$50,MATCH($C81,Channels!$A$2:$A$50,0)),"")))</f>
        <v/>
      </c>
      <c r="G81" s="34" t="str">
        <f aca="false">IF($A81="","",IFERROR(INDEX(Lists!$B$2:$B$8,MATCH($F81,Lists!$A$2:$A$8,0)),99))</f>
        <v/>
      </c>
      <c r="H81" s="34" t="str">
        <f aca="false">IF($A81="","",IF($B81="ritual","sync",IFERROR(INDEX(Channels!$D$2:$D$50,MATCH($C81,Channels!$A$2:$A$50,0)),"")))</f>
        <v/>
      </c>
      <c r="I81" s="34" t="str">
        <f aca="false">IF($A81="","",IFERROR(INDEX(Flows!$B$2:$B$400,MATCH($A81,Flows!$A$2:$A$400,0)),""))</f>
        <v/>
      </c>
      <c r="J81" s="34" t="str">
        <f aca="false">IF($A81="","",IFERROR(INDEX(Flows!$C$2:$C$400,MATCH($A81,Flows!$A$2:$A$400,0)),""))</f>
        <v/>
      </c>
      <c r="K81" s="34" t="str">
        <f aca="false">IF($A81="","",IFERROR(INDEX(Flows!$E$2:$E$400,MATCH($A81,Flows!$A$2:$A$400,0)),""))</f>
        <v/>
      </c>
      <c r="L81" s="34" t="str">
        <f aca="false">IF($A81="","",IFERROR(INDEX(Flows!$I$2:$I$400,MATCH($A81,Flows!$A$2:$A$400,0)),""))</f>
        <v/>
      </c>
      <c r="M81" s="34" t="str">
        <f aca="false">IF($A81="","",IF(AND($I81="actual",$L81&lt;&gt;"disputed"),1,0))</f>
        <v/>
      </c>
      <c r="N81" s="34" t="str">
        <f aca="false">IF($A81="","",IF($M81=1,IF(COUNTIFS(Flows!$B$2:$B$400,"required",Flows!$C$2:$C$400,$J81,Flows!$E$2:$E$400,$K81)&gt;0,1,0),0))</f>
        <v/>
      </c>
      <c r="O81" s="34" t="str">
        <f aca="false">IF($A81="","",IFERROR(INDEX(Topics!$C$2:$C$100,MATCH($J81,Topics!$A$2:$A$100,0)),""))</f>
        <v/>
      </c>
      <c r="P81" s="34" t="str">
        <f aca="false">IF($A81="","",IF($B81="ritual","ephemeral",IFERROR(INDEX(Channels!$E$2:$E$50,MATCH($C81,Channels!$A$2:$A$50,0)),"")))</f>
        <v/>
      </c>
    </row>
    <row r="82" customFormat="false" ht="15" hidden="false" customHeight="true" outlineLevel="0" collapsed="false">
      <c r="A82" s="31"/>
      <c r="B82" s="31"/>
      <c r="C82" s="31"/>
      <c r="D82" s="31"/>
      <c r="E82" s="34" t="str">
        <f aca="false">IF($A82="","",IF($B82="ritual",IFERROR(INDEX(Rituals!$B$2:$B$50,MATCH($C82,Rituals!$A$2:$A$50,0)),"?"),IFERROR(INDEX(Channels!$B$2:$B$50,MATCH($C82,Channels!$A$2:$A$50,0)),"?")))</f>
        <v/>
      </c>
      <c r="F82" s="34" t="str">
        <f aca="false">IF($A82="","",IF($B82="ritual",IFERROR(INDEX(Rituals!$E$2:$E$50,MATCH($C82,Rituals!$A$2:$A$50,0)),""),IFERROR(INDEX(Channels!$F$2:$F$50,MATCH($C82,Channels!$A$2:$A$50,0)),"")))</f>
        <v/>
      </c>
      <c r="G82" s="34" t="str">
        <f aca="false">IF($A82="","",IFERROR(INDEX(Lists!$B$2:$B$8,MATCH($F82,Lists!$A$2:$A$8,0)),99))</f>
        <v/>
      </c>
      <c r="H82" s="34" t="str">
        <f aca="false">IF($A82="","",IF($B82="ritual","sync",IFERROR(INDEX(Channels!$D$2:$D$50,MATCH($C82,Channels!$A$2:$A$50,0)),"")))</f>
        <v/>
      </c>
      <c r="I82" s="34" t="str">
        <f aca="false">IF($A82="","",IFERROR(INDEX(Flows!$B$2:$B$400,MATCH($A82,Flows!$A$2:$A$400,0)),""))</f>
        <v/>
      </c>
      <c r="J82" s="34" t="str">
        <f aca="false">IF($A82="","",IFERROR(INDEX(Flows!$C$2:$C$400,MATCH($A82,Flows!$A$2:$A$400,0)),""))</f>
        <v/>
      </c>
      <c r="K82" s="34" t="str">
        <f aca="false">IF($A82="","",IFERROR(INDEX(Flows!$E$2:$E$400,MATCH($A82,Flows!$A$2:$A$400,0)),""))</f>
        <v/>
      </c>
      <c r="L82" s="34" t="str">
        <f aca="false">IF($A82="","",IFERROR(INDEX(Flows!$I$2:$I$400,MATCH($A82,Flows!$A$2:$A$400,0)),""))</f>
        <v/>
      </c>
      <c r="M82" s="34" t="str">
        <f aca="false">IF($A82="","",IF(AND($I82="actual",$L82&lt;&gt;"disputed"),1,0))</f>
        <v/>
      </c>
      <c r="N82" s="34" t="str">
        <f aca="false">IF($A82="","",IF($M82=1,IF(COUNTIFS(Flows!$B$2:$B$400,"required",Flows!$C$2:$C$400,$J82,Flows!$E$2:$E$400,$K82)&gt;0,1,0),0))</f>
        <v/>
      </c>
      <c r="O82" s="34" t="str">
        <f aca="false">IF($A82="","",IFERROR(INDEX(Topics!$C$2:$C$100,MATCH($J82,Topics!$A$2:$A$100,0)),""))</f>
        <v/>
      </c>
      <c r="P82" s="34" t="str">
        <f aca="false">IF($A82="","",IF($B82="ritual","ephemeral",IFERROR(INDEX(Channels!$E$2:$E$50,MATCH($C82,Channels!$A$2:$A$50,0)),"")))</f>
        <v/>
      </c>
    </row>
    <row r="83" customFormat="false" ht="15" hidden="false" customHeight="true" outlineLevel="0" collapsed="false">
      <c r="A83" s="31"/>
      <c r="B83" s="31"/>
      <c r="C83" s="31"/>
      <c r="D83" s="31"/>
      <c r="E83" s="34" t="str">
        <f aca="false">IF($A83="","",IF($B83="ritual",IFERROR(INDEX(Rituals!$B$2:$B$50,MATCH($C83,Rituals!$A$2:$A$50,0)),"?"),IFERROR(INDEX(Channels!$B$2:$B$50,MATCH($C83,Channels!$A$2:$A$50,0)),"?")))</f>
        <v/>
      </c>
      <c r="F83" s="34" t="str">
        <f aca="false">IF($A83="","",IF($B83="ritual",IFERROR(INDEX(Rituals!$E$2:$E$50,MATCH($C83,Rituals!$A$2:$A$50,0)),""),IFERROR(INDEX(Channels!$F$2:$F$50,MATCH($C83,Channels!$A$2:$A$50,0)),"")))</f>
        <v/>
      </c>
      <c r="G83" s="34" t="str">
        <f aca="false">IF($A83="","",IFERROR(INDEX(Lists!$B$2:$B$8,MATCH($F83,Lists!$A$2:$A$8,0)),99))</f>
        <v/>
      </c>
      <c r="H83" s="34" t="str">
        <f aca="false">IF($A83="","",IF($B83="ritual","sync",IFERROR(INDEX(Channels!$D$2:$D$50,MATCH($C83,Channels!$A$2:$A$50,0)),"")))</f>
        <v/>
      </c>
      <c r="I83" s="34" t="str">
        <f aca="false">IF($A83="","",IFERROR(INDEX(Flows!$B$2:$B$400,MATCH($A83,Flows!$A$2:$A$400,0)),""))</f>
        <v/>
      </c>
      <c r="J83" s="34" t="str">
        <f aca="false">IF($A83="","",IFERROR(INDEX(Flows!$C$2:$C$400,MATCH($A83,Flows!$A$2:$A$400,0)),""))</f>
        <v/>
      </c>
      <c r="K83" s="34" t="str">
        <f aca="false">IF($A83="","",IFERROR(INDEX(Flows!$E$2:$E$400,MATCH($A83,Flows!$A$2:$A$400,0)),""))</f>
        <v/>
      </c>
      <c r="L83" s="34" t="str">
        <f aca="false">IF($A83="","",IFERROR(INDEX(Flows!$I$2:$I$400,MATCH($A83,Flows!$A$2:$A$400,0)),""))</f>
        <v/>
      </c>
      <c r="M83" s="34" t="str">
        <f aca="false">IF($A83="","",IF(AND($I83="actual",$L83&lt;&gt;"disputed"),1,0))</f>
        <v/>
      </c>
      <c r="N83" s="34" t="str">
        <f aca="false">IF($A83="","",IF($M83=1,IF(COUNTIFS(Flows!$B$2:$B$400,"required",Flows!$C$2:$C$400,$J83,Flows!$E$2:$E$400,$K83)&gt;0,1,0),0))</f>
        <v/>
      </c>
      <c r="O83" s="34" t="str">
        <f aca="false">IF($A83="","",IFERROR(INDEX(Topics!$C$2:$C$100,MATCH($J83,Topics!$A$2:$A$100,0)),""))</f>
        <v/>
      </c>
      <c r="P83" s="34" t="str">
        <f aca="false">IF($A83="","",IF($B83="ritual","ephemeral",IFERROR(INDEX(Channels!$E$2:$E$50,MATCH($C83,Channels!$A$2:$A$50,0)),"")))</f>
        <v/>
      </c>
    </row>
    <row r="84" customFormat="false" ht="15" hidden="false" customHeight="true" outlineLevel="0" collapsed="false">
      <c r="A84" s="31"/>
      <c r="B84" s="31"/>
      <c r="C84" s="31"/>
      <c r="D84" s="31"/>
      <c r="E84" s="34" t="str">
        <f aca="false">IF($A84="","",IF($B84="ritual",IFERROR(INDEX(Rituals!$B$2:$B$50,MATCH($C84,Rituals!$A$2:$A$50,0)),"?"),IFERROR(INDEX(Channels!$B$2:$B$50,MATCH($C84,Channels!$A$2:$A$50,0)),"?")))</f>
        <v/>
      </c>
      <c r="F84" s="34" t="str">
        <f aca="false">IF($A84="","",IF($B84="ritual",IFERROR(INDEX(Rituals!$E$2:$E$50,MATCH($C84,Rituals!$A$2:$A$50,0)),""),IFERROR(INDEX(Channels!$F$2:$F$50,MATCH($C84,Channels!$A$2:$A$50,0)),"")))</f>
        <v/>
      </c>
      <c r="G84" s="34" t="str">
        <f aca="false">IF($A84="","",IFERROR(INDEX(Lists!$B$2:$B$8,MATCH($F84,Lists!$A$2:$A$8,0)),99))</f>
        <v/>
      </c>
      <c r="H84" s="34" t="str">
        <f aca="false">IF($A84="","",IF($B84="ritual","sync",IFERROR(INDEX(Channels!$D$2:$D$50,MATCH($C84,Channels!$A$2:$A$50,0)),"")))</f>
        <v/>
      </c>
      <c r="I84" s="34" t="str">
        <f aca="false">IF($A84="","",IFERROR(INDEX(Flows!$B$2:$B$400,MATCH($A84,Flows!$A$2:$A$400,0)),""))</f>
        <v/>
      </c>
      <c r="J84" s="34" t="str">
        <f aca="false">IF($A84="","",IFERROR(INDEX(Flows!$C$2:$C$400,MATCH($A84,Flows!$A$2:$A$400,0)),""))</f>
        <v/>
      </c>
      <c r="K84" s="34" t="str">
        <f aca="false">IF($A84="","",IFERROR(INDEX(Flows!$E$2:$E$400,MATCH($A84,Flows!$A$2:$A$400,0)),""))</f>
        <v/>
      </c>
      <c r="L84" s="34" t="str">
        <f aca="false">IF($A84="","",IFERROR(INDEX(Flows!$I$2:$I$400,MATCH($A84,Flows!$A$2:$A$400,0)),""))</f>
        <v/>
      </c>
      <c r="M84" s="34" t="str">
        <f aca="false">IF($A84="","",IF(AND($I84="actual",$L84&lt;&gt;"disputed"),1,0))</f>
        <v/>
      </c>
      <c r="N84" s="34" t="str">
        <f aca="false">IF($A84="","",IF($M84=1,IF(COUNTIFS(Flows!$B$2:$B$400,"required",Flows!$C$2:$C$400,$J84,Flows!$E$2:$E$400,$K84)&gt;0,1,0),0))</f>
        <v/>
      </c>
      <c r="O84" s="34" t="str">
        <f aca="false">IF($A84="","",IFERROR(INDEX(Topics!$C$2:$C$100,MATCH($J84,Topics!$A$2:$A$100,0)),""))</f>
        <v/>
      </c>
      <c r="P84" s="34" t="str">
        <f aca="false">IF($A84="","",IF($B84="ritual","ephemeral",IFERROR(INDEX(Channels!$E$2:$E$50,MATCH($C84,Channels!$A$2:$A$50,0)),"")))</f>
        <v/>
      </c>
    </row>
    <row r="85" customFormat="false" ht="15" hidden="false" customHeight="true" outlineLevel="0" collapsed="false">
      <c r="A85" s="31"/>
      <c r="B85" s="31"/>
      <c r="C85" s="31"/>
      <c r="D85" s="31"/>
      <c r="E85" s="34" t="str">
        <f aca="false">IF($A85="","",IF($B85="ritual",IFERROR(INDEX(Rituals!$B$2:$B$50,MATCH($C85,Rituals!$A$2:$A$50,0)),"?"),IFERROR(INDEX(Channels!$B$2:$B$50,MATCH($C85,Channels!$A$2:$A$50,0)),"?")))</f>
        <v/>
      </c>
      <c r="F85" s="34" t="str">
        <f aca="false">IF($A85="","",IF($B85="ritual",IFERROR(INDEX(Rituals!$E$2:$E$50,MATCH($C85,Rituals!$A$2:$A$50,0)),""),IFERROR(INDEX(Channels!$F$2:$F$50,MATCH($C85,Channels!$A$2:$A$50,0)),"")))</f>
        <v/>
      </c>
      <c r="G85" s="34" t="str">
        <f aca="false">IF($A85="","",IFERROR(INDEX(Lists!$B$2:$B$8,MATCH($F85,Lists!$A$2:$A$8,0)),99))</f>
        <v/>
      </c>
      <c r="H85" s="34" t="str">
        <f aca="false">IF($A85="","",IF($B85="ritual","sync",IFERROR(INDEX(Channels!$D$2:$D$50,MATCH($C85,Channels!$A$2:$A$50,0)),"")))</f>
        <v/>
      </c>
      <c r="I85" s="34" t="str">
        <f aca="false">IF($A85="","",IFERROR(INDEX(Flows!$B$2:$B$400,MATCH($A85,Flows!$A$2:$A$400,0)),""))</f>
        <v/>
      </c>
      <c r="J85" s="34" t="str">
        <f aca="false">IF($A85="","",IFERROR(INDEX(Flows!$C$2:$C$400,MATCH($A85,Flows!$A$2:$A$400,0)),""))</f>
        <v/>
      </c>
      <c r="K85" s="34" t="str">
        <f aca="false">IF($A85="","",IFERROR(INDEX(Flows!$E$2:$E$400,MATCH($A85,Flows!$A$2:$A$400,0)),""))</f>
        <v/>
      </c>
      <c r="L85" s="34" t="str">
        <f aca="false">IF($A85="","",IFERROR(INDEX(Flows!$I$2:$I$400,MATCH($A85,Flows!$A$2:$A$400,0)),""))</f>
        <v/>
      </c>
      <c r="M85" s="34" t="str">
        <f aca="false">IF($A85="","",IF(AND($I85="actual",$L85&lt;&gt;"disputed"),1,0))</f>
        <v/>
      </c>
      <c r="N85" s="34" t="str">
        <f aca="false">IF($A85="","",IF($M85=1,IF(COUNTIFS(Flows!$B$2:$B$400,"required",Flows!$C$2:$C$400,$J85,Flows!$E$2:$E$400,$K85)&gt;0,1,0),0))</f>
        <v/>
      </c>
      <c r="O85" s="34" t="str">
        <f aca="false">IF($A85="","",IFERROR(INDEX(Topics!$C$2:$C$100,MATCH($J85,Topics!$A$2:$A$100,0)),""))</f>
        <v/>
      </c>
      <c r="P85" s="34" t="str">
        <f aca="false">IF($A85="","",IF($B85="ritual","ephemeral",IFERROR(INDEX(Channels!$E$2:$E$50,MATCH($C85,Channels!$A$2:$A$50,0)),"")))</f>
        <v/>
      </c>
    </row>
    <row r="86" customFormat="false" ht="15" hidden="false" customHeight="true" outlineLevel="0" collapsed="false">
      <c r="A86" s="31"/>
      <c r="B86" s="31"/>
      <c r="C86" s="31"/>
      <c r="D86" s="31"/>
      <c r="E86" s="34" t="str">
        <f aca="false">IF($A86="","",IF($B86="ritual",IFERROR(INDEX(Rituals!$B$2:$B$50,MATCH($C86,Rituals!$A$2:$A$50,0)),"?"),IFERROR(INDEX(Channels!$B$2:$B$50,MATCH($C86,Channels!$A$2:$A$50,0)),"?")))</f>
        <v/>
      </c>
      <c r="F86" s="34" t="str">
        <f aca="false">IF($A86="","",IF($B86="ritual",IFERROR(INDEX(Rituals!$E$2:$E$50,MATCH($C86,Rituals!$A$2:$A$50,0)),""),IFERROR(INDEX(Channels!$F$2:$F$50,MATCH($C86,Channels!$A$2:$A$50,0)),"")))</f>
        <v/>
      </c>
      <c r="G86" s="34" t="str">
        <f aca="false">IF($A86="","",IFERROR(INDEX(Lists!$B$2:$B$8,MATCH($F86,Lists!$A$2:$A$8,0)),99))</f>
        <v/>
      </c>
      <c r="H86" s="34" t="str">
        <f aca="false">IF($A86="","",IF($B86="ritual","sync",IFERROR(INDEX(Channels!$D$2:$D$50,MATCH($C86,Channels!$A$2:$A$50,0)),"")))</f>
        <v/>
      </c>
      <c r="I86" s="34" t="str">
        <f aca="false">IF($A86="","",IFERROR(INDEX(Flows!$B$2:$B$400,MATCH($A86,Flows!$A$2:$A$400,0)),""))</f>
        <v/>
      </c>
      <c r="J86" s="34" t="str">
        <f aca="false">IF($A86="","",IFERROR(INDEX(Flows!$C$2:$C$400,MATCH($A86,Flows!$A$2:$A$400,0)),""))</f>
        <v/>
      </c>
      <c r="K86" s="34" t="str">
        <f aca="false">IF($A86="","",IFERROR(INDEX(Flows!$E$2:$E$400,MATCH($A86,Flows!$A$2:$A$400,0)),""))</f>
        <v/>
      </c>
      <c r="L86" s="34" t="str">
        <f aca="false">IF($A86="","",IFERROR(INDEX(Flows!$I$2:$I$400,MATCH($A86,Flows!$A$2:$A$400,0)),""))</f>
        <v/>
      </c>
      <c r="M86" s="34" t="str">
        <f aca="false">IF($A86="","",IF(AND($I86="actual",$L86&lt;&gt;"disputed"),1,0))</f>
        <v/>
      </c>
      <c r="N86" s="34" t="str">
        <f aca="false">IF($A86="","",IF($M86=1,IF(COUNTIFS(Flows!$B$2:$B$400,"required",Flows!$C$2:$C$400,$J86,Flows!$E$2:$E$400,$K86)&gt;0,1,0),0))</f>
        <v/>
      </c>
      <c r="O86" s="34" t="str">
        <f aca="false">IF($A86="","",IFERROR(INDEX(Topics!$C$2:$C$100,MATCH($J86,Topics!$A$2:$A$100,0)),""))</f>
        <v/>
      </c>
      <c r="P86" s="34" t="str">
        <f aca="false">IF($A86="","",IF($B86="ritual","ephemeral",IFERROR(INDEX(Channels!$E$2:$E$50,MATCH($C86,Channels!$A$2:$A$50,0)),"")))</f>
        <v/>
      </c>
    </row>
    <row r="87" customFormat="false" ht="15" hidden="false" customHeight="true" outlineLevel="0" collapsed="false">
      <c r="A87" s="31"/>
      <c r="B87" s="31"/>
      <c r="C87" s="31"/>
      <c r="D87" s="31"/>
      <c r="E87" s="34" t="str">
        <f aca="false">IF($A87="","",IF($B87="ritual",IFERROR(INDEX(Rituals!$B$2:$B$50,MATCH($C87,Rituals!$A$2:$A$50,0)),"?"),IFERROR(INDEX(Channels!$B$2:$B$50,MATCH($C87,Channels!$A$2:$A$50,0)),"?")))</f>
        <v/>
      </c>
      <c r="F87" s="34" t="str">
        <f aca="false">IF($A87="","",IF($B87="ritual",IFERROR(INDEX(Rituals!$E$2:$E$50,MATCH($C87,Rituals!$A$2:$A$50,0)),""),IFERROR(INDEX(Channels!$F$2:$F$50,MATCH($C87,Channels!$A$2:$A$50,0)),"")))</f>
        <v/>
      </c>
      <c r="G87" s="34" t="str">
        <f aca="false">IF($A87="","",IFERROR(INDEX(Lists!$B$2:$B$8,MATCH($F87,Lists!$A$2:$A$8,0)),99))</f>
        <v/>
      </c>
      <c r="H87" s="34" t="str">
        <f aca="false">IF($A87="","",IF($B87="ritual","sync",IFERROR(INDEX(Channels!$D$2:$D$50,MATCH($C87,Channels!$A$2:$A$50,0)),"")))</f>
        <v/>
      </c>
      <c r="I87" s="34" t="str">
        <f aca="false">IF($A87="","",IFERROR(INDEX(Flows!$B$2:$B$400,MATCH($A87,Flows!$A$2:$A$400,0)),""))</f>
        <v/>
      </c>
      <c r="J87" s="34" t="str">
        <f aca="false">IF($A87="","",IFERROR(INDEX(Flows!$C$2:$C$400,MATCH($A87,Flows!$A$2:$A$400,0)),""))</f>
        <v/>
      </c>
      <c r="K87" s="34" t="str">
        <f aca="false">IF($A87="","",IFERROR(INDEX(Flows!$E$2:$E$400,MATCH($A87,Flows!$A$2:$A$400,0)),""))</f>
        <v/>
      </c>
      <c r="L87" s="34" t="str">
        <f aca="false">IF($A87="","",IFERROR(INDEX(Flows!$I$2:$I$400,MATCH($A87,Flows!$A$2:$A$400,0)),""))</f>
        <v/>
      </c>
      <c r="M87" s="34" t="str">
        <f aca="false">IF($A87="","",IF(AND($I87="actual",$L87&lt;&gt;"disputed"),1,0))</f>
        <v/>
      </c>
      <c r="N87" s="34" t="str">
        <f aca="false">IF($A87="","",IF($M87=1,IF(COUNTIFS(Flows!$B$2:$B$400,"required",Flows!$C$2:$C$400,$J87,Flows!$E$2:$E$400,$K87)&gt;0,1,0),0))</f>
        <v/>
      </c>
      <c r="O87" s="34" t="str">
        <f aca="false">IF($A87="","",IFERROR(INDEX(Topics!$C$2:$C$100,MATCH($J87,Topics!$A$2:$A$100,0)),""))</f>
        <v/>
      </c>
      <c r="P87" s="34" t="str">
        <f aca="false">IF($A87="","",IF($B87="ritual","ephemeral",IFERROR(INDEX(Channels!$E$2:$E$50,MATCH($C87,Channels!$A$2:$A$50,0)),"")))</f>
        <v/>
      </c>
    </row>
    <row r="88" customFormat="false" ht="15" hidden="false" customHeight="true" outlineLevel="0" collapsed="false">
      <c r="A88" s="31"/>
      <c r="B88" s="31"/>
      <c r="C88" s="31"/>
      <c r="D88" s="31"/>
      <c r="E88" s="34" t="str">
        <f aca="false">IF($A88="","",IF($B88="ritual",IFERROR(INDEX(Rituals!$B$2:$B$50,MATCH($C88,Rituals!$A$2:$A$50,0)),"?"),IFERROR(INDEX(Channels!$B$2:$B$50,MATCH($C88,Channels!$A$2:$A$50,0)),"?")))</f>
        <v/>
      </c>
      <c r="F88" s="34" t="str">
        <f aca="false">IF($A88="","",IF($B88="ritual",IFERROR(INDEX(Rituals!$E$2:$E$50,MATCH($C88,Rituals!$A$2:$A$50,0)),""),IFERROR(INDEX(Channels!$F$2:$F$50,MATCH($C88,Channels!$A$2:$A$50,0)),"")))</f>
        <v/>
      </c>
      <c r="G88" s="34" t="str">
        <f aca="false">IF($A88="","",IFERROR(INDEX(Lists!$B$2:$B$8,MATCH($F88,Lists!$A$2:$A$8,0)),99))</f>
        <v/>
      </c>
      <c r="H88" s="34" t="str">
        <f aca="false">IF($A88="","",IF($B88="ritual","sync",IFERROR(INDEX(Channels!$D$2:$D$50,MATCH($C88,Channels!$A$2:$A$50,0)),"")))</f>
        <v/>
      </c>
      <c r="I88" s="34" t="str">
        <f aca="false">IF($A88="","",IFERROR(INDEX(Flows!$B$2:$B$400,MATCH($A88,Flows!$A$2:$A$400,0)),""))</f>
        <v/>
      </c>
      <c r="J88" s="34" t="str">
        <f aca="false">IF($A88="","",IFERROR(INDEX(Flows!$C$2:$C$400,MATCH($A88,Flows!$A$2:$A$400,0)),""))</f>
        <v/>
      </c>
      <c r="K88" s="34" t="str">
        <f aca="false">IF($A88="","",IFERROR(INDEX(Flows!$E$2:$E$400,MATCH($A88,Flows!$A$2:$A$400,0)),""))</f>
        <v/>
      </c>
      <c r="L88" s="34" t="str">
        <f aca="false">IF($A88="","",IFERROR(INDEX(Flows!$I$2:$I$400,MATCH($A88,Flows!$A$2:$A$400,0)),""))</f>
        <v/>
      </c>
      <c r="M88" s="34" t="str">
        <f aca="false">IF($A88="","",IF(AND($I88="actual",$L88&lt;&gt;"disputed"),1,0))</f>
        <v/>
      </c>
      <c r="N88" s="34" t="str">
        <f aca="false">IF($A88="","",IF($M88=1,IF(COUNTIFS(Flows!$B$2:$B$400,"required",Flows!$C$2:$C$400,$J88,Flows!$E$2:$E$400,$K88)&gt;0,1,0),0))</f>
        <v/>
      </c>
      <c r="O88" s="34" t="str">
        <f aca="false">IF($A88="","",IFERROR(INDEX(Topics!$C$2:$C$100,MATCH($J88,Topics!$A$2:$A$100,0)),""))</f>
        <v/>
      </c>
      <c r="P88" s="34" t="str">
        <f aca="false">IF($A88="","",IF($B88="ritual","ephemeral",IFERROR(INDEX(Channels!$E$2:$E$50,MATCH($C88,Channels!$A$2:$A$50,0)),"")))</f>
        <v/>
      </c>
    </row>
    <row r="89" customFormat="false" ht="15" hidden="false" customHeight="true" outlineLevel="0" collapsed="false">
      <c r="A89" s="31"/>
      <c r="B89" s="31"/>
      <c r="C89" s="31"/>
      <c r="D89" s="31"/>
      <c r="E89" s="34" t="str">
        <f aca="false">IF($A89="","",IF($B89="ritual",IFERROR(INDEX(Rituals!$B$2:$B$50,MATCH($C89,Rituals!$A$2:$A$50,0)),"?"),IFERROR(INDEX(Channels!$B$2:$B$50,MATCH($C89,Channels!$A$2:$A$50,0)),"?")))</f>
        <v/>
      </c>
      <c r="F89" s="34" t="str">
        <f aca="false">IF($A89="","",IF($B89="ritual",IFERROR(INDEX(Rituals!$E$2:$E$50,MATCH($C89,Rituals!$A$2:$A$50,0)),""),IFERROR(INDEX(Channels!$F$2:$F$50,MATCH($C89,Channels!$A$2:$A$50,0)),"")))</f>
        <v/>
      </c>
      <c r="G89" s="34" t="str">
        <f aca="false">IF($A89="","",IFERROR(INDEX(Lists!$B$2:$B$8,MATCH($F89,Lists!$A$2:$A$8,0)),99))</f>
        <v/>
      </c>
      <c r="H89" s="34" t="str">
        <f aca="false">IF($A89="","",IF($B89="ritual","sync",IFERROR(INDEX(Channels!$D$2:$D$50,MATCH($C89,Channels!$A$2:$A$50,0)),"")))</f>
        <v/>
      </c>
      <c r="I89" s="34" t="str">
        <f aca="false">IF($A89="","",IFERROR(INDEX(Flows!$B$2:$B$400,MATCH($A89,Flows!$A$2:$A$400,0)),""))</f>
        <v/>
      </c>
      <c r="J89" s="34" t="str">
        <f aca="false">IF($A89="","",IFERROR(INDEX(Flows!$C$2:$C$400,MATCH($A89,Flows!$A$2:$A$400,0)),""))</f>
        <v/>
      </c>
      <c r="K89" s="34" t="str">
        <f aca="false">IF($A89="","",IFERROR(INDEX(Flows!$E$2:$E$400,MATCH($A89,Flows!$A$2:$A$400,0)),""))</f>
        <v/>
      </c>
      <c r="L89" s="34" t="str">
        <f aca="false">IF($A89="","",IFERROR(INDEX(Flows!$I$2:$I$400,MATCH($A89,Flows!$A$2:$A$400,0)),""))</f>
        <v/>
      </c>
      <c r="M89" s="34" t="str">
        <f aca="false">IF($A89="","",IF(AND($I89="actual",$L89&lt;&gt;"disputed"),1,0))</f>
        <v/>
      </c>
      <c r="N89" s="34" t="str">
        <f aca="false">IF($A89="","",IF($M89=1,IF(COUNTIFS(Flows!$B$2:$B$400,"required",Flows!$C$2:$C$400,$J89,Flows!$E$2:$E$400,$K89)&gt;0,1,0),0))</f>
        <v/>
      </c>
      <c r="O89" s="34" t="str">
        <f aca="false">IF($A89="","",IFERROR(INDEX(Topics!$C$2:$C$100,MATCH($J89,Topics!$A$2:$A$100,0)),""))</f>
        <v/>
      </c>
      <c r="P89" s="34" t="str">
        <f aca="false">IF($A89="","",IF($B89="ritual","ephemeral",IFERROR(INDEX(Channels!$E$2:$E$50,MATCH($C89,Channels!$A$2:$A$50,0)),"")))</f>
        <v/>
      </c>
    </row>
    <row r="90" customFormat="false" ht="15" hidden="false" customHeight="true" outlineLevel="0" collapsed="false">
      <c r="A90" s="31"/>
      <c r="B90" s="31"/>
      <c r="C90" s="31"/>
      <c r="D90" s="31"/>
      <c r="E90" s="34" t="str">
        <f aca="false">IF($A90="","",IF($B90="ritual",IFERROR(INDEX(Rituals!$B$2:$B$50,MATCH($C90,Rituals!$A$2:$A$50,0)),"?"),IFERROR(INDEX(Channels!$B$2:$B$50,MATCH($C90,Channels!$A$2:$A$50,0)),"?")))</f>
        <v/>
      </c>
      <c r="F90" s="34" t="str">
        <f aca="false">IF($A90="","",IF($B90="ritual",IFERROR(INDEX(Rituals!$E$2:$E$50,MATCH($C90,Rituals!$A$2:$A$50,0)),""),IFERROR(INDEX(Channels!$F$2:$F$50,MATCH($C90,Channels!$A$2:$A$50,0)),"")))</f>
        <v/>
      </c>
      <c r="G90" s="34" t="str">
        <f aca="false">IF($A90="","",IFERROR(INDEX(Lists!$B$2:$B$8,MATCH($F90,Lists!$A$2:$A$8,0)),99))</f>
        <v/>
      </c>
      <c r="H90" s="34" t="str">
        <f aca="false">IF($A90="","",IF($B90="ritual","sync",IFERROR(INDEX(Channels!$D$2:$D$50,MATCH($C90,Channels!$A$2:$A$50,0)),"")))</f>
        <v/>
      </c>
      <c r="I90" s="34" t="str">
        <f aca="false">IF($A90="","",IFERROR(INDEX(Flows!$B$2:$B$400,MATCH($A90,Flows!$A$2:$A$400,0)),""))</f>
        <v/>
      </c>
      <c r="J90" s="34" t="str">
        <f aca="false">IF($A90="","",IFERROR(INDEX(Flows!$C$2:$C$400,MATCH($A90,Flows!$A$2:$A$400,0)),""))</f>
        <v/>
      </c>
      <c r="K90" s="34" t="str">
        <f aca="false">IF($A90="","",IFERROR(INDEX(Flows!$E$2:$E$400,MATCH($A90,Flows!$A$2:$A$400,0)),""))</f>
        <v/>
      </c>
      <c r="L90" s="34" t="str">
        <f aca="false">IF($A90="","",IFERROR(INDEX(Flows!$I$2:$I$400,MATCH($A90,Flows!$A$2:$A$400,0)),""))</f>
        <v/>
      </c>
      <c r="M90" s="34" t="str">
        <f aca="false">IF($A90="","",IF(AND($I90="actual",$L90&lt;&gt;"disputed"),1,0))</f>
        <v/>
      </c>
      <c r="N90" s="34" t="str">
        <f aca="false">IF($A90="","",IF($M90=1,IF(COUNTIFS(Flows!$B$2:$B$400,"required",Flows!$C$2:$C$400,$J90,Flows!$E$2:$E$400,$K90)&gt;0,1,0),0))</f>
        <v/>
      </c>
      <c r="O90" s="34" t="str">
        <f aca="false">IF($A90="","",IFERROR(INDEX(Topics!$C$2:$C$100,MATCH($J90,Topics!$A$2:$A$100,0)),""))</f>
        <v/>
      </c>
      <c r="P90" s="34" t="str">
        <f aca="false">IF($A90="","",IF($B90="ritual","ephemeral",IFERROR(INDEX(Channels!$E$2:$E$50,MATCH($C90,Channels!$A$2:$A$50,0)),"")))</f>
        <v/>
      </c>
    </row>
    <row r="91" customFormat="false" ht="15" hidden="false" customHeight="true" outlineLevel="0" collapsed="false">
      <c r="A91" s="31"/>
      <c r="B91" s="31"/>
      <c r="C91" s="31"/>
      <c r="D91" s="31"/>
      <c r="E91" s="34" t="str">
        <f aca="false">IF($A91="","",IF($B91="ritual",IFERROR(INDEX(Rituals!$B$2:$B$50,MATCH($C91,Rituals!$A$2:$A$50,0)),"?"),IFERROR(INDEX(Channels!$B$2:$B$50,MATCH($C91,Channels!$A$2:$A$50,0)),"?")))</f>
        <v/>
      </c>
      <c r="F91" s="34" t="str">
        <f aca="false">IF($A91="","",IF($B91="ritual",IFERROR(INDEX(Rituals!$E$2:$E$50,MATCH($C91,Rituals!$A$2:$A$50,0)),""),IFERROR(INDEX(Channels!$F$2:$F$50,MATCH($C91,Channels!$A$2:$A$50,0)),"")))</f>
        <v/>
      </c>
      <c r="G91" s="34" t="str">
        <f aca="false">IF($A91="","",IFERROR(INDEX(Lists!$B$2:$B$8,MATCH($F91,Lists!$A$2:$A$8,0)),99))</f>
        <v/>
      </c>
      <c r="H91" s="34" t="str">
        <f aca="false">IF($A91="","",IF($B91="ritual","sync",IFERROR(INDEX(Channels!$D$2:$D$50,MATCH($C91,Channels!$A$2:$A$50,0)),"")))</f>
        <v/>
      </c>
      <c r="I91" s="34" t="str">
        <f aca="false">IF($A91="","",IFERROR(INDEX(Flows!$B$2:$B$400,MATCH($A91,Flows!$A$2:$A$400,0)),""))</f>
        <v/>
      </c>
      <c r="J91" s="34" t="str">
        <f aca="false">IF($A91="","",IFERROR(INDEX(Flows!$C$2:$C$400,MATCH($A91,Flows!$A$2:$A$400,0)),""))</f>
        <v/>
      </c>
      <c r="K91" s="34" t="str">
        <f aca="false">IF($A91="","",IFERROR(INDEX(Flows!$E$2:$E$400,MATCH($A91,Flows!$A$2:$A$400,0)),""))</f>
        <v/>
      </c>
      <c r="L91" s="34" t="str">
        <f aca="false">IF($A91="","",IFERROR(INDEX(Flows!$I$2:$I$400,MATCH($A91,Flows!$A$2:$A$400,0)),""))</f>
        <v/>
      </c>
      <c r="M91" s="34" t="str">
        <f aca="false">IF($A91="","",IF(AND($I91="actual",$L91&lt;&gt;"disputed"),1,0))</f>
        <v/>
      </c>
      <c r="N91" s="34" t="str">
        <f aca="false">IF($A91="","",IF($M91=1,IF(COUNTIFS(Flows!$B$2:$B$400,"required",Flows!$C$2:$C$400,$J91,Flows!$E$2:$E$400,$K91)&gt;0,1,0),0))</f>
        <v/>
      </c>
      <c r="O91" s="34" t="str">
        <f aca="false">IF($A91="","",IFERROR(INDEX(Topics!$C$2:$C$100,MATCH($J91,Topics!$A$2:$A$100,0)),""))</f>
        <v/>
      </c>
      <c r="P91" s="34" t="str">
        <f aca="false">IF($A91="","",IF($B91="ritual","ephemeral",IFERROR(INDEX(Channels!$E$2:$E$50,MATCH($C91,Channels!$A$2:$A$50,0)),"")))</f>
        <v/>
      </c>
    </row>
    <row r="92" customFormat="false" ht="15" hidden="false" customHeight="true" outlineLevel="0" collapsed="false">
      <c r="A92" s="31"/>
      <c r="B92" s="31"/>
      <c r="C92" s="31"/>
      <c r="D92" s="31"/>
      <c r="E92" s="34" t="str">
        <f aca="false">IF($A92="","",IF($B92="ritual",IFERROR(INDEX(Rituals!$B$2:$B$50,MATCH($C92,Rituals!$A$2:$A$50,0)),"?"),IFERROR(INDEX(Channels!$B$2:$B$50,MATCH($C92,Channels!$A$2:$A$50,0)),"?")))</f>
        <v/>
      </c>
      <c r="F92" s="34" t="str">
        <f aca="false">IF($A92="","",IF($B92="ritual",IFERROR(INDEX(Rituals!$E$2:$E$50,MATCH($C92,Rituals!$A$2:$A$50,0)),""),IFERROR(INDEX(Channels!$F$2:$F$50,MATCH($C92,Channels!$A$2:$A$50,0)),"")))</f>
        <v/>
      </c>
      <c r="G92" s="34" t="str">
        <f aca="false">IF($A92="","",IFERROR(INDEX(Lists!$B$2:$B$8,MATCH($F92,Lists!$A$2:$A$8,0)),99))</f>
        <v/>
      </c>
      <c r="H92" s="34" t="str">
        <f aca="false">IF($A92="","",IF($B92="ritual","sync",IFERROR(INDEX(Channels!$D$2:$D$50,MATCH($C92,Channels!$A$2:$A$50,0)),"")))</f>
        <v/>
      </c>
      <c r="I92" s="34" t="str">
        <f aca="false">IF($A92="","",IFERROR(INDEX(Flows!$B$2:$B$400,MATCH($A92,Flows!$A$2:$A$400,0)),""))</f>
        <v/>
      </c>
      <c r="J92" s="34" t="str">
        <f aca="false">IF($A92="","",IFERROR(INDEX(Flows!$C$2:$C$400,MATCH($A92,Flows!$A$2:$A$400,0)),""))</f>
        <v/>
      </c>
      <c r="K92" s="34" t="str">
        <f aca="false">IF($A92="","",IFERROR(INDEX(Flows!$E$2:$E$400,MATCH($A92,Flows!$A$2:$A$400,0)),""))</f>
        <v/>
      </c>
      <c r="L92" s="34" t="str">
        <f aca="false">IF($A92="","",IFERROR(INDEX(Flows!$I$2:$I$400,MATCH($A92,Flows!$A$2:$A$400,0)),""))</f>
        <v/>
      </c>
      <c r="M92" s="34" t="str">
        <f aca="false">IF($A92="","",IF(AND($I92="actual",$L92&lt;&gt;"disputed"),1,0))</f>
        <v/>
      </c>
      <c r="N92" s="34" t="str">
        <f aca="false">IF($A92="","",IF($M92=1,IF(COUNTIFS(Flows!$B$2:$B$400,"required",Flows!$C$2:$C$400,$J92,Flows!$E$2:$E$400,$K92)&gt;0,1,0),0))</f>
        <v/>
      </c>
      <c r="O92" s="34" t="str">
        <f aca="false">IF($A92="","",IFERROR(INDEX(Topics!$C$2:$C$100,MATCH($J92,Topics!$A$2:$A$100,0)),""))</f>
        <v/>
      </c>
      <c r="P92" s="34" t="str">
        <f aca="false">IF($A92="","",IF($B92="ritual","ephemeral",IFERROR(INDEX(Channels!$E$2:$E$50,MATCH($C92,Channels!$A$2:$A$50,0)),"")))</f>
        <v/>
      </c>
    </row>
    <row r="93" customFormat="false" ht="15" hidden="false" customHeight="true" outlineLevel="0" collapsed="false">
      <c r="A93" s="31"/>
      <c r="B93" s="31"/>
      <c r="C93" s="31"/>
      <c r="D93" s="31"/>
      <c r="E93" s="34" t="str">
        <f aca="false">IF($A93="","",IF($B93="ritual",IFERROR(INDEX(Rituals!$B$2:$B$50,MATCH($C93,Rituals!$A$2:$A$50,0)),"?"),IFERROR(INDEX(Channels!$B$2:$B$50,MATCH($C93,Channels!$A$2:$A$50,0)),"?")))</f>
        <v/>
      </c>
      <c r="F93" s="34" t="str">
        <f aca="false">IF($A93="","",IF($B93="ritual",IFERROR(INDEX(Rituals!$E$2:$E$50,MATCH($C93,Rituals!$A$2:$A$50,0)),""),IFERROR(INDEX(Channels!$F$2:$F$50,MATCH($C93,Channels!$A$2:$A$50,0)),"")))</f>
        <v/>
      </c>
      <c r="G93" s="34" t="str">
        <f aca="false">IF($A93="","",IFERROR(INDEX(Lists!$B$2:$B$8,MATCH($F93,Lists!$A$2:$A$8,0)),99))</f>
        <v/>
      </c>
      <c r="H93" s="34" t="str">
        <f aca="false">IF($A93="","",IF($B93="ritual","sync",IFERROR(INDEX(Channels!$D$2:$D$50,MATCH($C93,Channels!$A$2:$A$50,0)),"")))</f>
        <v/>
      </c>
      <c r="I93" s="34" t="str">
        <f aca="false">IF($A93="","",IFERROR(INDEX(Flows!$B$2:$B$400,MATCH($A93,Flows!$A$2:$A$400,0)),""))</f>
        <v/>
      </c>
      <c r="J93" s="34" t="str">
        <f aca="false">IF($A93="","",IFERROR(INDEX(Flows!$C$2:$C$400,MATCH($A93,Flows!$A$2:$A$400,0)),""))</f>
        <v/>
      </c>
      <c r="K93" s="34" t="str">
        <f aca="false">IF($A93="","",IFERROR(INDEX(Flows!$E$2:$E$400,MATCH($A93,Flows!$A$2:$A$400,0)),""))</f>
        <v/>
      </c>
      <c r="L93" s="34" t="str">
        <f aca="false">IF($A93="","",IFERROR(INDEX(Flows!$I$2:$I$400,MATCH($A93,Flows!$A$2:$A$400,0)),""))</f>
        <v/>
      </c>
      <c r="M93" s="34" t="str">
        <f aca="false">IF($A93="","",IF(AND($I93="actual",$L93&lt;&gt;"disputed"),1,0))</f>
        <v/>
      </c>
      <c r="N93" s="34" t="str">
        <f aca="false">IF($A93="","",IF($M93=1,IF(COUNTIFS(Flows!$B$2:$B$400,"required",Flows!$C$2:$C$400,$J93,Flows!$E$2:$E$400,$K93)&gt;0,1,0),0))</f>
        <v/>
      </c>
      <c r="O93" s="34" t="str">
        <f aca="false">IF($A93="","",IFERROR(INDEX(Topics!$C$2:$C$100,MATCH($J93,Topics!$A$2:$A$100,0)),""))</f>
        <v/>
      </c>
      <c r="P93" s="34" t="str">
        <f aca="false">IF($A93="","",IF($B93="ritual","ephemeral",IFERROR(INDEX(Channels!$E$2:$E$50,MATCH($C93,Channels!$A$2:$A$50,0)),"")))</f>
        <v/>
      </c>
    </row>
    <row r="94" customFormat="false" ht="15" hidden="false" customHeight="true" outlineLevel="0" collapsed="false">
      <c r="A94" s="31"/>
      <c r="B94" s="31"/>
      <c r="C94" s="31"/>
      <c r="D94" s="31"/>
      <c r="E94" s="34" t="str">
        <f aca="false">IF($A94="","",IF($B94="ritual",IFERROR(INDEX(Rituals!$B$2:$B$50,MATCH($C94,Rituals!$A$2:$A$50,0)),"?"),IFERROR(INDEX(Channels!$B$2:$B$50,MATCH($C94,Channels!$A$2:$A$50,0)),"?")))</f>
        <v/>
      </c>
      <c r="F94" s="34" t="str">
        <f aca="false">IF($A94="","",IF($B94="ritual",IFERROR(INDEX(Rituals!$E$2:$E$50,MATCH($C94,Rituals!$A$2:$A$50,0)),""),IFERROR(INDEX(Channels!$F$2:$F$50,MATCH($C94,Channels!$A$2:$A$50,0)),"")))</f>
        <v/>
      </c>
      <c r="G94" s="34" t="str">
        <f aca="false">IF($A94="","",IFERROR(INDEX(Lists!$B$2:$B$8,MATCH($F94,Lists!$A$2:$A$8,0)),99))</f>
        <v/>
      </c>
      <c r="H94" s="34" t="str">
        <f aca="false">IF($A94="","",IF($B94="ritual","sync",IFERROR(INDEX(Channels!$D$2:$D$50,MATCH($C94,Channels!$A$2:$A$50,0)),"")))</f>
        <v/>
      </c>
      <c r="I94" s="34" t="str">
        <f aca="false">IF($A94="","",IFERROR(INDEX(Flows!$B$2:$B$400,MATCH($A94,Flows!$A$2:$A$400,0)),""))</f>
        <v/>
      </c>
      <c r="J94" s="34" t="str">
        <f aca="false">IF($A94="","",IFERROR(INDEX(Flows!$C$2:$C$400,MATCH($A94,Flows!$A$2:$A$400,0)),""))</f>
        <v/>
      </c>
      <c r="K94" s="34" t="str">
        <f aca="false">IF($A94="","",IFERROR(INDEX(Flows!$E$2:$E$400,MATCH($A94,Flows!$A$2:$A$400,0)),""))</f>
        <v/>
      </c>
      <c r="L94" s="34" t="str">
        <f aca="false">IF($A94="","",IFERROR(INDEX(Flows!$I$2:$I$400,MATCH($A94,Flows!$A$2:$A$400,0)),""))</f>
        <v/>
      </c>
      <c r="M94" s="34" t="str">
        <f aca="false">IF($A94="","",IF(AND($I94="actual",$L94&lt;&gt;"disputed"),1,0))</f>
        <v/>
      </c>
      <c r="N94" s="34" t="str">
        <f aca="false">IF($A94="","",IF($M94=1,IF(COUNTIFS(Flows!$B$2:$B$400,"required",Flows!$C$2:$C$400,$J94,Flows!$E$2:$E$400,$K94)&gt;0,1,0),0))</f>
        <v/>
      </c>
      <c r="O94" s="34" t="str">
        <f aca="false">IF($A94="","",IFERROR(INDEX(Topics!$C$2:$C$100,MATCH($J94,Topics!$A$2:$A$100,0)),""))</f>
        <v/>
      </c>
      <c r="P94" s="34" t="str">
        <f aca="false">IF($A94="","",IF($B94="ritual","ephemeral",IFERROR(INDEX(Channels!$E$2:$E$50,MATCH($C94,Channels!$A$2:$A$50,0)),"")))</f>
        <v/>
      </c>
    </row>
    <row r="95" customFormat="false" ht="15" hidden="false" customHeight="true" outlineLevel="0" collapsed="false">
      <c r="A95" s="31"/>
      <c r="B95" s="31"/>
      <c r="C95" s="31"/>
      <c r="D95" s="31"/>
      <c r="E95" s="34" t="str">
        <f aca="false">IF($A95="","",IF($B95="ritual",IFERROR(INDEX(Rituals!$B$2:$B$50,MATCH($C95,Rituals!$A$2:$A$50,0)),"?"),IFERROR(INDEX(Channels!$B$2:$B$50,MATCH($C95,Channels!$A$2:$A$50,0)),"?")))</f>
        <v/>
      </c>
      <c r="F95" s="34" t="str">
        <f aca="false">IF($A95="","",IF($B95="ritual",IFERROR(INDEX(Rituals!$E$2:$E$50,MATCH($C95,Rituals!$A$2:$A$50,0)),""),IFERROR(INDEX(Channels!$F$2:$F$50,MATCH($C95,Channels!$A$2:$A$50,0)),"")))</f>
        <v/>
      </c>
      <c r="G95" s="34" t="str">
        <f aca="false">IF($A95="","",IFERROR(INDEX(Lists!$B$2:$B$8,MATCH($F95,Lists!$A$2:$A$8,0)),99))</f>
        <v/>
      </c>
      <c r="H95" s="34" t="str">
        <f aca="false">IF($A95="","",IF($B95="ritual","sync",IFERROR(INDEX(Channels!$D$2:$D$50,MATCH($C95,Channels!$A$2:$A$50,0)),"")))</f>
        <v/>
      </c>
      <c r="I95" s="34" t="str">
        <f aca="false">IF($A95="","",IFERROR(INDEX(Flows!$B$2:$B$400,MATCH($A95,Flows!$A$2:$A$400,0)),""))</f>
        <v/>
      </c>
      <c r="J95" s="34" t="str">
        <f aca="false">IF($A95="","",IFERROR(INDEX(Flows!$C$2:$C$400,MATCH($A95,Flows!$A$2:$A$400,0)),""))</f>
        <v/>
      </c>
      <c r="K95" s="34" t="str">
        <f aca="false">IF($A95="","",IFERROR(INDEX(Flows!$E$2:$E$400,MATCH($A95,Flows!$A$2:$A$400,0)),""))</f>
        <v/>
      </c>
      <c r="L95" s="34" t="str">
        <f aca="false">IF($A95="","",IFERROR(INDEX(Flows!$I$2:$I$400,MATCH($A95,Flows!$A$2:$A$400,0)),""))</f>
        <v/>
      </c>
      <c r="M95" s="34" t="str">
        <f aca="false">IF($A95="","",IF(AND($I95="actual",$L95&lt;&gt;"disputed"),1,0))</f>
        <v/>
      </c>
      <c r="N95" s="34" t="str">
        <f aca="false">IF($A95="","",IF($M95=1,IF(COUNTIFS(Flows!$B$2:$B$400,"required",Flows!$C$2:$C$400,$J95,Flows!$E$2:$E$400,$K95)&gt;0,1,0),0))</f>
        <v/>
      </c>
      <c r="O95" s="34" t="str">
        <f aca="false">IF($A95="","",IFERROR(INDEX(Topics!$C$2:$C$100,MATCH($J95,Topics!$A$2:$A$100,0)),""))</f>
        <v/>
      </c>
      <c r="P95" s="34" t="str">
        <f aca="false">IF($A95="","",IF($B95="ritual","ephemeral",IFERROR(INDEX(Channels!$E$2:$E$50,MATCH($C95,Channels!$A$2:$A$50,0)),"")))</f>
        <v/>
      </c>
    </row>
    <row r="96" customFormat="false" ht="15" hidden="false" customHeight="true" outlineLevel="0" collapsed="false">
      <c r="A96" s="31"/>
      <c r="B96" s="31"/>
      <c r="C96" s="31"/>
      <c r="D96" s="31"/>
      <c r="E96" s="34" t="str">
        <f aca="false">IF($A96="","",IF($B96="ritual",IFERROR(INDEX(Rituals!$B$2:$B$50,MATCH($C96,Rituals!$A$2:$A$50,0)),"?"),IFERROR(INDEX(Channels!$B$2:$B$50,MATCH($C96,Channels!$A$2:$A$50,0)),"?")))</f>
        <v/>
      </c>
      <c r="F96" s="34" t="str">
        <f aca="false">IF($A96="","",IF($B96="ritual",IFERROR(INDEX(Rituals!$E$2:$E$50,MATCH($C96,Rituals!$A$2:$A$50,0)),""),IFERROR(INDEX(Channels!$F$2:$F$50,MATCH($C96,Channels!$A$2:$A$50,0)),"")))</f>
        <v/>
      </c>
      <c r="G96" s="34" t="str">
        <f aca="false">IF($A96="","",IFERROR(INDEX(Lists!$B$2:$B$8,MATCH($F96,Lists!$A$2:$A$8,0)),99))</f>
        <v/>
      </c>
      <c r="H96" s="34" t="str">
        <f aca="false">IF($A96="","",IF($B96="ritual","sync",IFERROR(INDEX(Channels!$D$2:$D$50,MATCH($C96,Channels!$A$2:$A$50,0)),"")))</f>
        <v/>
      </c>
      <c r="I96" s="34" t="str">
        <f aca="false">IF($A96="","",IFERROR(INDEX(Flows!$B$2:$B$400,MATCH($A96,Flows!$A$2:$A$400,0)),""))</f>
        <v/>
      </c>
      <c r="J96" s="34" t="str">
        <f aca="false">IF($A96="","",IFERROR(INDEX(Flows!$C$2:$C$400,MATCH($A96,Flows!$A$2:$A$400,0)),""))</f>
        <v/>
      </c>
      <c r="K96" s="34" t="str">
        <f aca="false">IF($A96="","",IFERROR(INDEX(Flows!$E$2:$E$400,MATCH($A96,Flows!$A$2:$A$400,0)),""))</f>
        <v/>
      </c>
      <c r="L96" s="34" t="str">
        <f aca="false">IF($A96="","",IFERROR(INDEX(Flows!$I$2:$I$400,MATCH($A96,Flows!$A$2:$A$400,0)),""))</f>
        <v/>
      </c>
      <c r="M96" s="34" t="str">
        <f aca="false">IF($A96="","",IF(AND($I96="actual",$L96&lt;&gt;"disputed"),1,0))</f>
        <v/>
      </c>
      <c r="N96" s="34" t="str">
        <f aca="false">IF($A96="","",IF($M96=1,IF(COUNTIFS(Flows!$B$2:$B$400,"required",Flows!$C$2:$C$400,$J96,Flows!$E$2:$E$400,$K96)&gt;0,1,0),0))</f>
        <v/>
      </c>
      <c r="O96" s="34" t="str">
        <f aca="false">IF($A96="","",IFERROR(INDEX(Topics!$C$2:$C$100,MATCH($J96,Topics!$A$2:$A$100,0)),""))</f>
        <v/>
      </c>
      <c r="P96" s="34" t="str">
        <f aca="false">IF($A96="","",IF($B96="ritual","ephemeral",IFERROR(INDEX(Channels!$E$2:$E$50,MATCH($C96,Channels!$A$2:$A$50,0)),"")))</f>
        <v/>
      </c>
    </row>
    <row r="97" customFormat="false" ht="15" hidden="false" customHeight="true" outlineLevel="0" collapsed="false">
      <c r="A97" s="31"/>
      <c r="B97" s="31"/>
      <c r="C97" s="31"/>
      <c r="D97" s="31"/>
      <c r="E97" s="34" t="str">
        <f aca="false">IF($A97="","",IF($B97="ritual",IFERROR(INDEX(Rituals!$B$2:$B$50,MATCH($C97,Rituals!$A$2:$A$50,0)),"?"),IFERROR(INDEX(Channels!$B$2:$B$50,MATCH($C97,Channels!$A$2:$A$50,0)),"?")))</f>
        <v/>
      </c>
      <c r="F97" s="34" t="str">
        <f aca="false">IF($A97="","",IF($B97="ritual",IFERROR(INDEX(Rituals!$E$2:$E$50,MATCH($C97,Rituals!$A$2:$A$50,0)),""),IFERROR(INDEX(Channels!$F$2:$F$50,MATCH($C97,Channels!$A$2:$A$50,0)),"")))</f>
        <v/>
      </c>
      <c r="G97" s="34" t="str">
        <f aca="false">IF($A97="","",IFERROR(INDEX(Lists!$B$2:$B$8,MATCH($F97,Lists!$A$2:$A$8,0)),99))</f>
        <v/>
      </c>
      <c r="H97" s="34" t="str">
        <f aca="false">IF($A97="","",IF($B97="ritual","sync",IFERROR(INDEX(Channels!$D$2:$D$50,MATCH($C97,Channels!$A$2:$A$50,0)),"")))</f>
        <v/>
      </c>
      <c r="I97" s="34" t="str">
        <f aca="false">IF($A97="","",IFERROR(INDEX(Flows!$B$2:$B$400,MATCH($A97,Flows!$A$2:$A$400,0)),""))</f>
        <v/>
      </c>
      <c r="J97" s="34" t="str">
        <f aca="false">IF($A97="","",IFERROR(INDEX(Flows!$C$2:$C$400,MATCH($A97,Flows!$A$2:$A$400,0)),""))</f>
        <v/>
      </c>
      <c r="K97" s="34" t="str">
        <f aca="false">IF($A97="","",IFERROR(INDEX(Flows!$E$2:$E$400,MATCH($A97,Flows!$A$2:$A$400,0)),""))</f>
        <v/>
      </c>
      <c r="L97" s="34" t="str">
        <f aca="false">IF($A97="","",IFERROR(INDEX(Flows!$I$2:$I$400,MATCH($A97,Flows!$A$2:$A$400,0)),""))</f>
        <v/>
      </c>
      <c r="M97" s="34" t="str">
        <f aca="false">IF($A97="","",IF(AND($I97="actual",$L97&lt;&gt;"disputed"),1,0))</f>
        <v/>
      </c>
      <c r="N97" s="34" t="str">
        <f aca="false">IF($A97="","",IF($M97=1,IF(COUNTIFS(Flows!$B$2:$B$400,"required",Flows!$C$2:$C$400,$J97,Flows!$E$2:$E$400,$K97)&gt;0,1,0),0))</f>
        <v/>
      </c>
      <c r="O97" s="34" t="str">
        <f aca="false">IF($A97="","",IFERROR(INDEX(Topics!$C$2:$C$100,MATCH($J97,Topics!$A$2:$A$100,0)),""))</f>
        <v/>
      </c>
      <c r="P97" s="34" t="str">
        <f aca="false">IF($A97="","",IF($B97="ritual","ephemeral",IFERROR(INDEX(Channels!$E$2:$E$50,MATCH($C97,Channels!$A$2:$A$50,0)),"")))</f>
        <v/>
      </c>
    </row>
    <row r="98" customFormat="false" ht="15" hidden="false" customHeight="true" outlineLevel="0" collapsed="false">
      <c r="A98" s="31"/>
      <c r="B98" s="31"/>
      <c r="C98" s="31"/>
      <c r="D98" s="31"/>
      <c r="E98" s="34" t="str">
        <f aca="false">IF($A98="","",IF($B98="ritual",IFERROR(INDEX(Rituals!$B$2:$B$50,MATCH($C98,Rituals!$A$2:$A$50,0)),"?"),IFERROR(INDEX(Channels!$B$2:$B$50,MATCH($C98,Channels!$A$2:$A$50,0)),"?")))</f>
        <v/>
      </c>
      <c r="F98" s="34" t="str">
        <f aca="false">IF($A98="","",IF($B98="ritual",IFERROR(INDEX(Rituals!$E$2:$E$50,MATCH($C98,Rituals!$A$2:$A$50,0)),""),IFERROR(INDEX(Channels!$F$2:$F$50,MATCH($C98,Channels!$A$2:$A$50,0)),"")))</f>
        <v/>
      </c>
      <c r="G98" s="34" t="str">
        <f aca="false">IF($A98="","",IFERROR(INDEX(Lists!$B$2:$B$8,MATCH($F98,Lists!$A$2:$A$8,0)),99))</f>
        <v/>
      </c>
      <c r="H98" s="34" t="str">
        <f aca="false">IF($A98="","",IF($B98="ritual","sync",IFERROR(INDEX(Channels!$D$2:$D$50,MATCH($C98,Channels!$A$2:$A$50,0)),"")))</f>
        <v/>
      </c>
      <c r="I98" s="34" t="str">
        <f aca="false">IF($A98="","",IFERROR(INDEX(Flows!$B$2:$B$400,MATCH($A98,Flows!$A$2:$A$400,0)),""))</f>
        <v/>
      </c>
      <c r="J98" s="34" t="str">
        <f aca="false">IF($A98="","",IFERROR(INDEX(Flows!$C$2:$C$400,MATCH($A98,Flows!$A$2:$A$400,0)),""))</f>
        <v/>
      </c>
      <c r="K98" s="34" t="str">
        <f aca="false">IF($A98="","",IFERROR(INDEX(Flows!$E$2:$E$400,MATCH($A98,Flows!$A$2:$A$400,0)),""))</f>
        <v/>
      </c>
      <c r="L98" s="34" t="str">
        <f aca="false">IF($A98="","",IFERROR(INDEX(Flows!$I$2:$I$400,MATCH($A98,Flows!$A$2:$A$400,0)),""))</f>
        <v/>
      </c>
      <c r="M98" s="34" t="str">
        <f aca="false">IF($A98="","",IF(AND($I98="actual",$L98&lt;&gt;"disputed"),1,0))</f>
        <v/>
      </c>
      <c r="N98" s="34" t="str">
        <f aca="false">IF($A98="","",IF($M98=1,IF(COUNTIFS(Flows!$B$2:$B$400,"required",Flows!$C$2:$C$400,$J98,Flows!$E$2:$E$400,$K98)&gt;0,1,0),0))</f>
        <v/>
      </c>
      <c r="O98" s="34" t="str">
        <f aca="false">IF($A98="","",IFERROR(INDEX(Topics!$C$2:$C$100,MATCH($J98,Topics!$A$2:$A$100,0)),""))</f>
        <v/>
      </c>
      <c r="P98" s="34" t="str">
        <f aca="false">IF($A98="","",IF($B98="ritual","ephemeral",IFERROR(INDEX(Channels!$E$2:$E$50,MATCH($C98,Channels!$A$2:$A$50,0)),"")))</f>
        <v/>
      </c>
    </row>
    <row r="99" customFormat="false" ht="15" hidden="false" customHeight="true" outlineLevel="0" collapsed="false">
      <c r="A99" s="31"/>
      <c r="B99" s="31"/>
      <c r="C99" s="31"/>
      <c r="D99" s="31"/>
      <c r="E99" s="34" t="str">
        <f aca="false">IF($A99="","",IF($B99="ritual",IFERROR(INDEX(Rituals!$B$2:$B$50,MATCH($C99,Rituals!$A$2:$A$50,0)),"?"),IFERROR(INDEX(Channels!$B$2:$B$50,MATCH($C99,Channels!$A$2:$A$50,0)),"?")))</f>
        <v/>
      </c>
      <c r="F99" s="34" t="str">
        <f aca="false">IF($A99="","",IF($B99="ritual",IFERROR(INDEX(Rituals!$E$2:$E$50,MATCH($C99,Rituals!$A$2:$A$50,0)),""),IFERROR(INDEX(Channels!$F$2:$F$50,MATCH($C99,Channels!$A$2:$A$50,0)),"")))</f>
        <v/>
      </c>
      <c r="G99" s="34" t="str">
        <f aca="false">IF($A99="","",IFERROR(INDEX(Lists!$B$2:$B$8,MATCH($F99,Lists!$A$2:$A$8,0)),99))</f>
        <v/>
      </c>
      <c r="H99" s="34" t="str">
        <f aca="false">IF($A99="","",IF($B99="ritual","sync",IFERROR(INDEX(Channels!$D$2:$D$50,MATCH($C99,Channels!$A$2:$A$50,0)),"")))</f>
        <v/>
      </c>
      <c r="I99" s="34" t="str">
        <f aca="false">IF($A99="","",IFERROR(INDEX(Flows!$B$2:$B$400,MATCH($A99,Flows!$A$2:$A$400,0)),""))</f>
        <v/>
      </c>
      <c r="J99" s="34" t="str">
        <f aca="false">IF($A99="","",IFERROR(INDEX(Flows!$C$2:$C$400,MATCH($A99,Flows!$A$2:$A$400,0)),""))</f>
        <v/>
      </c>
      <c r="K99" s="34" t="str">
        <f aca="false">IF($A99="","",IFERROR(INDEX(Flows!$E$2:$E$400,MATCH($A99,Flows!$A$2:$A$400,0)),""))</f>
        <v/>
      </c>
      <c r="L99" s="34" t="str">
        <f aca="false">IF($A99="","",IFERROR(INDEX(Flows!$I$2:$I$400,MATCH($A99,Flows!$A$2:$A$400,0)),""))</f>
        <v/>
      </c>
      <c r="M99" s="34" t="str">
        <f aca="false">IF($A99="","",IF(AND($I99="actual",$L99&lt;&gt;"disputed"),1,0))</f>
        <v/>
      </c>
      <c r="N99" s="34" t="str">
        <f aca="false">IF($A99="","",IF($M99=1,IF(COUNTIFS(Flows!$B$2:$B$400,"required",Flows!$C$2:$C$400,$J99,Flows!$E$2:$E$400,$K99)&gt;0,1,0),0))</f>
        <v/>
      </c>
      <c r="O99" s="34" t="str">
        <f aca="false">IF($A99="","",IFERROR(INDEX(Topics!$C$2:$C$100,MATCH($J99,Topics!$A$2:$A$100,0)),""))</f>
        <v/>
      </c>
      <c r="P99" s="34" t="str">
        <f aca="false">IF($A99="","",IF($B99="ritual","ephemeral",IFERROR(INDEX(Channels!$E$2:$E$50,MATCH($C99,Channels!$A$2:$A$50,0)),"")))</f>
        <v/>
      </c>
    </row>
    <row r="100" customFormat="false" ht="15" hidden="false" customHeight="true" outlineLevel="0" collapsed="false">
      <c r="A100" s="31"/>
      <c r="B100" s="31"/>
      <c r="C100" s="31"/>
      <c r="D100" s="31"/>
      <c r="E100" s="34" t="str">
        <f aca="false">IF($A100="","",IF($B100="ritual",IFERROR(INDEX(Rituals!$B$2:$B$50,MATCH($C100,Rituals!$A$2:$A$50,0)),"?"),IFERROR(INDEX(Channels!$B$2:$B$50,MATCH($C100,Channels!$A$2:$A$50,0)),"?")))</f>
        <v/>
      </c>
      <c r="F100" s="34" t="str">
        <f aca="false">IF($A100="","",IF($B100="ritual",IFERROR(INDEX(Rituals!$E$2:$E$50,MATCH($C100,Rituals!$A$2:$A$50,0)),""),IFERROR(INDEX(Channels!$F$2:$F$50,MATCH($C100,Channels!$A$2:$A$50,0)),"")))</f>
        <v/>
      </c>
      <c r="G100" s="34" t="str">
        <f aca="false">IF($A100="","",IFERROR(INDEX(Lists!$B$2:$B$8,MATCH($F100,Lists!$A$2:$A$8,0)),99))</f>
        <v/>
      </c>
      <c r="H100" s="34" t="str">
        <f aca="false">IF($A100="","",IF($B100="ritual","sync",IFERROR(INDEX(Channels!$D$2:$D$50,MATCH($C100,Channels!$A$2:$A$50,0)),"")))</f>
        <v/>
      </c>
      <c r="I100" s="34" t="str">
        <f aca="false">IF($A100="","",IFERROR(INDEX(Flows!$B$2:$B$400,MATCH($A100,Flows!$A$2:$A$400,0)),""))</f>
        <v/>
      </c>
      <c r="J100" s="34" t="str">
        <f aca="false">IF($A100="","",IFERROR(INDEX(Flows!$C$2:$C$400,MATCH($A100,Flows!$A$2:$A$400,0)),""))</f>
        <v/>
      </c>
      <c r="K100" s="34" t="str">
        <f aca="false">IF($A100="","",IFERROR(INDEX(Flows!$E$2:$E$400,MATCH($A100,Flows!$A$2:$A$400,0)),""))</f>
        <v/>
      </c>
      <c r="L100" s="34" t="str">
        <f aca="false">IF($A100="","",IFERROR(INDEX(Flows!$I$2:$I$400,MATCH($A100,Flows!$A$2:$A$400,0)),""))</f>
        <v/>
      </c>
      <c r="M100" s="34" t="str">
        <f aca="false">IF($A100="","",IF(AND($I100="actual",$L100&lt;&gt;"disputed"),1,0))</f>
        <v/>
      </c>
      <c r="N100" s="34" t="str">
        <f aca="false">IF($A100="","",IF($M100=1,IF(COUNTIFS(Flows!$B$2:$B$400,"required",Flows!$C$2:$C$400,$J100,Flows!$E$2:$E$400,$K100)&gt;0,1,0),0))</f>
        <v/>
      </c>
      <c r="O100" s="34" t="str">
        <f aca="false">IF($A100="","",IFERROR(INDEX(Topics!$C$2:$C$100,MATCH($J100,Topics!$A$2:$A$100,0)),""))</f>
        <v/>
      </c>
      <c r="P100" s="34" t="str">
        <f aca="false">IF($A100="","",IF($B100="ritual","ephemeral",IFERROR(INDEX(Channels!$E$2:$E$50,MATCH($C100,Channels!$A$2:$A$50,0)),"")))</f>
        <v/>
      </c>
    </row>
  </sheetData>
  <dataValidations count="2">
    <dataValidation allowBlank="true" errorStyle="stop" operator="between" showDropDown="false" showErrorMessage="false" showInputMessage="false" sqref="B2:B100" type="list">
      <formula1>"ritual,channel"</formula1>
      <formula2>0</formula2>
    </dataValidation>
    <dataValidation allowBlank="true" errorStyle="stop" operator="between" showDropDown="false" showErrorMessage="false" showInputMessage="false" sqref="D2:D100" type="list">
      <formula1>"push,pull"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4" min="3" style="1" width="9"/>
    <col collapsed="false" customWidth="true" hidden="false" outlineLevel="0" max="8" min="5" style="1" width="12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26"/>
    <col collapsed="false" customWidth="true" hidden="false" outlineLevel="0" max="12" min="12" style="1" width="16"/>
  </cols>
  <sheetData>
    <row r="1" customFormat="false" ht="30" hidden="false" customHeight="true" outlineLevel="0" collapsed="false">
      <c r="A1" s="30" t="s">
        <v>446</v>
      </c>
      <c r="B1" s="30" t="s">
        <v>54</v>
      </c>
      <c r="C1" s="30" t="s">
        <v>11</v>
      </c>
      <c r="D1" s="30" t="s">
        <v>97</v>
      </c>
      <c r="E1" s="30" t="s">
        <v>447</v>
      </c>
      <c r="F1" s="30" t="s">
        <v>448</v>
      </c>
      <c r="G1" s="30" t="s">
        <v>449</v>
      </c>
      <c r="H1" s="30" t="s">
        <v>450</v>
      </c>
      <c r="I1" s="30" t="s">
        <v>451</v>
      </c>
      <c r="J1" s="30" t="s">
        <v>452</v>
      </c>
      <c r="K1" s="33" t="s">
        <v>453</v>
      </c>
      <c r="L1" s="33" t="s">
        <v>68</v>
      </c>
      <c r="M1" s="38" t="s">
        <v>361</v>
      </c>
    </row>
    <row r="2" customFormat="false" ht="15" hidden="false" customHeight="true" outlineLevel="0" collapsed="false">
      <c r="A2" s="31" t="s">
        <v>454</v>
      </c>
      <c r="B2" s="31" t="s">
        <v>455</v>
      </c>
      <c r="C2" s="31" t="s">
        <v>152</v>
      </c>
      <c r="D2" s="31" t="s">
        <v>2</v>
      </c>
      <c r="E2" s="31" t="s">
        <v>177</v>
      </c>
      <c r="F2" s="31" t="s">
        <v>174</v>
      </c>
      <c r="G2" s="31" t="s">
        <v>106</v>
      </c>
      <c r="H2" s="31" t="s">
        <v>101</v>
      </c>
      <c r="I2" s="31" t="s">
        <v>443</v>
      </c>
      <c r="J2" s="31" t="s">
        <v>253</v>
      </c>
      <c r="K2" s="34" t="str">
        <f aca="false">IF($I2="ritual",IFERROR(INDEX(Rituals!$AB$2:$AB$50,MATCH($J2,Rituals!$A$2:$A$50,0)),""),"")</f>
        <v>;A6;A11;A5;A3;A6;</v>
      </c>
      <c r="L2" s="39" t="str">
        <f aca="false">IF($E2="","no_accountable",IF($I2="none_observed","none_observed",IF($I2="ritual",IF(ISNUMBER(SEARCH(";"&amp;$E2&amp;";",$K2)),"aligned","a_absent"),"aligned")))</f>
        <v>aligned</v>
      </c>
      <c r="M2" s="34" t="str">
        <f aca="false">IF(OR($L2="aligned",$L2=""),"",MAX($M$1:M1)+1)</f>
        <v/>
      </c>
    </row>
    <row r="3" customFormat="false" ht="15" hidden="false" customHeight="true" outlineLevel="0" collapsed="false">
      <c r="A3" s="31" t="s">
        <v>456</v>
      </c>
      <c r="B3" s="31" t="s">
        <v>457</v>
      </c>
      <c r="C3" s="31" t="s">
        <v>136</v>
      </c>
      <c r="D3" s="31" t="s">
        <v>2</v>
      </c>
      <c r="E3" s="31" t="s">
        <v>110</v>
      </c>
      <c r="F3" s="31" t="s">
        <v>106</v>
      </c>
      <c r="G3" s="31" t="s">
        <v>458</v>
      </c>
      <c r="H3" s="31" t="s">
        <v>186</v>
      </c>
      <c r="I3" s="31" t="s">
        <v>443</v>
      </c>
      <c r="J3" s="31" t="s">
        <v>261</v>
      </c>
      <c r="K3" s="34" t="str">
        <f aca="false">IF($I3="ritual",IFERROR(INDEX(Rituals!$AB$2:$AB$50,MATCH($J3,Rituals!$A$2:$A$50,0)),""),"")</f>
        <v>;A2;A3;A1;A5;A2;</v>
      </c>
      <c r="L3" s="39" t="str">
        <f aca="false">IF($E3="","no_accountable",IF($I3="none_observed","none_observed",IF($I3="ritual",IF(ISNUMBER(SEARCH(";"&amp;$E3&amp;";",$K3)),"aligned","a_absent"),"aligned")))</f>
        <v>a_absent</v>
      </c>
      <c r="M3" s="34" t="n">
        <f aca="false">IF(OR($L3="aligned",$L3=""),"",MAX($M$1:M2)+1)</f>
        <v>1</v>
      </c>
    </row>
    <row r="4" customFormat="false" ht="15" hidden="false" customHeight="true" outlineLevel="0" collapsed="false">
      <c r="A4" s="31" t="s">
        <v>459</v>
      </c>
      <c r="B4" s="31" t="s">
        <v>460</v>
      </c>
      <c r="C4" s="31" t="s">
        <v>132</v>
      </c>
      <c r="D4" s="31" t="s">
        <v>2</v>
      </c>
      <c r="E4" s="31" t="s">
        <v>180</v>
      </c>
      <c r="F4" s="31" t="s">
        <v>180</v>
      </c>
      <c r="G4" s="31" t="s">
        <v>461</v>
      </c>
      <c r="H4" s="31" t="s">
        <v>106</v>
      </c>
      <c r="I4" s="31" t="s">
        <v>443</v>
      </c>
      <c r="J4" s="31" t="s">
        <v>299</v>
      </c>
      <c r="K4" s="34" t="str">
        <f aca="false">IF($I4="ritual",IFERROR(INDEX(Rituals!$AB$2:$AB$50,MATCH($J4,Rituals!$A$2:$A$50,0)),""),"")</f>
        <v>;A7;A6;A4;A7;</v>
      </c>
      <c r="L4" s="39" t="str">
        <f aca="false">IF($E4="","no_accountable",IF($I4="none_observed","none_observed",IF($I4="ritual",IF(ISNUMBER(SEARCH(";"&amp;$E4&amp;";",$K4)),"aligned","a_absent"),"aligned")))</f>
        <v>aligned</v>
      </c>
      <c r="M4" s="34" t="str">
        <f aca="false">IF(OR($L4="aligned",$L4=""),"",MAX($M$1:M3)+1)</f>
        <v/>
      </c>
    </row>
    <row r="5" customFormat="false" ht="15" hidden="false" customHeight="true" outlineLevel="0" collapsed="false">
      <c r="A5" s="31" t="s">
        <v>462</v>
      </c>
      <c r="B5" s="31" t="s">
        <v>463</v>
      </c>
      <c r="C5" s="31" t="s">
        <v>129</v>
      </c>
      <c r="D5" s="31" t="s">
        <v>104</v>
      </c>
      <c r="E5" s="31" t="s">
        <v>106</v>
      </c>
      <c r="F5" s="31" t="s">
        <v>169</v>
      </c>
      <c r="G5" s="31" t="s">
        <v>174</v>
      </c>
      <c r="H5" s="31" t="s">
        <v>101</v>
      </c>
      <c r="I5" s="31" t="s">
        <v>464</v>
      </c>
      <c r="J5" s="31"/>
      <c r="K5" s="34" t="str">
        <f aca="false">IF($I5="ritual",IFERROR(INDEX(Rituals!$AB$2:$AB$50,MATCH($J5,Rituals!$A$2:$A$50,0)),""),"")</f>
        <v/>
      </c>
      <c r="L5" s="39" t="str">
        <f aca="false">IF($E5="","no_accountable",IF($I5="none_observed","none_observed",IF($I5="ritual",IF(ISNUMBER(SEARCH(";"&amp;$E5&amp;";",$K5)),"aligned","a_absent"),"aligned")))</f>
        <v>none_observed</v>
      </c>
      <c r="M5" s="34" t="n">
        <f aca="false">IF(OR($L5="aligned",$L5=""),"",MAX($M$1:M4)+1)</f>
        <v>2</v>
      </c>
    </row>
    <row r="6" customFormat="false" ht="15" hidden="false" customHeight="true" outlineLevel="0" collapsed="false">
      <c r="A6" s="31" t="s">
        <v>465</v>
      </c>
      <c r="B6" s="31" t="s">
        <v>466</v>
      </c>
      <c r="C6" s="31" t="s">
        <v>140</v>
      </c>
      <c r="D6" s="31" t="s">
        <v>108</v>
      </c>
      <c r="E6" s="31"/>
      <c r="F6" s="31" t="s">
        <v>169</v>
      </c>
      <c r="G6" s="31" t="s">
        <v>110</v>
      </c>
      <c r="H6" s="31" t="s">
        <v>183</v>
      </c>
      <c r="I6" s="31" t="s">
        <v>443</v>
      </c>
      <c r="J6" s="31" t="s">
        <v>269</v>
      </c>
      <c r="K6" s="34" t="str">
        <f aca="false">IF($I6="ritual",IFERROR(INDEX(Rituals!$AB$2:$AB$50,MATCH($J6,Rituals!$A$2:$A$50,0)),""),"")</f>
        <v>;A4;A1;A2;A9;A8;A4;</v>
      </c>
      <c r="L6" s="39" t="str">
        <f aca="false">IF($E6="","no_accountable",IF($I6="none_observed","none_observed",IF($I6="ritual",IF(ISNUMBER(SEARCH(";"&amp;$E6&amp;";",$K6)),"aligned","a_absent"),"aligned")))</f>
        <v>no_accountable</v>
      </c>
      <c r="M6" s="34" t="n">
        <f aca="false">IF(OR($L6="aligned",$L6=""),"",MAX($M$1:M5)+1)</f>
        <v>3</v>
      </c>
    </row>
    <row r="7" customFormat="false" ht="15" hidden="false" customHeight="true" outlineLevel="0" collapsed="false">
      <c r="A7" s="32"/>
      <c r="B7" s="32"/>
      <c r="C7" s="32"/>
      <c r="D7" s="32"/>
      <c r="E7" s="32"/>
      <c r="F7" s="32"/>
      <c r="G7" s="32"/>
      <c r="H7" s="32"/>
      <c r="I7" s="32"/>
      <c r="J7" s="32"/>
    </row>
    <row r="8" customFormat="false" ht="15" hidden="false" customHeight="true" outlineLevel="0" collapsed="false">
      <c r="A8" s="32"/>
      <c r="B8" s="32"/>
      <c r="C8" s="32"/>
      <c r="D8" s="32"/>
      <c r="E8" s="32"/>
      <c r="F8" s="32"/>
      <c r="G8" s="32"/>
      <c r="H8" s="32"/>
      <c r="I8" s="32"/>
      <c r="J8" s="32"/>
    </row>
    <row r="9" customFormat="false" ht="15" hidden="false" customHeight="true" outlineLevel="0" collapsed="false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customFormat="false" ht="15" hidden="false" customHeight="true" outlineLevel="0" collapsed="false">
      <c r="A10" s="32"/>
      <c r="B10" s="32"/>
      <c r="C10" s="32"/>
      <c r="D10" s="32"/>
      <c r="E10" s="32"/>
      <c r="F10" s="32"/>
      <c r="G10" s="32"/>
      <c r="H10" s="32"/>
      <c r="I10" s="32"/>
      <c r="J10" s="32"/>
    </row>
    <row r="11" customFormat="false" ht="15" hidden="false" customHeight="true" outlineLevel="0" collapsed="false">
      <c r="A11" s="32"/>
      <c r="B11" s="32"/>
      <c r="C11" s="32"/>
      <c r="D11" s="32"/>
      <c r="E11" s="32"/>
      <c r="F11" s="32"/>
      <c r="G11" s="32"/>
      <c r="H11" s="32"/>
      <c r="I11" s="32"/>
      <c r="J11" s="32"/>
    </row>
    <row r="12" customFormat="false" ht="15" hidden="false" customHeight="true" outlineLevel="0" collapsed="false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customFormat="false" ht="15" hidden="false" customHeight="true" outlineLevel="0" collapsed="false">
      <c r="A13" s="32"/>
      <c r="B13" s="32"/>
      <c r="C13" s="32"/>
      <c r="D13" s="32"/>
      <c r="E13" s="32"/>
      <c r="F13" s="32"/>
      <c r="G13" s="32"/>
      <c r="H13" s="32"/>
      <c r="I13" s="32"/>
      <c r="J13" s="32"/>
    </row>
    <row r="14" customFormat="false" ht="15" hidden="false" customHeight="true" outlineLevel="0" collapsed="false">
      <c r="A14" s="32"/>
      <c r="B14" s="32"/>
      <c r="C14" s="32"/>
      <c r="D14" s="32"/>
      <c r="E14" s="32"/>
      <c r="F14" s="32"/>
      <c r="G14" s="32"/>
      <c r="H14" s="32"/>
      <c r="I14" s="32"/>
      <c r="J14" s="32"/>
    </row>
    <row r="15" customFormat="false" ht="15" hidden="false" customHeight="true" outlineLevel="0" collapsed="false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 customFormat="false" ht="15" hidden="false" customHeight="true" outlineLevel="0" collapsed="false">
      <c r="A16" s="32"/>
      <c r="B16" s="32"/>
      <c r="C16" s="32"/>
      <c r="D16" s="32"/>
      <c r="E16" s="32"/>
      <c r="F16" s="32"/>
      <c r="G16" s="32"/>
      <c r="H16" s="32"/>
      <c r="I16" s="32"/>
      <c r="J16" s="32"/>
    </row>
    <row r="17" customFormat="false" ht="15" hidden="false" customHeight="tru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</row>
    <row r="18" customFormat="false" ht="15" hidden="false" customHeight="true" outlineLevel="0" collapsed="false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  <c r="I30" s="32"/>
      <c r="J30" s="32"/>
    </row>
  </sheetData>
  <conditionalFormatting sqref="L2:L6">
    <cfRule type="cellIs" priority="2" operator="notEqual" aboveAverage="0" equalAverage="0" bottom="0" percent="0" rank="0" text="" dxfId="0">
      <formula>"aligned"</formula>
    </cfRule>
  </conditionalFormatting>
  <dataValidations count="1">
    <dataValidation allowBlank="true" errorStyle="stop" operator="between" showDropDown="false" showErrorMessage="false" showInputMessage="false" sqref="I2:I100" type="list">
      <formula1>"ritual,channel,ad_hoc,none_observed"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22"/>
    <col collapsed="false" customWidth="true" hidden="false" outlineLevel="0" max="11" min="11" style="1" width="9"/>
  </cols>
  <sheetData>
    <row r="1" customFormat="false" ht="30" hidden="false" customHeight="true" outlineLevel="0" collapsed="false">
      <c r="A1" s="30" t="s">
        <v>97</v>
      </c>
      <c r="B1" s="30" t="s">
        <v>227</v>
      </c>
      <c r="C1" s="33" t="s">
        <v>443</v>
      </c>
      <c r="D1" s="33" t="s">
        <v>410</v>
      </c>
      <c r="E1" s="33" t="s">
        <v>467</v>
      </c>
      <c r="F1" s="33" t="s">
        <v>468</v>
      </c>
      <c r="G1" s="33" t="s">
        <v>252</v>
      </c>
      <c r="H1" s="33" t="s">
        <v>469</v>
      </c>
      <c r="I1" s="33" t="s">
        <v>243</v>
      </c>
      <c r="J1" s="33" t="s">
        <v>37</v>
      </c>
      <c r="K1" s="33" t="s">
        <v>120</v>
      </c>
      <c r="L1" s="38" t="s">
        <v>470</v>
      </c>
      <c r="M1" s="38" t="s">
        <v>471</v>
      </c>
    </row>
    <row r="2" customFormat="false" ht="15" hidden="false" customHeight="true" outlineLevel="0" collapsed="false">
      <c r="A2" s="6" t="s">
        <v>2</v>
      </c>
      <c r="B2" s="6" t="s">
        <v>253</v>
      </c>
      <c r="C2" s="34" t="str">
        <f aca="false">IFERROR(INDEX(Rituals!$B$2:$B$50,MATCH($B2,Rituals!$A$2:$A$50,0)),"")</f>
        <v>Daily Production Standup</v>
      </c>
      <c r="D2" s="37" t="b">
        <f aca="false">ISNUMBER(SEARCH($A2,IFERROR(INDEX(Rituals!$I$2:$I$50,MATCH($B2,Rituals!$A$2:$A$50,0)),"")))</f>
        <v>1</v>
      </c>
      <c r="E2" s="34" t="n">
        <f aca="false">COUNTIFS(Carriers!$C$2:$C$400,$B2,Carriers!$O$2:$O$400,$A2,Carriers!$M$2:$M$400,1,Carriers!$N$2:$N$400,1)</f>
        <v>1</v>
      </c>
      <c r="F2" s="34" t="n">
        <f aca="false">COUNTIFS(Decisions!$J$2:$J$50,$B2,Decisions!$D$2:$D$50,$A2,Decisions!$I$2:$I$50,"ritual")</f>
        <v>1</v>
      </c>
      <c r="G2" s="34" t="str">
        <f aca="false">IFERROR(INDEX(Rituals!$AB$2:$AB$50,MATCH($B2,Rituals!$A$2:$A$50,0)),"")</f>
        <v>;A6;A11;A5;A3;A6;</v>
      </c>
      <c r="H2" s="36" t="n">
        <f aca="false">IFERROR(ROUND(SUMPRODUCT((INDEX(Stakeholders!$H$2:$K$50,0,MATCH($A2,Stakeholders!$H$1:$K$1,0))=1)*ISNUMBER(SEARCH(";"&amp;Stakeholders!$A$2:$A$50&amp;";",$G2)))/SUMPRODUCT((INDEX(Stakeholders!$H$2:$K$50,0,MATCH($A2,Stakeholders!$H$1:$K$1,0))=1)*1),2),0)</f>
        <v>0.38</v>
      </c>
      <c r="I2" s="36" t="n">
        <f aca="false">IFERROR(INDEX(Rituals!$S$2:$S$50,MATCH($B2,Rituals!$A$2:$A$50,0)),"")</f>
        <v>0.833333333333333</v>
      </c>
      <c r="J2" s="39" t="str">
        <f aca="false">IF(AND($D2,$E2+$F2=0),"claims_no_contribution",IF(AND(NOT($D2),$E2+$F2&gt;0),"unclaimed_contributor",IF($D2,"aligned","—")))</f>
        <v>aligned</v>
      </c>
      <c r="K2" s="34" t="n">
        <f aca="false">IF(AND($A2=GoalLens!$B$3,$J2&lt;&gt;"—"),MAX($K$1:K1)+1,"")</f>
        <v>1</v>
      </c>
      <c r="L2" s="34" t="str">
        <f aca="false">IF($J2="claims_no_contribution",MAX($L$1:L1)+1,"")</f>
        <v/>
      </c>
      <c r="M2" s="34" t="str">
        <f aca="false">IF($J2="unclaimed_contributor",MAX($M$1:M1)+1,"")</f>
        <v/>
      </c>
    </row>
    <row r="3" customFormat="false" ht="15" hidden="false" customHeight="true" outlineLevel="0" collapsed="false">
      <c r="A3" s="6" t="s">
        <v>104</v>
      </c>
      <c r="B3" s="6" t="s">
        <v>253</v>
      </c>
      <c r="C3" s="34" t="str">
        <f aca="false">IFERROR(INDEX(Rituals!$B$2:$B$50,MATCH($B3,Rituals!$A$2:$A$50,0)),"")</f>
        <v>Daily Production Standup</v>
      </c>
      <c r="D3" s="37" t="b">
        <f aca="false">ISNUMBER(SEARCH($A3,IFERROR(INDEX(Rituals!$I$2:$I$50,MATCH($B3,Rituals!$A$2:$A$50,0)),"")))</f>
        <v>0</v>
      </c>
      <c r="E3" s="34" t="n">
        <f aca="false">COUNTIFS(Carriers!$C$2:$C$400,$B3,Carriers!$O$2:$O$400,$A3,Carriers!$M$2:$M$400,1,Carriers!$N$2:$N$400,1)</f>
        <v>0</v>
      </c>
      <c r="F3" s="34" t="n">
        <f aca="false">COUNTIFS(Decisions!$J$2:$J$50,$B3,Decisions!$D$2:$D$50,$A3,Decisions!$I$2:$I$50,"ritual")</f>
        <v>0</v>
      </c>
      <c r="G3" s="34" t="str">
        <f aca="false">IFERROR(INDEX(Rituals!$AB$2:$AB$50,MATCH($B3,Rituals!$A$2:$A$50,0)),"")</f>
        <v>;A6;A11;A5;A3;A6;</v>
      </c>
      <c r="H3" s="36" t="n">
        <f aca="false">IFERROR(ROUND(SUMPRODUCT((INDEX(Stakeholders!$H$2:$K$50,0,MATCH($A3,Stakeholders!$H$1:$K$1,0))=1)*ISNUMBER(SEARCH(";"&amp;Stakeholders!$A$2:$A$50&amp;";",$G3)))/SUMPRODUCT((INDEX(Stakeholders!$H$2:$K$50,0,MATCH($A3,Stakeholders!$H$1:$K$1,0))=1)*1),2),0)</f>
        <v>0.5</v>
      </c>
      <c r="I3" s="36" t="n">
        <f aca="false">IFERROR(INDEX(Rituals!$S$2:$S$50,MATCH($B3,Rituals!$A$2:$A$50,0)),"")</f>
        <v>0.833333333333333</v>
      </c>
      <c r="J3" s="39" t="str">
        <f aca="false">IF(AND($D3,$E3+$F3=0),"claims_no_contribution",IF(AND(NOT($D3),$E3+$F3&gt;0),"unclaimed_contributor",IF($D3,"aligned","—")))</f>
        <v>—</v>
      </c>
      <c r="K3" s="34" t="str">
        <f aca="false">IF(AND($A3=GoalLens!$B$3,$J3&lt;&gt;"—"),MAX($K$1:K2)+1,"")</f>
        <v/>
      </c>
      <c r="L3" s="34" t="str">
        <f aca="false">IF($J3="claims_no_contribution",MAX($L$1:L2)+1,"")</f>
        <v/>
      </c>
      <c r="M3" s="34" t="str">
        <f aca="false">IF($J3="unclaimed_contributor",MAX($M$1:M2)+1,"")</f>
        <v/>
      </c>
    </row>
    <row r="4" customFormat="false" ht="15" hidden="false" customHeight="true" outlineLevel="0" collapsed="false">
      <c r="A4" s="6" t="s">
        <v>108</v>
      </c>
      <c r="B4" s="6" t="s">
        <v>253</v>
      </c>
      <c r="C4" s="34" t="str">
        <f aca="false">IFERROR(INDEX(Rituals!$B$2:$B$50,MATCH($B4,Rituals!$A$2:$A$50,0)),"")</f>
        <v>Daily Production Standup</v>
      </c>
      <c r="D4" s="37" t="b">
        <f aca="false">ISNUMBER(SEARCH($A4,IFERROR(INDEX(Rituals!$I$2:$I$50,MATCH($B4,Rituals!$A$2:$A$50,0)),"")))</f>
        <v>0</v>
      </c>
      <c r="E4" s="34" t="n">
        <f aca="false">COUNTIFS(Carriers!$C$2:$C$400,$B4,Carriers!$O$2:$O$400,$A4,Carriers!$M$2:$M$400,1,Carriers!$N$2:$N$400,1)</f>
        <v>0</v>
      </c>
      <c r="F4" s="34" t="n">
        <f aca="false">COUNTIFS(Decisions!$J$2:$J$50,$B4,Decisions!$D$2:$D$50,$A4,Decisions!$I$2:$I$50,"ritual")</f>
        <v>0</v>
      </c>
      <c r="G4" s="34" t="str">
        <f aca="false">IFERROR(INDEX(Rituals!$AB$2:$AB$50,MATCH($B4,Rituals!$A$2:$A$50,0)),"")</f>
        <v>;A6;A11;A5;A3;A6;</v>
      </c>
      <c r="H4" s="36" t="n">
        <f aca="false">IFERROR(ROUND(SUMPRODUCT((INDEX(Stakeholders!$H$2:$K$50,0,MATCH($A4,Stakeholders!$H$1:$K$1,0))=1)*ISNUMBER(SEARCH(";"&amp;Stakeholders!$A$2:$A$50&amp;";",$G4)))/SUMPRODUCT((INDEX(Stakeholders!$H$2:$K$50,0,MATCH($A4,Stakeholders!$H$1:$K$1,0))=1)*1),2),0)</f>
        <v>0.33</v>
      </c>
      <c r="I4" s="36" t="n">
        <f aca="false">IFERROR(INDEX(Rituals!$S$2:$S$50,MATCH($B4,Rituals!$A$2:$A$50,0)),"")</f>
        <v>0.833333333333333</v>
      </c>
      <c r="J4" s="39" t="str">
        <f aca="false">IF(AND($D4,$E4+$F4=0),"claims_no_contribution",IF(AND(NOT($D4),$E4+$F4&gt;0),"unclaimed_contributor",IF($D4,"aligned","—")))</f>
        <v>—</v>
      </c>
      <c r="K4" s="34" t="str">
        <f aca="false">IF(AND($A4=GoalLens!$B$3,$J4&lt;&gt;"—"),MAX($K$1:K3)+1,"")</f>
        <v/>
      </c>
      <c r="L4" s="34" t="str">
        <f aca="false">IF($J4="claims_no_contribution",MAX($L$1:L3)+1,"")</f>
        <v/>
      </c>
      <c r="M4" s="34" t="str">
        <f aca="false">IF($J4="unclaimed_contributor",MAX($M$1:M3)+1,"")</f>
        <v/>
      </c>
    </row>
    <row r="5" customFormat="false" ht="15" hidden="false" customHeight="true" outlineLevel="0" collapsed="false">
      <c r="A5" s="6" t="s">
        <v>112</v>
      </c>
      <c r="B5" s="6" t="s">
        <v>253</v>
      </c>
      <c r="C5" s="34" t="str">
        <f aca="false">IFERROR(INDEX(Rituals!$B$2:$B$50,MATCH($B5,Rituals!$A$2:$A$50,0)),"")</f>
        <v>Daily Production Standup</v>
      </c>
      <c r="D5" s="37" t="b">
        <f aca="false">ISNUMBER(SEARCH($A5,IFERROR(INDEX(Rituals!$I$2:$I$50,MATCH($B5,Rituals!$A$2:$A$50,0)),"")))</f>
        <v>0</v>
      </c>
      <c r="E5" s="34" t="n">
        <f aca="false">COUNTIFS(Carriers!$C$2:$C$400,$B5,Carriers!$O$2:$O$400,$A5,Carriers!$M$2:$M$400,1,Carriers!$N$2:$N$400,1)</f>
        <v>0</v>
      </c>
      <c r="F5" s="34" t="n">
        <f aca="false">COUNTIFS(Decisions!$J$2:$J$50,$B5,Decisions!$D$2:$D$50,$A5,Decisions!$I$2:$I$50,"ritual")</f>
        <v>0</v>
      </c>
      <c r="G5" s="34" t="str">
        <f aca="false">IFERROR(INDEX(Rituals!$AB$2:$AB$50,MATCH($B5,Rituals!$A$2:$A$50,0)),"")</f>
        <v>;A6;A11;A5;A3;A6;</v>
      </c>
      <c r="H5" s="36" t="n">
        <f aca="false">IFERROR(ROUND(SUMPRODUCT((INDEX(Stakeholders!$H$2:$K$50,0,MATCH($A5,Stakeholders!$H$1:$K$1,0))=1)*ISNUMBER(SEARCH(";"&amp;Stakeholders!$A$2:$A$50&amp;";",$G5)))/SUMPRODUCT((INDEX(Stakeholders!$H$2:$K$50,0,MATCH($A5,Stakeholders!$H$1:$K$1,0))=1)*1),2),0)</f>
        <v>0.33</v>
      </c>
      <c r="I5" s="36" t="n">
        <f aca="false">IFERROR(INDEX(Rituals!$S$2:$S$50,MATCH($B5,Rituals!$A$2:$A$50,0)),"")</f>
        <v>0.833333333333333</v>
      </c>
      <c r="J5" s="39" t="str">
        <f aca="false">IF(AND($D5,$E5+$F5=0),"claims_no_contribution",IF(AND(NOT($D5),$E5+$F5&gt;0),"unclaimed_contributor",IF($D5,"aligned","—")))</f>
        <v>—</v>
      </c>
      <c r="K5" s="34" t="str">
        <f aca="false">IF(AND($A5=GoalLens!$B$3,$J5&lt;&gt;"—"),MAX($K$1:K4)+1,"")</f>
        <v/>
      </c>
      <c r="L5" s="34" t="str">
        <f aca="false">IF($J5="claims_no_contribution",MAX($L$1:L4)+1,"")</f>
        <v/>
      </c>
      <c r="M5" s="34" t="str">
        <f aca="false">IF($J5="unclaimed_contributor",MAX($M$1:M4)+1,"")</f>
        <v/>
      </c>
    </row>
    <row r="6" customFormat="false" ht="15" hidden="false" customHeight="true" outlineLevel="0" collapsed="false">
      <c r="A6" s="6" t="s">
        <v>2</v>
      </c>
      <c r="B6" s="6" t="s">
        <v>261</v>
      </c>
      <c r="C6" s="34" t="str">
        <f aca="false">IFERROR(INDEX(Rituals!$B$2:$B$50,MATCH($B6,Rituals!$A$2:$A$50,0)),"")</f>
        <v>Weekly Supplier Quality Review</v>
      </c>
      <c r="D6" s="37" t="b">
        <f aca="false">ISNUMBER(SEARCH($A6,IFERROR(INDEX(Rituals!$I$2:$I$50,MATCH($B6,Rituals!$A$2:$A$50,0)),"")))</f>
        <v>1</v>
      </c>
      <c r="E6" s="34" t="n">
        <f aca="false">COUNTIFS(Carriers!$C$2:$C$400,$B6,Carriers!$O$2:$O$400,$A6,Carriers!$M$2:$M$400,1,Carriers!$N$2:$N$400,1)</f>
        <v>2</v>
      </c>
      <c r="F6" s="34" t="n">
        <f aca="false">COUNTIFS(Decisions!$J$2:$J$50,$B6,Decisions!$D$2:$D$50,$A6,Decisions!$I$2:$I$50,"ritual")</f>
        <v>1</v>
      </c>
      <c r="G6" s="34" t="str">
        <f aca="false">IFERROR(INDEX(Rituals!$AB$2:$AB$50,MATCH($B6,Rituals!$A$2:$A$50,0)),"")</f>
        <v>;A2;A3;A1;A5;A2;</v>
      </c>
      <c r="H6" s="36" t="n">
        <f aca="false">IFERROR(ROUND(SUMPRODUCT((INDEX(Stakeholders!$H$2:$K$50,0,MATCH($A6,Stakeholders!$H$1:$K$1,0))=1)*ISNUMBER(SEARCH(";"&amp;Stakeholders!$A$2:$A$50&amp;";",$G6)))/SUMPRODUCT((INDEX(Stakeholders!$H$2:$K$50,0,MATCH($A6,Stakeholders!$H$1:$K$1,0))=1)*1),2),0)</f>
        <v>0.5</v>
      </c>
      <c r="I6" s="36" t="n">
        <f aca="false">IFERROR(INDEX(Rituals!$S$2:$S$50,MATCH($B6,Rituals!$A$2:$A$50,0)),"")</f>
        <v>1</v>
      </c>
      <c r="J6" s="39" t="str">
        <f aca="false">IF(AND($D6,$E6+$F6=0),"claims_no_contribution",IF(AND(NOT($D6),$E6+$F6&gt;0),"unclaimed_contributor",IF($D6,"aligned","—")))</f>
        <v>aligned</v>
      </c>
      <c r="K6" s="34" t="n">
        <f aca="false">IF(AND($A6=GoalLens!$B$3,$J6&lt;&gt;"—"),MAX($K$1:K5)+1,"")</f>
        <v>2</v>
      </c>
      <c r="L6" s="34" t="str">
        <f aca="false">IF($J6="claims_no_contribution",MAX($L$1:L5)+1,"")</f>
        <v/>
      </c>
      <c r="M6" s="34" t="str">
        <f aca="false">IF($J6="unclaimed_contributor",MAX($M$1:M5)+1,"")</f>
        <v/>
      </c>
    </row>
    <row r="7" customFormat="false" ht="15" hidden="false" customHeight="true" outlineLevel="0" collapsed="false">
      <c r="A7" s="6" t="s">
        <v>104</v>
      </c>
      <c r="B7" s="6" t="s">
        <v>261</v>
      </c>
      <c r="C7" s="34" t="str">
        <f aca="false">IFERROR(INDEX(Rituals!$B$2:$B$50,MATCH($B7,Rituals!$A$2:$A$50,0)),"")</f>
        <v>Weekly Supplier Quality Review</v>
      </c>
      <c r="D7" s="37" t="b">
        <f aca="false">ISNUMBER(SEARCH($A7,IFERROR(INDEX(Rituals!$I$2:$I$50,MATCH($B7,Rituals!$A$2:$A$50,0)),"")))</f>
        <v>1</v>
      </c>
      <c r="E7" s="34" t="n">
        <f aca="false">COUNTIFS(Carriers!$C$2:$C$400,$B7,Carriers!$O$2:$O$400,$A7,Carriers!$M$2:$M$400,1,Carriers!$N$2:$N$400,1)</f>
        <v>2</v>
      </c>
      <c r="F7" s="34" t="n">
        <f aca="false">COUNTIFS(Decisions!$J$2:$J$50,$B7,Decisions!$D$2:$D$50,$A7,Decisions!$I$2:$I$50,"ritual")</f>
        <v>0</v>
      </c>
      <c r="G7" s="34" t="str">
        <f aca="false">IFERROR(INDEX(Rituals!$AB$2:$AB$50,MATCH($B7,Rituals!$A$2:$A$50,0)),"")</f>
        <v>;A2;A3;A1;A5;A2;</v>
      </c>
      <c r="H7" s="36" t="n">
        <f aca="false">IFERROR(ROUND(SUMPRODUCT((INDEX(Stakeholders!$H$2:$K$50,0,MATCH($A7,Stakeholders!$H$1:$K$1,0))=1)*ISNUMBER(SEARCH(";"&amp;Stakeholders!$A$2:$A$50&amp;";",$G7)))/SUMPRODUCT((INDEX(Stakeholders!$H$2:$K$50,0,MATCH($A7,Stakeholders!$H$1:$K$1,0))=1)*1),2),0)</f>
        <v>0.5</v>
      </c>
      <c r="I7" s="36" t="n">
        <f aca="false">IFERROR(INDEX(Rituals!$S$2:$S$50,MATCH($B7,Rituals!$A$2:$A$50,0)),"")</f>
        <v>1</v>
      </c>
      <c r="J7" s="39" t="str">
        <f aca="false">IF(AND($D7,$E7+$F7=0),"claims_no_contribution",IF(AND(NOT($D7),$E7+$F7&gt;0),"unclaimed_contributor",IF($D7,"aligned","—")))</f>
        <v>aligned</v>
      </c>
      <c r="K7" s="34" t="str">
        <f aca="false">IF(AND($A7=GoalLens!$B$3,$J7&lt;&gt;"—"),MAX($K$1:K6)+1,"")</f>
        <v/>
      </c>
      <c r="L7" s="34" t="str">
        <f aca="false">IF($J7="claims_no_contribution",MAX($L$1:L6)+1,"")</f>
        <v/>
      </c>
      <c r="M7" s="34" t="str">
        <f aca="false">IF($J7="unclaimed_contributor",MAX($M$1:M6)+1,"")</f>
        <v/>
      </c>
    </row>
    <row r="8" customFormat="false" ht="15" hidden="false" customHeight="true" outlineLevel="0" collapsed="false">
      <c r="A8" s="6" t="s">
        <v>108</v>
      </c>
      <c r="B8" s="6" t="s">
        <v>261</v>
      </c>
      <c r="C8" s="34" t="str">
        <f aca="false">IFERROR(INDEX(Rituals!$B$2:$B$50,MATCH($B8,Rituals!$A$2:$A$50,0)),"")</f>
        <v>Weekly Supplier Quality Review</v>
      </c>
      <c r="D8" s="37" t="b">
        <f aca="false">ISNUMBER(SEARCH($A8,IFERROR(INDEX(Rituals!$I$2:$I$50,MATCH($B8,Rituals!$A$2:$A$50,0)),"")))</f>
        <v>0</v>
      </c>
      <c r="E8" s="34" t="n">
        <f aca="false">COUNTIFS(Carriers!$C$2:$C$400,$B8,Carriers!$O$2:$O$400,$A8,Carriers!$M$2:$M$400,1,Carriers!$N$2:$N$400,1)</f>
        <v>0</v>
      </c>
      <c r="F8" s="34" t="n">
        <f aca="false">COUNTIFS(Decisions!$J$2:$J$50,$B8,Decisions!$D$2:$D$50,$A8,Decisions!$I$2:$I$50,"ritual")</f>
        <v>0</v>
      </c>
      <c r="G8" s="34" t="str">
        <f aca="false">IFERROR(INDEX(Rituals!$AB$2:$AB$50,MATCH($B8,Rituals!$A$2:$A$50,0)),"")</f>
        <v>;A2;A3;A1;A5;A2;</v>
      </c>
      <c r="H8" s="36" t="n">
        <f aca="false">IFERROR(ROUND(SUMPRODUCT((INDEX(Stakeholders!$H$2:$K$50,0,MATCH($A8,Stakeholders!$H$1:$K$1,0))=1)*ISNUMBER(SEARCH(";"&amp;Stakeholders!$A$2:$A$50&amp;";",$G8)))/SUMPRODUCT((INDEX(Stakeholders!$H$2:$K$50,0,MATCH($A8,Stakeholders!$H$1:$K$1,0))=1)*1),2),0)</f>
        <v>0.33</v>
      </c>
      <c r="I8" s="36" t="n">
        <f aca="false">IFERROR(INDEX(Rituals!$S$2:$S$50,MATCH($B8,Rituals!$A$2:$A$50,0)),"")</f>
        <v>1</v>
      </c>
      <c r="J8" s="39" t="str">
        <f aca="false">IF(AND($D8,$E8+$F8=0),"claims_no_contribution",IF(AND(NOT($D8),$E8+$F8&gt;0),"unclaimed_contributor",IF($D8,"aligned","—")))</f>
        <v>—</v>
      </c>
      <c r="K8" s="34" t="str">
        <f aca="false">IF(AND($A8=GoalLens!$B$3,$J8&lt;&gt;"—"),MAX($K$1:K7)+1,"")</f>
        <v/>
      </c>
      <c r="L8" s="34" t="str">
        <f aca="false">IF($J8="claims_no_contribution",MAX($L$1:L7)+1,"")</f>
        <v/>
      </c>
      <c r="M8" s="34" t="str">
        <f aca="false">IF($J8="unclaimed_contributor",MAX($M$1:M7)+1,"")</f>
        <v/>
      </c>
    </row>
    <row r="9" customFormat="false" ht="15" hidden="false" customHeight="true" outlineLevel="0" collapsed="false">
      <c r="A9" s="6" t="s">
        <v>112</v>
      </c>
      <c r="B9" s="6" t="s">
        <v>261</v>
      </c>
      <c r="C9" s="34" t="str">
        <f aca="false">IFERROR(INDEX(Rituals!$B$2:$B$50,MATCH($B9,Rituals!$A$2:$A$50,0)),"")</f>
        <v>Weekly Supplier Quality Review</v>
      </c>
      <c r="D9" s="37" t="b">
        <f aca="false">ISNUMBER(SEARCH($A9,IFERROR(INDEX(Rituals!$I$2:$I$50,MATCH($B9,Rituals!$A$2:$A$50,0)),"")))</f>
        <v>0</v>
      </c>
      <c r="E9" s="34" t="n">
        <f aca="false">COUNTIFS(Carriers!$C$2:$C$400,$B9,Carriers!$O$2:$O$400,$A9,Carriers!$M$2:$M$400,1,Carriers!$N$2:$N$400,1)</f>
        <v>0</v>
      </c>
      <c r="F9" s="34" t="n">
        <f aca="false">COUNTIFS(Decisions!$J$2:$J$50,$B9,Decisions!$D$2:$D$50,$A9,Decisions!$I$2:$I$50,"ritual")</f>
        <v>0</v>
      </c>
      <c r="G9" s="34" t="str">
        <f aca="false">IFERROR(INDEX(Rituals!$AB$2:$AB$50,MATCH($B9,Rituals!$A$2:$A$50,0)),"")</f>
        <v>;A2;A3;A1;A5;A2;</v>
      </c>
      <c r="H9" s="36" t="n">
        <f aca="false">IFERROR(ROUND(SUMPRODUCT((INDEX(Stakeholders!$H$2:$K$50,0,MATCH($A9,Stakeholders!$H$1:$K$1,0))=1)*ISNUMBER(SEARCH(";"&amp;Stakeholders!$A$2:$A$50&amp;";",$G9)))/SUMPRODUCT((INDEX(Stakeholders!$H$2:$K$50,0,MATCH($A9,Stakeholders!$H$1:$K$1,0))=1)*1),2),0)</f>
        <v>0.33</v>
      </c>
      <c r="I9" s="36" t="n">
        <f aca="false">IFERROR(INDEX(Rituals!$S$2:$S$50,MATCH($B9,Rituals!$A$2:$A$50,0)),"")</f>
        <v>1</v>
      </c>
      <c r="J9" s="39" t="str">
        <f aca="false">IF(AND($D9,$E9+$F9=0),"claims_no_contribution",IF(AND(NOT($D9),$E9+$F9&gt;0),"unclaimed_contributor",IF($D9,"aligned","—")))</f>
        <v>—</v>
      </c>
      <c r="K9" s="34" t="str">
        <f aca="false">IF(AND($A9=GoalLens!$B$3,$J9&lt;&gt;"—"),MAX($K$1:K8)+1,"")</f>
        <v/>
      </c>
      <c r="L9" s="34" t="str">
        <f aca="false">IF($J9="claims_no_contribution",MAX($L$1:L8)+1,"")</f>
        <v/>
      </c>
      <c r="M9" s="34" t="str">
        <f aca="false">IF($J9="unclaimed_contributor",MAX($M$1:M8)+1,"")</f>
        <v/>
      </c>
    </row>
    <row r="10" customFormat="false" ht="15" hidden="false" customHeight="true" outlineLevel="0" collapsed="false">
      <c r="A10" s="6" t="s">
        <v>2</v>
      </c>
      <c r="B10" s="6" t="s">
        <v>269</v>
      </c>
      <c r="C10" s="34" t="str">
        <f aca="false">IFERROR(INDEX(Rituals!$B$2:$B$50,MATCH($B10,Rituals!$A$2:$A$50,0)),"")</f>
        <v>Monthly Supplier Business Review</v>
      </c>
      <c r="D10" s="37" t="b">
        <f aca="false">ISNUMBER(SEARCH($A10,IFERROR(INDEX(Rituals!$I$2:$I$50,MATCH($B10,Rituals!$A$2:$A$50,0)),"")))</f>
        <v>1</v>
      </c>
      <c r="E10" s="34" t="n">
        <f aca="false">COUNTIFS(Carriers!$C$2:$C$400,$B10,Carriers!$O$2:$O$400,$A10,Carriers!$M$2:$M$400,1,Carriers!$N$2:$N$400,1)</f>
        <v>2</v>
      </c>
      <c r="F10" s="34" t="n">
        <f aca="false">COUNTIFS(Decisions!$J$2:$J$50,$B10,Decisions!$D$2:$D$50,$A10,Decisions!$I$2:$I$50,"ritual")</f>
        <v>0</v>
      </c>
      <c r="G10" s="34" t="str">
        <f aca="false">IFERROR(INDEX(Rituals!$AB$2:$AB$50,MATCH($B10,Rituals!$A$2:$A$50,0)),"")</f>
        <v>;A4;A1;A2;A9;A8;A4;</v>
      </c>
      <c r="H10" s="36" t="n">
        <f aca="false">IFERROR(ROUND(SUMPRODUCT((INDEX(Stakeholders!$H$2:$K$50,0,MATCH($A10,Stakeholders!$H$1:$K$1,0))=1)*ISNUMBER(SEARCH(";"&amp;Stakeholders!$A$2:$A$50&amp;";",$G10)))/SUMPRODUCT((INDEX(Stakeholders!$H$2:$K$50,0,MATCH($A10,Stakeholders!$H$1:$K$1,0))=1)*1),2),0)</f>
        <v>0.5</v>
      </c>
      <c r="I10" s="36" t="n">
        <f aca="false">IFERROR(INDEX(Rituals!$S$2:$S$50,MATCH($B10,Rituals!$A$2:$A$50,0)),"")</f>
        <v>0.833333333333333</v>
      </c>
      <c r="J10" s="39" t="str">
        <f aca="false">IF(AND($D10,$E10+$F10=0),"claims_no_contribution",IF(AND(NOT($D10),$E10+$F10&gt;0),"unclaimed_contributor",IF($D10,"aligned","—")))</f>
        <v>aligned</v>
      </c>
      <c r="K10" s="34" t="n">
        <f aca="false">IF(AND($A10=GoalLens!$B$3,$J10&lt;&gt;"—"),MAX($K$1:K9)+1,"")</f>
        <v>3</v>
      </c>
      <c r="L10" s="34" t="str">
        <f aca="false">IF($J10="claims_no_contribution",MAX($L$1:L9)+1,"")</f>
        <v/>
      </c>
      <c r="M10" s="34" t="str">
        <f aca="false">IF($J10="unclaimed_contributor",MAX($M$1:M9)+1,"")</f>
        <v/>
      </c>
    </row>
    <row r="11" customFormat="false" ht="15" hidden="false" customHeight="true" outlineLevel="0" collapsed="false">
      <c r="A11" s="6" t="s">
        <v>104</v>
      </c>
      <c r="B11" s="6" t="s">
        <v>269</v>
      </c>
      <c r="C11" s="34" t="str">
        <f aca="false">IFERROR(INDEX(Rituals!$B$2:$B$50,MATCH($B11,Rituals!$A$2:$A$50,0)),"")</f>
        <v>Monthly Supplier Business Review</v>
      </c>
      <c r="D11" s="37" t="b">
        <f aca="false">ISNUMBER(SEARCH($A11,IFERROR(INDEX(Rituals!$I$2:$I$50,MATCH($B11,Rituals!$A$2:$A$50,0)),"")))</f>
        <v>0</v>
      </c>
      <c r="E11" s="34" t="n">
        <f aca="false">COUNTIFS(Carriers!$C$2:$C$400,$B11,Carriers!$O$2:$O$400,$A11,Carriers!$M$2:$M$400,1,Carriers!$N$2:$N$400,1)</f>
        <v>1</v>
      </c>
      <c r="F11" s="34" t="n">
        <f aca="false">COUNTIFS(Decisions!$J$2:$J$50,$B11,Decisions!$D$2:$D$50,$A11,Decisions!$I$2:$I$50,"ritual")</f>
        <v>0</v>
      </c>
      <c r="G11" s="34" t="str">
        <f aca="false">IFERROR(INDEX(Rituals!$AB$2:$AB$50,MATCH($B11,Rituals!$A$2:$A$50,0)),"")</f>
        <v>;A4;A1;A2;A9;A8;A4;</v>
      </c>
      <c r="H11" s="36" t="n">
        <f aca="false">IFERROR(ROUND(SUMPRODUCT((INDEX(Stakeholders!$H$2:$K$50,0,MATCH($A11,Stakeholders!$H$1:$K$1,0))=1)*ISNUMBER(SEARCH(";"&amp;Stakeholders!$A$2:$A$50&amp;";",$G11)))/SUMPRODUCT((INDEX(Stakeholders!$H$2:$K$50,0,MATCH($A11,Stakeholders!$H$1:$K$1,0))=1)*1),2),0)</f>
        <v>0.5</v>
      </c>
      <c r="I11" s="36" t="n">
        <f aca="false">IFERROR(INDEX(Rituals!$S$2:$S$50,MATCH($B11,Rituals!$A$2:$A$50,0)),"")</f>
        <v>0.833333333333333</v>
      </c>
      <c r="J11" s="39" t="str">
        <f aca="false">IF(AND($D11,$E11+$F11=0),"claims_no_contribution",IF(AND(NOT($D11),$E11+$F11&gt;0),"unclaimed_contributor",IF($D11,"aligned","—")))</f>
        <v>unclaimed_contributor</v>
      </c>
      <c r="K11" s="34" t="str">
        <f aca="false">IF(AND($A11=GoalLens!$B$3,$J11&lt;&gt;"—"),MAX($K$1:K10)+1,"")</f>
        <v/>
      </c>
      <c r="L11" s="34" t="str">
        <f aca="false">IF($J11="claims_no_contribution",MAX($L$1:L10)+1,"")</f>
        <v/>
      </c>
      <c r="M11" s="34" t="n">
        <f aca="false">IF($J11="unclaimed_contributor",MAX($M$1:M10)+1,"")</f>
        <v>1</v>
      </c>
    </row>
    <row r="12" customFormat="false" ht="15" hidden="false" customHeight="true" outlineLevel="0" collapsed="false">
      <c r="A12" s="6" t="s">
        <v>108</v>
      </c>
      <c r="B12" s="6" t="s">
        <v>269</v>
      </c>
      <c r="C12" s="34" t="str">
        <f aca="false">IFERROR(INDEX(Rituals!$B$2:$B$50,MATCH($B12,Rituals!$A$2:$A$50,0)),"")</f>
        <v>Monthly Supplier Business Review</v>
      </c>
      <c r="D12" s="37" t="b">
        <f aca="false">ISNUMBER(SEARCH($A12,IFERROR(INDEX(Rituals!$I$2:$I$50,MATCH($B12,Rituals!$A$2:$A$50,0)),"")))</f>
        <v>1</v>
      </c>
      <c r="E12" s="34" t="n">
        <f aca="false">COUNTIFS(Carriers!$C$2:$C$400,$B12,Carriers!$O$2:$O$400,$A12,Carriers!$M$2:$M$400,1,Carriers!$N$2:$N$400,1)</f>
        <v>1</v>
      </c>
      <c r="F12" s="34" t="n">
        <f aca="false">COUNTIFS(Decisions!$J$2:$J$50,$B12,Decisions!$D$2:$D$50,$A12,Decisions!$I$2:$I$50,"ritual")</f>
        <v>1</v>
      </c>
      <c r="G12" s="34" t="str">
        <f aca="false">IFERROR(INDEX(Rituals!$AB$2:$AB$50,MATCH($B12,Rituals!$A$2:$A$50,0)),"")</f>
        <v>;A4;A1;A2;A9;A8;A4;</v>
      </c>
      <c r="H12" s="36" t="n">
        <f aca="false">IFERROR(ROUND(SUMPRODUCT((INDEX(Stakeholders!$H$2:$K$50,0,MATCH($A12,Stakeholders!$H$1:$K$1,0))=1)*ISNUMBER(SEARCH(";"&amp;Stakeholders!$A$2:$A$50&amp;";",$G12)))/SUMPRODUCT((INDEX(Stakeholders!$H$2:$K$50,0,MATCH($A12,Stakeholders!$H$1:$K$1,0))=1)*1),2),0)</f>
        <v>0.67</v>
      </c>
      <c r="I12" s="36" t="n">
        <f aca="false">IFERROR(INDEX(Rituals!$S$2:$S$50,MATCH($B12,Rituals!$A$2:$A$50,0)),"")</f>
        <v>0.833333333333333</v>
      </c>
      <c r="J12" s="39" t="str">
        <f aca="false">IF(AND($D12,$E12+$F12=0),"claims_no_contribution",IF(AND(NOT($D12),$E12+$F12&gt;0),"unclaimed_contributor",IF($D12,"aligned","—")))</f>
        <v>aligned</v>
      </c>
      <c r="K12" s="34" t="str">
        <f aca="false">IF(AND($A12=GoalLens!$B$3,$J12&lt;&gt;"—"),MAX($K$1:K11)+1,"")</f>
        <v/>
      </c>
      <c r="L12" s="34" t="str">
        <f aca="false">IF($J12="claims_no_contribution",MAX($L$1:L11)+1,"")</f>
        <v/>
      </c>
      <c r="M12" s="34" t="str">
        <f aca="false">IF($J12="unclaimed_contributor",MAX($M$1:M11)+1,"")</f>
        <v/>
      </c>
    </row>
    <row r="13" customFormat="false" ht="15" hidden="false" customHeight="true" outlineLevel="0" collapsed="false">
      <c r="A13" s="6" t="s">
        <v>112</v>
      </c>
      <c r="B13" s="6" t="s">
        <v>269</v>
      </c>
      <c r="C13" s="34" t="str">
        <f aca="false">IFERROR(INDEX(Rituals!$B$2:$B$50,MATCH($B13,Rituals!$A$2:$A$50,0)),"")</f>
        <v>Monthly Supplier Business Review</v>
      </c>
      <c r="D13" s="37" t="b">
        <f aca="false">ISNUMBER(SEARCH($A13,IFERROR(INDEX(Rituals!$I$2:$I$50,MATCH($B13,Rituals!$A$2:$A$50,0)),"")))</f>
        <v>0</v>
      </c>
      <c r="E13" s="34" t="n">
        <f aca="false">COUNTIFS(Carriers!$C$2:$C$400,$B13,Carriers!$O$2:$O$400,$A13,Carriers!$M$2:$M$400,1,Carriers!$N$2:$N$400,1)</f>
        <v>0</v>
      </c>
      <c r="F13" s="34" t="n">
        <f aca="false">COUNTIFS(Decisions!$J$2:$J$50,$B13,Decisions!$D$2:$D$50,$A13,Decisions!$I$2:$I$50,"ritual")</f>
        <v>0</v>
      </c>
      <c r="G13" s="34" t="str">
        <f aca="false">IFERROR(INDEX(Rituals!$AB$2:$AB$50,MATCH($B13,Rituals!$A$2:$A$50,0)),"")</f>
        <v>;A4;A1;A2;A9;A8;A4;</v>
      </c>
      <c r="H13" s="36" t="n">
        <f aca="false">IFERROR(ROUND(SUMPRODUCT((INDEX(Stakeholders!$H$2:$K$50,0,MATCH($A13,Stakeholders!$H$1:$K$1,0))=1)*ISNUMBER(SEARCH(";"&amp;Stakeholders!$A$2:$A$50&amp;";",$G13)))/SUMPRODUCT((INDEX(Stakeholders!$H$2:$K$50,0,MATCH($A13,Stakeholders!$H$1:$K$1,0))=1)*1),2),0)</f>
        <v>0.33</v>
      </c>
      <c r="I13" s="36" t="n">
        <f aca="false">IFERROR(INDEX(Rituals!$S$2:$S$50,MATCH($B13,Rituals!$A$2:$A$50,0)),"")</f>
        <v>0.833333333333333</v>
      </c>
      <c r="J13" s="39" t="str">
        <f aca="false">IF(AND($D13,$E13+$F13=0),"claims_no_contribution",IF(AND(NOT($D13),$E13+$F13&gt;0),"unclaimed_contributor",IF($D13,"aligned","—")))</f>
        <v>—</v>
      </c>
      <c r="K13" s="34" t="str">
        <f aca="false">IF(AND($A13=GoalLens!$B$3,$J13&lt;&gt;"—"),MAX($K$1:K12)+1,"")</f>
        <v/>
      </c>
      <c r="L13" s="34" t="str">
        <f aca="false">IF($J13="claims_no_contribution",MAX($L$1:L12)+1,"")</f>
        <v/>
      </c>
      <c r="M13" s="34" t="str">
        <f aca="false">IF($J13="unclaimed_contributor",MAX($M$1:M12)+1,"")</f>
        <v/>
      </c>
    </row>
    <row r="14" customFormat="false" ht="15" hidden="false" customHeight="true" outlineLevel="0" collapsed="false">
      <c r="A14" s="6" t="s">
        <v>2</v>
      </c>
      <c r="B14" s="6" t="s">
        <v>278</v>
      </c>
      <c r="C14" s="34" t="str">
        <f aca="false">IFERROR(INDEX(Rituals!$B$2:$B$50,MATCH($B14,Rituals!$A$2:$A$50,0)),"")</f>
        <v>NCR Triage</v>
      </c>
      <c r="D14" s="37" t="b">
        <f aca="false">ISNUMBER(SEARCH($A14,IFERROR(INDEX(Rituals!$I$2:$I$50,MATCH($B14,Rituals!$A$2:$A$50,0)),"")))</f>
        <v>0</v>
      </c>
      <c r="E14" s="34" t="n">
        <f aca="false">COUNTIFS(Carriers!$C$2:$C$400,$B14,Carriers!$O$2:$O$400,$A14,Carriers!$M$2:$M$400,1,Carriers!$N$2:$N$400,1)</f>
        <v>0</v>
      </c>
      <c r="F14" s="34" t="n">
        <f aca="false">COUNTIFS(Decisions!$J$2:$J$50,$B14,Decisions!$D$2:$D$50,$A14,Decisions!$I$2:$I$50,"ritual")</f>
        <v>0</v>
      </c>
      <c r="G14" s="34" t="str">
        <f aca="false">IFERROR(INDEX(Rituals!$AB$2:$AB$50,MATCH($B14,Rituals!$A$2:$A$50,0)),"")</f>
        <v>;A3;A5;A6;A3;</v>
      </c>
      <c r="H14" s="36" t="n">
        <f aca="false">IFERROR(ROUND(SUMPRODUCT((INDEX(Stakeholders!$H$2:$K$50,0,MATCH($A14,Stakeholders!$H$1:$K$1,0))=1)*ISNUMBER(SEARCH(";"&amp;Stakeholders!$A$2:$A$50&amp;";",$G14)))/SUMPRODUCT((INDEX(Stakeholders!$H$2:$K$50,0,MATCH($A14,Stakeholders!$H$1:$K$1,0))=1)*1),2),0)</f>
        <v>0.38</v>
      </c>
      <c r="I14" s="36" t="n">
        <f aca="false">IFERROR(INDEX(Rituals!$S$2:$S$50,MATCH($B14,Rituals!$A$2:$A$50,0)),"")</f>
        <v>1</v>
      </c>
      <c r="J14" s="39" t="str">
        <f aca="false">IF(AND($D14,$E14+$F14=0),"claims_no_contribution",IF(AND(NOT($D14),$E14+$F14&gt;0),"unclaimed_contributor",IF($D14,"aligned","—")))</f>
        <v>—</v>
      </c>
      <c r="K14" s="34" t="str">
        <f aca="false">IF(AND($A14=GoalLens!$B$3,$J14&lt;&gt;"—"),MAX($K$1:K13)+1,"")</f>
        <v/>
      </c>
      <c r="L14" s="34" t="str">
        <f aca="false">IF($J14="claims_no_contribution",MAX($L$1:L13)+1,"")</f>
        <v/>
      </c>
      <c r="M14" s="34" t="str">
        <f aca="false">IF($J14="unclaimed_contributor",MAX($M$1:M13)+1,"")</f>
        <v/>
      </c>
    </row>
    <row r="15" customFormat="false" ht="15" hidden="false" customHeight="true" outlineLevel="0" collapsed="false">
      <c r="A15" s="6" t="s">
        <v>104</v>
      </c>
      <c r="B15" s="6" t="s">
        <v>278</v>
      </c>
      <c r="C15" s="34" t="str">
        <f aca="false">IFERROR(INDEX(Rituals!$B$2:$B$50,MATCH($B15,Rituals!$A$2:$A$50,0)),"")</f>
        <v>NCR Triage</v>
      </c>
      <c r="D15" s="37" t="b">
        <f aca="false">ISNUMBER(SEARCH($A15,IFERROR(INDEX(Rituals!$I$2:$I$50,MATCH($B15,Rituals!$A$2:$A$50,0)),"")))</f>
        <v>1</v>
      </c>
      <c r="E15" s="34" t="n">
        <f aca="false">COUNTIFS(Carriers!$C$2:$C$400,$B15,Carriers!$O$2:$O$400,$A15,Carriers!$M$2:$M$400,1,Carriers!$N$2:$N$400,1)</f>
        <v>1</v>
      </c>
      <c r="F15" s="34" t="n">
        <f aca="false">COUNTIFS(Decisions!$J$2:$J$50,$B15,Decisions!$D$2:$D$50,$A15,Decisions!$I$2:$I$50,"ritual")</f>
        <v>0</v>
      </c>
      <c r="G15" s="34" t="str">
        <f aca="false">IFERROR(INDEX(Rituals!$AB$2:$AB$50,MATCH($B15,Rituals!$A$2:$A$50,0)),"")</f>
        <v>;A3;A5;A6;A3;</v>
      </c>
      <c r="H15" s="36" t="n">
        <f aca="false">IFERROR(ROUND(SUMPRODUCT((INDEX(Stakeholders!$H$2:$K$50,0,MATCH($A15,Stakeholders!$H$1:$K$1,0))=1)*ISNUMBER(SEARCH(";"&amp;Stakeholders!$A$2:$A$50&amp;";",$G15)))/SUMPRODUCT((INDEX(Stakeholders!$H$2:$K$50,0,MATCH($A15,Stakeholders!$H$1:$K$1,0))=1)*1),2),0)</f>
        <v>0.5</v>
      </c>
      <c r="I15" s="36" t="n">
        <f aca="false">IFERROR(INDEX(Rituals!$S$2:$S$50,MATCH($B15,Rituals!$A$2:$A$50,0)),"")</f>
        <v>1</v>
      </c>
      <c r="J15" s="39" t="str">
        <f aca="false">IF(AND($D15,$E15+$F15=0),"claims_no_contribution",IF(AND(NOT($D15),$E15+$F15&gt;0),"unclaimed_contributor",IF($D15,"aligned","—")))</f>
        <v>aligned</v>
      </c>
      <c r="K15" s="34" t="str">
        <f aca="false">IF(AND($A15=GoalLens!$B$3,$J15&lt;&gt;"—"),MAX($K$1:K14)+1,"")</f>
        <v/>
      </c>
      <c r="L15" s="34" t="str">
        <f aca="false">IF($J15="claims_no_contribution",MAX($L$1:L14)+1,"")</f>
        <v/>
      </c>
      <c r="M15" s="34" t="str">
        <f aca="false">IF($J15="unclaimed_contributor",MAX($M$1:M14)+1,"")</f>
        <v/>
      </c>
    </row>
    <row r="16" customFormat="false" ht="15" hidden="false" customHeight="true" outlineLevel="0" collapsed="false">
      <c r="A16" s="6" t="s">
        <v>108</v>
      </c>
      <c r="B16" s="6" t="s">
        <v>278</v>
      </c>
      <c r="C16" s="34" t="str">
        <f aca="false">IFERROR(INDEX(Rituals!$B$2:$B$50,MATCH($B16,Rituals!$A$2:$A$50,0)),"")</f>
        <v>NCR Triage</v>
      </c>
      <c r="D16" s="37" t="b">
        <f aca="false">ISNUMBER(SEARCH($A16,IFERROR(INDEX(Rituals!$I$2:$I$50,MATCH($B16,Rituals!$A$2:$A$50,0)),"")))</f>
        <v>0</v>
      </c>
      <c r="E16" s="34" t="n">
        <f aca="false">COUNTIFS(Carriers!$C$2:$C$400,$B16,Carriers!$O$2:$O$400,$A16,Carriers!$M$2:$M$400,1,Carriers!$N$2:$N$400,1)</f>
        <v>0</v>
      </c>
      <c r="F16" s="34" t="n">
        <f aca="false">COUNTIFS(Decisions!$J$2:$J$50,$B16,Decisions!$D$2:$D$50,$A16,Decisions!$I$2:$I$50,"ritual")</f>
        <v>0</v>
      </c>
      <c r="G16" s="34" t="str">
        <f aca="false">IFERROR(INDEX(Rituals!$AB$2:$AB$50,MATCH($B16,Rituals!$A$2:$A$50,0)),"")</f>
        <v>;A3;A5;A6;A3;</v>
      </c>
      <c r="H16" s="36" t="n">
        <f aca="false">IFERROR(ROUND(SUMPRODUCT((INDEX(Stakeholders!$H$2:$K$50,0,MATCH($A16,Stakeholders!$H$1:$K$1,0))=1)*ISNUMBER(SEARCH(";"&amp;Stakeholders!$A$2:$A$50&amp;";",$G16)))/SUMPRODUCT((INDEX(Stakeholders!$H$2:$K$50,0,MATCH($A16,Stakeholders!$H$1:$K$1,0))=1)*1),2),0)</f>
        <v>0.33</v>
      </c>
      <c r="I16" s="36" t="n">
        <f aca="false">IFERROR(INDEX(Rituals!$S$2:$S$50,MATCH($B16,Rituals!$A$2:$A$50,0)),"")</f>
        <v>1</v>
      </c>
      <c r="J16" s="39" t="str">
        <f aca="false">IF(AND($D16,$E16+$F16=0),"claims_no_contribution",IF(AND(NOT($D16),$E16+$F16&gt;0),"unclaimed_contributor",IF($D16,"aligned","—")))</f>
        <v>—</v>
      </c>
      <c r="K16" s="34" t="str">
        <f aca="false">IF(AND($A16=GoalLens!$B$3,$J16&lt;&gt;"—"),MAX($K$1:K15)+1,"")</f>
        <v/>
      </c>
      <c r="L16" s="34" t="str">
        <f aca="false">IF($J16="claims_no_contribution",MAX($L$1:L15)+1,"")</f>
        <v/>
      </c>
      <c r="M16" s="34" t="str">
        <f aca="false">IF($J16="unclaimed_contributor",MAX($M$1:M15)+1,"")</f>
        <v/>
      </c>
    </row>
    <row r="17" customFormat="false" ht="15" hidden="false" customHeight="true" outlineLevel="0" collapsed="false">
      <c r="A17" s="6" t="s">
        <v>112</v>
      </c>
      <c r="B17" s="6" t="s">
        <v>278</v>
      </c>
      <c r="C17" s="34" t="str">
        <f aca="false">IFERROR(INDEX(Rituals!$B$2:$B$50,MATCH($B17,Rituals!$A$2:$A$50,0)),"")</f>
        <v>NCR Triage</v>
      </c>
      <c r="D17" s="37" t="b">
        <f aca="false">ISNUMBER(SEARCH($A17,IFERROR(INDEX(Rituals!$I$2:$I$50,MATCH($B17,Rituals!$A$2:$A$50,0)),"")))</f>
        <v>0</v>
      </c>
      <c r="E17" s="34" t="n">
        <f aca="false">COUNTIFS(Carriers!$C$2:$C$400,$B17,Carriers!$O$2:$O$400,$A17,Carriers!$M$2:$M$400,1,Carriers!$N$2:$N$400,1)</f>
        <v>0</v>
      </c>
      <c r="F17" s="34" t="n">
        <f aca="false">COUNTIFS(Decisions!$J$2:$J$50,$B17,Decisions!$D$2:$D$50,$A17,Decisions!$I$2:$I$50,"ritual")</f>
        <v>0</v>
      </c>
      <c r="G17" s="34" t="str">
        <f aca="false">IFERROR(INDEX(Rituals!$AB$2:$AB$50,MATCH($B17,Rituals!$A$2:$A$50,0)),"")</f>
        <v>;A3;A5;A6;A3;</v>
      </c>
      <c r="H17" s="36" t="n">
        <f aca="false">IFERROR(ROUND(SUMPRODUCT((INDEX(Stakeholders!$H$2:$K$50,0,MATCH($A17,Stakeholders!$H$1:$K$1,0))=1)*ISNUMBER(SEARCH(";"&amp;Stakeholders!$A$2:$A$50&amp;";",$G17)))/SUMPRODUCT((INDEX(Stakeholders!$H$2:$K$50,0,MATCH($A17,Stakeholders!$H$1:$K$1,0))=1)*1),2),0)</f>
        <v>0.33</v>
      </c>
      <c r="I17" s="36" t="n">
        <f aca="false">IFERROR(INDEX(Rituals!$S$2:$S$50,MATCH($B17,Rituals!$A$2:$A$50,0)),"")</f>
        <v>1</v>
      </c>
      <c r="J17" s="39" t="str">
        <f aca="false">IF(AND($D17,$E17+$F17=0),"claims_no_contribution",IF(AND(NOT($D17),$E17+$F17&gt;0),"unclaimed_contributor",IF($D17,"aligned","—")))</f>
        <v>—</v>
      </c>
      <c r="K17" s="34" t="str">
        <f aca="false">IF(AND($A17=GoalLens!$B$3,$J17&lt;&gt;"—"),MAX($K$1:K16)+1,"")</f>
        <v/>
      </c>
      <c r="L17" s="34" t="str">
        <f aca="false">IF($J17="claims_no_contribution",MAX($L$1:L16)+1,"")</f>
        <v/>
      </c>
      <c r="M17" s="34" t="str">
        <f aca="false">IF($J17="unclaimed_contributor",MAX($M$1:M16)+1,"")</f>
        <v/>
      </c>
    </row>
    <row r="18" customFormat="false" ht="15" hidden="false" customHeight="true" outlineLevel="0" collapsed="false">
      <c r="A18" s="6" t="s">
        <v>2</v>
      </c>
      <c r="B18" s="6" t="s">
        <v>285</v>
      </c>
      <c r="C18" s="34" t="str">
        <f aca="false">IFERROR(INDEX(Rituals!$B$2:$B$50,MATCH($B18,Rituals!$A$2:$A$50,0)),"")</f>
        <v>Legacy Metrics Review</v>
      </c>
      <c r="D18" s="37" t="b">
        <f aca="false">ISNUMBER(SEARCH($A18,IFERROR(INDEX(Rituals!$I$2:$I$50,MATCH($B18,Rituals!$A$2:$A$50,0)),"")))</f>
        <v>0</v>
      </c>
      <c r="E18" s="34" t="n">
        <f aca="false">COUNTIFS(Carriers!$C$2:$C$400,$B18,Carriers!$O$2:$O$400,$A18,Carriers!$M$2:$M$400,1,Carriers!$N$2:$N$400,1)</f>
        <v>0</v>
      </c>
      <c r="F18" s="34" t="n">
        <f aca="false">COUNTIFS(Decisions!$J$2:$J$50,$B18,Decisions!$D$2:$D$50,$A18,Decisions!$I$2:$I$50,"ritual")</f>
        <v>0</v>
      </c>
      <c r="G18" s="34" t="str">
        <f aca="false">IFERROR(INDEX(Rituals!$AB$2:$AB$50,MATCH($B18,Rituals!$A$2:$A$50,0)),"")</f>
        <v>;A10;A3;A5;A6;A10;</v>
      </c>
      <c r="H18" s="36" t="n">
        <f aca="false">IFERROR(ROUND(SUMPRODUCT((INDEX(Stakeholders!$H$2:$K$50,0,MATCH($A18,Stakeholders!$H$1:$K$1,0))=1)*ISNUMBER(SEARCH(";"&amp;Stakeholders!$A$2:$A$50&amp;";",$G18)))/SUMPRODUCT((INDEX(Stakeholders!$H$2:$K$50,0,MATCH($A18,Stakeholders!$H$1:$K$1,0))=1)*1),2),0)</f>
        <v>0.38</v>
      </c>
      <c r="I18" s="36" t="n">
        <f aca="false">IFERROR(INDEX(Rituals!$S$2:$S$50,MATCH($B18,Rituals!$A$2:$A$50,0)),"")</f>
        <v>0.333333333333333</v>
      </c>
      <c r="J18" s="39" t="str">
        <f aca="false">IF(AND($D18,$E18+$F18=0),"claims_no_contribution",IF(AND(NOT($D18),$E18+$F18&gt;0),"unclaimed_contributor",IF($D18,"aligned","—")))</f>
        <v>—</v>
      </c>
      <c r="K18" s="34" t="str">
        <f aca="false">IF(AND($A18=GoalLens!$B$3,$J18&lt;&gt;"—"),MAX($K$1:K17)+1,"")</f>
        <v/>
      </c>
      <c r="L18" s="34" t="str">
        <f aca="false">IF($J18="claims_no_contribution",MAX($L$1:L17)+1,"")</f>
        <v/>
      </c>
      <c r="M18" s="34" t="str">
        <f aca="false">IF($J18="unclaimed_contributor",MAX($M$1:M17)+1,"")</f>
        <v/>
      </c>
    </row>
    <row r="19" customFormat="false" ht="15" hidden="false" customHeight="true" outlineLevel="0" collapsed="false">
      <c r="A19" s="6" t="s">
        <v>104</v>
      </c>
      <c r="B19" s="6" t="s">
        <v>285</v>
      </c>
      <c r="C19" s="34" t="str">
        <f aca="false">IFERROR(INDEX(Rituals!$B$2:$B$50,MATCH($B19,Rituals!$A$2:$A$50,0)),"")</f>
        <v>Legacy Metrics Review</v>
      </c>
      <c r="D19" s="37" t="b">
        <f aca="false">ISNUMBER(SEARCH($A19,IFERROR(INDEX(Rituals!$I$2:$I$50,MATCH($B19,Rituals!$A$2:$A$50,0)),"")))</f>
        <v>0</v>
      </c>
      <c r="E19" s="34" t="n">
        <f aca="false">COUNTIFS(Carriers!$C$2:$C$400,$B19,Carriers!$O$2:$O$400,$A19,Carriers!$M$2:$M$400,1,Carriers!$N$2:$N$400,1)</f>
        <v>0</v>
      </c>
      <c r="F19" s="34" t="n">
        <f aca="false">COUNTIFS(Decisions!$J$2:$J$50,$B19,Decisions!$D$2:$D$50,$A19,Decisions!$I$2:$I$50,"ritual")</f>
        <v>0</v>
      </c>
      <c r="G19" s="34" t="str">
        <f aca="false">IFERROR(INDEX(Rituals!$AB$2:$AB$50,MATCH($B19,Rituals!$A$2:$A$50,0)),"")</f>
        <v>;A10;A3;A5;A6;A10;</v>
      </c>
      <c r="H19" s="36" t="n">
        <f aca="false">IFERROR(ROUND(SUMPRODUCT((INDEX(Stakeholders!$H$2:$K$50,0,MATCH($A19,Stakeholders!$H$1:$K$1,0))=1)*ISNUMBER(SEARCH(";"&amp;Stakeholders!$A$2:$A$50&amp;";",$G19)))/SUMPRODUCT((INDEX(Stakeholders!$H$2:$K$50,0,MATCH($A19,Stakeholders!$H$1:$K$1,0))=1)*1),2),0)</f>
        <v>0.5</v>
      </c>
      <c r="I19" s="36" t="n">
        <f aca="false">IFERROR(INDEX(Rituals!$S$2:$S$50,MATCH($B19,Rituals!$A$2:$A$50,0)),"")</f>
        <v>0.333333333333333</v>
      </c>
      <c r="J19" s="39" t="str">
        <f aca="false">IF(AND($D19,$E19+$F19=0),"claims_no_contribution",IF(AND(NOT($D19),$E19+$F19&gt;0),"unclaimed_contributor",IF($D19,"aligned","—")))</f>
        <v>—</v>
      </c>
      <c r="K19" s="34" t="str">
        <f aca="false">IF(AND($A19=GoalLens!$B$3,$J19&lt;&gt;"—"),MAX($K$1:K18)+1,"")</f>
        <v/>
      </c>
      <c r="L19" s="34" t="str">
        <f aca="false">IF($J19="claims_no_contribution",MAX($L$1:L18)+1,"")</f>
        <v/>
      </c>
      <c r="M19" s="34" t="str">
        <f aca="false">IF($J19="unclaimed_contributor",MAX($M$1:M18)+1,"")</f>
        <v/>
      </c>
    </row>
    <row r="20" customFormat="false" ht="15" hidden="false" customHeight="true" outlineLevel="0" collapsed="false">
      <c r="A20" s="6" t="s">
        <v>108</v>
      </c>
      <c r="B20" s="6" t="s">
        <v>285</v>
      </c>
      <c r="C20" s="34" t="str">
        <f aca="false">IFERROR(INDEX(Rituals!$B$2:$B$50,MATCH($B20,Rituals!$A$2:$A$50,0)),"")</f>
        <v>Legacy Metrics Review</v>
      </c>
      <c r="D20" s="37" t="b">
        <f aca="false">ISNUMBER(SEARCH($A20,IFERROR(INDEX(Rituals!$I$2:$I$50,MATCH($B20,Rituals!$A$2:$A$50,0)),"")))</f>
        <v>0</v>
      </c>
      <c r="E20" s="34" t="n">
        <f aca="false">COUNTIFS(Carriers!$C$2:$C$400,$B20,Carriers!$O$2:$O$400,$A20,Carriers!$M$2:$M$400,1,Carriers!$N$2:$N$400,1)</f>
        <v>0</v>
      </c>
      <c r="F20" s="34" t="n">
        <f aca="false">COUNTIFS(Decisions!$J$2:$J$50,$B20,Decisions!$D$2:$D$50,$A20,Decisions!$I$2:$I$50,"ritual")</f>
        <v>0</v>
      </c>
      <c r="G20" s="34" t="str">
        <f aca="false">IFERROR(INDEX(Rituals!$AB$2:$AB$50,MATCH($B20,Rituals!$A$2:$A$50,0)),"")</f>
        <v>;A10;A3;A5;A6;A10;</v>
      </c>
      <c r="H20" s="36" t="n">
        <f aca="false">IFERROR(ROUND(SUMPRODUCT((INDEX(Stakeholders!$H$2:$K$50,0,MATCH($A20,Stakeholders!$H$1:$K$1,0))=1)*ISNUMBER(SEARCH(";"&amp;Stakeholders!$A$2:$A$50&amp;";",$G20)))/SUMPRODUCT((INDEX(Stakeholders!$H$2:$K$50,0,MATCH($A20,Stakeholders!$H$1:$K$1,0))=1)*1),2),0)</f>
        <v>0.33</v>
      </c>
      <c r="I20" s="36" t="n">
        <f aca="false">IFERROR(INDEX(Rituals!$S$2:$S$50,MATCH($B20,Rituals!$A$2:$A$50,0)),"")</f>
        <v>0.333333333333333</v>
      </c>
      <c r="J20" s="39" t="str">
        <f aca="false">IF(AND($D20,$E20+$F20=0),"claims_no_contribution",IF(AND(NOT($D20),$E20+$F20&gt;0),"unclaimed_contributor",IF($D20,"aligned","—")))</f>
        <v>—</v>
      </c>
      <c r="K20" s="34" t="str">
        <f aca="false">IF(AND($A20=GoalLens!$B$3,$J20&lt;&gt;"—"),MAX($K$1:K19)+1,"")</f>
        <v/>
      </c>
      <c r="L20" s="34" t="str">
        <f aca="false">IF($J20="claims_no_contribution",MAX($L$1:L19)+1,"")</f>
        <v/>
      </c>
      <c r="M20" s="34" t="str">
        <f aca="false">IF($J20="unclaimed_contributor",MAX($M$1:M19)+1,"")</f>
        <v/>
      </c>
    </row>
    <row r="21" customFormat="false" ht="15" hidden="false" customHeight="true" outlineLevel="0" collapsed="false">
      <c r="A21" s="6" t="s">
        <v>112</v>
      </c>
      <c r="B21" s="6" t="s">
        <v>285</v>
      </c>
      <c r="C21" s="34" t="str">
        <f aca="false">IFERROR(INDEX(Rituals!$B$2:$B$50,MATCH($B21,Rituals!$A$2:$A$50,0)),"")</f>
        <v>Legacy Metrics Review</v>
      </c>
      <c r="D21" s="37" t="b">
        <f aca="false">ISNUMBER(SEARCH($A21,IFERROR(INDEX(Rituals!$I$2:$I$50,MATCH($B21,Rituals!$A$2:$A$50,0)),"")))</f>
        <v>0</v>
      </c>
      <c r="E21" s="34" t="n">
        <f aca="false">COUNTIFS(Carriers!$C$2:$C$400,$B21,Carriers!$O$2:$O$400,$A21,Carriers!$M$2:$M$400,1,Carriers!$N$2:$N$400,1)</f>
        <v>0</v>
      </c>
      <c r="F21" s="34" t="n">
        <f aca="false">COUNTIFS(Decisions!$J$2:$J$50,$B21,Decisions!$D$2:$D$50,$A21,Decisions!$I$2:$I$50,"ritual")</f>
        <v>0</v>
      </c>
      <c r="G21" s="34" t="str">
        <f aca="false">IFERROR(INDEX(Rituals!$AB$2:$AB$50,MATCH($B21,Rituals!$A$2:$A$50,0)),"")</f>
        <v>;A10;A3;A5;A6;A10;</v>
      </c>
      <c r="H21" s="36" t="n">
        <f aca="false">IFERROR(ROUND(SUMPRODUCT((INDEX(Stakeholders!$H$2:$K$50,0,MATCH($A21,Stakeholders!$H$1:$K$1,0))=1)*ISNUMBER(SEARCH(";"&amp;Stakeholders!$A$2:$A$50&amp;";",$G21)))/SUMPRODUCT((INDEX(Stakeholders!$H$2:$K$50,0,MATCH($A21,Stakeholders!$H$1:$K$1,0))=1)*1),2),0)</f>
        <v>0.67</v>
      </c>
      <c r="I21" s="36" t="n">
        <f aca="false">IFERROR(INDEX(Rituals!$S$2:$S$50,MATCH($B21,Rituals!$A$2:$A$50,0)),"")</f>
        <v>0.333333333333333</v>
      </c>
      <c r="J21" s="39" t="str">
        <f aca="false">IF(AND($D21,$E21+$F21=0),"claims_no_contribution",IF(AND(NOT($D21),$E21+$F21&gt;0),"unclaimed_contributor",IF($D21,"aligned","—")))</f>
        <v>—</v>
      </c>
      <c r="K21" s="34" t="str">
        <f aca="false">IF(AND($A21=GoalLens!$B$3,$J21&lt;&gt;"—"),MAX($K$1:K20)+1,"")</f>
        <v/>
      </c>
      <c r="L21" s="34" t="str">
        <f aca="false">IF($J21="claims_no_contribution",MAX($L$1:L20)+1,"")</f>
        <v/>
      </c>
      <c r="M21" s="34" t="str">
        <f aca="false">IF($J21="unclaimed_contributor",MAX($M$1:M20)+1,"")</f>
        <v/>
      </c>
    </row>
    <row r="22" customFormat="false" ht="15" hidden="false" customHeight="true" outlineLevel="0" collapsed="false">
      <c r="A22" s="6" t="s">
        <v>2</v>
      </c>
      <c r="B22" s="6" t="s">
        <v>292</v>
      </c>
      <c r="C22" s="34" t="str">
        <f aca="false">IFERROR(INDEX(Rituals!$B$2:$B$50,MATCH($B22,Rituals!$A$2:$A$50,0)),"")</f>
        <v>Audit Readiness Checkpoint</v>
      </c>
      <c r="D22" s="37" t="b">
        <f aca="false">ISNUMBER(SEARCH($A22,IFERROR(INDEX(Rituals!$I$2:$I$50,MATCH($B22,Rituals!$A$2:$A$50,0)),"")))</f>
        <v>0</v>
      </c>
      <c r="E22" s="34" t="n">
        <f aca="false">COUNTIFS(Carriers!$C$2:$C$400,$B22,Carriers!$O$2:$O$400,$A22,Carriers!$M$2:$M$400,1,Carriers!$N$2:$N$400,1)</f>
        <v>0</v>
      </c>
      <c r="F22" s="34" t="n">
        <f aca="false">COUNTIFS(Decisions!$J$2:$J$50,$B22,Decisions!$D$2:$D$50,$A22,Decisions!$I$2:$I$50,"ritual")</f>
        <v>0</v>
      </c>
      <c r="G22" s="34" t="str">
        <f aca="false">IFERROR(INDEX(Rituals!$AB$2:$AB$50,MATCH($B22,Rituals!$A$2:$A$50,0)),"")</f>
        <v>;A10;A1;A2;A10;</v>
      </c>
      <c r="H22" s="36" t="n">
        <f aca="false">IFERROR(ROUND(SUMPRODUCT((INDEX(Stakeholders!$H$2:$K$50,0,MATCH($A22,Stakeholders!$H$1:$K$1,0))=1)*ISNUMBER(SEARCH(";"&amp;Stakeholders!$A$2:$A$50&amp;";",$G22)))/SUMPRODUCT((INDEX(Stakeholders!$H$2:$K$50,0,MATCH($A22,Stakeholders!$H$1:$K$1,0))=1)*1),2),0)</f>
        <v>0.25</v>
      </c>
      <c r="I22" s="36" t="n">
        <f aca="false">IFERROR(INDEX(Rituals!$S$2:$S$50,MATCH($B22,Rituals!$A$2:$A$50,0)),"")</f>
        <v>0.833333333333333</v>
      </c>
      <c r="J22" s="39" t="str">
        <f aca="false">IF(AND($D22,$E22+$F22=0),"claims_no_contribution",IF(AND(NOT($D22),$E22+$F22&gt;0),"unclaimed_contributor",IF($D22,"aligned","—")))</f>
        <v>—</v>
      </c>
      <c r="K22" s="34" t="str">
        <f aca="false">IF(AND($A22=GoalLens!$B$3,$J22&lt;&gt;"—"),MAX($K$1:K21)+1,"")</f>
        <v/>
      </c>
      <c r="L22" s="34" t="str">
        <f aca="false">IF($J22="claims_no_contribution",MAX($L$1:L21)+1,"")</f>
        <v/>
      </c>
      <c r="M22" s="34" t="str">
        <f aca="false">IF($J22="unclaimed_contributor",MAX($M$1:M21)+1,"")</f>
        <v/>
      </c>
    </row>
    <row r="23" customFormat="false" ht="15" hidden="false" customHeight="true" outlineLevel="0" collapsed="false">
      <c r="A23" s="6" t="s">
        <v>104</v>
      </c>
      <c r="B23" s="6" t="s">
        <v>292</v>
      </c>
      <c r="C23" s="34" t="str">
        <f aca="false">IFERROR(INDEX(Rituals!$B$2:$B$50,MATCH($B23,Rituals!$A$2:$A$50,0)),"")</f>
        <v>Audit Readiness Checkpoint</v>
      </c>
      <c r="D23" s="37" t="b">
        <f aca="false">ISNUMBER(SEARCH($A23,IFERROR(INDEX(Rituals!$I$2:$I$50,MATCH($B23,Rituals!$A$2:$A$50,0)),"")))</f>
        <v>0</v>
      </c>
      <c r="E23" s="34" t="n">
        <f aca="false">COUNTIFS(Carriers!$C$2:$C$400,$B23,Carriers!$O$2:$O$400,$A23,Carriers!$M$2:$M$400,1,Carriers!$N$2:$N$400,1)</f>
        <v>0</v>
      </c>
      <c r="F23" s="34" t="n">
        <f aca="false">COUNTIFS(Decisions!$J$2:$J$50,$B23,Decisions!$D$2:$D$50,$A23,Decisions!$I$2:$I$50,"ritual")</f>
        <v>0</v>
      </c>
      <c r="G23" s="34" t="str">
        <f aca="false">IFERROR(INDEX(Rituals!$AB$2:$AB$50,MATCH($B23,Rituals!$A$2:$A$50,0)),"")</f>
        <v>;A10;A1;A2;A10;</v>
      </c>
      <c r="H23" s="36" t="n">
        <f aca="false">IFERROR(ROUND(SUMPRODUCT((INDEX(Stakeholders!$H$2:$K$50,0,MATCH($A23,Stakeholders!$H$1:$K$1,0))=1)*ISNUMBER(SEARCH(";"&amp;Stakeholders!$A$2:$A$50&amp;";",$G23)))/SUMPRODUCT((INDEX(Stakeholders!$H$2:$K$50,0,MATCH($A23,Stakeholders!$H$1:$K$1,0))=1)*1),2),0)</f>
        <v>0.17</v>
      </c>
      <c r="I23" s="36" t="n">
        <f aca="false">IFERROR(INDEX(Rituals!$S$2:$S$50,MATCH($B23,Rituals!$A$2:$A$50,0)),"")</f>
        <v>0.833333333333333</v>
      </c>
      <c r="J23" s="39" t="str">
        <f aca="false">IF(AND($D23,$E23+$F23=0),"claims_no_contribution",IF(AND(NOT($D23),$E23+$F23&gt;0),"unclaimed_contributor",IF($D23,"aligned","—")))</f>
        <v>—</v>
      </c>
      <c r="K23" s="34" t="str">
        <f aca="false">IF(AND($A23=GoalLens!$B$3,$J23&lt;&gt;"—"),MAX($K$1:K22)+1,"")</f>
        <v/>
      </c>
      <c r="L23" s="34" t="str">
        <f aca="false">IF($J23="claims_no_contribution",MAX($L$1:L22)+1,"")</f>
        <v/>
      </c>
      <c r="M23" s="34" t="str">
        <f aca="false">IF($J23="unclaimed_contributor",MAX($M$1:M22)+1,"")</f>
        <v/>
      </c>
    </row>
    <row r="24" customFormat="false" ht="15" hidden="false" customHeight="true" outlineLevel="0" collapsed="false">
      <c r="A24" s="6" t="s">
        <v>108</v>
      </c>
      <c r="B24" s="6" t="s">
        <v>292</v>
      </c>
      <c r="C24" s="34" t="str">
        <f aca="false">IFERROR(INDEX(Rituals!$B$2:$B$50,MATCH($B24,Rituals!$A$2:$A$50,0)),"")</f>
        <v>Audit Readiness Checkpoint</v>
      </c>
      <c r="D24" s="37" t="b">
        <f aca="false">ISNUMBER(SEARCH($A24,IFERROR(INDEX(Rituals!$I$2:$I$50,MATCH($B24,Rituals!$A$2:$A$50,0)),"")))</f>
        <v>0</v>
      </c>
      <c r="E24" s="34" t="n">
        <f aca="false">COUNTIFS(Carriers!$C$2:$C$400,$B24,Carriers!$O$2:$O$400,$A24,Carriers!$M$2:$M$400,1,Carriers!$N$2:$N$400,1)</f>
        <v>0</v>
      </c>
      <c r="F24" s="34" t="n">
        <f aca="false">COUNTIFS(Decisions!$J$2:$J$50,$B24,Decisions!$D$2:$D$50,$A24,Decisions!$I$2:$I$50,"ritual")</f>
        <v>0</v>
      </c>
      <c r="G24" s="34" t="str">
        <f aca="false">IFERROR(INDEX(Rituals!$AB$2:$AB$50,MATCH($B24,Rituals!$A$2:$A$50,0)),"")</f>
        <v>;A10;A1;A2;A10;</v>
      </c>
      <c r="H24" s="36" t="n">
        <f aca="false">IFERROR(ROUND(SUMPRODUCT((INDEX(Stakeholders!$H$2:$K$50,0,MATCH($A24,Stakeholders!$H$1:$K$1,0))=1)*ISNUMBER(SEARCH(";"&amp;Stakeholders!$A$2:$A$50&amp;";",$G24)))/SUMPRODUCT((INDEX(Stakeholders!$H$2:$K$50,0,MATCH($A24,Stakeholders!$H$1:$K$1,0))=1)*1),2),0)</f>
        <v>0</v>
      </c>
      <c r="I24" s="36" t="n">
        <f aca="false">IFERROR(INDEX(Rituals!$S$2:$S$50,MATCH($B24,Rituals!$A$2:$A$50,0)),"")</f>
        <v>0.833333333333333</v>
      </c>
      <c r="J24" s="39" t="str">
        <f aca="false">IF(AND($D24,$E24+$F24=0),"claims_no_contribution",IF(AND(NOT($D24),$E24+$F24&gt;0),"unclaimed_contributor",IF($D24,"aligned","—")))</f>
        <v>—</v>
      </c>
      <c r="K24" s="34" t="str">
        <f aca="false">IF(AND($A24=GoalLens!$B$3,$J24&lt;&gt;"—"),MAX($K$1:K23)+1,"")</f>
        <v/>
      </c>
      <c r="L24" s="34" t="str">
        <f aca="false">IF($J24="claims_no_contribution",MAX($L$1:L23)+1,"")</f>
        <v/>
      </c>
      <c r="M24" s="34" t="str">
        <f aca="false">IF($J24="unclaimed_contributor",MAX($M$1:M23)+1,"")</f>
        <v/>
      </c>
    </row>
    <row r="25" customFormat="false" ht="15" hidden="false" customHeight="true" outlineLevel="0" collapsed="false">
      <c r="A25" s="6" t="s">
        <v>112</v>
      </c>
      <c r="B25" s="6" t="s">
        <v>292</v>
      </c>
      <c r="C25" s="34" t="str">
        <f aca="false">IFERROR(INDEX(Rituals!$B$2:$B$50,MATCH($B25,Rituals!$A$2:$A$50,0)),"")</f>
        <v>Audit Readiness Checkpoint</v>
      </c>
      <c r="D25" s="37" t="b">
        <f aca="false">ISNUMBER(SEARCH($A25,IFERROR(INDEX(Rituals!$I$2:$I$50,MATCH($B25,Rituals!$A$2:$A$50,0)),"")))</f>
        <v>1</v>
      </c>
      <c r="E25" s="34" t="n">
        <f aca="false">COUNTIFS(Carriers!$C$2:$C$400,$B25,Carriers!$O$2:$O$400,$A25,Carriers!$M$2:$M$400,1,Carriers!$N$2:$N$400,1)</f>
        <v>1</v>
      </c>
      <c r="F25" s="34" t="n">
        <f aca="false">COUNTIFS(Decisions!$J$2:$J$50,$B25,Decisions!$D$2:$D$50,$A25,Decisions!$I$2:$I$50,"ritual")</f>
        <v>0</v>
      </c>
      <c r="G25" s="34" t="str">
        <f aca="false">IFERROR(INDEX(Rituals!$AB$2:$AB$50,MATCH($B25,Rituals!$A$2:$A$50,0)),"")</f>
        <v>;A10;A1;A2;A10;</v>
      </c>
      <c r="H25" s="36" t="n">
        <f aca="false">IFERROR(ROUND(SUMPRODUCT((INDEX(Stakeholders!$H$2:$K$50,0,MATCH($A25,Stakeholders!$H$1:$K$1,0))=1)*ISNUMBER(SEARCH(";"&amp;Stakeholders!$A$2:$A$50&amp;";",$G25)))/SUMPRODUCT((INDEX(Stakeholders!$H$2:$K$50,0,MATCH($A25,Stakeholders!$H$1:$K$1,0))=1)*1),2),0)</f>
        <v>0.67</v>
      </c>
      <c r="I25" s="36" t="n">
        <f aca="false">IFERROR(INDEX(Rituals!$S$2:$S$50,MATCH($B25,Rituals!$A$2:$A$50,0)),"")</f>
        <v>0.833333333333333</v>
      </c>
      <c r="J25" s="39" t="str">
        <f aca="false">IF(AND($D25,$E25+$F25=0),"claims_no_contribution",IF(AND(NOT($D25),$E25+$F25&gt;0),"unclaimed_contributor",IF($D25,"aligned","—")))</f>
        <v>aligned</v>
      </c>
      <c r="K25" s="34" t="str">
        <f aca="false">IF(AND($A25=GoalLens!$B$3,$J25&lt;&gt;"—"),MAX($K$1:K24)+1,"")</f>
        <v/>
      </c>
      <c r="L25" s="34" t="str">
        <f aca="false">IF($J25="claims_no_contribution",MAX($L$1:L24)+1,"")</f>
        <v/>
      </c>
      <c r="M25" s="34" t="str">
        <f aca="false">IF($J25="unclaimed_contributor",MAX($M$1:M24)+1,"")</f>
        <v/>
      </c>
    </row>
    <row r="26" customFormat="false" ht="15" hidden="false" customHeight="true" outlineLevel="0" collapsed="false">
      <c r="A26" s="6" t="s">
        <v>2</v>
      </c>
      <c r="B26" s="6" t="s">
        <v>299</v>
      </c>
      <c r="C26" s="34" t="str">
        <f aca="false">IFERROR(INDEX(Rituals!$B$2:$B$50,MATCH($B26,Rituals!$A$2:$A$50,0)),"")</f>
        <v>Engineering Change Board</v>
      </c>
      <c r="D26" s="37" t="b">
        <f aca="false">ISNUMBER(SEARCH($A26,IFERROR(INDEX(Rituals!$I$2:$I$50,MATCH($B26,Rituals!$A$2:$A$50,0)),"")))</f>
        <v>1</v>
      </c>
      <c r="E26" s="34" t="n">
        <f aca="false">COUNTIFS(Carriers!$C$2:$C$400,$B26,Carriers!$O$2:$O$400,$A26,Carriers!$M$2:$M$400,1,Carriers!$N$2:$N$400,1)</f>
        <v>0</v>
      </c>
      <c r="F26" s="34" t="n">
        <f aca="false">COUNTIFS(Decisions!$J$2:$J$50,$B26,Decisions!$D$2:$D$50,$A26,Decisions!$I$2:$I$50,"ritual")</f>
        <v>1</v>
      </c>
      <c r="G26" s="34" t="str">
        <f aca="false">IFERROR(INDEX(Rituals!$AB$2:$AB$50,MATCH($B26,Rituals!$A$2:$A$50,0)),"")</f>
        <v>;A7;A6;A4;A7;</v>
      </c>
      <c r="H26" s="36" t="n">
        <f aca="false">IFERROR(ROUND(SUMPRODUCT((INDEX(Stakeholders!$H$2:$K$50,0,MATCH($A26,Stakeholders!$H$1:$K$1,0))=1)*ISNUMBER(SEARCH(";"&amp;Stakeholders!$A$2:$A$50&amp;";",$G26)))/SUMPRODUCT((INDEX(Stakeholders!$H$2:$K$50,0,MATCH($A26,Stakeholders!$H$1:$K$1,0))=1)*1),2),0)</f>
        <v>0.38</v>
      </c>
      <c r="I26" s="36" t="n">
        <f aca="false">IFERROR(INDEX(Rituals!$S$2:$S$50,MATCH($B26,Rituals!$A$2:$A$50,0)),"")</f>
        <v>0.833333333333333</v>
      </c>
      <c r="J26" s="39" t="str">
        <f aca="false">IF(AND($D26,$E26+$F26=0),"claims_no_contribution",IF(AND(NOT($D26),$E26+$F26&gt;0),"unclaimed_contributor",IF($D26,"aligned","—")))</f>
        <v>aligned</v>
      </c>
      <c r="K26" s="34" t="n">
        <f aca="false">IF(AND($A26=GoalLens!$B$3,$J26&lt;&gt;"—"),MAX($K$1:K25)+1,"")</f>
        <v>4</v>
      </c>
      <c r="L26" s="34" t="str">
        <f aca="false">IF($J26="claims_no_contribution",MAX($L$1:L25)+1,"")</f>
        <v/>
      </c>
      <c r="M26" s="34" t="str">
        <f aca="false">IF($J26="unclaimed_contributor",MAX($M$1:M25)+1,"")</f>
        <v/>
      </c>
    </row>
    <row r="27" customFormat="false" ht="15" hidden="false" customHeight="true" outlineLevel="0" collapsed="false">
      <c r="A27" s="6" t="s">
        <v>104</v>
      </c>
      <c r="B27" s="6" t="s">
        <v>299</v>
      </c>
      <c r="C27" s="34" t="str">
        <f aca="false">IFERROR(INDEX(Rituals!$B$2:$B$50,MATCH($B27,Rituals!$A$2:$A$50,0)),"")</f>
        <v>Engineering Change Board</v>
      </c>
      <c r="D27" s="37" t="b">
        <f aca="false">ISNUMBER(SEARCH($A27,IFERROR(INDEX(Rituals!$I$2:$I$50,MATCH($B27,Rituals!$A$2:$A$50,0)),"")))</f>
        <v>0</v>
      </c>
      <c r="E27" s="34" t="n">
        <f aca="false">COUNTIFS(Carriers!$C$2:$C$400,$B27,Carriers!$O$2:$O$400,$A27,Carriers!$M$2:$M$400,1,Carriers!$N$2:$N$400,1)</f>
        <v>0</v>
      </c>
      <c r="F27" s="34" t="n">
        <f aca="false">COUNTIFS(Decisions!$J$2:$J$50,$B27,Decisions!$D$2:$D$50,$A27,Decisions!$I$2:$I$50,"ritual")</f>
        <v>0</v>
      </c>
      <c r="G27" s="34" t="str">
        <f aca="false">IFERROR(INDEX(Rituals!$AB$2:$AB$50,MATCH($B27,Rituals!$A$2:$A$50,0)),"")</f>
        <v>;A7;A6;A4;A7;</v>
      </c>
      <c r="H27" s="36" t="n">
        <f aca="false">IFERROR(ROUND(SUMPRODUCT((INDEX(Stakeholders!$H$2:$K$50,0,MATCH($A27,Stakeholders!$H$1:$K$1,0))=1)*ISNUMBER(SEARCH(";"&amp;Stakeholders!$A$2:$A$50&amp;";",$G27)))/SUMPRODUCT((INDEX(Stakeholders!$H$2:$K$50,0,MATCH($A27,Stakeholders!$H$1:$K$1,0))=1)*1),2),0)</f>
        <v>0.33</v>
      </c>
      <c r="I27" s="36" t="n">
        <f aca="false">IFERROR(INDEX(Rituals!$S$2:$S$50,MATCH($B27,Rituals!$A$2:$A$50,0)),"")</f>
        <v>0.833333333333333</v>
      </c>
      <c r="J27" s="39" t="str">
        <f aca="false">IF(AND($D27,$E27+$F27=0),"claims_no_contribution",IF(AND(NOT($D27),$E27+$F27&gt;0),"unclaimed_contributor",IF($D27,"aligned","—")))</f>
        <v>—</v>
      </c>
      <c r="K27" s="34" t="str">
        <f aca="false">IF(AND($A27=GoalLens!$B$3,$J27&lt;&gt;"—"),MAX($K$1:K26)+1,"")</f>
        <v/>
      </c>
      <c r="L27" s="34" t="str">
        <f aca="false">IF($J27="claims_no_contribution",MAX($L$1:L26)+1,"")</f>
        <v/>
      </c>
      <c r="M27" s="34" t="str">
        <f aca="false">IF($J27="unclaimed_contributor",MAX($M$1:M26)+1,"")</f>
        <v/>
      </c>
    </row>
    <row r="28" customFormat="false" ht="15" hidden="false" customHeight="true" outlineLevel="0" collapsed="false">
      <c r="A28" s="6" t="s">
        <v>108</v>
      </c>
      <c r="B28" s="6" t="s">
        <v>299</v>
      </c>
      <c r="C28" s="34" t="str">
        <f aca="false">IFERROR(INDEX(Rituals!$B$2:$B$50,MATCH($B28,Rituals!$A$2:$A$50,0)),"")</f>
        <v>Engineering Change Board</v>
      </c>
      <c r="D28" s="37" t="b">
        <f aca="false">ISNUMBER(SEARCH($A28,IFERROR(INDEX(Rituals!$I$2:$I$50,MATCH($B28,Rituals!$A$2:$A$50,0)),"")))</f>
        <v>0</v>
      </c>
      <c r="E28" s="34" t="n">
        <f aca="false">COUNTIFS(Carriers!$C$2:$C$400,$B28,Carriers!$O$2:$O$400,$A28,Carriers!$M$2:$M$400,1,Carriers!$N$2:$N$400,1)</f>
        <v>0</v>
      </c>
      <c r="F28" s="34" t="n">
        <f aca="false">COUNTIFS(Decisions!$J$2:$J$50,$B28,Decisions!$D$2:$D$50,$A28,Decisions!$I$2:$I$50,"ritual")</f>
        <v>0</v>
      </c>
      <c r="G28" s="34" t="str">
        <f aca="false">IFERROR(INDEX(Rituals!$AB$2:$AB$50,MATCH($B28,Rituals!$A$2:$A$50,0)),"")</f>
        <v>;A7;A6;A4;A7;</v>
      </c>
      <c r="H28" s="36" t="n">
        <f aca="false">IFERROR(ROUND(SUMPRODUCT((INDEX(Stakeholders!$H$2:$K$50,0,MATCH($A28,Stakeholders!$H$1:$K$1,0))=1)*ISNUMBER(SEARCH(";"&amp;Stakeholders!$A$2:$A$50&amp;";",$G28)))/SUMPRODUCT((INDEX(Stakeholders!$H$2:$K$50,0,MATCH($A28,Stakeholders!$H$1:$K$1,0))=1)*1),2),0)</f>
        <v>0.33</v>
      </c>
      <c r="I28" s="36" t="n">
        <f aca="false">IFERROR(INDEX(Rituals!$S$2:$S$50,MATCH($B28,Rituals!$A$2:$A$50,0)),"")</f>
        <v>0.833333333333333</v>
      </c>
      <c r="J28" s="39" t="str">
        <f aca="false">IF(AND($D28,$E28+$F28=0),"claims_no_contribution",IF(AND(NOT($D28),$E28+$F28&gt;0),"unclaimed_contributor",IF($D28,"aligned","—")))</f>
        <v>—</v>
      </c>
      <c r="K28" s="34" t="str">
        <f aca="false">IF(AND($A28=GoalLens!$B$3,$J28&lt;&gt;"—"),MAX($K$1:K27)+1,"")</f>
        <v/>
      </c>
      <c r="L28" s="34" t="str">
        <f aca="false">IF($J28="claims_no_contribution",MAX($L$1:L27)+1,"")</f>
        <v/>
      </c>
      <c r="M28" s="34" t="str">
        <f aca="false">IF($J28="unclaimed_contributor",MAX($M$1:M27)+1,"")</f>
        <v/>
      </c>
    </row>
    <row r="29" customFormat="false" ht="15" hidden="false" customHeight="true" outlineLevel="0" collapsed="false">
      <c r="A29" s="6" t="s">
        <v>112</v>
      </c>
      <c r="B29" s="6" t="s">
        <v>299</v>
      </c>
      <c r="C29" s="34" t="str">
        <f aca="false">IFERROR(INDEX(Rituals!$B$2:$B$50,MATCH($B29,Rituals!$A$2:$A$50,0)),"")</f>
        <v>Engineering Change Board</v>
      </c>
      <c r="D29" s="37" t="b">
        <f aca="false">ISNUMBER(SEARCH($A29,IFERROR(INDEX(Rituals!$I$2:$I$50,MATCH($B29,Rituals!$A$2:$A$50,0)),"")))</f>
        <v>0</v>
      </c>
      <c r="E29" s="34" t="n">
        <f aca="false">COUNTIFS(Carriers!$C$2:$C$400,$B29,Carriers!$O$2:$O$400,$A29,Carriers!$M$2:$M$400,1,Carriers!$N$2:$N$400,1)</f>
        <v>0</v>
      </c>
      <c r="F29" s="34" t="n">
        <f aca="false">COUNTIFS(Decisions!$J$2:$J$50,$B29,Decisions!$D$2:$D$50,$A29,Decisions!$I$2:$I$50,"ritual")</f>
        <v>0</v>
      </c>
      <c r="G29" s="34" t="str">
        <f aca="false">IFERROR(INDEX(Rituals!$AB$2:$AB$50,MATCH($B29,Rituals!$A$2:$A$50,0)),"")</f>
        <v>;A7;A6;A4;A7;</v>
      </c>
      <c r="H29" s="36" t="n">
        <f aca="false">IFERROR(ROUND(SUMPRODUCT((INDEX(Stakeholders!$H$2:$K$50,0,MATCH($A29,Stakeholders!$H$1:$K$1,0))=1)*ISNUMBER(SEARCH(";"&amp;Stakeholders!$A$2:$A$50&amp;";",$G29)))/SUMPRODUCT((INDEX(Stakeholders!$H$2:$K$50,0,MATCH($A29,Stakeholders!$H$1:$K$1,0))=1)*1),2),0)</f>
        <v>0.33</v>
      </c>
      <c r="I29" s="36" t="n">
        <f aca="false">IFERROR(INDEX(Rituals!$S$2:$S$50,MATCH($B29,Rituals!$A$2:$A$50,0)),"")</f>
        <v>0.833333333333333</v>
      </c>
      <c r="J29" s="39" t="str">
        <f aca="false">IF(AND($D29,$E29+$F29=0),"claims_no_contribution",IF(AND(NOT($D29),$E29+$F29&gt;0),"unclaimed_contributor",IF($D29,"aligned","—")))</f>
        <v>—</v>
      </c>
      <c r="K29" s="34" t="str">
        <f aca="false">IF(AND($A29=GoalLens!$B$3,$J29&lt;&gt;"—"),MAX($K$1:K28)+1,"")</f>
        <v/>
      </c>
      <c r="L29" s="34" t="str">
        <f aca="false">IF($J29="claims_no_contribution",MAX($L$1:L28)+1,"")</f>
        <v/>
      </c>
      <c r="M29" s="34" t="str">
        <f aca="false">IF($J29="unclaimed_contributor",MAX($M$1:M28)+1,"")</f>
        <v/>
      </c>
    </row>
    <row r="30" customFormat="false" ht="15" hidden="false" customHeight="true" outlineLevel="0" collapsed="false">
      <c r="A30" s="6" t="s">
        <v>2</v>
      </c>
      <c r="B30" s="6" t="s">
        <v>307</v>
      </c>
      <c r="C30" s="34" t="str">
        <f aca="false">IFERROR(INDEX(Rituals!$B$2:$B$50,MATCH($B30,Rituals!$A$2:$A$50,0)),"")</f>
        <v>Timecard &amp; Ops Compliance Review</v>
      </c>
      <c r="D30" s="37" t="b">
        <f aca="false">ISNUMBER(SEARCH($A30,IFERROR(INDEX(Rituals!$I$2:$I$50,MATCH($B30,Rituals!$A$2:$A$50,0)),"")))</f>
        <v>0</v>
      </c>
      <c r="E30" s="34" t="n">
        <f aca="false">COUNTIFS(Carriers!$C$2:$C$400,$B30,Carriers!$O$2:$O$400,$A30,Carriers!$M$2:$M$400,1,Carriers!$N$2:$N$400,1)</f>
        <v>0</v>
      </c>
      <c r="F30" s="34" t="n">
        <f aca="false">COUNTIFS(Decisions!$J$2:$J$50,$B30,Decisions!$D$2:$D$50,$A30,Decisions!$I$2:$I$50,"ritual")</f>
        <v>0</v>
      </c>
      <c r="G30" s="34" t="str">
        <f aca="false">IFERROR(INDEX(Rituals!$AB$2:$AB$50,MATCH($B30,Rituals!$A$2:$A$50,0)),"")</f>
        <v>;A10;A6;A10;</v>
      </c>
      <c r="H30" s="36" t="n">
        <f aca="false">IFERROR(ROUND(SUMPRODUCT((INDEX(Stakeholders!$H$2:$K$50,0,MATCH($A30,Stakeholders!$H$1:$K$1,0))=1)*ISNUMBER(SEARCH(";"&amp;Stakeholders!$A$2:$A$50&amp;";",$G30)))/SUMPRODUCT((INDEX(Stakeholders!$H$2:$K$50,0,MATCH($A30,Stakeholders!$H$1:$K$1,0))=1)*1),2),0)</f>
        <v>0.13</v>
      </c>
      <c r="I30" s="36" t="n">
        <f aca="false">IFERROR(INDEX(Rituals!$S$2:$S$50,MATCH($B30,Rituals!$A$2:$A$50,0)),"")</f>
        <v>0.666666666666667</v>
      </c>
      <c r="J30" s="39" t="str">
        <f aca="false">IF(AND($D30,$E30+$F30=0),"claims_no_contribution",IF(AND(NOT($D30),$E30+$F30&gt;0),"unclaimed_contributor",IF($D30,"aligned","—")))</f>
        <v>—</v>
      </c>
      <c r="K30" s="34" t="str">
        <f aca="false">IF(AND($A30=GoalLens!$B$3,$J30&lt;&gt;"—"),MAX($K$1:K29)+1,"")</f>
        <v/>
      </c>
      <c r="L30" s="34" t="str">
        <f aca="false">IF($J30="claims_no_contribution",MAX($L$1:L29)+1,"")</f>
        <v/>
      </c>
      <c r="M30" s="34" t="str">
        <f aca="false">IF($J30="unclaimed_contributor",MAX($M$1:M29)+1,"")</f>
        <v/>
      </c>
    </row>
    <row r="31" customFormat="false" ht="15" hidden="false" customHeight="true" outlineLevel="0" collapsed="false">
      <c r="A31" s="6" t="s">
        <v>104</v>
      </c>
      <c r="B31" s="6" t="s">
        <v>307</v>
      </c>
      <c r="C31" s="34" t="str">
        <f aca="false">IFERROR(INDEX(Rituals!$B$2:$B$50,MATCH($B31,Rituals!$A$2:$A$50,0)),"")</f>
        <v>Timecard &amp; Ops Compliance Review</v>
      </c>
      <c r="D31" s="37" t="b">
        <f aca="false">ISNUMBER(SEARCH($A31,IFERROR(INDEX(Rituals!$I$2:$I$50,MATCH($B31,Rituals!$A$2:$A$50,0)),"")))</f>
        <v>0</v>
      </c>
      <c r="E31" s="34" t="n">
        <f aca="false">COUNTIFS(Carriers!$C$2:$C$400,$B31,Carriers!$O$2:$O$400,$A31,Carriers!$M$2:$M$400,1,Carriers!$N$2:$N$400,1)</f>
        <v>0</v>
      </c>
      <c r="F31" s="34" t="n">
        <f aca="false">COUNTIFS(Decisions!$J$2:$J$50,$B31,Decisions!$D$2:$D$50,$A31,Decisions!$I$2:$I$50,"ritual")</f>
        <v>0</v>
      </c>
      <c r="G31" s="34" t="str">
        <f aca="false">IFERROR(INDEX(Rituals!$AB$2:$AB$50,MATCH($B31,Rituals!$A$2:$A$50,0)),"")</f>
        <v>;A10;A6;A10;</v>
      </c>
      <c r="H31" s="36" t="n">
        <f aca="false">IFERROR(ROUND(SUMPRODUCT((INDEX(Stakeholders!$H$2:$K$50,0,MATCH($A31,Stakeholders!$H$1:$K$1,0))=1)*ISNUMBER(SEARCH(";"&amp;Stakeholders!$A$2:$A$50&amp;";",$G31)))/SUMPRODUCT((INDEX(Stakeholders!$H$2:$K$50,0,MATCH($A31,Stakeholders!$H$1:$K$1,0))=1)*1),2),0)</f>
        <v>0.17</v>
      </c>
      <c r="I31" s="36" t="n">
        <f aca="false">IFERROR(INDEX(Rituals!$S$2:$S$50,MATCH($B31,Rituals!$A$2:$A$50,0)),"")</f>
        <v>0.666666666666667</v>
      </c>
      <c r="J31" s="39" t="str">
        <f aca="false">IF(AND($D31,$E31+$F31=0),"claims_no_contribution",IF(AND(NOT($D31),$E31+$F31&gt;0),"unclaimed_contributor",IF($D31,"aligned","—")))</f>
        <v>—</v>
      </c>
      <c r="K31" s="34" t="str">
        <f aca="false">IF(AND($A31=GoalLens!$B$3,$J31&lt;&gt;"—"),MAX($K$1:K30)+1,"")</f>
        <v/>
      </c>
      <c r="L31" s="34" t="str">
        <f aca="false">IF($J31="claims_no_contribution",MAX($L$1:L30)+1,"")</f>
        <v/>
      </c>
      <c r="M31" s="34" t="str">
        <f aca="false">IF($J31="unclaimed_contributor",MAX($M$1:M30)+1,"")</f>
        <v/>
      </c>
    </row>
    <row r="32" customFormat="false" ht="15" hidden="false" customHeight="true" outlineLevel="0" collapsed="false">
      <c r="A32" s="6" t="s">
        <v>108</v>
      </c>
      <c r="B32" s="6" t="s">
        <v>307</v>
      </c>
      <c r="C32" s="34" t="str">
        <f aca="false">IFERROR(INDEX(Rituals!$B$2:$B$50,MATCH($B32,Rituals!$A$2:$A$50,0)),"")</f>
        <v>Timecard &amp; Ops Compliance Review</v>
      </c>
      <c r="D32" s="37" t="b">
        <f aca="false">ISNUMBER(SEARCH($A32,IFERROR(INDEX(Rituals!$I$2:$I$50,MATCH($B32,Rituals!$A$2:$A$50,0)),"")))</f>
        <v>0</v>
      </c>
      <c r="E32" s="34" t="n">
        <f aca="false">COUNTIFS(Carriers!$C$2:$C$400,$B32,Carriers!$O$2:$O$400,$A32,Carriers!$M$2:$M$400,1,Carriers!$N$2:$N$400,1)</f>
        <v>0</v>
      </c>
      <c r="F32" s="34" t="n">
        <f aca="false">COUNTIFS(Decisions!$J$2:$J$50,$B32,Decisions!$D$2:$D$50,$A32,Decisions!$I$2:$I$50,"ritual")</f>
        <v>0</v>
      </c>
      <c r="G32" s="34" t="str">
        <f aca="false">IFERROR(INDEX(Rituals!$AB$2:$AB$50,MATCH($B32,Rituals!$A$2:$A$50,0)),"")</f>
        <v>;A10;A6;A10;</v>
      </c>
      <c r="H32" s="36" t="n">
        <f aca="false">IFERROR(ROUND(SUMPRODUCT((INDEX(Stakeholders!$H$2:$K$50,0,MATCH($A32,Stakeholders!$H$1:$K$1,0))=1)*ISNUMBER(SEARCH(";"&amp;Stakeholders!$A$2:$A$50&amp;";",$G32)))/SUMPRODUCT((INDEX(Stakeholders!$H$2:$K$50,0,MATCH($A32,Stakeholders!$H$1:$K$1,0))=1)*1),2),0)</f>
        <v>0</v>
      </c>
      <c r="I32" s="36" t="n">
        <f aca="false">IFERROR(INDEX(Rituals!$S$2:$S$50,MATCH($B32,Rituals!$A$2:$A$50,0)),"")</f>
        <v>0.666666666666667</v>
      </c>
      <c r="J32" s="39" t="str">
        <f aca="false">IF(AND($D32,$E32+$F32=0),"claims_no_contribution",IF(AND(NOT($D32),$E32+$F32&gt;0),"unclaimed_contributor",IF($D32,"aligned","—")))</f>
        <v>—</v>
      </c>
      <c r="K32" s="34" t="str">
        <f aca="false">IF(AND($A32=GoalLens!$B$3,$J32&lt;&gt;"—"),MAX($K$1:K31)+1,"")</f>
        <v/>
      </c>
      <c r="L32" s="34" t="str">
        <f aca="false">IF($J32="claims_no_contribution",MAX($L$1:L31)+1,"")</f>
        <v/>
      </c>
      <c r="M32" s="34" t="str">
        <f aca="false">IF($J32="unclaimed_contributor",MAX($M$1:M31)+1,"")</f>
        <v/>
      </c>
    </row>
    <row r="33" customFormat="false" ht="15" hidden="false" customHeight="true" outlineLevel="0" collapsed="false">
      <c r="A33" s="6" t="s">
        <v>112</v>
      </c>
      <c r="B33" s="6" t="s">
        <v>307</v>
      </c>
      <c r="C33" s="34" t="str">
        <f aca="false">IFERROR(INDEX(Rituals!$B$2:$B$50,MATCH($B33,Rituals!$A$2:$A$50,0)),"")</f>
        <v>Timecard &amp; Ops Compliance Review</v>
      </c>
      <c r="D33" s="37" t="b">
        <f aca="false">ISNUMBER(SEARCH($A33,IFERROR(INDEX(Rituals!$I$2:$I$50,MATCH($B33,Rituals!$A$2:$A$50,0)),"")))</f>
        <v>0</v>
      </c>
      <c r="E33" s="34" t="n">
        <f aca="false">COUNTIFS(Carriers!$C$2:$C$400,$B33,Carriers!$O$2:$O$400,$A33,Carriers!$M$2:$M$400,1,Carriers!$N$2:$N$400,1)</f>
        <v>0</v>
      </c>
      <c r="F33" s="34" t="n">
        <f aca="false">COUNTIFS(Decisions!$J$2:$J$50,$B33,Decisions!$D$2:$D$50,$A33,Decisions!$I$2:$I$50,"ritual")</f>
        <v>0</v>
      </c>
      <c r="G33" s="34" t="str">
        <f aca="false">IFERROR(INDEX(Rituals!$AB$2:$AB$50,MATCH($B33,Rituals!$A$2:$A$50,0)),"")</f>
        <v>;A10;A6;A10;</v>
      </c>
      <c r="H33" s="36" t="n">
        <f aca="false">IFERROR(ROUND(SUMPRODUCT((INDEX(Stakeholders!$H$2:$K$50,0,MATCH($A33,Stakeholders!$H$1:$K$1,0))=1)*ISNUMBER(SEARCH(";"&amp;Stakeholders!$A$2:$A$50&amp;";",$G33)))/SUMPRODUCT((INDEX(Stakeholders!$H$2:$K$50,0,MATCH($A33,Stakeholders!$H$1:$K$1,0))=1)*1),2),0)</f>
        <v>0.67</v>
      </c>
      <c r="I33" s="36" t="n">
        <f aca="false">IFERROR(INDEX(Rituals!$S$2:$S$50,MATCH($B33,Rituals!$A$2:$A$50,0)),"")</f>
        <v>0.666666666666667</v>
      </c>
      <c r="J33" s="39" t="str">
        <f aca="false">IF(AND($D33,$E33+$F33=0),"claims_no_contribution",IF(AND(NOT($D33),$E33+$F33&gt;0),"unclaimed_contributor",IF($D33,"aligned","—")))</f>
        <v>—</v>
      </c>
      <c r="K33" s="34" t="str">
        <f aca="false">IF(AND($A33=GoalLens!$B$3,$J33&lt;&gt;"—"),MAX($K$1:K32)+1,"")</f>
        <v/>
      </c>
      <c r="L33" s="34" t="str">
        <f aca="false">IF($J33="claims_no_contribution",MAX($L$1:L32)+1,"")</f>
        <v/>
      </c>
      <c r="M33" s="34" t="str">
        <f aca="false">IF($J33="unclaimed_contributor",MAX($M$1:M32)+1,"")</f>
        <v/>
      </c>
    </row>
    <row r="34" customFormat="false" ht="15" hidden="false" customHeight="true" outlineLevel="0" collapsed="false">
      <c r="A34" s="6" t="s">
        <v>2</v>
      </c>
      <c r="B34" s="6" t="s">
        <v>315</v>
      </c>
      <c r="C34" s="34" t="str">
        <f aca="false">IFERROR(INDEX(Rituals!$B$2:$B$50,MATCH($B34,Rituals!$A$2:$A$50,0)),"")</f>
        <v>Monthly Ops Status Meeting</v>
      </c>
      <c r="D34" s="37" t="b">
        <f aca="false">ISNUMBER(SEARCH($A34,IFERROR(INDEX(Rituals!$I$2:$I$50,MATCH($B34,Rituals!$A$2:$A$50,0)),"")))</f>
        <v>1</v>
      </c>
      <c r="E34" s="34" t="n">
        <f aca="false">COUNTIFS(Carriers!$C$2:$C$400,$B34,Carriers!$O$2:$O$400,$A34,Carriers!$M$2:$M$400,1,Carriers!$N$2:$N$400,1)</f>
        <v>0</v>
      </c>
      <c r="F34" s="34" t="n">
        <f aca="false">COUNTIFS(Decisions!$J$2:$J$50,$B34,Decisions!$D$2:$D$50,$A34,Decisions!$I$2:$I$50,"ritual")</f>
        <v>0</v>
      </c>
      <c r="G34" s="34" t="str">
        <f aca="false">IFERROR(INDEX(Rituals!$AB$2:$AB$50,MATCH($B34,Rituals!$A$2:$A$50,0)),"")</f>
        <v>;A8;A6;A4;A1;A10;A8;</v>
      </c>
      <c r="H34" s="36" t="n">
        <f aca="false">IFERROR(ROUND(SUMPRODUCT((INDEX(Stakeholders!$H$2:$K$50,0,MATCH($A34,Stakeholders!$H$1:$K$1,0))=1)*ISNUMBER(SEARCH(";"&amp;Stakeholders!$A$2:$A$50&amp;";",$G34)))/SUMPRODUCT((INDEX(Stakeholders!$H$2:$K$50,0,MATCH($A34,Stakeholders!$H$1:$K$1,0))=1)*1),2),0)</f>
        <v>0.38</v>
      </c>
      <c r="I34" s="36" t="n">
        <f aca="false">IFERROR(INDEX(Rituals!$S$2:$S$50,MATCH($B34,Rituals!$A$2:$A$50,0)),"")</f>
        <v>0.166666666666667</v>
      </c>
      <c r="J34" s="39" t="str">
        <f aca="false">IF(AND($D34,$E34+$F34=0),"claims_no_contribution",IF(AND(NOT($D34),$E34+$F34&gt;0),"unclaimed_contributor",IF($D34,"aligned","—")))</f>
        <v>claims_no_contribution</v>
      </c>
      <c r="K34" s="34" t="n">
        <f aca="false">IF(AND($A34=GoalLens!$B$3,$J34&lt;&gt;"—"),MAX($K$1:K33)+1,"")</f>
        <v>5</v>
      </c>
      <c r="L34" s="34" t="n">
        <f aca="false">IF($J34="claims_no_contribution",MAX($L$1:L33)+1,"")</f>
        <v>1</v>
      </c>
      <c r="M34" s="34" t="str">
        <f aca="false">IF($J34="unclaimed_contributor",MAX($M$1:M33)+1,"")</f>
        <v/>
      </c>
    </row>
    <row r="35" customFormat="false" ht="15" hidden="false" customHeight="true" outlineLevel="0" collapsed="false">
      <c r="A35" s="6" t="s">
        <v>104</v>
      </c>
      <c r="B35" s="6" t="s">
        <v>315</v>
      </c>
      <c r="C35" s="34" t="str">
        <f aca="false">IFERROR(INDEX(Rituals!$B$2:$B$50,MATCH($B35,Rituals!$A$2:$A$50,0)),"")</f>
        <v>Monthly Ops Status Meeting</v>
      </c>
      <c r="D35" s="37" t="b">
        <f aca="false">ISNUMBER(SEARCH($A35,IFERROR(INDEX(Rituals!$I$2:$I$50,MATCH($B35,Rituals!$A$2:$A$50,0)),"")))</f>
        <v>0</v>
      </c>
      <c r="E35" s="34" t="n">
        <f aca="false">COUNTIFS(Carriers!$C$2:$C$400,$B35,Carriers!$O$2:$O$400,$A35,Carriers!$M$2:$M$400,1,Carriers!$N$2:$N$400,1)</f>
        <v>0</v>
      </c>
      <c r="F35" s="34" t="n">
        <f aca="false">COUNTIFS(Decisions!$J$2:$J$50,$B35,Decisions!$D$2:$D$50,$A35,Decisions!$I$2:$I$50,"ritual")</f>
        <v>0</v>
      </c>
      <c r="G35" s="34" t="str">
        <f aca="false">IFERROR(INDEX(Rituals!$AB$2:$AB$50,MATCH($B35,Rituals!$A$2:$A$50,0)),"")</f>
        <v>;A8;A6;A4;A1;A10;A8;</v>
      </c>
      <c r="H35" s="36" t="n">
        <f aca="false">IFERROR(ROUND(SUMPRODUCT((INDEX(Stakeholders!$H$2:$K$50,0,MATCH($A35,Stakeholders!$H$1:$K$1,0))=1)*ISNUMBER(SEARCH(";"&amp;Stakeholders!$A$2:$A$50&amp;";",$G35)))/SUMPRODUCT((INDEX(Stakeholders!$H$2:$K$50,0,MATCH($A35,Stakeholders!$H$1:$K$1,0))=1)*1),2),0)</f>
        <v>0.33</v>
      </c>
      <c r="I35" s="36" t="n">
        <f aca="false">IFERROR(INDEX(Rituals!$S$2:$S$50,MATCH($B35,Rituals!$A$2:$A$50,0)),"")</f>
        <v>0.166666666666667</v>
      </c>
      <c r="J35" s="39" t="str">
        <f aca="false">IF(AND($D35,$E35+$F35=0),"claims_no_contribution",IF(AND(NOT($D35),$E35+$F35&gt;0),"unclaimed_contributor",IF($D35,"aligned","—")))</f>
        <v>—</v>
      </c>
      <c r="K35" s="34" t="str">
        <f aca="false">IF(AND($A35=GoalLens!$B$3,$J35&lt;&gt;"—"),MAX($K$1:K34)+1,"")</f>
        <v/>
      </c>
      <c r="L35" s="34" t="str">
        <f aca="false">IF($J35="claims_no_contribution",MAX($L$1:L34)+1,"")</f>
        <v/>
      </c>
      <c r="M35" s="34" t="str">
        <f aca="false">IF($J35="unclaimed_contributor",MAX($M$1:M34)+1,"")</f>
        <v/>
      </c>
    </row>
    <row r="36" customFormat="false" ht="15" hidden="false" customHeight="true" outlineLevel="0" collapsed="false">
      <c r="A36" s="6" t="s">
        <v>108</v>
      </c>
      <c r="B36" s="6" t="s">
        <v>315</v>
      </c>
      <c r="C36" s="34" t="str">
        <f aca="false">IFERROR(INDEX(Rituals!$B$2:$B$50,MATCH($B36,Rituals!$A$2:$A$50,0)),"")</f>
        <v>Monthly Ops Status Meeting</v>
      </c>
      <c r="D36" s="37" t="b">
        <f aca="false">ISNUMBER(SEARCH($A36,IFERROR(INDEX(Rituals!$I$2:$I$50,MATCH($B36,Rituals!$A$2:$A$50,0)),"")))</f>
        <v>1</v>
      </c>
      <c r="E36" s="34" t="n">
        <f aca="false">COUNTIFS(Carriers!$C$2:$C$400,$B36,Carriers!$O$2:$O$400,$A36,Carriers!$M$2:$M$400,1,Carriers!$N$2:$N$400,1)</f>
        <v>0</v>
      </c>
      <c r="F36" s="34" t="n">
        <f aca="false">COUNTIFS(Decisions!$J$2:$J$50,$B36,Decisions!$D$2:$D$50,$A36,Decisions!$I$2:$I$50,"ritual")</f>
        <v>0</v>
      </c>
      <c r="G36" s="34" t="str">
        <f aca="false">IFERROR(INDEX(Rituals!$AB$2:$AB$50,MATCH($B36,Rituals!$A$2:$A$50,0)),"")</f>
        <v>;A8;A6;A4;A1;A10;A8;</v>
      </c>
      <c r="H36" s="36" t="n">
        <f aca="false">IFERROR(ROUND(SUMPRODUCT((INDEX(Stakeholders!$H$2:$K$50,0,MATCH($A36,Stakeholders!$H$1:$K$1,0))=1)*ISNUMBER(SEARCH(";"&amp;Stakeholders!$A$2:$A$50&amp;";",$G36)))/SUMPRODUCT((INDEX(Stakeholders!$H$2:$K$50,0,MATCH($A36,Stakeholders!$H$1:$K$1,0))=1)*1),2),0)</f>
        <v>0.67</v>
      </c>
      <c r="I36" s="36" t="n">
        <f aca="false">IFERROR(INDEX(Rituals!$S$2:$S$50,MATCH($B36,Rituals!$A$2:$A$50,0)),"")</f>
        <v>0.166666666666667</v>
      </c>
      <c r="J36" s="39" t="str">
        <f aca="false">IF(AND($D36,$E36+$F36=0),"claims_no_contribution",IF(AND(NOT($D36),$E36+$F36&gt;0),"unclaimed_contributor",IF($D36,"aligned","—")))</f>
        <v>claims_no_contribution</v>
      </c>
      <c r="K36" s="34" t="str">
        <f aca="false">IF(AND($A36=GoalLens!$B$3,$J36&lt;&gt;"—"),MAX($K$1:K35)+1,"")</f>
        <v/>
      </c>
      <c r="L36" s="34" t="n">
        <f aca="false">IF($J36="claims_no_contribution",MAX($L$1:L35)+1,"")</f>
        <v>2</v>
      </c>
      <c r="M36" s="34" t="str">
        <f aca="false">IF($J36="unclaimed_contributor",MAX($M$1:M35)+1,"")</f>
        <v/>
      </c>
    </row>
    <row r="37" customFormat="false" ht="15" hidden="false" customHeight="true" outlineLevel="0" collapsed="false">
      <c r="A37" s="6" t="s">
        <v>112</v>
      </c>
      <c r="B37" s="6" t="s">
        <v>315</v>
      </c>
      <c r="C37" s="34" t="str">
        <f aca="false">IFERROR(INDEX(Rituals!$B$2:$B$50,MATCH($B37,Rituals!$A$2:$A$50,0)),"")</f>
        <v>Monthly Ops Status Meeting</v>
      </c>
      <c r="D37" s="37" t="b">
        <f aca="false">ISNUMBER(SEARCH($A37,IFERROR(INDEX(Rituals!$I$2:$I$50,MATCH($B37,Rituals!$A$2:$A$50,0)),"")))</f>
        <v>0</v>
      </c>
      <c r="E37" s="34" t="n">
        <f aca="false">COUNTIFS(Carriers!$C$2:$C$400,$B37,Carriers!$O$2:$O$400,$A37,Carriers!$M$2:$M$400,1,Carriers!$N$2:$N$400,1)</f>
        <v>0</v>
      </c>
      <c r="F37" s="34" t="n">
        <f aca="false">COUNTIFS(Decisions!$J$2:$J$50,$B37,Decisions!$D$2:$D$50,$A37,Decisions!$I$2:$I$50,"ritual")</f>
        <v>0</v>
      </c>
      <c r="G37" s="34" t="str">
        <f aca="false">IFERROR(INDEX(Rituals!$AB$2:$AB$50,MATCH($B37,Rituals!$A$2:$A$50,0)),"")</f>
        <v>;A8;A6;A4;A1;A10;A8;</v>
      </c>
      <c r="H37" s="36" t="n">
        <f aca="false">IFERROR(ROUND(SUMPRODUCT((INDEX(Stakeholders!$H$2:$K$50,0,MATCH($A37,Stakeholders!$H$1:$K$1,0))=1)*ISNUMBER(SEARCH(";"&amp;Stakeholders!$A$2:$A$50&amp;";",$G37)))/SUMPRODUCT((INDEX(Stakeholders!$H$2:$K$50,0,MATCH($A37,Stakeholders!$H$1:$K$1,0))=1)*1),2),0)</f>
        <v>1</v>
      </c>
      <c r="I37" s="36" t="n">
        <f aca="false">IFERROR(INDEX(Rituals!$S$2:$S$50,MATCH($B37,Rituals!$A$2:$A$50,0)),"")</f>
        <v>0.166666666666667</v>
      </c>
      <c r="J37" s="39" t="str">
        <f aca="false">IF(AND($D37,$E37+$F37=0),"claims_no_contribution",IF(AND(NOT($D37),$E37+$F37&gt;0),"unclaimed_contributor",IF($D37,"aligned","—")))</f>
        <v>—</v>
      </c>
      <c r="K37" s="34" t="str">
        <f aca="false">IF(AND($A37=GoalLens!$B$3,$J37&lt;&gt;"—"),MAX($K$1:K36)+1,"")</f>
        <v/>
      </c>
      <c r="L37" s="34" t="str">
        <f aca="false">IF($J37="claims_no_contribution",MAX($L$1:L36)+1,"")</f>
        <v/>
      </c>
      <c r="M37" s="34" t="str">
        <f aca="false">IF($J37="unclaimed_contributor",MAX($M$1:M36)+1,"")</f>
        <v/>
      </c>
    </row>
  </sheetData>
  <conditionalFormatting sqref="J2:J37">
    <cfRule type="cellIs" priority="2" operator="equal" aboveAverage="0" equalAverage="0" bottom="0" percent="0" rank="0" text="" dxfId="0">
      <formula>"claims_no_contribution"</formula>
    </cfRule>
    <cfRule type="cellIs" priority="3" operator="equal" aboveAverage="0" equalAverage="0" bottom="0" percent="0" rank="0" text="" dxfId="1">
      <formula>"unclaimed_contributor"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72"/>
    <col collapsed="false" customWidth="true" hidden="false" outlineLevel="0" max="6" min="6" style="1" width="22"/>
  </cols>
  <sheetData>
    <row r="1" customFormat="false" ht="30" hidden="false" customHeight="true" outlineLevel="0" collapsed="false">
      <c r="A1" s="30" t="s">
        <v>472</v>
      </c>
      <c r="B1" s="30" t="s">
        <v>473</v>
      </c>
      <c r="C1" s="30" t="s">
        <v>474</v>
      </c>
      <c r="D1" s="30" t="s">
        <v>475</v>
      </c>
      <c r="E1" s="30" t="s">
        <v>476</v>
      </c>
      <c r="F1" s="30" t="s">
        <v>477</v>
      </c>
    </row>
    <row r="2" customFormat="false" ht="23.25" hidden="false" customHeight="true" outlineLevel="0" collapsed="false">
      <c r="A2" s="40" t="s">
        <v>478</v>
      </c>
      <c r="B2" s="40" t="s">
        <v>479</v>
      </c>
      <c r="C2" s="40" t="s">
        <v>480</v>
      </c>
      <c r="D2" s="40" t="s">
        <v>481</v>
      </c>
      <c r="E2" s="40" t="s">
        <v>482</v>
      </c>
      <c r="F2" s="40" t="s">
        <v>483</v>
      </c>
    </row>
    <row r="3" customFormat="false" ht="23.25" hidden="false" customHeight="true" outlineLevel="0" collapsed="false">
      <c r="A3" s="40" t="s">
        <v>484</v>
      </c>
      <c r="B3" s="40" t="s">
        <v>479</v>
      </c>
      <c r="C3" s="40" t="s">
        <v>485</v>
      </c>
      <c r="D3" s="40" t="s">
        <v>486</v>
      </c>
      <c r="E3" s="40" t="s">
        <v>487</v>
      </c>
      <c r="F3" s="40" t="s">
        <v>483</v>
      </c>
    </row>
    <row r="4" customFormat="false" ht="23.25" hidden="false" customHeight="true" outlineLevel="0" collapsed="false">
      <c r="A4" s="40" t="s">
        <v>488</v>
      </c>
      <c r="B4" s="40" t="s">
        <v>489</v>
      </c>
      <c r="C4" s="40" t="s">
        <v>490</v>
      </c>
      <c r="D4" s="40" t="s">
        <v>486</v>
      </c>
      <c r="E4" s="40" t="s">
        <v>491</v>
      </c>
      <c r="F4" s="40" t="s">
        <v>492</v>
      </c>
    </row>
    <row r="5" customFormat="false" ht="23.25" hidden="false" customHeight="true" outlineLevel="0" collapsed="false">
      <c r="A5" s="40" t="s">
        <v>493</v>
      </c>
      <c r="B5" s="40" t="s">
        <v>494</v>
      </c>
      <c r="C5" s="40" t="s">
        <v>495</v>
      </c>
      <c r="D5" s="40" t="n">
        <v>3</v>
      </c>
      <c r="E5" s="40" t="s">
        <v>496</v>
      </c>
      <c r="F5" s="40" t="s">
        <v>483</v>
      </c>
    </row>
    <row r="6" customFormat="false" ht="23.25" hidden="false" customHeight="true" outlineLevel="0" collapsed="false">
      <c r="A6" s="40" t="s">
        <v>497</v>
      </c>
      <c r="B6" s="40" t="s">
        <v>494</v>
      </c>
      <c r="C6" s="40" t="s">
        <v>498</v>
      </c>
      <c r="D6" s="40" t="s">
        <v>499</v>
      </c>
      <c r="E6" s="40" t="s">
        <v>500</v>
      </c>
      <c r="F6" s="40" t="s">
        <v>501</v>
      </c>
    </row>
    <row r="7" customFormat="false" ht="23.25" hidden="false" customHeight="true" outlineLevel="0" collapsed="false">
      <c r="A7" s="40" t="s">
        <v>502</v>
      </c>
      <c r="B7" s="40" t="s">
        <v>503</v>
      </c>
      <c r="C7" s="40" t="s">
        <v>504</v>
      </c>
      <c r="D7" s="40" t="s">
        <v>505</v>
      </c>
      <c r="E7" s="40" t="s">
        <v>506</v>
      </c>
      <c r="F7" s="40" t="s">
        <v>483</v>
      </c>
    </row>
    <row r="8" customFormat="false" ht="23.25" hidden="false" customHeight="true" outlineLevel="0" collapsed="false">
      <c r="A8" s="40" t="s">
        <v>507</v>
      </c>
      <c r="B8" s="40" t="s">
        <v>508</v>
      </c>
      <c r="C8" s="40" t="s">
        <v>509</v>
      </c>
      <c r="D8" s="40" t="s">
        <v>510</v>
      </c>
      <c r="E8" s="40" t="s">
        <v>511</v>
      </c>
      <c r="F8" s="40" t="s">
        <v>512</v>
      </c>
    </row>
    <row r="9" customFormat="false" ht="23.25" hidden="false" customHeight="true" outlineLevel="0" collapsed="false">
      <c r="A9" s="40" t="s">
        <v>513</v>
      </c>
      <c r="B9" s="40" t="s">
        <v>508</v>
      </c>
      <c r="C9" s="40" t="s">
        <v>514</v>
      </c>
      <c r="D9" s="40" t="n">
        <v>4</v>
      </c>
      <c r="E9" s="40" t="s">
        <v>515</v>
      </c>
      <c r="F9" s="40" t="s">
        <v>512</v>
      </c>
    </row>
    <row r="10" customFormat="false" ht="15" hidden="false" customHeight="true" outlineLevel="0" collapsed="false">
      <c r="A10" s="40" t="s">
        <v>516</v>
      </c>
      <c r="B10" s="40" t="s">
        <v>517</v>
      </c>
      <c r="C10" s="40" t="s">
        <v>518</v>
      </c>
      <c r="D10" s="40" t="n">
        <v>4</v>
      </c>
      <c r="E10" s="40" t="s">
        <v>519</v>
      </c>
      <c r="F10" s="40" t="s">
        <v>520</v>
      </c>
    </row>
    <row r="11" customFormat="false" ht="23.25" hidden="false" customHeight="true" outlineLevel="0" collapsed="false">
      <c r="A11" s="40" t="s">
        <v>521</v>
      </c>
      <c r="B11" s="40" t="s">
        <v>522</v>
      </c>
      <c r="C11" s="40" t="s">
        <v>523</v>
      </c>
      <c r="D11" s="40" t="s">
        <v>524</v>
      </c>
      <c r="E11" s="40" t="s">
        <v>525</v>
      </c>
      <c r="F11" s="40" t="s">
        <v>512</v>
      </c>
    </row>
    <row r="12" customFormat="false" ht="23.25" hidden="false" customHeight="true" outlineLevel="0" collapsed="false">
      <c r="A12" s="40" t="s">
        <v>526</v>
      </c>
      <c r="B12" s="40" t="s">
        <v>527</v>
      </c>
      <c r="C12" s="40" t="s">
        <v>528</v>
      </c>
      <c r="D12" s="40" t="n">
        <v>4</v>
      </c>
      <c r="E12" s="40" t="s">
        <v>529</v>
      </c>
      <c r="F12" s="40" t="s">
        <v>530</v>
      </c>
    </row>
    <row r="13" customFormat="false" ht="23.25" hidden="false" customHeight="true" outlineLevel="0" collapsed="false">
      <c r="A13" s="40" t="s">
        <v>531</v>
      </c>
      <c r="B13" s="40" t="s">
        <v>532</v>
      </c>
      <c r="C13" s="40" t="s">
        <v>533</v>
      </c>
      <c r="D13" s="40" t="s">
        <v>534</v>
      </c>
      <c r="E13" s="40" t="s">
        <v>535</v>
      </c>
      <c r="F13" s="40" t="s">
        <v>536</v>
      </c>
    </row>
    <row r="14" customFormat="false" ht="23.25" hidden="false" customHeight="true" outlineLevel="0" collapsed="false">
      <c r="A14" s="40" t="s">
        <v>537</v>
      </c>
      <c r="B14" s="40" t="s">
        <v>538</v>
      </c>
      <c r="C14" s="40" t="s">
        <v>539</v>
      </c>
      <c r="D14" s="40" t="s">
        <v>540</v>
      </c>
      <c r="E14" s="40" t="s">
        <v>541</v>
      </c>
      <c r="F14" s="40" t="s">
        <v>542</v>
      </c>
    </row>
    <row r="15" customFormat="false" ht="23.25" hidden="false" customHeight="true" outlineLevel="0" collapsed="false">
      <c r="A15" s="40" t="s">
        <v>543</v>
      </c>
      <c r="B15" s="40" t="s">
        <v>538</v>
      </c>
      <c r="C15" s="40" t="s">
        <v>544</v>
      </c>
      <c r="D15" s="40" t="s">
        <v>545</v>
      </c>
      <c r="E15" s="40" t="s">
        <v>546</v>
      </c>
      <c r="F15" s="40" t="s">
        <v>542</v>
      </c>
    </row>
    <row r="16" customFormat="false" ht="23.25" hidden="false" customHeight="true" outlineLevel="0" collapsed="false">
      <c r="A16" s="40" t="s">
        <v>547</v>
      </c>
      <c r="B16" s="40" t="s">
        <v>548</v>
      </c>
      <c r="C16" s="40" t="s">
        <v>549</v>
      </c>
      <c r="D16" s="40" t="n">
        <v>5</v>
      </c>
      <c r="E16" s="40" t="s">
        <v>550</v>
      </c>
      <c r="F16" s="40" t="s">
        <v>512</v>
      </c>
    </row>
    <row r="17" customFormat="false" ht="15" hidden="false" customHeight="true" outlineLevel="0" collapsed="false">
      <c r="A17" s="40" t="s">
        <v>551</v>
      </c>
      <c r="B17" s="40" t="s">
        <v>552</v>
      </c>
      <c r="C17" s="40" t="s">
        <v>553</v>
      </c>
      <c r="D17" s="40" t="n">
        <v>5</v>
      </c>
      <c r="E17" s="40" t="s">
        <v>554</v>
      </c>
      <c r="F17" s="40" t="s">
        <v>536</v>
      </c>
    </row>
    <row r="18" customFormat="false" ht="23.25" hidden="false" customHeight="true" outlineLevel="0" collapsed="false">
      <c r="A18" s="40" t="s">
        <v>555</v>
      </c>
      <c r="B18" s="40" t="s">
        <v>556</v>
      </c>
      <c r="C18" s="40" t="s">
        <v>557</v>
      </c>
      <c r="D18" s="40" t="s">
        <v>558</v>
      </c>
      <c r="E18" s="40" t="s">
        <v>559</v>
      </c>
      <c r="F18" s="40" t="s">
        <v>536</v>
      </c>
    </row>
    <row r="19" customFormat="false" ht="23.25" hidden="false" customHeight="true" outlineLevel="0" collapsed="false">
      <c r="A19" s="40" t="s">
        <v>560</v>
      </c>
      <c r="B19" s="40" t="s">
        <v>561</v>
      </c>
      <c r="C19" s="40" t="s">
        <v>562</v>
      </c>
      <c r="D19" s="40" t="s">
        <v>563</v>
      </c>
      <c r="E19" s="40" t="s">
        <v>564</v>
      </c>
      <c r="F19" s="40" t="s">
        <v>565</v>
      </c>
    </row>
    <row r="20" customFormat="false" ht="23.25" hidden="false" customHeight="true" outlineLevel="0" collapsed="false">
      <c r="A20" s="40" t="s">
        <v>566</v>
      </c>
      <c r="B20" s="40" t="s">
        <v>561</v>
      </c>
      <c r="C20" s="40" t="s">
        <v>567</v>
      </c>
      <c r="D20" s="40" t="n">
        <v>7</v>
      </c>
      <c r="E20" s="40" t="s">
        <v>568</v>
      </c>
      <c r="F20" s="40" t="s">
        <v>569</v>
      </c>
    </row>
    <row r="21" customFormat="false" ht="23.25" hidden="false" customHeight="true" outlineLevel="0" collapsed="false">
      <c r="A21" s="40" t="s">
        <v>570</v>
      </c>
      <c r="B21" s="40" t="s">
        <v>571</v>
      </c>
      <c r="C21" s="40" t="s">
        <v>572</v>
      </c>
      <c r="D21" s="40" t="s">
        <v>573</v>
      </c>
      <c r="E21" s="40" t="s">
        <v>574</v>
      </c>
      <c r="F21" s="40" t="s">
        <v>575</v>
      </c>
    </row>
    <row r="22" customFormat="false" ht="23.25" hidden="false" customHeight="true" outlineLevel="0" collapsed="false">
      <c r="A22" s="40" t="s">
        <v>576</v>
      </c>
      <c r="B22" s="40" t="s">
        <v>577</v>
      </c>
      <c r="C22" s="40" t="s">
        <v>578</v>
      </c>
      <c r="D22" s="40" t="s">
        <v>579</v>
      </c>
      <c r="E22" s="40" t="s">
        <v>580</v>
      </c>
      <c r="F22" s="40" t="s">
        <v>512</v>
      </c>
    </row>
    <row r="23" customFormat="false" ht="15" hidden="false" customHeight="true" outlineLevel="0" collapsed="false">
      <c r="A23" s="40" t="s">
        <v>581</v>
      </c>
      <c r="B23" s="40" t="s">
        <v>582</v>
      </c>
      <c r="C23" s="40" t="s">
        <v>583</v>
      </c>
      <c r="D23" s="40" t="s">
        <v>584</v>
      </c>
      <c r="E23" s="40" t="s">
        <v>585</v>
      </c>
      <c r="F23" s="40" t="s">
        <v>536</v>
      </c>
    </row>
    <row r="24" customFormat="false" ht="23.25" hidden="false" customHeight="true" outlineLevel="0" collapsed="false">
      <c r="A24" s="40" t="s">
        <v>586</v>
      </c>
      <c r="B24" s="40" t="s">
        <v>587</v>
      </c>
      <c r="C24" s="40" t="s">
        <v>588</v>
      </c>
      <c r="D24" s="40" t="s">
        <v>589</v>
      </c>
      <c r="E24" s="40" t="s">
        <v>590</v>
      </c>
      <c r="F24" s="40" t="s">
        <v>536</v>
      </c>
    </row>
    <row r="25" customFormat="false" ht="23.25" hidden="false" customHeight="true" outlineLevel="0" collapsed="false">
      <c r="A25" s="40" t="s">
        <v>591</v>
      </c>
      <c r="B25" s="40" t="s">
        <v>592</v>
      </c>
      <c r="C25" s="40" t="s">
        <v>593</v>
      </c>
      <c r="D25" s="40" t="s">
        <v>594</v>
      </c>
      <c r="E25" s="40" t="s">
        <v>595</v>
      </c>
      <c r="F25" s="40" t="s">
        <v>596</v>
      </c>
    </row>
    <row r="26" customFormat="false" ht="23.25" hidden="false" customHeight="true" outlineLevel="0" collapsed="false">
      <c r="A26" s="40" t="s">
        <v>597</v>
      </c>
      <c r="B26" s="40" t="s">
        <v>598</v>
      </c>
      <c r="C26" s="40" t="s">
        <v>599</v>
      </c>
      <c r="D26" s="40" t="s">
        <v>600</v>
      </c>
      <c r="E26" s="40" t="s">
        <v>601</v>
      </c>
      <c r="F26" s="40" t="s">
        <v>536</v>
      </c>
    </row>
    <row r="27" customFormat="false" ht="15" hidden="false" customHeight="true" outlineLevel="0" collapsed="false">
      <c r="A27" s="17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0" t="s">
        <v>229</v>
      </c>
      <c r="B1" s="30" t="s">
        <v>603</v>
      </c>
      <c r="C1" s="30" t="s">
        <v>246</v>
      </c>
      <c r="D1" s="30" t="s">
        <v>21</v>
      </c>
      <c r="E1" s="30" t="s">
        <v>604</v>
      </c>
      <c r="F1" s="30" t="s">
        <v>605</v>
      </c>
    </row>
    <row r="2" customFormat="false" ht="15" hidden="false" customHeight="true" outlineLevel="0" collapsed="false">
      <c r="A2" s="6" t="s">
        <v>205</v>
      </c>
      <c r="B2" s="6" t="n">
        <v>0</v>
      </c>
      <c r="C2" s="6" t="n">
        <v>0</v>
      </c>
      <c r="D2" s="6" t="s">
        <v>606</v>
      </c>
      <c r="E2" s="6" t="n">
        <v>3</v>
      </c>
      <c r="F2" s="6"/>
    </row>
    <row r="3" customFormat="false" ht="15" hidden="false" customHeight="true" outlineLevel="0" collapsed="false">
      <c r="A3" s="6" t="s">
        <v>217</v>
      </c>
      <c r="B3" s="6" t="n">
        <v>1</v>
      </c>
      <c r="C3" s="6" t="n">
        <v>5</v>
      </c>
      <c r="D3" s="6" t="s">
        <v>607</v>
      </c>
      <c r="E3" s="6" t="n">
        <v>2</v>
      </c>
      <c r="F3" s="6"/>
    </row>
    <row r="4" customFormat="false" ht="15" hidden="false" customHeight="true" outlineLevel="0" collapsed="false">
      <c r="A4" s="6" t="s">
        <v>221</v>
      </c>
      <c r="B4" s="6" t="n">
        <v>2</v>
      </c>
      <c r="C4" s="6" t="n">
        <v>1</v>
      </c>
      <c r="D4" s="6" t="s">
        <v>608</v>
      </c>
      <c r="E4" s="6" t="n">
        <v>2</v>
      </c>
      <c r="F4" s="6"/>
    </row>
    <row r="5" customFormat="false" ht="15" hidden="false" customHeight="true" outlineLevel="0" collapsed="false">
      <c r="A5" s="6" t="s">
        <v>302</v>
      </c>
      <c r="B5" s="6" t="n">
        <v>3</v>
      </c>
      <c r="C5" s="6" t="n">
        <v>0.5</v>
      </c>
      <c r="D5" s="6" t="s">
        <v>609</v>
      </c>
      <c r="E5" s="6" t="n">
        <v>1.5</v>
      </c>
      <c r="F5" s="6"/>
    </row>
    <row r="6" customFormat="false" ht="15" hidden="false" customHeight="true" outlineLevel="0" collapsed="false">
      <c r="A6" s="6" t="s">
        <v>272</v>
      </c>
      <c r="B6" s="6" t="n">
        <v>4</v>
      </c>
      <c r="C6" s="6" t="n">
        <v>0.2308</v>
      </c>
      <c r="D6" s="6" t="s">
        <v>15</v>
      </c>
      <c r="E6" s="6" t="n">
        <v>0</v>
      </c>
      <c r="F6" s="6"/>
    </row>
    <row r="7" customFormat="false" ht="15" hidden="false" customHeight="true" outlineLevel="0" collapsed="false">
      <c r="A7" s="6" t="s">
        <v>610</v>
      </c>
      <c r="B7" s="6" t="n">
        <v>5</v>
      </c>
      <c r="C7" s="6" t="n">
        <v>0.0769</v>
      </c>
      <c r="D7" s="6"/>
      <c r="E7" s="6"/>
      <c r="F7" s="6"/>
    </row>
    <row r="8" customFormat="false" ht="15" hidden="false" customHeight="true" outlineLevel="0" collapsed="false">
      <c r="A8" s="6" t="s">
        <v>226</v>
      </c>
      <c r="B8" s="6" t="n">
        <v>99</v>
      </c>
      <c r="C8" s="6" t="n">
        <v>0</v>
      </c>
      <c r="D8" s="6"/>
      <c r="E8" s="6"/>
      <c r="F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41" t="s">
        <v>227</v>
      </c>
      <c r="B1" s="41" t="s">
        <v>159</v>
      </c>
      <c r="C1" s="41" t="s">
        <v>26</v>
      </c>
    </row>
    <row r="2" customFormat="false" ht="15" hidden="false" customHeight="false" outlineLevel="0" collapsed="false">
      <c r="A2" s="42" t="s">
        <v>253</v>
      </c>
      <c r="B2" s="42" t="s">
        <v>177</v>
      </c>
      <c r="C2" s="42" t="s">
        <v>611</v>
      </c>
    </row>
    <row r="3" customFormat="false" ht="15" hidden="false" customHeight="false" outlineLevel="0" collapsed="false">
      <c r="A3" s="42" t="s">
        <v>253</v>
      </c>
      <c r="B3" s="42" t="s">
        <v>193</v>
      </c>
      <c r="C3" s="42" t="s">
        <v>612</v>
      </c>
    </row>
    <row r="4" customFormat="false" ht="15" hidden="false" customHeight="false" outlineLevel="0" collapsed="false">
      <c r="A4" s="42" t="s">
        <v>253</v>
      </c>
      <c r="B4" s="42" t="s">
        <v>174</v>
      </c>
      <c r="C4" s="42" t="s">
        <v>613</v>
      </c>
    </row>
    <row r="5" customFormat="false" ht="15" hidden="false" customHeight="false" outlineLevel="0" collapsed="false">
      <c r="A5" s="42" t="s">
        <v>253</v>
      </c>
      <c r="B5" s="42" t="s">
        <v>169</v>
      </c>
      <c r="C5" s="42" t="s">
        <v>614</v>
      </c>
    </row>
    <row r="6" customFormat="false" ht="15" hidden="false" customHeight="false" outlineLevel="0" collapsed="false">
      <c r="A6" s="42" t="s">
        <v>261</v>
      </c>
      <c r="B6" s="42" t="s">
        <v>106</v>
      </c>
      <c r="C6" s="42" t="s">
        <v>611</v>
      </c>
    </row>
    <row r="7" customFormat="false" ht="15" hidden="false" customHeight="false" outlineLevel="0" collapsed="false">
      <c r="A7" s="42" t="s">
        <v>261</v>
      </c>
      <c r="B7" s="42" t="s">
        <v>169</v>
      </c>
      <c r="C7" s="42" t="s">
        <v>612</v>
      </c>
    </row>
    <row r="8" customFormat="false" ht="15" hidden="false" customHeight="false" outlineLevel="0" collapsed="false">
      <c r="A8" s="42" t="s">
        <v>261</v>
      </c>
      <c r="B8" s="42" t="s">
        <v>101</v>
      </c>
      <c r="C8" s="42" t="s">
        <v>613</v>
      </c>
    </row>
    <row r="9" customFormat="false" ht="15" hidden="false" customHeight="false" outlineLevel="0" collapsed="false">
      <c r="A9" s="42" t="s">
        <v>261</v>
      </c>
      <c r="B9" s="42" t="s">
        <v>174</v>
      </c>
      <c r="C9" s="42" t="s">
        <v>614</v>
      </c>
    </row>
    <row r="10" customFormat="false" ht="15" hidden="false" customHeight="false" outlineLevel="0" collapsed="false">
      <c r="A10" s="42" t="s">
        <v>269</v>
      </c>
      <c r="B10" s="42" t="s">
        <v>110</v>
      </c>
      <c r="C10" s="42" t="s">
        <v>611</v>
      </c>
    </row>
    <row r="11" customFormat="false" ht="15" hidden="false" customHeight="false" outlineLevel="0" collapsed="false">
      <c r="A11" s="42" t="s">
        <v>269</v>
      </c>
      <c r="B11" s="42" t="s">
        <v>101</v>
      </c>
      <c r="C11" s="42" t="s">
        <v>612</v>
      </c>
    </row>
    <row r="12" customFormat="false" ht="15" hidden="false" customHeight="false" outlineLevel="0" collapsed="false">
      <c r="A12" s="42" t="s">
        <v>269</v>
      </c>
      <c r="B12" s="42" t="s">
        <v>106</v>
      </c>
      <c r="C12" s="42" t="s">
        <v>613</v>
      </c>
    </row>
    <row r="13" customFormat="false" ht="15" hidden="false" customHeight="false" outlineLevel="0" collapsed="false">
      <c r="A13" s="42" t="s">
        <v>269</v>
      </c>
      <c r="B13" s="42" t="s">
        <v>186</v>
      </c>
      <c r="C13" s="42" t="s">
        <v>613</v>
      </c>
    </row>
    <row r="14" customFormat="false" ht="15" hidden="false" customHeight="false" outlineLevel="0" collapsed="false">
      <c r="A14" s="42" t="s">
        <v>269</v>
      </c>
      <c r="B14" s="42" t="s">
        <v>183</v>
      </c>
      <c r="C14" s="42" t="s">
        <v>614</v>
      </c>
    </row>
    <row r="15" customFormat="false" ht="15" hidden="false" customHeight="false" outlineLevel="0" collapsed="false">
      <c r="A15" s="42" t="s">
        <v>278</v>
      </c>
      <c r="B15" s="42" t="s">
        <v>169</v>
      </c>
      <c r="C15" s="42" t="s">
        <v>611</v>
      </c>
    </row>
    <row r="16" customFormat="false" ht="15" hidden="false" customHeight="false" outlineLevel="0" collapsed="false">
      <c r="A16" s="42" t="s">
        <v>278</v>
      </c>
      <c r="B16" s="42" t="s">
        <v>174</v>
      </c>
      <c r="C16" s="42" t="s">
        <v>612</v>
      </c>
    </row>
    <row r="17" customFormat="false" ht="15" hidden="false" customHeight="false" outlineLevel="0" collapsed="false">
      <c r="A17" s="42" t="s">
        <v>278</v>
      </c>
      <c r="B17" s="42" t="s">
        <v>177</v>
      </c>
      <c r="C17" s="42" t="s">
        <v>613</v>
      </c>
    </row>
    <row r="18" customFormat="false" ht="15" hidden="false" customHeight="false" outlineLevel="0" collapsed="false">
      <c r="A18" s="42" t="s">
        <v>285</v>
      </c>
      <c r="B18" s="42" t="s">
        <v>190</v>
      </c>
      <c r="C18" s="42" t="s">
        <v>611</v>
      </c>
    </row>
    <row r="19" customFormat="false" ht="15" hidden="false" customHeight="false" outlineLevel="0" collapsed="false">
      <c r="A19" s="42" t="s">
        <v>285</v>
      </c>
      <c r="B19" s="42" t="s">
        <v>169</v>
      </c>
      <c r="C19" s="42" t="s">
        <v>612</v>
      </c>
    </row>
    <row r="20" customFormat="false" ht="15" hidden="false" customHeight="false" outlineLevel="0" collapsed="false">
      <c r="A20" s="42" t="s">
        <v>285</v>
      </c>
      <c r="B20" s="42" t="s">
        <v>174</v>
      </c>
      <c r="C20" s="42" t="s">
        <v>613</v>
      </c>
    </row>
    <row r="21" customFormat="false" ht="15" hidden="false" customHeight="false" outlineLevel="0" collapsed="false">
      <c r="A21" s="42" t="s">
        <v>285</v>
      </c>
      <c r="B21" s="42" t="s">
        <v>177</v>
      </c>
      <c r="C21" s="42" t="s">
        <v>614</v>
      </c>
    </row>
    <row r="22" customFormat="false" ht="15" hidden="false" customHeight="false" outlineLevel="0" collapsed="false">
      <c r="A22" s="42" t="s">
        <v>292</v>
      </c>
      <c r="B22" s="42" t="s">
        <v>190</v>
      </c>
      <c r="C22" s="42" t="s">
        <v>611</v>
      </c>
    </row>
    <row r="23" customFormat="false" ht="15" hidden="false" customHeight="false" outlineLevel="0" collapsed="false">
      <c r="A23" s="42" t="s">
        <v>292</v>
      </c>
      <c r="B23" s="42" t="s">
        <v>101</v>
      </c>
      <c r="C23" s="42" t="s">
        <v>612</v>
      </c>
    </row>
    <row r="24" customFormat="false" ht="15" hidden="false" customHeight="false" outlineLevel="0" collapsed="false">
      <c r="A24" s="42" t="s">
        <v>292</v>
      </c>
      <c r="B24" s="42" t="s">
        <v>106</v>
      </c>
      <c r="C24" s="42" t="s">
        <v>613</v>
      </c>
    </row>
    <row r="25" customFormat="false" ht="15" hidden="false" customHeight="false" outlineLevel="0" collapsed="false">
      <c r="A25" s="42" t="s">
        <v>299</v>
      </c>
      <c r="B25" s="42" t="s">
        <v>180</v>
      </c>
      <c r="C25" s="42" t="s">
        <v>611</v>
      </c>
    </row>
    <row r="26" customFormat="false" ht="15" hidden="false" customHeight="false" outlineLevel="0" collapsed="false">
      <c r="A26" s="42" t="s">
        <v>299</v>
      </c>
      <c r="B26" s="42" t="s">
        <v>177</v>
      </c>
      <c r="C26" s="42" t="s">
        <v>612</v>
      </c>
    </row>
    <row r="27" customFormat="false" ht="15" hidden="false" customHeight="false" outlineLevel="0" collapsed="false">
      <c r="A27" s="42" t="s">
        <v>299</v>
      </c>
      <c r="B27" s="42" t="s">
        <v>110</v>
      </c>
      <c r="C27" s="42" t="s">
        <v>613</v>
      </c>
    </row>
    <row r="28" customFormat="false" ht="15" hidden="false" customHeight="false" outlineLevel="0" collapsed="false">
      <c r="A28" s="42" t="s">
        <v>307</v>
      </c>
      <c r="B28" s="42" t="s">
        <v>190</v>
      </c>
      <c r="C28" s="42" t="s">
        <v>611</v>
      </c>
    </row>
    <row r="29" customFormat="false" ht="15" hidden="false" customHeight="false" outlineLevel="0" collapsed="false">
      <c r="A29" s="42" t="s">
        <v>307</v>
      </c>
      <c r="B29" s="42" t="s">
        <v>177</v>
      </c>
      <c r="C29" s="42" t="s">
        <v>612</v>
      </c>
    </row>
    <row r="30" customFormat="false" ht="15" hidden="false" customHeight="false" outlineLevel="0" collapsed="false">
      <c r="A30" s="42" t="s">
        <v>315</v>
      </c>
      <c r="B30" s="42" t="s">
        <v>183</v>
      </c>
      <c r="C30" s="42" t="s">
        <v>611</v>
      </c>
    </row>
    <row r="31" customFormat="false" ht="15" hidden="false" customHeight="false" outlineLevel="0" collapsed="false">
      <c r="A31" s="42" t="s">
        <v>315</v>
      </c>
      <c r="B31" s="42" t="s">
        <v>177</v>
      </c>
      <c r="C31" s="42" t="s">
        <v>612</v>
      </c>
    </row>
    <row r="32" customFormat="false" ht="15" hidden="false" customHeight="false" outlineLevel="0" collapsed="false">
      <c r="A32" s="42" t="s">
        <v>315</v>
      </c>
      <c r="B32" s="42" t="s">
        <v>110</v>
      </c>
      <c r="C32" s="42" t="s">
        <v>613</v>
      </c>
    </row>
    <row r="33" customFormat="false" ht="15" hidden="false" customHeight="false" outlineLevel="0" collapsed="false">
      <c r="A33" s="42" t="s">
        <v>315</v>
      </c>
      <c r="B33" s="42" t="s">
        <v>101</v>
      </c>
      <c r="C33" s="42" t="s">
        <v>613</v>
      </c>
    </row>
    <row r="34" customFormat="false" ht="15" hidden="false" customHeight="false" outlineLevel="0" collapsed="false">
      <c r="A34" s="42" t="s">
        <v>315</v>
      </c>
      <c r="B34" s="42" t="s">
        <v>190</v>
      </c>
      <c r="C34" s="42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2026-07-24T15:28:38Z</dcterms:created>
  <dc:creator>openpyxl</dc:creator>
  <dc:description/>
  <dc:language>en-US</dc:language>
  <cp:lastModifiedBy/>
  <dcterms:modified xsi:type="dcterms:W3CDTF">2026-08-24T02:50:12Z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