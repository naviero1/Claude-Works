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comments3.xml" ContentType="application/vnd.openxmlformats-officedocument.spreadsheetml.comments+xml"/>
  <Override PartName="/xl/styles.xml" ContentType="application/vnd.openxmlformats-officedocument.spreadsheetml.styles+xml"/>
  <Override PartName="/xl/worksheets/_rels/sheet3.xml.rels" ContentType="application/vnd.openxmlformats-package.relationship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comments1.xml" ContentType="application/vnd.openxmlformats-officedocument.spreadsheetml.comments+xml"/>
  <Override PartName="/xl/drawings/vmlDrawing1.vml" ContentType="application/vnd.openxmlformats-officedocument.vmlDrawing"/>
  <Override PartName="/xl/drawings/vmlDrawing2.vml" ContentType="application/vnd.openxmlformats-officedocument.vmlDrawing"/>
  <Override PartName="/xl/drawings/vmlDrawing3.vml" ContentType="application/vnd.openxmlformats-officedocument.vmlDrawing"/>
  <Override PartName="/xl/comments2.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Quote Summary" sheetId="1" state="visible" r:id="rId3"/>
    <sheet name="Xometry Line Items" sheetId="2" state="visible" r:id="rId4"/>
    <sheet name="Vendor Comparison" sheetId="3" state="visible" r:id="rId5"/>
  </sheet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Unknown Author</author>
  </authors>
  <commentList>
    <comment ref="B7" authorId="0">
      <text>
        <r>
          <rPr>
            <sz val="10"/>
            <rFont val="Arial"/>
            <family val="2"/>
          </rPr>
          <t xml:space="preserve">Quote/order number and date were not visible in the supplied screenshots — fill in from the Xometry quote header.</t>
        </r>
      </text>
    </comment>
  </commentList>
</comments>
</file>

<file path=xl/comments2.xml><?xml version="1.0" encoding="utf-8"?>
<comments xmlns="http://schemas.openxmlformats.org/spreadsheetml/2006/main" xmlns:xdr="http://schemas.openxmlformats.org/drawingml/2006/spreadsheetDrawing">
  <authors>
    <author>Unknown Author</author>
  </authors>
  <commentList>
    <comment ref="D7" authorId="0">
      <text>
        <r>
          <rPr>
            <sz val="10"/>
            <rFont val="Arial"/>
            <family val="2"/>
          </rPr>
          <t xml:space="preserve">Part ID transcribed as 09541B9 following the sequence 09541B7 / 09541B8; the character rendered ambiguously in the quote screenshot (could read 0954189). Verify against the source Xometry quote.</t>
        </r>
      </text>
    </comment>
  </commentList>
</comments>
</file>

<file path=xl/comments3.xml><?xml version="1.0" encoding="utf-8"?>
<comments xmlns="http://schemas.openxmlformats.org/spreadsheetml/2006/main" xmlns:xdr="http://schemas.openxmlformats.org/drawingml/2006/spreadsheetDrawing">
  <authors>
    <author>Unknown Author</author>
  </authors>
  <commentList>
    <comment ref="C14" authorId="0">
      <text>
        <r>
          <rPr>
            <sz val="10"/>
            <rFont val="Arial"/>
            <family val="2"/>
          </rPr>
          <t xml:space="preserve">Xometry quote/order number and date were not visible in the supplied screenshots.</t>
        </r>
      </text>
    </comment>
    <comment ref="F5" authorId="0">
      <text>
        <r>
          <rPr>
            <sz val="10"/>
            <rFont val="Arial"/>
            <family val="2"/>
          </rPr>
          <t xml:space="preserve">Rename to the actual vendor when their quote arrives.</t>
        </r>
      </text>
    </comment>
    <comment ref="G5" authorId="0">
      <text>
        <r>
          <rPr>
            <sz val="10"/>
            <rFont val="Arial"/>
            <family val="2"/>
          </rPr>
          <t xml:space="preserve">Rename to the actual vendor when their quote arrives.</t>
        </r>
      </text>
    </comment>
    <comment ref="I5" authorId="0">
      <text>
        <r>
          <rPr>
            <sz val="10"/>
            <rFont val="Arial"/>
            <family val="2"/>
          </rPr>
          <t xml:space="preserve">Rename to the actual vendor when their quote arrives.</t>
        </r>
      </text>
    </comment>
    <comment ref="J5" authorId="0">
      <text>
        <r>
          <rPr>
            <sz val="10"/>
            <rFont val="Arial"/>
            <family val="2"/>
          </rPr>
          <t xml:space="preserve">Rename to the actual vendor when their quote arrives.</t>
        </r>
      </text>
    </comment>
  </commentList>
</comments>
</file>

<file path=xl/sharedStrings.xml><?xml version="1.0" encoding="utf-8"?>
<sst xmlns="http://schemas.openxmlformats.org/spreadsheetml/2006/main" count="153" uniqueCount="111">
  <si>
    <t xml:space="preserve">Cardiac Project Costing</t>
  </si>
  <si>
    <t xml:space="preserve">Comparative vendor analysis — Cardiac MVR Suture Skills Kit REV B (3D-printed SLS Nylon 12 components)</t>
  </si>
  <si>
    <t xml:space="preserve">Project</t>
  </si>
  <si>
    <t xml:space="preserve">Product</t>
  </si>
  <si>
    <t xml:space="preserve">Cardiac MVR Suture Skills Kit REV B</t>
  </si>
  <si>
    <t xml:space="preserve">Vendor (Quote 1)</t>
  </si>
  <si>
    <t xml:space="preserve">Xometry</t>
  </si>
  <si>
    <t xml:space="preserve">Quote / Order #</t>
  </si>
  <si>
    <t xml:space="preserve">Quote date</t>
  </si>
  <si>
    <t xml:space="preserve">Currency</t>
  </si>
  <si>
    <t xml:space="preserve">USD</t>
  </si>
  <si>
    <t xml:space="preserve">Prepared by</t>
  </si>
  <si>
    <t xml:space="preserve">Oscar Penny</t>
  </si>
  <si>
    <t xml:space="preserve">Date recorded</t>
  </si>
  <si>
    <t xml:space="preserve">2026-08-18</t>
  </si>
  <si>
    <t xml:space="preserve">Line</t>
  </si>
  <si>
    <t xml:space="preserve">Part ID</t>
  </si>
  <si>
    <t xml:space="preserve">Part Description</t>
  </si>
  <si>
    <t xml:space="preserve">Qty</t>
  </si>
  <si>
    <t xml:space="preserve">Unit Price ($)</t>
  </si>
  <si>
    <t xml:space="preserve">Extended Price ($)</t>
  </si>
  <si>
    <t xml:space="preserve">TOTAL</t>
  </si>
  <si>
    <t xml:space="preserve">How to use this workbook</t>
  </si>
  <si>
    <t xml:space="preserve">Blue text</t>
  </si>
  <si>
    <t xml:space="preserve">Hardcoded input transcribed from the vendor quote</t>
  </si>
  <si>
    <t xml:space="preserve">Black text</t>
  </si>
  <si>
    <t xml:space="preserve">Formula — recalculates automatically, do not overwrite</t>
  </si>
  <si>
    <t xml:space="preserve">Green text</t>
  </si>
  <si>
    <t xml:space="preserve">Link to another sheet in this workbook</t>
  </si>
  <si>
    <t xml:space="preserve">Yellow fill</t>
  </si>
  <si>
    <t xml:space="preserve">Cell for you to fill in (e.g. future vendor quotes on the 'Vendor Comparison' sheet)</t>
  </si>
  <si>
    <t xml:space="preserve">Next step: as competing quotes arrive, enter each vendor's unit prices in the yellow cells on the 'Vendor Comparison' sheet (see the populated Xometry column for the expected format, e.g. 59.58). Best price, deltas, and savings calculate automatically.</t>
  </si>
  <si>
    <t xml:space="preserve">Xometry Quote — Line Item Detail</t>
  </si>
  <si>
    <t xml:space="preserve">Cardiac MVR Suture Skills Kit REV B — all data transcribed from the Xometry quote provided 2026-08-18</t>
  </si>
  <si>
    <t xml:space="preserve">PO Line Item Ref</t>
  </si>
  <si>
    <t xml:space="preserve">Part Version</t>
  </si>
  <si>
    <t xml:space="preserve">Origin</t>
  </si>
  <si>
    <t xml:space="preserve">X (mm)</t>
  </si>
  <si>
    <t xml:space="preserve">Y (mm)</t>
  </si>
  <si>
    <t xml:space="preserve">Z (mm)</t>
  </si>
  <si>
    <t xml:space="preserve">Volume (mm³)</t>
  </si>
  <si>
    <t xml:space="preserve">X (in)</t>
  </si>
  <si>
    <t xml:space="preserve">Y (in)</t>
  </si>
  <si>
    <t xml:space="preserve">Z (in)</t>
  </si>
  <si>
    <t xml:space="preserve">Volume (in³)</t>
  </si>
  <si>
    <t xml:space="preserve">Process</t>
  </si>
  <si>
    <t xml:space="preserve">Technology</t>
  </si>
  <si>
    <t xml:space="preserve">Material</t>
  </si>
  <si>
    <t xml:space="preserve">Color</t>
  </si>
  <si>
    <t xml:space="preserve">Finish</t>
  </si>
  <si>
    <t xml:space="preserve">Threads / Tapped Holes</t>
  </si>
  <si>
    <t xml:space="preserve">Inserts</t>
  </si>
  <si>
    <t xml:space="preserve">Inspection</t>
  </si>
  <si>
    <t xml:space="preserve">Line Notes</t>
  </si>
  <si>
    <t xml:space="preserve">667357</t>
  </si>
  <si>
    <t xml:space="preserve">VALVE RECEPTACLE, CARDIAC MVR SUTURE SKILLS KIT REV B</t>
  </si>
  <si>
    <t xml:space="preserve">09541B7</t>
  </si>
  <si>
    <t xml:space="preserve">2</t>
  </si>
  <si>
    <t xml:space="preserve">Made in USA</t>
  </si>
  <si>
    <t xml:space="preserve">3D Printing</t>
  </si>
  <si>
    <t xml:space="preserve">Selective Laser Sintering (SLS)</t>
  </si>
  <si>
    <t xml:space="preserve">Nylon 12</t>
  </si>
  <si>
    <t xml:space="preserve">Black-Dyed</t>
  </si>
  <si>
    <t xml:space="preserve">Vapor Smoothing</t>
  </si>
  <si>
    <t xml:space="preserve">None</t>
  </si>
  <si>
    <t xml:space="preserve">Custom Inspection, Formal inspection with dimensional report AND Qty 5 first articles to be shipped</t>
  </si>
  <si>
    <t xml:space="preserve">Lead time will begin upon acceptance of first articles.</t>
  </si>
  <si>
    <t xml:space="preserve">667355</t>
  </si>
  <si>
    <t xml:space="preserve">CHEST, CARDIAC MVR SUTURE SKILLS KIT REV B</t>
  </si>
  <si>
    <t xml:space="preserve">09541B8</t>
  </si>
  <si>
    <t xml:space="preserve">As Printed, Off White (Natural)</t>
  </si>
  <si>
    <t xml:space="preserve">667354</t>
  </si>
  <si>
    <t xml:space="preserve">BASE, CARDIAC MVR SUTURE SKILLS KIT REV B</t>
  </si>
  <si>
    <t xml:space="preserve">09541B9</t>
  </si>
  <si>
    <t xml:space="preserve">Custom Inspection, Formal inspection with dimensional report PLUS Qty 5 FAI Ship and hold</t>
  </si>
  <si>
    <t xml:space="preserve">TOTAL — Xometry quote</t>
  </si>
  <si>
    <t xml:space="preserve">Quote-level notes (apply to all line items)</t>
  </si>
  <si>
    <t xml:space="preserve">1. Parts to be sourced to the same partner as 8CEAB-15005 for quality and consistency.</t>
  </si>
  <si>
    <t xml:space="preserve">2. Parts to be ink stamped with month and year in area indicated by drawing.</t>
  </si>
  <si>
    <t xml:space="preserve">3. Parts will be inspected as quoted to the process standard in exception to the drawing.</t>
  </si>
  <si>
    <t xml:space="preserve">4. Typical tolerances for SLS Nylon 12 and variants are ± 0.015", or ± 0.002" per inch, whichever is greater.</t>
  </si>
  <si>
    <t xml:space="preserve">5. Thin walls and small features will have low durability where &lt;1 mm and may not resolve where &lt;0.75 mm.</t>
  </si>
  <si>
    <t xml:space="preserve">6. Lead time will begin upon acceptance of first articles (all line items).</t>
  </si>
  <si>
    <t xml:space="preserve">Source: Xometry quote screenshots supplied by user, recorded 2026-08-18. All specification and pricing values above are hardcoded from that quote (blue text); extended prices and totals are formulas.</t>
  </si>
  <si>
    <t xml:space="preserve">Vendor Comparison — Cardiac MVR Suture Skills Kit REV B</t>
  </si>
  <si>
    <t xml:space="preserve">Enter competing vendor unit prices in the yellow cells; extended prices, best price, and savings calculate automatically. Rename 'Vendor 2' / 'Vendor 3' headers to the actual vendor names.</t>
  </si>
  <si>
    <t xml:space="preserve">Vendor 2</t>
  </si>
  <si>
    <t xml:space="preserve">Vendor 3</t>
  </si>
  <si>
    <t xml:space="preserve">Best Unit Price ($)</t>
  </si>
  <si>
    <t xml:space="preserve">Best Vendor</t>
  </si>
  <si>
    <t xml:space="preserve">Savings vs Xometry ($)</t>
  </si>
  <si>
    <t xml:space="preserve">Savings (%)</t>
  </si>
  <si>
    <t xml:space="preserve">Vendor terms &amp; conditions</t>
  </si>
  <si>
    <t xml:space="preserve">Term</t>
  </si>
  <si>
    <t xml:space="preserve">Quote / order #</t>
  </si>
  <si>
    <t xml:space="preserve">Lead time</t>
  </si>
  <si>
    <t xml:space="preserve">Begins upon acceptance of first articles (not stated in days on quote)</t>
  </si>
  <si>
    <t xml:space="preserve">Process / technology</t>
  </si>
  <si>
    <t xml:space="preserve">3D Printing — Selective Laser Sintering (SLS), Nylon 12, Vapor Smoothing</t>
  </si>
  <si>
    <t xml:space="preserve">Inspection / FAI</t>
  </si>
  <si>
    <t xml:space="preserve">Formal inspection with dimensional report; Qty 5 first articles (lines 1–2 shipped; line 3 ship and hold)</t>
  </si>
  <si>
    <t xml:space="preserve">Tolerances</t>
  </si>
  <si>
    <t xml:space="preserve">± 0.015" or ± 0.002" per inch, whichever is greater (SLS Nylon 12)</t>
  </si>
  <si>
    <t xml:space="preserve">Marking</t>
  </si>
  <si>
    <t xml:space="preserve">Ink stamped with month and year in area indicated by drawing</t>
  </si>
  <si>
    <t xml:space="preserve">Sourcing constraint</t>
  </si>
  <si>
    <t xml:space="preserve">Same partner as 8CEAB-15005 for quality and consistency</t>
  </si>
  <si>
    <t xml:space="preserve">Country of origin</t>
  </si>
  <si>
    <t xml:space="preserve">Other notes</t>
  </si>
  <si>
    <t xml:space="preserve">Inspected to process standard in exception to the drawing; thin walls &lt;1 mm low durability, &lt;0.75 mm may not resolve</t>
  </si>
  <si>
    <t xml:space="preserve">Source: Xometry quote (screenshots supplied by user, recorded 2026-08-18). Yellow cells = to be filled in as competing vendor quotes arrive.</t>
  </si>
</sst>
</file>

<file path=xl/styles.xml><?xml version="1.0" encoding="utf-8"?>
<styleSheet xmlns="http://schemas.openxmlformats.org/spreadsheetml/2006/main">
  <numFmts count="7">
    <numFmt numFmtId="164" formatCode="General"/>
    <numFmt numFmtId="165" formatCode="General"/>
    <numFmt numFmtId="166" formatCode="#,##0"/>
    <numFmt numFmtId="167" formatCode="\$#,##0.00"/>
    <numFmt numFmtId="168" formatCode="#,##0.00"/>
    <numFmt numFmtId="169" formatCode="0.000"/>
    <numFmt numFmtId="170" formatCode="0.0%"/>
  </numFmts>
  <fonts count="13">
    <font>
      <sz val="11"/>
      <color theme="1"/>
      <name val="Calibri"/>
      <family val="2"/>
      <charset val="1"/>
    </font>
    <font>
      <sz val="10"/>
      <name val="Arial"/>
      <family val="0"/>
    </font>
    <font>
      <sz val="10"/>
      <name val="Arial"/>
      <family val="0"/>
    </font>
    <font>
      <sz val="10"/>
      <name val="Arial"/>
      <family val="0"/>
    </font>
    <font>
      <b val="true"/>
      <sz val="16"/>
      <color rgb="FF1F4E78"/>
      <name val="Arial"/>
      <family val="0"/>
      <charset val="1"/>
    </font>
    <font>
      <i val="true"/>
      <sz val="10"/>
      <color rgb="FF595959"/>
      <name val="Arial"/>
      <family val="0"/>
      <charset val="1"/>
    </font>
    <font>
      <b val="true"/>
      <sz val="10"/>
      <name val="Arial"/>
      <family val="0"/>
      <charset val="1"/>
    </font>
    <font>
      <sz val="10"/>
      <color rgb="FF0000FF"/>
      <name val="Arial"/>
      <family val="0"/>
      <charset val="1"/>
    </font>
    <font>
      <b val="true"/>
      <sz val="10"/>
      <color rgb="FFFFFFFF"/>
      <name val="Arial"/>
      <family val="0"/>
      <charset val="1"/>
    </font>
    <font>
      <sz val="10"/>
      <color rgb="FF008000"/>
      <name val="Arial"/>
      <family val="0"/>
      <charset val="1"/>
    </font>
    <font>
      <sz val="10"/>
      <name val="Arial"/>
      <family val="0"/>
      <charset val="1"/>
    </font>
    <font>
      <sz val="10"/>
      <name val="Arial"/>
      <family val="2"/>
    </font>
    <font>
      <b val="true"/>
      <sz val="14"/>
      <color rgb="FF1F4E78"/>
      <name val="Arial"/>
      <family val="0"/>
      <charset val="1"/>
    </font>
  </fonts>
  <fills count="7">
    <fill>
      <patternFill patternType="none"/>
    </fill>
    <fill>
      <patternFill patternType="gray125"/>
    </fill>
    <fill>
      <patternFill patternType="solid">
        <fgColor rgb="FFFFFF00"/>
        <bgColor rgb="FFFFFF00"/>
      </patternFill>
    </fill>
    <fill>
      <patternFill patternType="solid">
        <fgColor rgb="FF1F4E78"/>
        <bgColor rgb="FF003366"/>
      </patternFill>
    </fill>
    <fill>
      <patternFill patternType="solid">
        <fgColor rgb="FFDDEBF7"/>
        <bgColor rgb="FFCCFFFF"/>
      </patternFill>
    </fill>
    <fill>
      <patternFill patternType="solid">
        <fgColor rgb="FFBDD7EE"/>
        <bgColor rgb="FF99CCFF"/>
      </patternFill>
    </fill>
    <fill>
      <patternFill patternType="solid">
        <fgColor rgb="FF2E75B6"/>
        <bgColor rgb="FF0066CC"/>
      </patternFill>
    </fill>
  </fills>
  <borders count="3">
    <border diagonalUp="false" diagonalDown="false">
      <left/>
      <right/>
      <top/>
      <bottom/>
      <diagonal/>
    </border>
    <border diagonalUp="false" diagonalDown="false">
      <left style="thin">
        <color rgb="FFB0B0B0"/>
      </left>
      <right style="thin">
        <color rgb="FFB0B0B0"/>
      </right>
      <top style="thin">
        <color rgb="FFB0B0B0"/>
      </top>
      <bottom style="thin">
        <color rgb="FFB0B0B0"/>
      </bottom>
      <diagonal/>
    </border>
    <border diagonalUp="false" diagonalDown="false">
      <left style="thin">
        <color rgb="FFB0B0B0"/>
      </left>
      <right/>
      <top style="thin">
        <color rgb="FFB0B0B0"/>
      </top>
      <bottom style="thin">
        <color rgb="FFB0B0B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1" xfId="0" applyFont="true" applyBorder="true" applyAlignment="true" applyProtection="false">
      <alignment horizontal="left" vertical="top" textRotation="0" wrapText="true" indent="0" shrinkToFit="false"/>
      <protection locked="true" hidden="false"/>
    </xf>
    <xf numFmtId="164" fontId="7" fillId="0" borderId="1" xfId="0" applyFont="true" applyBorder="true" applyAlignment="true" applyProtection="false">
      <alignment horizontal="left" vertical="top" textRotation="0" wrapText="true" indent="0" shrinkToFit="false"/>
      <protection locked="true" hidden="false"/>
    </xf>
    <xf numFmtId="164" fontId="7" fillId="2" borderId="1" xfId="0" applyFont="true" applyBorder="true" applyAlignment="true" applyProtection="false">
      <alignment horizontal="left" vertical="top" textRotation="0" wrapText="true" indent="0" shrinkToFit="false"/>
      <protection locked="true" hidden="false"/>
    </xf>
    <xf numFmtId="164" fontId="8" fillId="3" borderId="1" xfId="0" applyFont="true" applyBorder="true" applyAlignment="true" applyProtection="false">
      <alignment horizontal="center" vertical="center" textRotation="0" wrapText="true" indent="0" shrinkToFit="false"/>
      <protection locked="true" hidden="false"/>
    </xf>
    <xf numFmtId="165" fontId="9" fillId="0" borderId="1" xfId="0" applyFont="true" applyBorder="true" applyAlignment="true" applyProtection="false">
      <alignment horizontal="center" vertical="center" textRotation="0" wrapText="true" indent="0" shrinkToFit="false"/>
      <protection locked="true" hidden="false"/>
    </xf>
    <xf numFmtId="164" fontId="9" fillId="0" borderId="1" xfId="0" applyFont="true" applyBorder="true" applyAlignment="true" applyProtection="false">
      <alignment horizontal="left" vertical="top" textRotation="0" wrapText="true" indent="0" shrinkToFit="false"/>
      <protection locked="true" hidden="false"/>
    </xf>
    <xf numFmtId="166" fontId="9" fillId="0" borderId="1" xfId="0" applyFont="true" applyBorder="true" applyAlignment="true" applyProtection="false">
      <alignment horizontal="center" vertical="center" textRotation="0" wrapText="true" indent="0" shrinkToFit="false"/>
      <protection locked="true" hidden="false"/>
    </xf>
    <xf numFmtId="167" fontId="9" fillId="0" borderId="1" xfId="0" applyFont="true" applyBorder="true" applyAlignment="true" applyProtection="false">
      <alignment horizontal="center" vertical="center" textRotation="0" wrapText="true" indent="0" shrinkToFit="false"/>
      <protection locked="true" hidden="false"/>
    </xf>
    <xf numFmtId="165" fontId="9" fillId="4" borderId="1" xfId="0" applyFont="true" applyBorder="true" applyAlignment="true" applyProtection="false">
      <alignment horizontal="center" vertical="center" textRotation="0" wrapText="true" indent="0" shrinkToFit="false"/>
      <protection locked="true" hidden="false"/>
    </xf>
    <xf numFmtId="164" fontId="9" fillId="4" borderId="1" xfId="0" applyFont="true" applyBorder="true" applyAlignment="true" applyProtection="false">
      <alignment horizontal="left" vertical="top" textRotation="0" wrapText="true" indent="0" shrinkToFit="false"/>
      <protection locked="true" hidden="false"/>
    </xf>
    <xf numFmtId="166" fontId="9" fillId="4" borderId="1" xfId="0" applyFont="true" applyBorder="true" applyAlignment="true" applyProtection="false">
      <alignment horizontal="center" vertical="center" textRotation="0" wrapText="true" indent="0" shrinkToFit="false"/>
      <protection locked="true" hidden="false"/>
    </xf>
    <xf numFmtId="167" fontId="9" fillId="4" borderId="1" xfId="0" applyFont="true" applyBorder="true" applyAlignment="true" applyProtection="false">
      <alignment horizontal="center" vertical="center" textRotation="0" wrapText="true" indent="0" shrinkToFit="false"/>
      <protection locked="true" hidden="false"/>
    </xf>
    <xf numFmtId="164" fontId="6" fillId="5" borderId="1" xfId="0" applyFont="true" applyBorder="true" applyAlignment="false" applyProtection="false">
      <alignment horizontal="general" vertical="bottom" textRotation="0" wrapText="false" indent="0" shrinkToFit="false"/>
      <protection locked="true" hidden="false"/>
    </xf>
    <xf numFmtId="164" fontId="6" fillId="5" borderId="1" xfId="0" applyFont="true" applyBorder="true" applyAlignment="true" applyProtection="false">
      <alignment horizontal="left" vertical="top" textRotation="0" wrapText="true" indent="0" shrinkToFit="false"/>
      <protection locked="true" hidden="false"/>
    </xf>
    <xf numFmtId="167" fontId="6" fillId="5" borderId="1" xfId="0" applyFont="true" applyBorder="true" applyAlignment="true" applyProtection="false">
      <alignment horizontal="center" vertical="center"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0" fillId="0" borderId="1" xfId="0" applyFont="true" applyBorder="true" applyAlignment="false" applyProtection="false">
      <alignment horizontal="general" vertical="bottom" textRotation="0" wrapText="false" indent="0" shrinkToFit="false"/>
      <protection locked="true" hidden="false"/>
    </xf>
    <xf numFmtId="164" fontId="9" fillId="0" borderId="1" xfId="0" applyFont="true" applyBorder="true" applyAlignment="false" applyProtection="false">
      <alignment horizontal="general" vertical="bottom" textRotation="0" wrapText="false" indent="0" shrinkToFit="false"/>
      <protection locked="true" hidden="false"/>
    </xf>
    <xf numFmtId="164" fontId="7" fillId="2" borderId="1"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center" vertical="center" textRotation="0" wrapText="true" indent="0" shrinkToFit="false"/>
      <protection locked="true" hidden="false"/>
    </xf>
    <xf numFmtId="168" fontId="7" fillId="0" borderId="1" xfId="0" applyFont="true" applyBorder="true" applyAlignment="true" applyProtection="false">
      <alignment horizontal="center" vertical="center" textRotation="0" wrapText="true" indent="0" shrinkToFit="false"/>
      <protection locked="true" hidden="false"/>
    </xf>
    <xf numFmtId="169" fontId="7" fillId="0" borderId="1" xfId="0" applyFont="true" applyBorder="true" applyAlignment="true" applyProtection="false">
      <alignment horizontal="center" vertical="center" textRotation="0" wrapText="true" indent="0" shrinkToFit="false"/>
      <protection locked="true" hidden="false"/>
    </xf>
    <xf numFmtId="166" fontId="7" fillId="0" borderId="1" xfId="0" applyFont="true" applyBorder="true" applyAlignment="true" applyProtection="false">
      <alignment horizontal="center" vertical="center" textRotation="0" wrapText="true" indent="0" shrinkToFit="false"/>
      <protection locked="true" hidden="false"/>
    </xf>
    <xf numFmtId="167" fontId="7" fillId="0" borderId="1" xfId="0" applyFont="true" applyBorder="true" applyAlignment="true" applyProtection="false">
      <alignment horizontal="center" vertical="center" textRotation="0" wrapText="true" indent="0" shrinkToFit="false"/>
      <protection locked="true" hidden="false"/>
    </xf>
    <xf numFmtId="167" fontId="10" fillId="0" borderId="1" xfId="0" applyFont="true" applyBorder="true" applyAlignment="true" applyProtection="false">
      <alignment horizontal="center" vertical="center" textRotation="0" wrapText="true" indent="0" shrinkToFit="false"/>
      <protection locked="true" hidden="false"/>
    </xf>
    <xf numFmtId="164" fontId="7" fillId="4" borderId="1" xfId="0" applyFont="true" applyBorder="true" applyAlignment="true" applyProtection="false">
      <alignment horizontal="center" vertical="center" textRotation="0" wrapText="true" indent="0" shrinkToFit="false"/>
      <protection locked="true" hidden="false"/>
    </xf>
    <xf numFmtId="164" fontId="7" fillId="4" borderId="1" xfId="0" applyFont="true" applyBorder="true" applyAlignment="true" applyProtection="false">
      <alignment horizontal="left" vertical="top" textRotation="0" wrapText="true" indent="0" shrinkToFit="false"/>
      <protection locked="true" hidden="false"/>
    </xf>
    <xf numFmtId="168" fontId="7" fillId="4" borderId="1" xfId="0" applyFont="true" applyBorder="true" applyAlignment="true" applyProtection="false">
      <alignment horizontal="center" vertical="center" textRotation="0" wrapText="true" indent="0" shrinkToFit="false"/>
      <protection locked="true" hidden="false"/>
    </xf>
    <xf numFmtId="169" fontId="7" fillId="4" borderId="1" xfId="0" applyFont="true" applyBorder="true" applyAlignment="true" applyProtection="false">
      <alignment horizontal="center" vertical="center" textRotation="0" wrapText="true" indent="0" shrinkToFit="false"/>
      <protection locked="true" hidden="false"/>
    </xf>
    <xf numFmtId="166" fontId="7" fillId="4" borderId="1" xfId="0" applyFont="true" applyBorder="true" applyAlignment="true" applyProtection="false">
      <alignment horizontal="center" vertical="center" textRotation="0" wrapText="true" indent="0" shrinkToFit="false"/>
      <protection locked="true" hidden="false"/>
    </xf>
    <xf numFmtId="167" fontId="7" fillId="4" borderId="1" xfId="0" applyFont="true" applyBorder="true" applyAlignment="true" applyProtection="false">
      <alignment horizontal="center" vertical="center" textRotation="0" wrapText="true" indent="0" shrinkToFit="false"/>
      <protection locked="true" hidden="false"/>
    </xf>
    <xf numFmtId="167" fontId="10" fillId="4" borderId="1" xfId="0" applyFont="true" applyBorder="true" applyAlignment="true" applyProtection="false">
      <alignment horizontal="center" vertical="center" textRotation="0" wrapText="true" indent="0" shrinkToFit="false"/>
      <protection locked="true" hidden="false"/>
    </xf>
    <xf numFmtId="166" fontId="6" fillId="5" borderId="1" xfId="0" applyFont="true" applyBorder="true" applyAlignment="true" applyProtection="false">
      <alignment horizontal="center" vertical="center" textRotation="0" wrapText="true" indent="0" shrinkToFit="false"/>
      <protection locked="true" hidden="false"/>
    </xf>
    <xf numFmtId="164" fontId="10" fillId="0" borderId="0" xfId="0" applyFont="true" applyBorder="true" applyAlignment="false" applyProtection="false">
      <alignment horizontal="general" vertical="bottom" textRotation="0" wrapText="false" indent="0" shrinkToFit="false"/>
      <protection locked="true" hidden="false"/>
    </xf>
    <xf numFmtId="164" fontId="8" fillId="6" borderId="2" xfId="0" applyFont="true" applyBorder="true" applyAlignment="true" applyProtection="false">
      <alignment horizontal="center" vertical="center" textRotation="0" wrapText="true" indent="0" shrinkToFit="false"/>
      <protection locked="true" hidden="false"/>
    </xf>
    <xf numFmtId="167" fontId="7" fillId="2" borderId="1" xfId="0" applyFont="true" applyBorder="true" applyAlignment="true" applyProtection="false">
      <alignment horizontal="center" vertical="center" textRotation="0" wrapText="true" indent="0" shrinkToFit="false"/>
      <protection locked="true" hidden="false"/>
    </xf>
    <xf numFmtId="164" fontId="10" fillId="0" borderId="1" xfId="0" applyFont="true" applyBorder="true" applyAlignment="true" applyProtection="false">
      <alignment horizontal="center" vertical="center" textRotation="0" wrapText="true" indent="0" shrinkToFit="false"/>
      <protection locked="true" hidden="false"/>
    </xf>
    <xf numFmtId="170" fontId="10" fillId="0" borderId="1" xfId="0" applyFont="true" applyBorder="true" applyAlignment="true" applyProtection="false">
      <alignment horizontal="center" vertical="center" textRotation="0" wrapText="true" indent="0" shrinkToFit="false"/>
      <protection locked="true" hidden="false"/>
    </xf>
    <xf numFmtId="164" fontId="10" fillId="4" borderId="1" xfId="0" applyFont="true" applyBorder="true" applyAlignment="true" applyProtection="false">
      <alignment horizontal="center" vertical="center" textRotation="0" wrapText="true" indent="0" shrinkToFit="false"/>
      <protection locked="true" hidden="false"/>
    </xf>
    <xf numFmtId="170" fontId="10" fillId="4" borderId="1" xfId="0" applyFont="true" applyBorder="true" applyAlignment="true" applyProtection="false">
      <alignment horizontal="center" vertical="center" textRotation="0" wrapText="true" indent="0" shrinkToFit="false"/>
      <protection locked="true" hidden="false"/>
    </xf>
    <xf numFmtId="164" fontId="8" fillId="3" borderId="2" xfId="0" applyFont="true" applyBorder="true" applyAlignment="true" applyProtection="false">
      <alignment horizontal="center" vertical="center" textRotation="0" wrapText="true" indent="0" shrinkToFit="false"/>
      <protection locked="true" hidden="false"/>
    </xf>
    <xf numFmtId="164" fontId="6" fillId="0" borderId="2" xfId="0" applyFont="true" applyBorder="true" applyAlignment="true" applyProtection="false">
      <alignment horizontal="left" vertical="top" textRotation="0" wrapText="true" indent="0" shrinkToFit="false"/>
      <protection locked="true" hidden="false"/>
    </xf>
    <xf numFmtId="164" fontId="7" fillId="2" borderId="2" xfId="0" applyFont="true" applyBorder="true" applyAlignment="true" applyProtection="false">
      <alignment horizontal="left" vertical="top" textRotation="0" wrapText="true" indent="0" shrinkToFit="false"/>
      <protection locked="true" hidden="false"/>
    </xf>
    <xf numFmtId="164" fontId="7" fillId="0" borderId="2" xfId="0" applyFont="true" applyBorder="true" applyAlignment="true" applyProtection="false">
      <alignment horizontal="left"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0B0B0"/>
      <rgbColor rgb="FF808080"/>
      <rgbColor rgb="FF9999FF"/>
      <rgbColor rgb="FF993366"/>
      <rgbColor rgb="FFFFFFCC"/>
      <rgbColor rgb="FFDDEBF7"/>
      <rgbColor rgb="FF660066"/>
      <rgbColor rgb="FFFF8080"/>
      <rgbColor rgb="FF0066CC"/>
      <rgbColor rgb="FFBDD7EE"/>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2E75B6"/>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2.vml"/>
</Relationships>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3.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0"/>
    <col collapsed="false" customWidth="true" hidden="false" outlineLevel="0" max="2" min="2" style="0" width="46"/>
    <col collapsed="false" customWidth="true" hidden="false" outlineLevel="0" max="3" min="3" style="0" width="14"/>
    <col collapsed="false" customWidth="true" hidden="false" outlineLevel="0" max="4" min="4" style="0" width="10"/>
    <col collapsed="false" customWidth="true" hidden="false" outlineLevel="0" max="5" min="5" style="0" width="14"/>
    <col collapsed="false" customWidth="true" hidden="false" outlineLevel="0" max="6" min="6" style="0" width="16"/>
  </cols>
  <sheetData>
    <row r="1" customFormat="false" ht="19.7"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c r="B4" s="4" t="s">
        <v>0</v>
      </c>
    </row>
    <row r="5" customFormat="false" ht="15" hidden="false" customHeight="false" outlineLevel="0" collapsed="false">
      <c r="A5" s="3" t="s">
        <v>3</v>
      </c>
      <c r="B5" s="4" t="s">
        <v>4</v>
      </c>
    </row>
    <row r="6" customFormat="false" ht="15" hidden="false" customHeight="false" outlineLevel="0" collapsed="false">
      <c r="A6" s="3" t="s">
        <v>5</v>
      </c>
      <c r="B6" s="4" t="s">
        <v>6</v>
      </c>
    </row>
    <row r="7" customFormat="false" ht="15" hidden="false" customHeight="false" outlineLevel="0" collapsed="false">
      <c r="A7" s="3" t="s">
        <v>7</v>
      </c>
      <c r="B7" s="5"/>
    </row>
    <row r="8" customFormat="false" ht="15" hidden="false" customHeight="false" outlineLevel="0" collapsed="false">
      <c r="A8" s="3" t="s">
        <v>8</v>
      </c>
      <c r="B8" s="5"/>
    </row>
    <row r="9" customFormat="false" ht="15" hidden="false" customHeight="false" outlineLevel="0" collapsed="false">
      <c r="A9" s="3" t="s">
        <v>9</v>
      </c>
      <c r="B9" s="4" t="s">
        <v>10</v>
      </c>
    </row>
    <row r="10" customFormat="false" ht="15" hidden="false" customHeight="false" outlineLevel="0" collapsed="false">
      <c r="A10" s="3" t="s">
        <v>11</v>
      </c>
      <c r="B10" s="4" t="s">
        <v>12</v>
      </c>
    </row>
    <row r="11" customFormat="false" ht="15" hidden="false" customHeight="false" outlineLevel="0" collapsed="false">
      <c r="A11" s="3" t="s">
        <v>13</v>
      </c>
      <c r="B11" s="4" t="s">
        <v>14</v>
      </c>
    </row>
    <row r="14" customFormat="false" ht="15" hidden="false" customHeight="false" outlineLevel="0" collapsed="false">
      <c r="A14" s="6" t="s">
        <v>15</v>
      </c>
      <c r="B14" s="6" t="s">
        <v>16</v>
      </c>
      <c r="C14" s="6" t="s">
        <v>17</v>
      </c>
      <c r="D14" s="6" t="s">
        <v>18</v>
      </c>
      <c r="E14" s="6" t="s">
        <v>19</v>
      </c>
      <c r="F14" s="6" t="s">
        <v>20</v>
      </c>
    </row>
    <row r="15" customFormat="false" ht="57.45" hidden="false" customHeight="false" outlineLevel="0" collapsed="false">
      <c r="A15" s="7" t="n">
        <f aca="false">'Xometry Line Items'!A5</f>
        <v>1</v>
      </c>
      <c r="B15" s="7" t="str">
        <f aca="false">'Xometry Line Items'!D5</f>
        <v>09541B7</v>
      </c>
      <c r="C15" s="8" t="str">
        <f aca="false">'Xometry Line Items'!C5</f>
        <v>VALVE RECEPTACLE, CARDIAC MVR SUTURE SKILLS KIT REV B</v>
      </c>
      <c r="D15" s="9" t="n">
        <f aca="false">'Xometry Line Items'!X5</f>
        <v>50</v>
      </c>
      <c r="E15" s="10" t="n">
        <f aca="false">'Xometry Line Items'!Y5</f>
        <v>59.58</v>
      </c>
      <c r="F15" s="10" t="n">
        <f aca="false">'Xometry Line Items'!Z5</f>
        <v>2979</v>
      </c>
    </row>
    <row r="16" customFormat="false" ht="35.05" hidden="false" customHeight="false" outlineLevel="0" collapsed="false">
      <c r="A16" s="11" t="n">
        <f aca="false">'Xometry Line Items'!A6</f>
        <v>2</v>
      </c>
      <c r="B16" s="11" t="str">
        <f aca="false">'Xometry Line Items'!D6</f>
        <v>09541B8</v>
      </c>
      <c r="C16" s="12" t="str">
        <f aca="false">'Xometry Line Items'!C6</f>
        <v>CHEST, CARDIAC MVR SUTURE SKILLS KIT REV B</v>
      </c>
      <c r="D16" s="13" t="n">
        <f aca="false">'Xometry Line Items'!X6</f>
        <v>50</v>
      </c>
      <c r="E16" s="14" t="n">
        <f aca="false">'Xometry Line Items'!Y6</f>
        <v>378.56</v>
      </c>
      <c r="F16" s="14" t="n">
        <f aca="false">'Xometry Line Items'!Z6</f>
        <v>18928</v>
      </c>
    </row>
    <row r="17" customFormat="false" ht="35.05" hidden="false" customHeight="false" outlineLevel="0" collapsed="false">
      <c r="A17" s="7" t="n">
        <f aca="false">'Xometry Line Items'!A7</f>
        <v>3</v>
      </c>
      <c r="B17" s="7" t="str">
        <f aca="false">'Xometry Line Items'!D7</f>
        <v>09541B9</v>
      </c>
      <c r="C17" s="8" t="str">
        <f aca="false">'Xometry Line Items'!C7</f>
        <v>BASE, CARDIAC MVR SUTURE SKILLS KIT REV B</v>
      </c>
      <c r="D17" s="9" t="n">
        <f aca="false">'Xometry Line Items'!X7</f>
        <v>50</v>
      </c>
      <c r="E17" s="10" t="n">
        <f aca="false">'Xometry Line Items'!Y7</f>
        <v>652.66</v>
      </c>
      <c r="F17" s="10" t="n">
        <f aca="false">'Xometry Line Items'!Z7</f>
        <v>32633</v>
      </c>
    </row>
    <row r="18" customFormat="false" ht="15" hidden="false" customHeight="false" outlineLevel="0" collapsed="false">
      <c r="A18" s="15"/>
      <c r="B18" s="15"/>
      <c r="C18" s="16" t="s">
        <v>21</v>
      </c>
      <c r="D18" s="15"/>
      <c r="E18" s="15"/>
      <c r="F18" s="17" t="n">
        <f aca="false">SUM(F15:F17)</f>
        <v>54540</v>
      </c>
    </row>
    <row r="20" customFormat="false" ht="15" hidden="false" customHeight="false" outlineLevel="0" collapsed="false">
      <c r="A20" s="18" t="s">
        <v>22</v>
      </c>
    </row>
    <row r="21" customFormat="false" ht="15" hidden="false" customHeight="false" outlineLevel="0" collapsed="false">
      <c r="A21" s="19" t="s">
        <v>23</v>
      </c>
      <c r="B21" s="20" t="s">
        <v>24</v>
      </c>
    </row>
    <row r="22" customFormat="false" ht="15" hidden="false" customHeight="false" outlineLevel="0" collapsed="false">
      <c r="A22" s="21" t="s">
        <v>25</v>
      </c>
      <c r="B22" s="20" t="s">
        <v>26</v>
      </c>
    </row>
    <row r="23" customFormat="false" ht="15" hidden="false" customHeight="false" outlineLevel="0" collapsed="false">
      <c r="A23" s="22" t="s">
        <v>27</v>
      </c>
      <c r="B23" s="20" t="s">
        <v>28</v>
      </c>
    </row>
    <row r="24" customFormat="false" ht="15" hidden="false" customHeight="false" outlineLevel="0" collapsed="false">
      <c r="A24" s="23" t="s">
        <v>29</v>
      </c>
      <c r="B24" s="20" t="s">
        <v>30</v>
      </c>
    </row>
    <row r="26" customFormat="false" ht="23.85" hidden="false" customHeight="true" outlineLevel="0" collapsed="false">
      <c r="A26" s="24" t="s">
        <v>31</v>
      </c>
      <c r="B26" s="24"/>
      <c r="C26" s="24"/>
      <c r="D26" s="24"/>
      <c r="E26" s="24"/>
      <c r="F26" s="24"/>
    </row>
  </sheetData>
  <mergeCells count="1">
    <mergeCell ref="A26:F2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5390625" defaultRowHeight="15" zeroHeight="false" outlineLevelRow="0" outlineLevelCol="0"/>
  <cols>
    <col collapsed="false" customWidth="true" hidden="false" outlineLevel="0" max="1" min="1" style="0" width="6"/>
    <col collapsed="false" customWidth="true" hidden="false" outlineLevel="0" max="2" min="2" style="0" width="12"/>
    <col collapsed="false" customWidth="true" hidden="false" outlineLevel="0" max="3" min="3" style="0" width="38"/>
    <col collapsed="false" customWidth="true" hidden="false" outlineLevel="0" max="4" min="4" style="0" width="10"/>
    <col collapsed="false" customWidth="true" hidden="false" outlineLevel="0" max="5" min="5" style="0" width="9"/>
    <col collapsed="false" customWidth="true" hidden="false" outlineLevel="0" max="6" min="6" style="0" width="12"/>
    <col collapsed="false" customWidth="true" hidden="false" outlineLevel="0" max="9" min="7" style="0" width="9"/>
    <col collapsed="false" customWidth="true" hidden="false" outlineLevel="0" max="10" min="10" style="0" width="13"/>
    <col collapsed="false" customWidth="true" hidden="false" outlineLevel="0" max="13" min="11" style="0" width="8"/>
    <col collapsed="false" customWidth="true" hidden="false" outlineLevel="0" max="14" min="14" style="0" width="11"/>
    <col collapsed="false" customWidth="true" hidden="false" outlineLevel="0" max="15" min="15" style="0" width="12"/>
    <col collapsed="false" customWidth="true" hidden="false" outlineLevel="0" max="16" min="16" style="0" width="26"/>
    <col collapsed="false" customWidth="true" hidden="false" outlineLevel="0" max="17" min="17" style="0" width="10"/>
    <col collapsed="false" customWidth="true" hidden="false" outlineLevel="0" max="18" min="18" style="0" width="24"/>
    <col collapsed="false" customWidth="true" hidden="false" outlineLevel="0" max="19" min="19" style="0" width="16"/>
    <col collapsed="false" customWidth="true" hidden="false" outlineLevel="0" max="20" min="20" style="0" width="12"/>
    <col collapsed="false" customWidth="true" hidden="false" outlineLevel="0" max="21" min="21" style="0" width="9"/>
    <col collapsed="false" customWidth="true" hidden="false" outlineLevel="0" max="22" min="22" style="0" width="42"/>
    <col collapsed="false" customWidth="true" hidden="false" outlineLevel="0" max="23" min="23" style="0" width="30"/>
    <col collapsed="false" customWidth="true" hidden="false" outlineLevel="0" max="24" min="24" style="0" width="8"/>
    <col collapsed="false" customWidth="true" hidden="false" outlineLevel="0" max="25" min="25" style="0" width="12"/>
    <col collapsed="false" customWidth="true" hidden="false" outlineLevel="0" max="26" min="26" style="0" width="14"/>
  </cols>
  <sheetData>
    <row r="1" customFormat="false" ht="17.35" hidden="false" customHeight="false" outlineLevel="0" collapsed="false">
      <c r="A1" s="25" t="s">
        <v>32</v>
      </c>
    </row>
    <row r="2" customFormat="false" ht="15" hidden="false" customHeight="false" outlineLevel="0" collapsed="false">
      <c r="A2" s="2" t="s">
        <v>33</v>
      </c>
    </row>
    <row r="4" customFormat="false" ht="23.85" hidden="false" customHeight="false" outlineLevel="0" collapsed="false">
      <c r="A4" s="6" t="s">
        <v>15</v>
      </c>
      <c r="B4" s="6" t="s">
        <v>34</v>
      </c>
      <c r="C4" s="6" t="s">
        <v>17</v>
      </c>
      <c r="D4" s="6" t="s">
        <v>16</v>
      </c>
      <c r="E4" s="6" t="s">
        <v>35</v>
      </c>
      <c r="F4" s="6" t="s">
        <v>36</v>
      </c>
      <c r="G4" s="6" t="s">
        <v>37</v>
      </c>
      <c r="H4" s="6" t="s">
        <v>38</v>
      </c>
      <c r="I4" s="6" t="s">
        <v>39</v>
      </c>
      <c r="J4" s="6" t="s">
        <v>40</v>
      </c>
      <c r="K4" s="6" t="s">
        <v>41</v>
      </c>
      <c r="L4" s="6" t="s">
        <v>42</v>
      </c>
      <c r="M4" s="6" t="s">
        <v>43</v>
      </c>
      <c r="N4" s="6" t="s">
        <v>44</v>
      </c>
      <c r="O4" s="6" t="s">
        <v>45</v>
      </c>
      <c r="P4" s="6" t="s">
        <v>46</v>
      </c>
      <c r="Q4" s="6" t="s">
        <v>47</v>
      </c>
      <c r="R4" s="6" t="s">
        <v>48</v>
      </c>
      <c r="S4" s="6" t="s">
        <v>49</v>
      </c>
      <c r="T4" s="6" t="s">
        <v>50</v>
      </c>
      <c r="U4" s="6" t="s">
        <v>51</v>
      </c>
      <c r="V4" s="6" t="s">
        <v>52</v>
      </c>
      <c r="W4" s="6" t="s">
        <v>53</v>
      </c>
      <c r="X4" s="6" t="s">
        <v>18</v>
      </c>
      <c r="Y4" s="6" t="s">
        <v>19</v>
      </c>
      <c r="Z4" s="6" t="s">
        <v>20</v>
      </c>
    </row>
    <row r="5" customFormat="false" ht="23.85" hidden="false" customHeight="false" outlineLevel="0" collapsed="false">
      <c r="A5" s="26" t="n">
        <v>1</v>
      </c>
      <c r="B5" s="26" t="s">
        <v>54</v>
      </c>
      <c r="C5" s="4" t="s">
        <v>55</v>
      </c>
      <c r="D5" s="26" t="s">
        <v>56</v>
      </c>
      <c r="E5" s="26" t="s">
        <v>57</v>
      </c>
      <c r="F5" s="26" t="s">
        <v>58</v>
      </c>
      <c r="G5" s="27" t="n">
        <v>96.32</v>
      </c>
      <c r="H5" s="27" t="n">
        <v>96.2</v>
      </c>
      <c r="I5" s="27" t="n">
        <v>21.59</v>
      </c>
      <c r="J5" s="27" t="n">
        <v>41947.99</v>
      </c>
      <c r="K5" s="28" t="n">
        <v>3.792</v>
      </c>
      <c r="L5" s="28" t="n">
        <v>3.788</v>
      </c>
      <c r="M5" s="28" t="n">
        <v>0.85</v>
      </c>
      <c r="N5" s="28" t="n">
        <v>2.56</v>
      </c>
      <c r="O5" s="26" t="s">
        <v>59</v>
      </c>
      <c r="P5" s="26" t="s">
        <v>60</v>
      </c>
      <c r="Q5" s="26" t="s">
        <v>61</v>
      </c>
      <c r="R5" s="26" t="s">
        <v>62</v>
      </c>
      <c r="S5" s="26" t="s">
        <v>63</v>
      </c>
      <c r="T5" s="26" t="s">
        <v>64</v>
      </c>
      <c r="U5" s="26" t="s">
        <v>64</v>
      </c>
      <c r="V5" s="4" t="s">
        <v>65</v>
      </c>
      <c r="W5" s="4" t="s">
        <v>66</v>
      </c>
      <c r="X5" s="29" t="n">
        <v>50</v>
      </c>
      <c r="Y5" s="30" t="n">
        <v>59.58</v>
      </c>
      <c r="Z5" s="31" t="n">
        <f aca="false">X5*Y5</f>
        <v>2979</v>
      </c>
    </row>
    <row r="6" customFormat="false" ht="23.85" hidden="false" customHeight="false" outlineLevel="0" collapsed="false">
      <c r="A6" s="32" t="n">
        <v>2</v>
      </c>
      <c r="B6" s="32" t="s">
        <v>67</v>
      </c>
      <c r="C6" s="33" t="s">
        <v>68</v>
      </c>
      <c r="D6" s="32" t="s">
        <v>69</v>
      </c>
      <c r="E6" s="32" t="s">
        <v>57</v>
      </c>
      <c r="F6" s="32" t="s">
        <v>58</v>
      </c>
      <c r="G6" s="34" t="n">
        <v>291.42</v>
      </c>
      <c r="H6" s="34" t="n">
        <v>189.62</v>
      </c>
      <c r="I6" s="34" t="n">
        <v>180.34</v>
      </c>
      <c r="J6" s="34" t="n">
        <v>195865.78</v>
      </c>
      <c r="K6" s="35" t="n">
        <v>11.473</v>
      </c>
      <c r="L6" s="35" t="n">
        <v>7.466</v>
      </c>
      <c r="M6" s="35" t="n">
        <v>7.1</v>
      </c>
      <c r="N6" s="35" t="n">
        <v>11.952</v>
      </c>
      <c r="O6" s="32" t="s">
        <v>59</v>
      </c>
      <c r="P6" s="32" t="s">
        <v>60</v>
      </c>
      <c r="Q6" s="32" t="s">
        <v>61</v>
      </c>
      <c r="R6" s="32" t="s">
        <v>70</v>
      </c>
      <c r="S6" s="32" t="s">
        <v>63</v>
      </c>
      <c r="T6" s="32" t="s">
        <v>64</v>
      </c>
      <c r="U6" s="32" t="s">
        <v>64</v>
      </c>
      <c r="V6" s="33" t="s">
        <v>65</v>
      </c>
      <c r="W6" s="33" t="s">
        <v>66</v>
      </c>
      <c r="X6" s="36" t="n">
        <v>50</v>
      </c>
      <c r="Y6" s="37" t="n">
        <v>378.56</v>
      </c>
      <c r="Z6" s="38" t="n">
        <f aca="false">X6*Y6</f>
        <v>18928</v>
      </c>
    </row>
    <row r="7" customFormat="false" ht="23.85" hidden="false" customHeight="false" outlineLevel="0" collapsed="false">
      <c r="A7" s="26" t="n">
        <v>3</v>
      </c>
      <c r="B7" s="26" t="s">
        <v>71</v>
      </c>
      <c r="C7" s="4" t="s">
        <v>72</v>
      </c>
      <c r="D7" s="26" t="s">
        <v>73</v>
      </c>
      <c r="E7" s="26" t="s">
        <v>57</v>
      </c>
      <c r="F7" s="26" t="s">
        <v>58</v>
      </c>
      <c r="G7" s="27" t="n">
        <v>294.36</v>
      </c>
      <c r="H7" s="27" t="n">
        <v>199.39</v>
      </c>
      <c r="I7" s="27" t="n">
        <v>184.65</v>
      </c>
      <c r="J7" s="27" t="n">
        <v>409785.65</v>
      </c>
      <c r="K7" s="28" t="n">
        <v>11.589</v>
      </c>
      <c r="L7" s="28" t="n">
        <v>7.85</v>
      </c>
      <c r="M7" s="28" t="n">
        <v>7.27</v>
      </c>
      <c r="N7" s="28" t="n">
        <v>25.007</v>
      </c>
      <c r="O7" s="26" t="s">
        <v>59</v>
      </c>
      <c r="P7" s="26" t="s">
        <v>60</v>
      </c>
      <c r="Q7" s="26" t="s">
        <v>61</v>
      </c>
      <c r="R7" s="26" t="s">
        <v>62</v>
      </c>
      <c r="S7" s="26" t="s">
        <v>63</v>
      </c>
      <c r="T7" s="26" t="s">
        <v>64</v>
      </c>
      <c r="U7" s="26" t="s">
        <v>64</v>
      </c>
      <c r="V7" s="4" t="s">
        <v>74</v>
      </c>
      <c r="W7" s="4" t="s">
        <v>66</v>
      </c>
      <c r="X7" s="29" t="n">
        <v>50</v>
      </c>
      <c r="Y7" s="30" t="n">
        <v>652.66</v>
      </c>
      <c r="Z7" s="31" t="n">
        <f aca="false">X7*Y7</f>
        <v>32633</v>
      </c>
    </row>
    <row r="8" customFormat="false" ht="15" hidden="false" customHeight="false" outlineLevel="0" collapsed="false">
      <c r="A8" s="15"/>
      <c r="B8" s="15"/>
      <c r="C8" s="16" t="s">
        <v>75</v>
      </c>
      <c r="D8" s="15"/>
      <c r="E8" s="15"/>
      <c r="F8" s="15"/>
      <c r="G8" s="15"/>
      <c r="H8" s="15"/>
      <c r="I8" s="15"/>
      <c r="J8" s="15"/>
      <c r="K8" s="15"/>
      <c r="L8" s="15"/>
      <c r="M8" s="15"/>
      <c r="N8" s="15"/>
      <c r="O8" s="15"/>
      <c r="P8" s="15"/>
      <c r="Q8" s="15"/>
      <c r="R8" s="15"/>
      <c r="S8" s="15"/>
      <c r="T8" s="15"/>
      <c r="U8" s="15"/>
      <c r="V8" s="15"/>
      <c r="W8" s="15"/>
      <c r="X8" s="39" t="n">
        <f aca="false">SUM(X5:X7)</f>
        <v>150</v>
      </c>
      <c r="Y8" s="15"/>
      <c r="Z8" s="17" t="n">
        <f aca="false">SUM(Z5:Z7)</f>
        <v>54540</v>
      </c>
    </row>
    <row r="10" customFormat="false" ht="15" hidden="false" customHeight="false" outlineLevel="0" collapsed="false">
      <c r="A10" s="18" t="s">
        <v>76</v>
      </c>
    </row>
    <row r="11" customFormat="false" ht="15" hidden="false" customHeight="false" outlineLevel="0" collapsed="false">
      <c r="A11" s="40" t="s">
        <v>77</v>
      </c>
      <c r="B11" s="40"/>
      <c r="C11" s="40"/>
      <c r="D11" s="40"/>
      <c r="E11" s="40"/>
      <c r="F11" s="40"/>
      <c r="G11" s="40"/>
      <c r="H11" s="40"/>
      <c r="I11" s="40"/>
      <c r="J11" s="40"/>
      <c r="K11" s="40"/>
      <c r="L11" s="40"/>
      <c r="M11" s="40"/>
      <c r="N11" s="40"/>
    </row>
    <row r="12" customFormat="false" ht="15" hidden="false" customHeight="false" outlineLevel="0" collapsed="false">
      <c r="A12" s="40" t="s">
        <v>78</v>
      </c>
      <c r="B12" s="40"/>
      <c r="C12" s="40"/>
      <c r="D12" s="40"/>
      <c r="E12" s="40"/>
      <c r="F12" s="40"/>
      <c r="G12" s="40"/>
      <c r="H12" s="40"/>
      <c r="I12" s="40"/>
      <c r="J12" s="40"/>
      <c r="K12" s="40"/>
      <c r="L12" s="40"/>
      <c r="M12" s="40"/>
      <c r="N12" s="40"/>
    </row>
    <row r="13" customFormat="false" ht="15" hidden="false" customHeight="false" outlineLevel="0" collapsed="false">
      <c r="A13" s="40" t="s">
        <v>79</v>
      </c>
      <c r="B13" s="40"/>
      <c r="C13" s="40"/>
      <c r="D13" s="40"/>
      <c r="E13" s="40"/>
      <c r="F13" s="40"/>
      <c r="G13" s="40"/>
      <c r="H13" s="40"/>
      <c r="I13" s="40"/>
      <c r="J13" s="40"/>
      <c r="K13" s="40"/>
      <c r="L13" s="40"/>
      <c r="M13" s="40"/>
      <c r="N13" s="40"/>
    </row>
    <row r="14" customFormat="false" ht="15" hidden="false" customHeight="false" outlineLevel="0" collapsed="false">
      <c r="A14" s="40" t="s">
        <v>80</v>
      </c>
      <c r="B14" s="40"/>
      <c r="C14" s="40"/>
      <c r="D14" s="40"/>
      <c r="E14" s="40"/>
      <c r="F14" s="40"/>
      <c r="G14" s="40"/>
      <c r="H14" s="40"/>
      <c r="I14" s="40"/>
      <c r="J14" s="40"/>
      <c r="K14" s="40"/>
      <c r="L14" s="40"/>
      <c r="M14" s="40"/>
      <c r="N14" s="40"/>
    </row>
    <row r="15" customFormat="false" ht="15" hidden="false" customHeight="false" outlineLevel="0" collapsed="false">
      <c r="A15" s="40" t="s">
        <v>81</v>
      </c>
      <c r="B15" s="40"/>
      <c r="C15" s="40"/>
      <c r="D15" s="40"/>
      <c r="E15" s="40"/>
      <c r="F15" s="40"/>
      <c r="G15" s="40"/>
      <c r="H15" s="40"/>
      <c r="I15" s="40"/>
      <c r="J15" s="40"/>
      <c r="K15" s="40"/>
      <c r="L15" s="40"/>
      <c r="M15" s="40"/>
      <c r="N15" s="40"/>
    </row>
    <row r="16" customFormat="false" ht="15" hidden="false" customHeight="false" outlineLevel="0" collapsed="false">
      <c r="A16" s="40" t="s">
        <v>82</v>
      </c>
      <c r="B16" s="40"/>
      <c r="C16" s="40"/>
      <c r="D16" s="40"/>
      <c r="E16" s="40"/>
      <c r="F16" s="40"/>
      <c r="G16" s="40"/>
      <c r="H16" s="40"/>
      <c r="I16" s="40"/>
      <c r="J16" s="40"/>
      <c r="K16" s="40"/>
      <c r="L16" s="40"/>
      <c r="M16" s="40"/>
      <c r="N16" s="40"/>
    </row>
    <row r="18" customFormat="false" ht="15" hidden="false" customHeight="false" outlineLevel="0" collapsed="false">
      <c r="A18" s="2" t="s">
        <v>83</v>
      </c>
    </row>
  </sheetData>
  <mergeCells count="6">
    <mergeCell ref="A11:N11"/>
    <mergeCell ref="A12:N12"/>
    <mergeCell ref="A13:N13"/>
    <mergeCell ref="A14:N14"/>
    <mergeCell ref="A15:N15"/>
    <mergeCell ref="A16:N1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5" topLeftCell="E6" activePane="bottomRight" state="frozen"/>
      <selection pane="topLeft" activeCell="A1" activeCellId="0" sqref="A1"/>
      <selection pane="topRight" activeCell="E1" activeCellId="0" sqref="E1"/>
      <selection pane="bottomLeft" activeCell="A6" activeCellId="0" sqref="A6"/>
      <selection pane="bottomRight" activeCell="A1" activeCellId="0" sqref="A1"/>
    </sheetView>
  </sheetViews>
  <sheetFormatPr defaultColWidth="8.5390625" defaultRowHeight="15" zeroHeight="false" outlineLevelRow="0" outlineLevelCol="0"/>
  <cols>
    <col collapsed="false" customWidth="true" hidden="false" outlineLevel="0" max="1" min="1" style="0" width="6"/>
    <col collapsed="false" customWidth="true" hidden="false" outlineLevel="0" max="2" min="2" style="0" width="10"/>
    <col collapsed="false" customWidth="true" hidden="false" outlineLevel="0" max="3" min="3" style="0" width="40"/>
    <col collapsed="false" customWidth="true" hidden="false" outlineLevel="0" max="4" min="4" style="0" width="8"/>
    <col collapsed="false" customWidth="true" hidden="false" outlineLevel="0" max="7" min="5" style="0" width="13"/>
    <col collapsed="false" customWidth="true" hidden="false" outlineLevel="0" max="10" min="8" style="0" width="15"/>
    <col collapsed="false" customWidth="true" hidden="false" outlineLevel="0" max="12" min="11" style="0" width="13"/>
    <col collapsed="false" customWidth="true" hidden="false" outlineLevel="0" max="13" min="13" style="0" width="15"/>
    <col collapsed="false" customWidth="true" hidden="false" outlineLevel="0" max="14" min="14" style="0" width="12"/>
  </cols>
  <sheetData>
    <row r="1" customFormat="false" ht="17.35" hidden="false" customHeight="false" outlineLevel="0" collapsed="false">
      <c r="A1" s="25" t="s">
        <v>84</v>
      </c>
    </row>
    <row r="2" customFormat="false" ht="15" hidden="false" customHeight="false" outlineLevel="0" collapsed="false">
      <c r="A2" s="2" t="s">
        <v>85</v>
      </c>
    </row>
    <row r="4" customFormat="false" ht="15" hidden="false" customHeight="false" outlineLevel="0" collapsed="false">
      <c r="A4" s="41"/>
      <c r="B4" s="41"/>
      <c r="C4" s="41"/>
      <c r="D4" s="41"/>
      <c r="E4" s="41"/>
      <c r="F4" s="41"/>
      <c r="G4" s="41"/>
      <c r="H4" s="41"/>
      <c r="I4" s="41"/>
      <c r="J4" s="41"/>
      <c r="K4" s="41"/>
      <c r="L4" s="41"/>
      <c r="M4" s="41"/>
      <c r="N4" s="41"/>
    </row>
    <row r="5" customFormat="false" ht="23.85" hidden="false" customHeight="false" outlineLevel="0" collapsed="false">
      <c r="A5" s="6" t="s">
        <v>15</v>
      </c>
      <c r="B5" s="6" t="s">
        <v>16</v>
      </c>
      <c r="C5" s="6" t="s">
        <v>17</v>
      </c>
      <c r="D5" s="6" t="s">
        <v>18</v>
      </c>
      <c r="E5" s="6" t="s">
        <v>6</v>
      </c>
      <c r="F5" s="6" t="s">
        <v>86</v>
      </c>
      <c r="G5" s="6" t="s">
        <v>87</v>
      </c>
      <c r="H5" s="6" t="s">
        <v>6</v>
      </c>
      <c r="I5" s="6" t="s">
        <v>86</v>
      </c>
      <c r="J5" s="6" t="s">
        <v>87</v>
      </c>
      <c r="K5" s="6" t="s">
        <v>88</v>
      </c>
      <c r="L5" s="6" t="s">
        <v>89</v>
      </c>
      <c r="M5" s="6" t="s">
        <v>90</v>
      </c>
      <c r="N5" s="6" t="s">
        <v>91</v>
      </c>
    </row>
    <row r="6" customFormat="false" ht="23.85" hidden="false" customHeight="false" outlineLevel="0" collapsed="false">
      <c r="A6" s="7" t="n">
        <f aca="false">'Xometry Line Items'!A5</f>
        <v>1</v>
      </c>
      <c r="B6" s="7" t="str">
        <f aca="false">'Xometry Line Items'!D5</f>
        <v>09541B7</v>
      </c>
      <c r="C6" s="8" t="str">
        <f aca="false">'Xometry Line Items'!C5</f>
        <v>VALVE RECEPTACLE, CARDIAC MVR SUTURE SKILLS KIT REV B</v>
      </c>
      <c r="D6" s="9" t="n">
        <f aca="false">'Xometry Line Items'!X5</f>
        <v>50</v>
      </c>
      <c r="E6" s="10" t="n">
        <f aca="false">'Xometry Line Items'!Y5</f>
        <v>59.58</v>
      </c>
      <c r="F6" s="42"/>
      <c r="G6" s="42"/>
      <c r="H6" s="31" t="n">
        <f aca="false">$D6*E6</f>
        <v>2979</v>
      </c>
      <c r="I6" s="31" t="str">
        <f aca="false">IF(F6="","",$D6*F6)</f>
        <v/>
      </c>
      <c r="J6" s="31" t="str">
        <f aca="false">IF(G6="","",$D6*G6)</f>
        <v/>
      </c>
      <c r="K6" s="31" t="n">
        <f aca="false">MIN(E6:G6)</f>
        <v>59.58</v>
      </c>
      <c r="L6" s="43" t="str">
        <f aca="false">INDEX($E$5:$G$5,MATCH(K6,E6:G6,0))</f>
        <v>Xometry</v>
      </c>
      <c r="M6" s="31" t="n">
        <f aca="false">(E6-K6)*$D6</f>
        <v>0</v>
      </c>
      <c r="N6" s="44" t="n">
        <f aca="false">IF(E6=0,"",(E6-K6)/E6)</f>
        <v>0</v>
      </c>
    </row>
    <row r="7" customFormat="false" ht="15" hidden="false" customHeight="false" outlineLevel="0" collapsed="false">
      <c r="A7" s="11" t="n">
        <f aca="false">'Xometry Line Items'!A6</f>
        <v>2</v>
      </c>
      <c r="B7" s="11" t="str">
        <f aca="false">'Xometry Line Items'!D6</f>
        <v>09541B8</v>
      </c>
      <c r="C7" s="12" t="str">
        <f aca="false">'Xometry Line Items'!C6</f>
        <v>CHEST, CARDIAC MVR SUTURE SKILLS KIT REV B</v>
      </c>
      <c r="D7" s="13" t="n">
        <f aca="false">'Xometry Line Items'!X6</f>
        <v>50</v>
      </c>
      <c r="E7" s="14" t="n">
        <f aca="false">'Xometry Line Items'!Y6</f>
        <v>378.56</v>
      </c>
      <c r="F7" s="42"/>
      <c r="G7" s="42"/>
      <c r="H7" s="38" t="n">
        <f aca="false">$D7*E7</f>
        <v>18928</v>
      </c>
      <c r="I7" s="38" t="str">
        <f aca="false">IF(F7="","",$D7*F7)</f>
        <v/>
      </c>
      <c r="J7" s="38" t="str">
        <f aca="false">IF(G7="","",$D7*G7)</f>
        <v/>
      </c>
      <c r="K7" s="38" t="n">
        <f aca="false">MIN(E7:G7)</f>
        <v>378.56</v>
      </c>
      <c r="L7" s="45" t="str">
        <f aca="false">INDEX($E$5:$G$5,MATCH(K7,E7:G7,0))</f>
        <v>Xometry</v>
      </c>
      <c r="M7" s="38" t="n">
        <f aca="false">(E7-K7)*$D7</f>
        <v>0</v>
      </c>
      <c r="N7" s="46" t="n">
        <f aca="false">IF(E7=0,"",(E7-K7)/E7)</f>
        <v>0</v>
      </c>
    </row>
    <row r="8" customFormat="false" ht="15" hidden="false" customHeight="false" outlineLevel="0" collapsed="false">
      <c r="A8" s="7" t="n">
        <f aca="false">'Xometry Line Items'!A7</f>
        <v>3</v>
      </c>
      <c r="B8" s="7" t="str">
        <f aca="false">'Xometry Line Items'!D7</f>
        <v>09541B9</v>
      </c>
      <c r="C8" s="8" t="str">
        <f aca="false">'Xometry Line Items'!C7</f>
        <v>BASE, CARDIAC MVR SUTURE SKILLS KIT REV B</v>
      </c>
      <c r="D8" s="9" t="n">
        <f aca="false">'Xometry Line Items'!X7</f>
        <v>50</v>
      </c>
      <c r="E8" s="10" t="n">
        <f aca="false">'Xometry Line Items'!Y7</f>
        <v>652.66</v>
      </c>
      <c r="F8" s="42"/>
      <c r="G8" s="42"/>
      <c r="H8" s="31" t="n">
        <f aca="false">$D8*E8</f>
        <v>32633</v>
      </c>
      <c r="I8" s="31" t="str">
        <f aca="false">IF(F8="","",$D8*F8)</f>
        <v/>
      </c>
      <c r="J8" s="31" t="str">
        <f aca="false">IF(G8="","",$D8*G8)</f>
        <v/>
      </c>
      <c r="K8" s="31" t="n">
        <f aca="false">MIN(E8:G8)</f>
        <v>652.66</v>
      </c>
      <c r="L8" s="43" t="str">
        <f aca="false">INDEX($E$5:$G$5,MATCH(K8,E8:G8,0))</f>
        <v>Xometry</v>
      </c>
      <c r="M8" s="31" t="n">
        <f aca="false">(E8-K8)*$D8</f>
        <v>0</v>
      </c>
      <c r="N8" s="44" t="n">
        <f aca="false">IF(E8=0,"",(E8-K8)/E8)</f>
        <v>0</v>
      </c>
    </row>
    <row r="9" customFormat="false" ht="15" hidden="false" customHeight="false" outlineLevel="0" collapsed="false">
      <c r="A9" s="15"/>
      <c r="B9" s="15"/>
      <c r="C9" s="16" t="s">
        <v>21</v>
      </c>
      <c r="D9" s="39" t="n">
        <f aca="false">SUM(D6:D8)</f>
        <v>150</v>
      </c>
      <c r="E9" s="15"/>
      <c r="F9" s="15"/>
      <c r="G9" s="15"/>
      <c r="H9" s="17" t="n">
        <f aca="false">SUM(H6:H8)</f>
        <v>54540</v>
      </c>
      <c r="I9" s="17" t="n">
        <f aca="false">SUM(I6:I8)</f>
        <v>0</v>
      </c>
      <c r="J9" s="17" t="n">
        <f aca="false">SUM(J6:J8)</f>
        <v>0</v>
      </c>
      <c r="K9" s="15"/>
      <c r="L9" s="15"/>
      <c r="M9" s="17" t="n">
        <f aca="false">SUM(M6:M8)</f>
        <v>0</v>
      </c>
      <c r="N9" s="15"/>
    </row>
    <row r="12" customFormat="false" ht="15" hidden="false" customHeight="false" outlineLevel="0" collapsed="false">
      <c r="A12" s="18" t="s">
        <v>92</v>
      </c>
    </row>
    <row r="13" customFormat="false" ht="15" hidden="false" customHeight="true" outlineLevel="0" collapsed="false">
      <c r="A13" s="47" t="s">
        <v>93</v>
      </c>
      <c r="B13" s="47"/>
      <c r="C13" s="47" t="s">
        <v>6</v>
      </c>
      <c r="D13" s="47"/>
      <c r="E13" s="47"/>
      <c r="F13" s="47" t="s">
        <v>86</v>
      </c>
      <c r="G13" s="47"/>
      <c r="H13" s="47"/>
      <c r="I13" s="47" t="s">
        <v>87</v>
      </c>
      <c r="J13" s="47"/>
      <c r="K13" s="47"/>
    </row>
    <row r="14" customFormat="false" ht="15" hidden="false" customHeight="true" outlineLevel="0" collapsed="false">
      <c r="A14" s="48" t="s">
        <v>94</v>
      </c>
      <c r="B14" s="48"/>
      <c r="C14" s="49"/>
      <c r="D14" s="49"/>
      <c r="E14" s="49"/>
      <c r="F14" s="49"/>
      <c r="G14" s="49"/>
      <c r="H14" s="49"/>
      <c r="I14" s="49"/>
      <c r="J14" s="49"/>
      <c r="K14" s="49"/>
    </row>
    <row r="15" customFormat="false" ht="15" hidden="false" customHeight="true" outlineLevel="0" collapsed="false">
      <c r="A15" s="48" t="s">
        <v>8</v>
      </c>
      <c r="B15" s="48"/>
      <c r="C15" s="49"/>
      <c r="D15" s="49"/>
      <c r="E15" s="49"/>
      <c r="F15" s="49"/>
      <c r="G15" s="49"/>
      <c r="H15" s="49"/>
      <c r="I15" s="49"/>
      <c r="J15" s="49"/>
      <c r="K15" s="49"/>
    </row>
    <row r="16" customFormat="false" ht="15" hidden="false" customHeight="true" outlineLevel="0" collapsed="false">
      <c r="A16" s="48" t="s">
        <v>95</v>
      </c>
      <c r="B16" s="48"/>
      <c r="C16" s="50" t="s">
        <v>96</v>
      </c>
      <c r="D16" s="50"/>
      <c r="E16" s="50"/>
      <c r="F16" s="49"/>
      <c r="G16" s="49"/>
      <c r="H16" s="49"/>
      <c r="I16" s="49"/>
      <c r="J16" s="49"/>
      <c r="K16" s="49"/>
    </row>
    <row r="17" customFormat="false" ht="15" hidden="false" customHeight="true" outlineLevel="0" collapsed="false">
      <c r="A17" s="48" t="s">
        <v>97</v>
      </c>
      <c r="B17" s="48"/>
      <c r="C17" s="50" t="s">
        <v>98</v>
      </c>
      <c r="D17" s="50"/>
      <c r="E17" s="50"/>
      <c r="F17" s="49"/>
      <c r="G17" s="49"/>
      <c r="H17" s="49"/>
      <c r="I17" s="49"/>
      <c r="J17" s="49"/>
      <c r="K17" s="49"/>
    </row>
    <row r="18" customFormat="false" ht="23.85" hidden="false" customHeight="true" outlineLevel="0" collapsed="false">
      <c r="A18" s="48" t="s">
        <v>99</v>
      </c>
      <c r="B18" s="48"/>
      <c r="C18" s="50" t="s">
        <v>100</v>
      </c>
      <c r="D18" s="50"/>
      <c r="E18" s="50"/>
      <c r="F18" s="49"/>
      <c r="G18" s="49"/>
      <c r="H18" s="49"/>
      <c r="I18" s="49"/>
      <c r="J18" s="49"/>
      <c r="K18" s="49"/>
    </row>
    <row r="19" customFormat="false" ht="15" hidden="false" customHeight="true" outlineLevel="0" collapsed="false">
      <c r="A19" s="48" t="s">
        <v>101</v>
      </c>
      <c r="B19" s="48"/>
      <c r="C19" s="50" t="s">
        <v>102</v>
      </c>
      <c r="D19" s="50"/>
      <c r="E19" s="50"/>
      <c r="F19" s="49"/>
      <c r="G19" s="49"/>
      <c r="H19" s="49"/>
      <c r="I19" s="49"/>
      <c r="J19" s="49"/>
      <c r="K19" s="49"/>
    </row>
    <row r="20" customFormat="false" ht="15" hidden="false" customHeight="true" outlineLevel="0" collapsed="false">
      <c r="A20" s="48" t="s">
        <v>103</v>
      </c>
      <c r="B20" s="48"/>
      <c r="C20" s="50" t="s">
        <v>104</v>
      </c>
      <c r="D20" s="50"/>
      <c r="E20" s="50"/>
      <c r="F20" s="49"/>
      <c r="G20" s="49"/>
      <c r="H20" s="49"/>
      <c r="I20" s="49"/>
      <c r="J20" s="49"/>
      <c r="K20" s="49"/>
    </row>
    <row r="21" customFormat="false" ht="15" hidden="false" customHeight="true" outlineLevel="0" collapsed="false">
      <c r="A21" s="48" t="s">
        <v>105</v>
      </c>
      <c r="B21" s="48"/>
      <c r="C21" s="50" t="s">
        <v>106</v>
      </c>
      <c r="D21" s="50"/>
      <c r="E21" s="50"/>
      <c r="F21" s="49"/>
      <c r="G21" s="49"/>
      <c r="H21" s="49"/>
      <c r="I21" s="49"/>
      <c r="J21" s="49"/>
      <c r="K21" s="49"/>
    </row>
    <row r="22" customFormat="false" ht="15" hidden="false" customHeight="true" outlineLevel="0" collapsed="false">
      <c r="A22" s="48" t="s">
        <v>107</v>
      </c>
      <c r="B22" s="48"/>
      <c r="C22" s="50" t="s">
        <v>58</v>
      </c>
      <c r="D22" s="50"/>
      <c r="E22" s="50"/>
      <c r="F22" s="49"/>
      <c r="G22" s="49"/>
      <c r="H22" s="49"/>
      <c r="I22" s="49"/>
      <c r="J22" s="49"/>
      <c r="K22" s="49"/>
    </row>
    <row r="23" customFormat="false" ht="23.85" hidden="false" customHeight="true" outlineLevel="0" collapsed="false">
      <c r="A23" s="48" t="s">
        <v>108</v>
      </c>
      <c r="B23" s="48"/>
      <c r="C23" s="50" t="s">
        <v>109</v>
      </c>
      <c r="D23" s="50"/>
      <c r="E23" s="50"/>
      <c r="F23" s="49"/>
      <c r="G23" s="49"/>
      <c r="H23" s="49"/>
      <c r="I23" s="49"/>
      <c r="J23" s="49"/>
      <c r="K23" s="49"/>
    </row>
    <row r="25" customFormat="false" ht="15" hidden="false" customHeight="false" outlineLevel="0" collapsed="false">
      <c r="A25" s="2" t="s">
        <v>110</v>
      </c>
    </row>
  </sheetData>
  <mergeCells count="48">
    <mergeCell ref="A4:D4"/>
    <mergeCell ref="E4:G4"/>
    <mergeCell ref="H4:J4"/>
    <mergeCell ref="K4:N4"/>
    <mergeCell ref="A13:B13"/>
    <mergeCell ref="C13:E13"/>
    <mergeCell ref="F13:H13"/>
    <mergeCell ref="I13:K13"/>
    <mergeCell ref="A14:B14"/>
    <mergeCell ref="C14:E14"/>
    <mergeCell ref="F14:H14"/>
    <mergeCell ref="I14:K14"/>
    <mergeCell ref="A15:B15"/>
    <mergeCell ref="C15:E15"/>
    <mergeCell ref="F15:H15"/>
    <mergeCell ref="I15:K15"/>
    <mergeCell ref="A16:B16"/>
    <mergeCell ref="C16:E16"/>
    <mergeCell ref="F16:H16"/>
    <mergeCell ref="I16:K16"/>
    <mergeCell ref="A17:B17"/>
    <mergeCell ref="C17:E17"/>
    <mergeCell ref="F17:H17"/>
    <mergeCell ref="I17:K17"/>
    <mergeCell ref="A18:B18"/>
    <mergeCell ref="C18:E18"/>
    <mergeCell ref="F18:H18"/>
    <mergeCell ref="I18:K18"/>
    <mergeCell ref="A19:B19"/>
    <mergeCell ref="C19:E19"/>
    <mergeCell ref="F19:H19"/>
    <mergeCell ref="I19:K19"/>
    <mergeCell ref="A20:B20"/>
    <mergeCell ref="C20:E20"/>
    <mergeCell ref="F20:H20"/>
    <mergeCell ref="I20:K20"/>
    <mergeCell ref="A21:B21"/>
    <mergeCell ref="C21:E21"/>
    <mergeCell ref="F21:H21"/>
    <mergeCell ref="I21:K21"/>
    <mergeCell ref="A22:B22"/>
    <mergeCell ref="C22:E22"/>
    <mergeCell ref="F22:H22"/>
    <mergeCell ref="I22:K22"/>
    <mergeCell ref="A23:B23"/>
    <mergeCell ref="C23:E23"/>
    <mergeCell ref="F23:H23"/>
    <mergeCell ref="I23:K2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2026-08-18T13:33:36Z</dcterms:created>
  <dc:creator>openpyxl</dc:creator>
  <dc:description/>
  <dc:language>en-US</dc:language>
  <cp:lastModifiedBy/>
  <dcterms:modified xsi:type="dcterms:W3CDTF">2026-08-18T13:33:36Z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