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spection Log" sheetId="2" state="visible" r:id="rId2"/>
    <sheet name="Defect Taxonomy" sheetId="3" state="visible" r:id="rId3"/>
    <sheet name="Pareto" sheetId="4" state="visible" r:id="rId4"/>
    <sheet name="Root-Cause Deep-Dive" sheetId="5" state="visible" r:id="rId5"/>
    <sheet name="Root Cause 5-Why" sheetId="6" state="visible" r:id="rId6"/>
    <sheet name="Dashboard" sheetId="7" state="visible" r:id="rId7"/>
    <sheet name="Yield &amp; Alignmen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color rgb="00222222"/>
      <sz val="10"/>
    </font>
    <font>
      <name val="Calibri"/>
      <b val="1"/>
      <color rgb="001F3864"/>
      <sz val="11"/>
    </font>
    <font>
      <name val="Calibri"/>
      <b val="1"/>
      <color rgb="001F4E5F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833C00"/>
      <sz val="10"/>
    </font>
    <font>
      <name val="Calibri"/>
      <b val="1"/>
      <color rgb="00C00000"/>
      <sz val="10"/>
    </font>
    <font>
      <name val="Calibri"/>
      <b val="1"/>
      <color rgb="00000000"/>
      <sz val="10"/>
    </font>
    <font>
      <name val="Calibri"/>
      <color rgb="00000000"/>
      <sz val="9"/>
    </font>
    <font>
      <name val="Calibri"/>
      <b val="1"/>
      <color rgb="00375623"/>
      <sz val="10"/>
    </font>
    <font>
      <name val="Calibri"/>
      <i val="1"/>
      <color rgb="00000000"/>
      <sz val="9"/>
    </font>
    <font>
      <name val="Calibri"/>
      <b val="1"/>
      <color rgb="001F3864"/>
      <sz val="10"/>
    </font>
    <font>
      <name val="Calibri"/>
      <i val="1"/>
      <color rgb="00808080"/>
      <sz val="8"/>
    </font>
    <font>
      <name val="Calibri"/>
      <b val="1"/>
      <color rgb="00FFFFFF"/>
      <sz val="10"/>
    </font>
    <font>
      <name val="Calibri"/>
      <color rgb="00808080"/>
      <sz val="10"/>
    </font>
    <font>
      <name val="Calibri"/>
      <b val="1"/>
      <color rgb="00000000"/>
      <sz val="9"/>
    </font>
    <font>
      <name val="Calibri"/>
      <b val="1"/>
      <color rgb="00833C00"/>
      <sz val="9"/>
    </font>
    <font>
      <name val="Calibri"/>
      <b val="1"/>
      <color rgb="001F3864"/>
      <sz val="12"/>
    </font>
    <font>
      <name val="Calibri"/>
      <b val="1"/>
      <color rgb="00222222"/>
      <sz val="11"/>
    </font>
    <font>
      <name val="Calibri"/>
      <b val="1"/>
      <color rgb="001F3864"/>
      <sz val="13"/>
    </font>
    <font>
      <name val="Calibri"/>
      <b val="1"/>
      <color rgb="00833C00"/>
      <sz val="12"/>
    </font>
    <font>
      <name val="Calibri"/>
      <b val="1"/>
      <color rgb="00833C00"/>
      <sz val="11"/>
    </font>
    <font>
      <name val="Calibri"/>
      <b val="1"/>
      <color rgb="00C00000"/>
      <sz val="11"/>
    </font>
    <font>
      <name val="Calibri"/>
      <b val="1"/>
      <color rgb="00C00000"/>
      <sz val="13"/>
    </font>
    <font>
      <name val="Calibri"/>
      <i val="1"/>
      <color rgb="00808080"/>
      <sz val="9"/>
    </font>
    <font>
      <name val="Calibri"/>
      <i val="1"/>
      <color rgb="00833C00"/>
      <sz val="9"/>
    </font>
    <font>
      <name val="Calibri"/>
      <b val="1"/>
      <color rgb="00C00000"/>
      <sz val="40"/>
    </font>
    <font>
      <name val="Calibri"/>
      <color rgb="00444444"/>
      <sz val="11"/>
    </font>
    <font>
      <name val="Calibri"/>
      <i val="1"/>
      <color rgb="0080808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4B183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indent="1"/>
    </xf>
    <xf numFmtId="0" fontId="15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10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top" wrapText="1"/>
    </xf>
    <xf numFmtId="0" fontId="14" fillId="4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1" fillId="6" borderId="1" applyAlignment="1" pivotButton="0" quotePrefix="0" xfId="0">
      <alignment horizontal="left" vertical="top" wrapText="1"/>
    </xf>
    <xf numFmtId="0" fontId="11" fillId="9" borderId="1" applyAlignment="1" pivotButton="0" quotePrefix="0" xfId="0">
      <alignment horizontal="left" vertical="top" wrapText="1"/>
    </xf>
    <xf numFmtId="0" fontId="0" fillId="0" borderId="5" pivotButton="0" quotePrefix="0" xfId="0"/>
    <xf numFmtId="0" fontId="17" fillId="0" borderId="0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20" fillId="0" borderId="0" pivotButton="0" quotePrefix="0" xfId="0"/>
    <xf numFmtId="0" fontId="21" fillId="4" borderId="1" applyAlignment="1" pivotButton="0" quotePrefix="0" xfId="0">
      <alignment horizontal="left" indent="1"/>
    </xf>
    <xf numFmtId="1" fontId="22" fillId="9" borderId="1" applyAlignment="1" pivotButton="0" quotePrefix="0" xfId="0">
      <alignment horizontal="center" vertical="center" wrapText="1"/>
    </xf>
    <xf numFmtId="164" fontId="22" fillId="9" borderId="1" applyAlignment="1" pivotButton="0" quotePrefix="0" xfId="0">
      <alignment horizontal="center" vertical="center" wrapText="1"/>
    </xf>
    <xf numFmtId="2" fontId="22" fillId="9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left" indent="1"/>
    </xf>
    <xf numFmtId="0" fontId="4" fillId="0" borderId="0" pivotButton="0" quotePrefix="0" xfId="0"/>
    <xf numFmtId="0" fontId="24" fillId="5" borderId="1" applyAlignment="1" pivotButton="0" quotePrefix="0" xfId="0">
      <alignment horizontal="left" indent="1"/>
    </xf>
    <xf numFmtId="0" fontId="25" fillId="4" borderId="1" applyAlignment="1" pivotButton="0" quotePrefix="0" xfId="0">
      <alignment horizontal="left" indent="1"/>
    </xf>
    <xf numFmtId="0" fontId="26" fillId="0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5" fillId="6" borderId="1" pivotButton="0" quotePrefix="0" xfId="0"/>
    <xf numFmtId="0" fontId="28" fillId="0" borderId="0" pivotButton="0" quotePrefix="0" xfId="0"/>
    <xf numFmtId="164" fontId="29" fillId="9" borderId="1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31" fillId="0" borderId="0" applyAlignment="1" pivotButton="0" quotePrefix="0" xfId="0">
      <alignment horizontal="left" vertical="top" wrapText="1"/>
    </xf>
    <xf numFmtId="164" fontId="7" fillId="0" borderId="1" applyAlignment="1" pivotButton="0" quotePrefix="0" xfId="0">
      <alignment horizontal="center" vertical="center" wrapText="1"/>
    </xf>
    <xf numFmtId="164" fontId="10" fillId="4" borderId="1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3864"/>
                </a:solidFill>
                <a:latin typeface="Calibri"/>
              </a:defRPr>
            </a:pPr>
            <a:r>
              <a:rPr sz="1200" b="1">
                <a:solidFill>
                  <a:srgbClr val="1F3864"/>
                </a:solidFill>
                <a:latin typeface="Calibri"/>
              </a:rPr>
              <a:t>Defect Pareto — Rejected Pelvic Blocks   (SH: Martins · 3 kill dates)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'Pareto'!D5</f>
            </strRef>
          </tx>
          <spPr>
            <a:solidFill>
              <a:srgbClr val="2E5B8A"/>
            </a:solidFill>
            <a:ln>
              <a:prstDash val="solid"/>
            </a:ln>
          </spPr>
          <dPt>
            <idx val="0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2E5B8A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8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9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0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1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Pt>
            <idx val="12"/>
            <spPr>
              <a:solidFill>
                <a:srgbClr val="AFC7E3"/>
              </a:solidFill>
              <a:ln w="9525">
                <a:solidFill>
                  <a:srgbClr val="FFFFFF"/>
                </a:solidFill>
                <a:prstDash val="solid"/>
              </a:ln>
            </spPr>
          </dPt>
          <dLbls>
            <numFmt formatCode="0"/>
            <txPr>
              <a:bodyPr/>
              <a:p>
                <a:pPr>
                  <a:defRPr sz="1000" b="1">
                    <a:solidFill>
                      <a:srgbClr val="404040"/>
                    </a:solidFill>
                    <a:latin typeface="Calibri"/>
                  </a:defRPr>
                </a:pPr>
                <a:r>
                  <a:t/>
                </a:r>
                <a:endParaRPr sz="10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'Pareto'!$M$6:$M$18</f>
            </numRef>
          </cat>
          <val>
            <numRef>
              <f>'Pareto'!$D$6:$D$18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'Pareto'!F5</f>
            </strRef>
          </tx>
          <spPr>
            <a:ln w="19050">
              <a:solidFill>
                <a:srgbClr val="C0504D"/>
              </a:solidFill>
              <a:prstDash val="solid"/>
            </a:ln>
          </spPr>
          <marker>
            <symbol val="circle"/>
            <size val="5"/>
            <spPr>
              <a:solidFill>
                <a:srgbClr val="C0504D"/>
              </a:solidFill>
              <a:ln w="9525">
                <a:solidFill>
                  <a:srgbClr val="FFFFFF"/>
                </a:solidFill>
                <a:prstDash val="solid"/>
              </a:ln>
            </spPr>
          </marker>
          <dLbls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'Pareto'!$F$6:$F$18</f>
            </numRef>
          </val>
          <smooth val="0"/>
        </ser>
        <ser>
          <idx val="2"/>
          <order val="2"/>
          <tx>
            <strRef>
              <f>'Pareto'!N5</f>
            </strRef>
          </tx>
          <spPr>
            <a:ln w="9525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'Pareto'!$N$6:$N$18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w="9525">
            <a:solidFill>
              <a:srgbClr val="BFBFBF"/>
            </a:solidFill>
            <a:prstDash val="solid"/>
          </a:ln>
        </spPr>
        <txPr>
          <a:bodyPr rot="-2700000"/>
          <a:p>
            <a:pPr>
              <a:defRPr sz="85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850" b="0">
              <a:solidFill>
                <a:srgbClr val="595959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>
          <spPr>
            <a:ln w="6350">
              <a:solidFill>
                <a:srgbClr val="E6E6E6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Defect count</a:t>
                </a:r>
              </a:p>
            </rich>
          </tx>
        </title>
        <numFmt formatCode="0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autoZero"/>
      </valAx>
      <valAx>
        <axId val="200"/>
        <scaling>
          <orientation val="minMax"/>
          <max val="1"/>
          <min val="0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Calibri"/>
            </a:endParaRPr>
          </a:p>
        </txPr>
        <crossAx val="10"/>
        <crosses val="max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93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30</row>
      <rowOff>0</rowOff>
    </from>
    <ext cx="5724525" cy="2905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PELVIC BLOCK IQC — PARETO &amp; ROOT-CAUSE FRAMEWORK</t>
        </is>
      </c>
    </row>
    <row r="2" ht="18" customHeight="1">
      <c r="A2" s="2" t="inlineStr">
        <is>
          <t>Incoming Quality Control of rejected porcine femoral pelvic blocks  |  Purpose: pinpoint where defects originate at the supplier and drive corrective action upstream</t>
        </is>
      </c>
    </row>
    <row r="4">
      <c r="A4" s="3" t="inlineStr"/>
    </row>
    <row r="5" ht="18" customHeight="1">
      <c r="A5" s="4" t="inlineStr">
        <is>
          <t>PURPOSE</t>
        </is>
      </c>
    </row>
    <row r="6">
      <c r="A6" s="3" t="inlineStr">
        <is>
          <t>Ingest IQC results for rejected pelvic blocks, sort defects with a Pareto (the few defects causing most loss), and map every defect back to the</t>
        </is>
      </c>
    </row>
    <row r="7">
      <c r="A7" s="3" t="inlineStr">
        <is>
          <t>point in the SUPPLIER's process where it is created — so corrective action can be taken BEFORE the tissue block reaches us.</t>
        </is>
      </c>
    </row>
    <row r="8">
      <c r="A8" s="3" t="inlineStr"/>
    </row>
    <row r="9" ht="18" customHeight="1">
      <c r="A9" s="4" t="inlineStr">
        <is>
          <t>THE PROCESS (where a defect can be born)  —  everything up to 'Delivered to us' is the supplier's to control</t>
        </is>
      </c>
    </row>
    <row r="10">
      <c r="A10" s="5" t="inlineStr">
        <is>
          <t xml:space="preserve">  Live animal  -&gt;  S1 Sticking/Bleeding  -&gt;  S2 Bung dropping/Rodding  -&gt;  S3 Evisceration (knife + gut pull)  -&gt;  S4 Carcass splitting (saw)  -&gt;  S5 Handling &amp; Pit drop  -&gt;  Delivered to us</t>
        </is>
      </c>
    </row>
    <row r="11">
      <c r="A11" s="5" t="inlineStr">
        <is>
          <t xml:space="preserve">                                                                                    OUR side -&gt;  Harvest techs receive block from pit  -&gt;  spec-out / accept  -&gt;  IQC inspection (this data)</t>
        </is>
      </c>
    </row>
    <row r="12">
      <c r="A12" s="3" t="inlineStr"/>
    </row>
    <row r="13" ht="18" customHeight="1">
      <c r="A13" s="4" t="inlineStr">
        <is>
          <t>THE SHEETS</t>
        </is>
      </c>
    </row>
    <row r="14">
      <c r="A14" s="3" t="inlineStr">
        <is>
          <t xml:space="preserve">  1. Inspection Log      Master data — ONE ROW PER BLOCK. Each free-text scrap reason is normalized into 1/0 flags against the defect taxonomy. Append future batches here.</t>
        </is>
      </c>
    </row>
    <row r="15">
      <c r="A15" s="3" t="inlineStr">
        <is>
          <t xml:space="preserve">  2. Defect Taxonomy     Controlled vocabulary (D1–D13) + root-cause map: each defect -&gt; process step, supplier station, 6M cause, mechanism, corrective action.</t>
        </is>
      </c>
    </row>
    <row r="16">
      <c r="A16" s="3" t="inlineStr">
        <is>
          <t xml:space="preserve">  3. Pareto              Auto-calculating defect Pareto (bar + cumulative line) and a rollup by SUPPLIER STATION — the key view for the supplier conversation.</t>
        </is>
      </c>
    </row>
    <row r="17">
      <c r="A17" s="3" t="inlineStr">
        <is>
          <t xml:space="preserve">  4. Root-Cause Deep-Dive  The pork evisceration process studied: where each defect is BORN, a damage-signature diagnostic, contributing factors, supplier questions, glossary.</t>
        </is>
      </c>
    </row>
    <row r="18">
      <c r="A18" s="3" t="inlineStr">
        <is>
          <t xml:space="preserve">  5. Root Cause 5-Why     Structured RCA template, seeded for the vital-few + new defects, with a Lessons-Learned column to fill in over time.</t>
        </is>
      </c>
    </row>
    <row r="19">
      <c r="A19" s="3" t="inlineStr">
        <is>
          <t xml:space="preserve">  6. Dashboard           Combined KPIs + a per-batch breakdown so you can watch the trend batch over batch.</t>
        </is>
      </c>
    </row>
    <row r="20">
      <c r="A20" s="3" t="inlineStr">
        <is>
          <t xml:space="preserve">  7. Yield &amp; Alignment   Good-pelvic % across the board; what it may mean for harvest-tech training; and tech&lt;-&gt;inspector alignment (with input cells).</t>
        </is>
      </c>
    </row>
    <row r="21">
      <c r="A21" s="3" t="inlineStr"/>
    </row>
    <row r="22" ht="18" customHeight="1">
      <c r="A22" s="4" t="inlineStr">
        <is>
          <t>HOW TO ADD THE NEXT INSPECTION</t>
        </is>
      </c>
    </row>
    <row r="23">
      <c r="A23" s="3" t="inlineStr">
        <is>
          <t xml:space="preserve">  a. In 'Inspection Log', add one row per inspected block (metadata + Result = Pass/Fail + verbatim reason).</t>
        </is>
      </c>
    </row>
    <row r="24">
      <c r="A24" s="3" t="inlineStr">
        <is>
          <t xml:space="preserve">  b. Put a 1 in each defect column (D1–D11) that applies. Use the dropdown. If a NEW defect type appears, add it to 'Defect Taxonomy' first, then add its column.</t>
        </is>
      </c>
    </row>
    <row r="25">
      <c r="A25" s="3" t="inlineStr">
        <is>
          <t xml:space="preserve">  c. Pareto + Dashboard recalc automatically. Re-sort the Pareto table high-&gt;low if the ranking changes (counts are live; row order is not).</t>
        </is>
      </c>
    </row>
    <row r="26">
      <c r="A26" s="3" t="inlineStr"/>
    </row>
    <row r="27" ht="18" customHeight="1">
      <c r="A27" s="4" t="inlineStr">
        <is>
          <t>WHAT THE DATA SAYS SO FAR  (4 inspection sheets across 3 kill dates: 2026-05-27, 2026-07-08, 2026-07-28 — SH: Martins)</t>
        </is>
      </c>
    </row>
    <row r="28">
      <c r="A28" s="3" t="inlineStr">
        <is>
          <t xml:space="preserve">  99 blocks inspected · 10 pass · 89 fail · combined First Pass Yield 10.1% · 122 defect occurrences</t>
        </is>
      </c>
    </row>
    <row r="29">
      <c r="A29" s="3" t="inlineStr">
        <is>
          <t xml:space="preserve">  Vital few (~80%): membrane damage (critical area), ureters not embedded, urethra breach, bowel/colon/rectum breach, suspensory-ligament damage.  ~84% of ALL defects originate at ONE station: Evisceration.</t>
        </is>
      </c>
    </row>
    <row r="30">
      <c r="A30" s="3" t="inlineStr">
        <is>
          <t xml:space="preserve">  OPEN ITEMS: (1) 5 blocks (kill 2026-05-27), 8" hole in bladder suspensory ligament — recorded PASS pending ME/DE (flip to Fail + tag D4 if confirmed).  (2) Rasmin 07-28 sheet handwritten total said '22 fails' but per-row entries sum to 29 (used).</t>
        </is>
      </c>
    </row>
    <row r="31">
      <c r="A31" s="3" t="inlineStr"/>
    </row>
    <row r="32" ht="18" customHeight="1">
      <c r="A32" s="4" t="inlineStr">
        <is>
          <t>SEVERITY KEY</t>
        </is>
      </c>
    </row>
    <row r="33">
      <c r="A33" s="3" t="inlineStr">
        <is>
          <t xml:space="preserve">  Critical = function-destroying or food-safety (e.g. bowel/colon/rectum breach = contamination).   Major = block rejected.   Minor = cosmetic / recoverable.</t>
        </is>
      </c>
    </row>
    <row r="34">
      <c r="A34" s="3" t="inlineStr"/>
    </row>
    <row r="35" ht="18" customHeight="1">
      <c r="A35" s="4" t="inlineStr">
        <is>
          <t>SOURCE</t>
        </is>
      </c>
    </row>
    <row r="36">
      <c r="A36" s="3" t="inlineStr">
        <is>
          <t xml:space="preserve">  IQC Tally Sheets — SH: Martins. Originals kept as source_*.xlsx in this folder.</t>
        </is>
      </c>
    </row>
  </sheetData>
  <mergeCells count="35">
    <mergeCell ref="A9:H9"/>
    <mergeCell ref="A30:H30"/>
    <mergeCell ref="A15:H15"/>
    <mergeCell ref="A24:H24"/>
    <mergeCell ref="A36:H36"/>
    <mergeCell ref="A11:H11"/>
    <mergeCell ref="A1:H1"/>
    <mergeCell ref="A6:H6"/>
    <mergeCell ref="A7:H7"/>
    <mergeCell ref="A25:H25"/>
    <mergeCell ref="A16:H16"/>
    <mergeCell ref="A27:H27"/>
    <mergeCell ref="A12:H12"/>
    <mergeCell ref="A18:H18"/>
    <mergeCell ref="A26:H26"/>
    <mergeCell ref="A21:H21"/>
    <mergeCell ref="A2:H2"/>
    <mergeCell ref="A33:H33"/>
    <mergeCell ref="A14:H14"/>
    <mergeCell ref="A5:H5"/>
    <mergeCell ref="A23:H23"/>
    <mergeCell ref="A32:H32"/>
    <mergeCell ref="A8:H8"/>
    <mergeCell ref="A22:H22"/>
    <mergeCell ref="A17:H17"/>
    <mergeCell ref="A4:H4"/>
    <mergeCell ref="A29:H29"/>
    <mergeCell ref="A35:H35"/>
    <mergeCell ref="A20:H20"/>
    <mergeCell ref="A10:H10"/>
    <mergeCell ref="A28:H28"/>
    <mergeCell ref="A13:H13"/>
    <mergeCell ref="A19:H19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13" customWidth="1" min="5" max="5"/>
    <col width="9" customWidth="1" min="6" max="6"/>
    <col width="10" customWidth="1" min="7" max="7"/>
    <col width="16" customWidth="1" min="8" max="8"/>
    <col width="22" customWidth="1" min="9" max="9"/>
    <col width="8" customWidth="1" min="10" max="10"/>
    <col width="42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9" customWidth="1" min="25" max="25"/>
    <col width="34" customWidth="1" min="26" max="26"/>
  </cols>
  <sheetData>
    <row r="1" ht="30" customHeight="1">
      <c r="A1" s="1" t="inlineStr">
        <is>
          <t>INSPECTION LOG  (master data — one row per inspected block)</t>
        </is>
      </c>
    </row>
    <row r="2" ht="18" customHeight="1">
      <c r="A2" s="2" t="inlineStr">
        <is>
          <t>Append future inspections below. Put 1 in each defect column that applies. Pareto/Dashboard update automatically.</t>
        </is>
      </c>
    </row>
    <row r="4" ht="28" customHeight="1">
      <c r="A4" s="6" t="inlineStr">
        <is>
          <t>Block ID</t>
        </is>
      </c>
      <c r="B4" s="6" t="inlineStr">
        <is>
          <t>Insp. Date</t>
        </is>
      </c>
      <c r="C4" s="6" t="inlineStr">
        <is>
          <t>Kill Date</t>
        </is>
      </c>
      <c r="D4" s="6" t="inlineStr">
        <is>
          <t>Harvest Date</t>
        </is>
      </c>
      <c r="E4" s="6" t="inlineStr">
        <is>
          <t>Slaughterhouse</t>
        </is>
      </c>
      <c r="F4" s="6" t="inlineStr">
        <is>
          <t>SH Tech</t>
        </is>
      </c>
      <c r="G4" s="6" t="inlineStr">
        <is>
          <t>Inspector</t>
        </is>
      </c>
      <c r="H4" s="6" t="inlineStr">
        <is>
          <t>Batch/Lot</t>
        </is>
      </c>
      <c r="I4" s="6" t="inlineStr">
        <is>
          <t>Part Name</t>
        </is>
      </c>
      <c r="J4" s="6" t="inlineStr">
        <is>
          <t>Result</t>
        </is>
      </c>
      <c r="K4" s="6" t="inlineStr">
        <is>
          <t>Verbatim Scrap Reason</t>
        </is>
      </c>
      <c r="L4" s="6" t="inlineStr">
        <is>
          <t>D1</t>
        </is>
      </c>
      <c r="M4" s="6" t="inlineStr">
        <is>
          <t>D2</t>
        </is>
      </c>
      <c r="N4" s="6" t="inlineStr">
        <is>
          <t>D3</t>
        </is>
      </c>
      <c r="O4" s="6" t="inlineStr">
        <is>
          <t>D4</t>
        </is>
      </c>
      <c r="P4" s="6" t="inlineStr">
        <is>
          <t>D5</t>
        </is>
      </c>
      <c r="Q4" s="6" t="inlineStr">
        <is>
          <t>D6</t>
        </is>
      </c>
      <c r="R4" s="6" t="inlineStr">
        <is>
          <t>D7</t>
        </is>
      </c>
      <c r="S4" s="6" t="inlineStr">
        <is>
          <t>D8</t>
        </is>
      </c>
      <c r="T4" s="6" t="inlineStr">
        <is>
          <t>D9</t>
        </is>
      </c>
      <c r="U4" s="6" t="inlineStr">
        <is>
          <t>D10</t>
        </is>
      </c>
      <c r="V4" s="6" t="inlineStr">
        <is>
          <t>D11</t>
        </is>
      </c>
      <c r="W4" s="6" t="inlineStr">
        <is>
          <t>D12</t>
        </is>
      </c>
      <c r="X4" s="6" t="inlineStr">
        <is>
          <t>D13</t>
        </is>
      </c>
      <c r="Y4" s="6" t="inlineStr">
        <is>
          <t># Defects</t>
        </is>
      </c>
      <c r="Z4" s="6" t="inlineStr">
        <is>
          <t>Notes / Disposition</t>
        </is>
      </c>
    </row>
    <row r="5" ht="30" customHeight="1">
      <c r="A5" s="7" t="inlineStr">
        <is>
          <t>B001</t>
        </is>
      </c>
      <c r="B5" s="7" t="inlineStr">
        <is>
          <t>2026-05-27</t>
        </is>
      </c>
      <c r="C5" s="7" t="inlineStr">
        <is>
          <t>2026-05-27</t>
        </is>
      </c>
      <c r="D5" s="7" t="inlineStr"/>
      <c r="E5" s="7" t="inlineStr">
        <is>
          <t>Martins</t>
        </is>
      </c>
      <c r="F5" s="7" t="inlineStr"/>
      <c r="G5" s="7" t="inlineStr"/>
      <c r="H5" s="7" t="inlineStr"/>
      <c r="I5" s="7" t="inlineStr">
        <is>
          <t>Pelvic block</t>
        </is>
      </c>
      <c r="J5" s="8" t="inlineStr">
        <is>
          <t>Fail</t>
        </is>
      </c>
      <c r="K5" s="9" t="inlineStr">
        <is>
          <t>hole in the distal end of the colon</t>
        </is>
      </c>
      <c r="L5" s="10" t="n"/>
      <c r="M5" s="10" t="n"/>
      <c r="N5" s="10" t="n"/>
      <c r="O5" s="10" t="n"/>
      <c r="P5" s="10" t="n"/>
      <c r="Q5" s="10" t="n"/>
      <c r="R5" s="10" t="n"/>
      <c r="S5" s="11" t="n">
        <v>1</v>
      </c>
      <c r="T5" s="10" t="n"/>
      <c r="U5" s="10" t="n"/>
      <c r="V5" s="10" t="n"/>
      <c r="W5" s="10" t="n"/>
      <c r="X5" s="10" t="n"/>
      <c r="Y5" s="12">
        <f>SUM(L5:X5)</f>
        <v/>
      </c>
      <c r="Z5" s="13" t="inlineStr"/>
    </row>
    <row r="6" ht="30" customHeight="1">
      <c r="A6" s="7" t="inlineStr">
        <is>
          <t>B002</t>
        </is>
      </c>
      <c r="B6" s="7" t="inlineStr">
        <is>
          <t>2026-05-27</t>
        </is>
      </c>
      <c r="C6" s="7" t="inlineStr">
        <is>
          <t>2026-05-27</t>
        </is>
      </c>
      <c r="D6" s="7" t="inlineStr"/>
      <c r="E6" s="7" t="inlineStr">
        <is>
          <t>Martins</t>
        </is>
      </c>
      <c r="F6" s="7" t="inlineStr"/>
      <c r="G6" s="7" t="inlineStr"/>
      <c r="H6" s="7" t="inlineStr"/>
      <c r="I6" s="7" t="inlineStr">
        <is>
          <t>Pelvic block</t>
        </is>
      </c>
      <c r="J6" s="8" t="inlineStr">
        <is>
          <t>Fail</t>
        </is>
      </c>
      <c r="K6" s="9" t="inlineStr">
        <is>
          <t>hole in the distal end of the colon</t>
        </is>
      </c>
      <c r="L6" s="10" t="n"/>
      <c r="M6" s="10" t="n"/>
      <c r="N6" s="10" t="n"/>
      <c r="O6" s="10" t="n"/>
      <c r="P6" s="10" t="n"/>
      <c r="Q6" s="10" t="n"/>
      <c r="R6" s="10" t="n"/>
      <c r="S6" s="11" t="n">
        <v>1</v>
      </c>
      <c r="T6" s="10" t="n"/>
      <c r="U6" s="10" t="n"/>
      <c r="V6" s="10" t="n"/>
      <c r="W6" s="10" t="n"/>
      <c r="X6" s="10" t="n"/>
      <c r="Y6" s="12">
        <f>SUM(L6:X6)</f>
        <v/>
      </c>
      <c r="Z6" s="13" t="inlineStr"/>
    </row>
    <row r="7" ht="30" customHeight="1">
      <c r="A7" s="7" t="inlineStr">
        <is>
          <t>B003</t>
        </is>
      </c>
      <c r="B7" s="7" t="inlineStr">
        <is>
          <t>2026-05-27</t>
        </is>
      </c>
      <c r="C7" s="7" t="inlineStr">
        <is>
          <t>2026-05-27</t>
        </is>
      </c>
      <c r="D7" s="7" t="inlineStr"/>
      <c r="E7" s="7" t="inlineStr">
        <is>
          <t>Martins</t>
        </is>
      </c>
      <c r="F7" s="7" t="inlineStr"/>
      <c r="G7" s="7" t="inlineStr"/>
      <c r="H7" s="7" t="inlineStr"/>
      <c r="I7" s="7" t="inlineStr">
        <is>
          <t>Pelvic block</t>
        </is>
      </c>
      <c r="J7" s="8" t="inlineStr">
        <is>
          <t>Fail</t>
        </is>
      </c>
      <c r="K7" s="9" t="inlineStr">
        <is>
          <t>hole in the distal end of the colon</t>
        </is>
      </c>
      <c r="L7" s="10" t="n"/>
      <c r="M7" s="10" t="n"/>
      <c r="N7" s="10" t="n"/>
      <c r="O7" s="10" t="n"/>
      <c r="P7" s="10" t="n"/>
      <c r="Q7" s="10" t="n"/>
      <c r="R7" s="10" t="n"/>
      <c r="S7" s="11" t="n">
        <v>1</v>
      </c>
      <c r="T7" s="10" t="n"/>
      <c r="U7" s="10" t="n"/>
      <c r="V7" s="10" t="n"/>
      <c r="W7" s="10" t="n"/>
      <c r="X7" s="10" t="n"/>
      <c r="Y7" s="12">
        <f>SUM(L7:X7)</f>
        <v/>
      </c>
      <c r="Z7" s="13" t="inlineStr"/>
    </row>
    <row r="8" ht="30" customHeight="1">
      <c r="A8" s="7" t="inlineStr">
        <is>
          <t>B004</t>
        </is>
      </c>
      <c r="B8" s="7" t="inlineStr">
        <is>
          <t>2026-05-27</t>
        </is>
      </c>
      <c r="C8" s="7" t="inlineStr">
        <is>
          <t>2026-05-27</t>
        </is>
      </c>
      <c r="D8" s="7" t="inlineStr"/>
      <c r="E8" s="7" t="inlineStr">
        <is>
          <t>Martins</t>
        </is>
      </c>
      <c r="F8" s="7" t="inlineStr"/>
      <c r="G8" s="7" t="inlineStr"/>
      <c r="H8" s="7" t="inlineStr"/>
      <c r="I8" s="7" t="inlineStr">
        <is>
          <t>Pelvic block</t>
        </is>
      </c>
      <c r="J8" s="8" t="inlineStr">
        <is>
          <t>Fail</t>
        </is>
      </c>
      <c r="K8" s="9" t="inlineStr">
        <is>
          <t>hole in the distal end of the urethra and bladder neck separation</t>
        </is>
      </c>
      <c r="L8" s="10" t="n"/>
      <c r="M8" s="10" t="n"/>
      <c r="N8" s="10" t="n"/>
      <c r="O8" s="10" t="n"/>
      <c r="P8" s="11" t="n">
        <v>1</v>
      </c>
      <c r="Q8" s="10" t="n"/>
      <c r="R8" s="10" t="n"/>
      <c r="S8" s="10" t="n"/>
      <c r="T8" s="10" t="n"/>
      <c r="U8" s="10" t="n"/>
      <c r="V8" s="11" t="n">
        <v>1</v>
      </c>
      <c r="W8" s="10" t="n"/>
      <c r="X8" s="10" t="n"/>
      <c r="Y8" s="12">
        <f>SUM(L8:X8)</f>
        <v/>
      </c>
      <c r="Z8" s="13" t="inlineStr"/>
    </row>
    <row r="9" ht="30" customHeight="1">
      <c r="A9" s="7" t="inlineStr">
        <is>
          <t>B005</t>
        </is>
      </c>
      <c r="B9" s="7" t="inlineStr">
        <is>
          <t>2026-05-27</t>
        </is>
      </c>
      <c r="C9" s="7" t="inlineStr">
        <is>
          <t>2026-05-27</t>
        </is>
      </c>
      <c r="D9" s="7" t="inlineStr"/>
      <c r="E9" s="7" t="inlineStr">
        <is>
          <t>Martins</t>
        </is>
      </c>
      <c r="F9" s="7" t="inlineStr"/>
      <c r="G9" s="7" t="inlineStr"/>
      <c r="H9" s="7" t="inlineStr"/>
      <c r="I9" s="7" t="inlineStr">
        <is>
          <t>Pelvic block</t>
        </is>
      </c>
      <c r="J9" s="14" t="inlineStr">
        <is>
          <t>Pass</t>
        </is>
      </c>
      <c r="K9" s="9" t="inlineStr">
        <is>
          <t>8" hole in the bladder suspencery ligamant. ureter still intact???</t>
        </is>
      </c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2">
        <f>SUM(L9:X9)</f>
        <v/>
      </c>
      <c r="Z9" s="15" t="inlineStr">
        <is>
          <t>QUESTIONABLE - pending ME/DE determination (per sheet note). If reclassified Fail -&gt; D4 (suspensory ligament).</t>
        </is>
      </c>
    </row>
    <row r="10" ht="30" customHeight="1">
      <c r="A10" s="7" t="inlineStr">
        <is>
          <t>B006</t>
        </is>
      </c>
      <c r="B10" s="7" t="inlineStr">
        <is>
          <t>2026-05-27</t>
        </is>
      </c>
      <c r="C10" s="7" t="inlineStr">
        <is>
          <t>2026-05-27</t>
        </is>
      </c>
      <c r="D10" s="7" t="inlineStr"/>
      <c r="E10" s="7" t="inlineStr">
        <is>
          <t>Martins</t>
        </is>
      </c>
      <c r="F10" s="7" t="inlineStr"/>
      <c r="G10" s="7" t="inlineStr"/>
      <c r="H10" s="7" t="inlineStr"/>
      <c r="I10" s="7" t="inlineStr">
        <is>
          <t>Pelvic block</t>
        </is>
      </c>
      <c r="J10" s="14" t="inlineStr">
        <is>
          <t>Pass</t>
        </is>
      </c>
      <c r="K10" s="9" t="inlineStr">
        <is>
          <t>8" hole in the bladder suspencery ligamant. ureter still intact???</t>
        </is>
      </c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2">
        <f>SUM(L10:X10)</f>
        <v/>
      </c>
      <c r="Z10" s="15" t="inlineStr">
        <is>
          <t>QUESTIONABLE - pending ME/DE determination (per sheet note). If reclassified Fail -&gt; D4 (suspensory ligament).</t>
        </is>
      </c>
    </row>
    <row r="11" ht="30" customHeight="1">
      <c r="A11" s="7" t="inlineStr">
        <is>
          <t>B007</t>
        </is>
      </c>
      <c r="B11" s="7" t="inlineStr">
        <is>
          <t>2026-05-27</t>
        </is>
      </c>
      <c r="C11" s="7" t="inlineStr">
        <is>
          <t>2026-05-27</t>
        </is>
      </c>
      <c r="D11" s="7" t="inlineStr"/>
      <c r="E11" s="7" t="inlineStr">
        <is>
          <t>Martins</t>
        </is>
      </c>
      <c r="F11" s="7" t="inlineStr"/>
      <c r="G11" s="7" t="inlineStr"/>
      <c r="H11" s="7" t="inlineStr"/>
      <c r="I11" s="7" t="inlineStr">
        <is>
          <t>Pelvic block</t>
        </is>
      </c>
      <c r="J11" s="14" t="inlineStr">
        <is>
          <t>Pass</t>
        </is>
      </c>
      <c r="K11" s="9" t="inlineStr">
        <is>
          <t>8" hole in the bladder suspencery ligamant. ureter still intact???</t>
        </is>
      </c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2">
        <f>SUM(L11:X11)</f>
        <v/>
      </c>
      <c r="Z11" s="15" t="inlineStr">
        <is>
          <t>QUESTIONABLE - pending ME/DE determination (per sheet note). If reclassified Fail -&gt; D4 (suspensory ligament).</t>
        </is>
      </c>
    </row>
    <row r="12" ht="30" customHeight="1">
      <c r="A12" s="7" t="inlineStr">
        <is>
          <t>B008</t>
        </is>
      </c>
      <c r="B12" s="7" t="inlineStr">
        <is>
          <t>2026-05-27</t>
        </is>
      </c>
      <c r="C12" s="7" t="inlineStr">
        <is>
          <t>2026-05-27</t>
        </is>
      </c>
      <c r="D12" s="7" t="inlineStr"/>
      <c r="E12" s="7" t="inlineStr">
        <is>
          <t>Martins</t>
        </is>
      </c>
      <c r="F12" s="7" t="inlineStr"/>
      <c r="G12" s="7" t="inlineStr"/>
      <c r="H12" s="7" t="inlineStr"/>
      <c r="I12" s="7" t="inlineStr">
        <is>
          <t>Pelvic block</t>
        </is>
      </c>
      <c r="J12" s="14" t="inlineStr">
        <is>
          <t>Pass</t>
        </is>
      </c>
      <c r="K12" s="9" t="inlineStr">
        <is>
          <t>8" hole in the bladder suspencery ligamant. ureter still intact???</t>
        </is>
      </c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2">
        <f>SUM(L12:X12)</f>
        <v/>
      </c>
      <c r="Z12" s="15" t="inlineStr">
        <is>
          <t>QUESTIONABLE - pending ME/DE determination (per sheet note). If reclassified Fail -&gt; D4 (suspensory ligament).</t>
        </is>
      </c>
    </row>
    <row r="13" ht="30" customHeight="1">
      <c r="A13" s="7" t="inlineStr">
        <is>
          <t>B009</t>
        </is>
      </c>
      <c r="B13" s="7" t="inlineStr">
        <is>
          <t>2026-05-27</t>
        </is>
      </c>
      <c r="C13" s="7" t="inlineStr">
        <is>
          <t>2026-05-27</t>
        </is>
      </c>
      <c r="D13" s="7" t="inlineStr"/>
      <c r="E13" s="7" t="inlineStr">
        <is>
          <t>Martins</t>
        </is>
      </c>
      <c r="F13" s="7" t="inlineStr"/>
      <c r="G13" s="7" t="inlineStr"/>
      <c r="H13" s="7" t="inlineStr"/>
      <c r="I13" s="7" t="inlineStr">
        <is>
          <t>Pelvic block</t>
        </is>
      </c>
      <c r="J13" s="14" t="inlineStr">
        <is>
          <t>Pass</t>
        </is>
      </c>
      <c r="K13" s="9" t="inlineStr">
        <is>
          <t>8" hole in the bladder suspencery ligamant. ureter still intact???</t>
        </is>
      </c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2">
        <f>SUM(L13:X13)</f>
        <v/>
      </c>
      <c r="Z13" s="15" t="inlineStr">
        <is>
          <t>QUESTIONABLE - pending ME/DE determination (per sheet note). If reclassified Fail -&gt; D4 (suspensory ligament).</t>
        </is>
      </c>
    </row>
    <row r="14" ht="16" customHeight="1">
      <c r="A14" s="7" t="inlineStr">
        <is>
          <t>B010</t>
        </is>
      </c>
      <c r="B14" s="7" t="inlineStr">
        <is>
          <t>2026-05-27</t>
        </is>
      </c>
      <c r="C14" s="7" t="inlineStr">
        <is>
          <t>2026-05-27</t>
        </is>
      </c>
      <c r="D14" s="7" t="inlineStr"/>
      <c r="E14" s="7" t="inlineStr">
        <is>
          <t>Martins</t>
        </is>
      </c>
      <c r="F14" s="7" t="inlineStr"/>
      <c r="G14" s="7" t="inlineStr"/>
      <c r="H14" s="7" t="inlineStr"/>
      <c r="I14" s="7" t="inlineStr">
        <is>
          <t>Pelvic block</t>
        </is>
      </c>
      <c r="J14" s="14" t="inlineStr">
        <is>
          <t>Pass</t>
        </is>
      </c>
      <c r="K14" s="9" t="inlineStr">
        <is>
          <t>no damage found</t>
        </is>
      </c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2">
        <f>SUM(L14:X14)</f>
        <v/>
      </c>
      <c r="Z14" s="13" t="inlineStr"/>
    </row>
    <row r="15" ht="16" customHeight="1">
      <c r="A15" s="7" t="inlineStr">
        <is>
          <t>B011</t>
        </is>
      </c>
      <c r="B15" s="7" t="inlineStr">
        <is>
          <t>2026-05-27</t>
        </is>
      </c>
      <c r="C15" s="7" t="inlineStr">
        <is>
          <t>2026-05-27</t>
        </is>
      </c>
      <c r="D15" s="7" t="inlineStr"/>
      <c r="E15" s="7" t="inlineStr">
        <is>
          <t>Martins</t>
        </is>
      </c>
      <c r="F15" s="7" t="inlineStr"/>
      <c r="G15" s="7" t="inlineStr"/>
      <c r="H15" s="7" t="inlineStr"/>
      <c r="I15" s="7" t="inlineStr">
        <is>
          <t>Pelvic block</t>
        </is>
      </c>
      <c r="J15" s="14" t="inlineStr">
        <is>
          <t>Pass</t>
        </is>
      </c>
      <c r="K15" s="9" t="inlineStr">
        <is>
          <t>no damage found</t>
        </is>
      </c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2">
        <f>SUM(L15:X15)</f>
        <v/>
      </c>
      <c r="Z15" s="13" t="inlineStr"/>
    </row>
    <row r="16" ht="30" customHeight="1">
      <c r="A16" s="7" t="inlineStr">
        <is>
          <t>B012</t>
        </is>
      </c>
      <c r="B16" s="7" t="inlineStr">
        <is>
          <t>2026-05-27</t>
        </is>
      </c>
      <c r="C16" s="7" t="inlineStr">
        <is>
          <t>2026-05-27</t>
        </is>
      </c>
      <c r="D16" s="7" t="inlineStr"/>
      <c r="E16" s="7" t="inlineStr">
        <is>
          <t>Martins</t>
        </is>
      </c>
      <c r="F16" s="7" t="inlineStr"/>
      <c r="G16" s="7" t="inlineStr"/>
      <c r="H16" s="7" t="inlineStr"/>
      <c r="I16" s="7" t="inlineStr">
        <is>
          <t>Pelvic block</t>
        </is>
      </c>
      <c r="J16" s="8" t="inlineStr">
        <is>
          <t>Fail</t>
        </is>
      </c>
      <c r="K16" s="9" t="inlineStr">
        <is>
          <t>ureter cut off</t>
        </is>
      </c>
      <c r="L16" s="10" t="n"/>
      <c r="M16" s="11" t="n">
        <v>1</v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2">
        <f>SUM(L16:X16)</f>
        <v/>
      </c>
      <c r="Z16" s="13" t="inlineStr"/>
    </row>
    <row r="17" ht="30" customHeight="1">
      <c r="A17" s="7" t="inlineStr">
        <is>
          <t>B013</t>
        </is>
      </c>
      <c r="B17" s="7" t="inlineStr">
        <is>
          <t>2026-05-27</t>
        </is>
      </c>
      <c r="C17" s="7" t="inlineStr">
        <is>
          <t>2026-05-27</t>
        </is>
      </c>
      <c r="D17" s="7" t="inlineStr"/>
      <c r="E17" s="7" t="inlineStr">
        <is>
          <t>Martins</t>
        </is>
      </c>
      <c r="F17" s="7" t="inlineStr"/>
      <c r="G17" s="7" t="inlineStr"/>
      <c r="H17" s="7" t="inlineStr"/>
      <c r="I17" s="7" t="inlineStr">
        <is>
          <t>Pelvic block</t>
        </is>
      </c>
      <c r="J17" s="8" t="inlineStr">
        <is>
          <t>Fail</t>
        </is>
      </c>
      <c r="K17" s="9" t="inlineStr">
        <is>
          <t>hole in mesentary membrane in critical area greater than 1.5"</t>
        </is>
      </c>
      <c r="L17" s="10" t="n"/>
      <c r="M17" s="10" t="n"/>
      <c r="N17" s="10" t="n"/>
      <c r="O17" s="10" t="n"/>
      <c r="P17" s="10" t="n"/>
      <c r="Q17" s="11" t="n">
        <v>1</v>
      </c>
      <c r="R17" s="10" t="n"/>
      <c r="S17" s="10" t="n"/>
      <c r="T17" s="10" t="n"/>
      <c r="U17" s="10" t="n"/>
      <c r="V17" s="10" t="n"/>
      <c r="W17" s="10" t="n"/>
      <c r="X17" s="10" t="n"/>
      <c r="Y17" s="12">
        <f>SUM(L17:X17)</f>
        <v/>
      </c>
      <c r="Z17" s="13" t="inlineStr"/>
    </row>
    <row r="18" ht="30" customHeight="1">
      <c r="A18" s="7" t="inlineStr">
        <is>
          <t>B014</t>
        </is>
      </c>
      <c r="B18" s="7" t="inlineStr">
        <is>
          <t>2026-05-27</t>
        </is>
      </c>
      <c r="C18" s="7" t="inlineStr">
        <is>
          <t>2026-05-27</t>
        </is>
      </c>
      <c r="D18" s="7" t="inlineStr"/>
      <c r="E18" s="7" t="inlineStr">
        <is>
          <t>Martins</t>
        </is>
      </c>
      <c r="F18" s="7" t="inlineStr"/>
      <c r="G18" s="7" t="inlineStr"/>
      <c r="H18" s="7" t="inlineStr"/>
      <c r="I18" s="7" t="inlineStr">
        <is>
          <t>Pelvic block</t>
        </is>
      </c>
      <c r="J18" s="8" t="inlineStr">
        <is>
          <t>Fail</t>
        </is>
      </c>
      <c r="K18" s="9" t="inlineStr">
        <is>
          <t>hole in mesentary membrane in critical area greater than 1.5"</t>
        </is>
      </c>
      <c r="L18" s="10" t="n"/>
      <c r="M18" s="10" t="n"/>
      <c r="N18" s="10" t="n"/>
      <c r="O18" s="10" t="n"/>
      <c r="P18" s="10" t="n"/>
      <c r="Q18" s="11" t="n">
        <v>1</v>
      </c>
      <c r="R18" s="10" t="n"/>
      <c r="S18" s="10" t="n"/>
      <c r="T18" s="10" t="n"/>
      <c r="U18" s="10" t="n"/>
      <c r="V18" s="10" t="n"/>
      <c r="W18" s="10" t="n"/>
      <c r="X18" s="10" t="n"/>
      <c r="Y18" s="12">
        <f>SUM(L18:X18)</f>
        <v/>
      </c>
      <c r="Z18" s="13" t="inlineStr"/>
    </row>
    <row r="19" ht="30" customHeight="1">
      <c r="A19" s="7" t="inlineStr">
        <is>
          <t>B015</t>
        </is>
      </c>
      <c r="B19" s="7" t="inlineStr">
        <is>
          <t>2026-05-27</t>
        </is>
      </c>
      <c r="C19" s="7" t="inlineStr">
        <is>
          <t>2026-05-27</t>
        </is>
      </c>
      <c r="D19" s="7" t="inlineStr"/>
      <c r="E19" s="7" t="inlineStr">
        <is>
          <t>Martins</t>
        </is>
      </c>
      <c r="F19" s="7" t="inlineStr"/>
      <c r="G19" s="7" t="inlineStr"/>
      <c r="H19" s="7" t="inlineStr"/>
      <c r="I19" s="7" t="inlineStr">
        <is>
          <t>Pelvic block</t>
        </is>
      </c>
      <c r="J19" s="8" t="inlineStr">
        <is>
          <t>Fail</t>
        </is>
      </c>
      <c r="K19" s="9" t="inlineStr">
        <is>
          <t>hole in mesentary membrane in critical area greater than 1.5"</t>
        </is>
      </c>
      <c r="L19" s="10" t="n"/>
      <c r="M19" s="10" t="n"/>
      <c r="N19" s="10" t="n"/>
      <c r="O19" s="10" t="n"/>
      <c r="P19" s="10" t="n"/>
      <c r="Q19" s="11" t="n">
        <v>1</v>
      </c>
      <c r="R19" s="10" t="n"/>
      <c r="S19" s="10" t="n"/>
      <c r="T19" s="10" t="n"/>
      <c r="U19" s="10" t="n"/>
      <c r="V19" s="10" t="n"/>
      <c r="W19" s="10" t="n"/>
      <c r="X19" s="10" t="n"/>
      <c r="Y19" s="12">
        <f>SUM(L19:X19)</f>
        <v/>
      </c>
      <c r="Z19" s="13" t="inlineStr"/>
    </row>
    <row r="20" ht="30" customHeight="1">
      <c r="A20" s="7" t="inlineStr">
        <is>
          <t>B016</t>
        </is>
      </c>
      <c r="B20" s="7" t="inlineStr">
        <is>
          <t>2026-05-27</t>
        </is>
      </c>
      <c r="C20" s="7" t="inlineStr">
        <is>
          <t>2026-05-27</t>
        </is>
      </c>
      <c r="D20" s="7" t="inlineStr"/>
      <c r="E20" s="7" t="inlineStr">
        <is>
          <t>Martins</t>
        </is>
      </c>
      <c r="F20" s="7" t="inlineStr"/>
      <c r="G20" s="7" t="inlineStr"/>
      <c r="H20" s="7" t="inlineStr"/>
      <c r="I20" s="7" t="inlineStr">
        <is>
          <t>Pelvic block</t>
        </is>
      </c>
      <c r="J20" s="8" t="inlineStr">
        <is>
          <t>Fail</t>
        </is>
      </c>
      <c r="K20" s="9" t="inlineStr">
        <is>
          <t>hole in mesentary membrane in critical area greater than 1.5"</t>
        </is>
      </c>
      <c r="L20" s="10" t="n"/>
      <c r="M20" s="10" t="n"/>
      <c r="N20" s="10" t="n"/>
      <c r="O20" s="10" t="n"/>
      <c r="P20" s="10" t="n"/>
      <c r="Q20" s="11" t="n">
        <v>1</v>
      </c>
      <c r="R20" s="10" t="n"/>
      <c r="S20" s="10" t="n"/>
      <c r="T20" s="10" t="n"/>
      <c r="U20" s="10" t="n"/>
      <c r="V20" s="10" t="n"/>
      <c r="W20" s="10" t="n"/>
      <c r="X20" s="10" t="n"/>
      <c r="Y20" s="12">
        <f>SUM(L20:X20)</f>
        <v/>
      </c>
      <c r="Z20" s="13" t="inlineStr"/>
    </row>
    <row r="21" ht="30" customHeight="1">
      <c r="A21" s="7" t="inlineStr">
        <is>
          <t>B017</t>
        </is>
      </c>
      <c r="B21" s="7" t="inlineStr">
        <is>
          <t>2026-05-27</t>
        </is>
      </c>
      <c r="C21" s="7" t="inlineStr">
        <is>
          <t>2026-05-27</t>
        </is>
      </c>
      <c r="D21" s="7" t="inlineStr"/>
      <c r="E21" s="7" t="inlineStr">
        <is>
          <t>Martins</t>
        </is>
      </c>
      <c r="F21" s="7" t="inlineStr"/>
      <c r="G21" s="7" t="inlineStr"/>
      <c r="H21" s="7" t="inlineStr"/>
      <c r="I21" s="7" t="inlineStr">
        <is>
          <t>Pelvic block</t>
        </is>
      </c>
      <c r="J21" s="8" t="inlineStr">
        <is>
          <t>Fail</t>
        </is>
      </c>
      <c r="K21" s="9" t="inlineStr">
        <is>
          <t>hole in mesentary membrane in critical area greater than 1.5"</t>
        </is>
      </c>
      <c r="L21" s="10" t="n"/>
      <c r="M21" s="10" t="n"/>
      <c r="N21" s="10" t="n"/>
      <c r="O21" s="10" t="n"/>
      <c r="P21" s="10" t="n"/>
      <c r="Q21" s="11" t="n">
        <v>1</v>
      </c>
      <c r="R21" s="10" t="n"/>
      <c r="S21" s="10" t="n"/>
      <c r="T21" s="10" t="n"/>
      <c r="U21" s="10" t="n"/>
      <c r="V21" s="10" t="n"/>
      <c r="W21" s="10" t="n"/>
      <c r="X21" s="10" t="n"/>
      <c r="Y21" s="12">
        <f>SUM(L21:X21)</f>
        <v/>
      </c>
      <c r="Z21" s="13" t="inlineStr"/>
    </row>
    <row r="22" ht="30" customHeight="1">
      <c r="A22" s="7" t="inlineStr">
        <is>
          <t>B018</t>
        </is>
      </c>
      <c r="B22" s="7" t="inlineStr">
        <is>
          <t>2026-05-27</t>
        </is>
      </c>
      <c r="C22" s="7" t="inlineStr">
        <is>
          <t>2026-05-27</t>
        </is>
      </c>
      <c r="D22" s="7" t="inlineStr"/>
      <c r="E22" s="7" t="inlineStr">
        <is>
          <t>Martins</t>
        </is>
      </c>
      <c r="F22" s="7" t="inlineStr"/>
      <c r="G22" s="7" t="inlineStr"/>
      <c r="H22" s="7" t="inlineStr"/>
      <c r="I22" s="7" t="inlineStr">
        <is>
          <t>Pelvic block</t>
        </is>
      </c>
      <c r="J22" s="8" t="inlineStr">
        <is>
          <t>Fail</t>
        </is>
      </c>
      <c r="K22" s="9" t="inlineStr">
        <is>
          <t>hole in mesentary membrane in critical area greater than 1.5"</t>
        </is>
      </c>
      <c r="L22" s="10" t="n"/>
      <c r="M22" s="10" t="n"/>
      <c r="N22" s="10" t="n"/>
      <c r="O22" s="10" t="n"/>
      <c r="P22" s="10" t="n"/>
      <c r="Q22" s="11" t="n">
        <v>1</v>
      </c>
      <c r="R22" s="10" t="n"/>
      <c r="S22" s="10" t="n"/>
      <c r="T22" s="10" t="n"/>
      <c r="U22" s="10" t="n"/>
      <c r="V22" s="10" t="n"/>
      <c r="W22" s="10" t="n"/>
      <c r="X22" s="10" t="n"/>
      <c r="Y22" s="12">
        <f>SUM(L22:X22)</f>
        <v/>
      </c>
      <c r="Z22" s="13" t="inlineStr"/>
    </row>
    <row r="23" ht="30" customHeight="1">
      <c r="A23" s="7" t="inlineStr">
        <is>
          <t>B019</t>
        </is>
      </c>
      <c r="B23" s="7" t="inlineStr">
        <is>
          <t>2026-05-27</t>
        </is>
      </c>
      <c r="C23" s="7" t="inlineStr">
        <is>
          <t>2026-05-27</t>
        </is>
      </c>
      <c r="D23" s="7" t="inlineStr"/>
      <c r="E23" s="7" t="inlineStr">
        <is>
          <t>Martins</t>
        </is>
      </c>
      <c r="F23" s="7" t="inlineStr"/>
      <c r="G23" s="7" t="inlineStr"/>
      <c r="H23" s="7" t="inlineStr"/>
      <c r="I23" s="7" t="inlineStr">
        <is>
          <t>Pelvic block</t>
        </is>
      </c>
      <c r="J23" s="8" t="inlineStr">
        <is>
          <t>Fail</t>
        </is>
      </c>
      <c r="K23" s="9" t="inlineStr">
        <is>
          <t>hole in mesentary membrane in critical area greater than 1.5"</t>
        </is>
      </c>
      <c r="L23" s="10" t="n"/>
      <c r="M23" s="10" t="n"/>
      <c r="N23" s="10" t="n"/>
      <c r="O23" s="10" t="n"/>
      <c r="P23" s="10" t="n"/>
      <c r="Q23" s="11" t="n">
        <v>1</v>
      </c>
      <c r="R23" s="10" t="n"/>
      <c r="S23" s="10" t="n"/>
      <c r="T23" s="10" t="n"/>
      <c r="U23" s="10" t="n"/>
      <c r="V23" s="10" t="n"/>
      <c r="W23" s="10" t="n"/>
      <c r="X23" s="10" t="n"/>
      <c r="Y23" s="12">
        <f>SUM(L23:X23)</f>
        <v/>
      </c>
      <c r="Z23" s="13" t="inlineStr"/>
    </row>
    <row r="24" ht="30" customHeight="1">
      <c r="A24" s="7" t="inlineStr">
        <is>
          <t>B020</t>
        </is>
      </c>
      <c r="B24" s="7" t="inlineStr">
        <is>
          <t>2026-05-27</t>
        </is>
      </c>
      <c r="C24" s="7" t="inlineStr">
        <is>
          <t>2026-05-27</t>
        </is>
      </c>
      <c r="D24" s="7" t="inlineStr"/>
      <c r="E24" s="7" t="inlineStr">
        <is>
          <t>Martins</t>
        </is>
      </c>
      <c r="F24" s="7" t="inlineStr"/>
      <c r="G24" s="7" t="inlineStr"/>
      <c r="H24" s="7" t="inlineStr"/>
      <c r="I24" s="7" t="inlineStr">
        <is>
          <t>Pelvic block</t>
        </is>
      </c>
      <c r="J24" s="8" t="inlineStr">
        <is>
          <t>Fail</t>
        </is>
      </c>
      <c r="K24" s="9" t="inlineStr">
        <is>
          <t>hole in mesentary membrane in critical area greater than 1.5"</t>
        </is>
      </c>
      <c r="L24" s="10" t="n"/>
      <c r="M24" s="10" t="n"/>
      <c r="N24" s="10" t="n"/>
      <c r="O24" s="10" t="n"/>
      <c r="P24" s="10" t="n"/>
      <c r="Q24" s="11" t="n">
        <v>1</v>
      </c>
      <c r="R24" s="10" t="n"/>
      <c r="S24" s="10" t="n"/>
      <c r="T24" s="10" t="n"/>
      <c r="U24" s="10" t="n"/>
      <c r="V24" s="10" t="n"/>
      <c r="W24" s="10" t="n"/>
      <c r="X24" s="10" t="n"/>
      <c r="Y24" s="12">
        <f>SUM(L24:X24)</f>
        <v/>
      </c>
      <c r="Z24" s="13" t="inlineStr"/>
    </row>
    <row r="25" ht="30" customHeight="1">
      <c r="A25" s="7" t="inlineStr">
        <is>
          <t>B021</t>
        </is>
      </c>
      <c r="B25" s="7" t="inlineStr">
        <is>
          <t>2026-05-27</t>
        </is>
      </c>
      <c r="C25" s="7" t="inlineStr">
        <is>
          <t>2026-05-27</t>
        </is>
      </c>
      <c r="D25" s="7" t="inlineStr"/>
      <c r="E25" s="7" t="inlineStr">
        <is>
          <t>Martins</t>
        </is>
      </c>
      <c r="F25" s="7" t="inlineStr"/>
      <c r="G25" s="7" t="inlineStr"/>
      <c r="H25" s="7" t="inlineStr"/>
      <c r="I25" s="7" t="inlineStr">
        <is>
          <t>Pelvic block</t>
        </is>
      </c>
      <c r="J25" s="8" t="inlineStr">
        <is>
          <t>Fail</t>
        </is>
      </c>
      <c r="K25" s="9" t="inlineStr">
        <is>
          <t>hole in mesentary membrane in critical area greater than 1.5"</t>
        </is>
      </c>
      <c r="L25" s="10" t="n"/>
      <c r="M25" s="10" t="n"/>
      <c r="N25" s="10" t="n"/>
      <c r="O25" s="10" t="n"/>
      <c r="P25" s="10" t="n"/>
      <c r="Q25" s="11" t="n">
        <v>1</v>
      </c>
      <c r="R25" s="10" t="n"/>
      <c r="S25" s="10" t="n"/>
      <c r="T25" s="10" t="n"/>
      <c r="U25" s="10" t="n"/>
      <c r="V25" s="10" t="n"/>
      <c r="W25" s="10" t="n"/>
      <c r="X25" s="10" t="n"/>
      <c r="Y25" s="12">
        <f>SUM(L25:X25)</f>
        <v/>
      </c>
      <c r="Z25" s="13" t="inlineStr"/>
    </row>
    <row r="26" ht="30" customHeight="1">
      <c r="A26" s="7" t="inlineStr">
        <is>
          <t>B022</t>
        </is>
      </c>
      <c r="B26" s="7" t="inlineStr">
        <is>
          <t>2026-05-27</t>
        </is>
      </c>
      <c r="C26" s="7" t="inlineStr">
        <is>
          <t>2026-05-27</t>
        </is>
      </c>
      <c r="D26" s="7" t="inlineStr"/>
      <c r="E26" s="7" t="inlineStr">
        <is>
          <t>Martins</t>
        </is>
      </c>
      <c r="F26" s="7" t="inlineStr"/>
      <c r="G26" s="7" t="inlineStr"/>
      <c r="H26" s="7" t="inlineStr"/>
      <c r="I26" s="7" t="inlineStr">
        <is>
          <t>Pelvic block</t>
        </is>
      </c>
      <c r="J26" s="8" t="inlineStr">
        <is>
          <t>Fail</t>
        </is>
      </c>
      <c r="K26" s="9" t="inlineStr">
        <is>
          <t>hole in mesentary membrane in critical area greater than 1.5"</t>
        </is>
      </c>
      <c r="L26" s="10" t="n"/>
      <c r="M26" s="10" t="n"/>
      <c r="N26" s="10" t="n"/>
      <c r="O26" s="10" t="n"/>
      <c r="P26" s="10" t="n"/>
      <c r="Q26" s="11" t="n">
        <v>1</v>
      </c>
      <c r="R26" s="10" t="n"/>
      <c r="S26" s="10" t="n"/>
      <c r="T26" s="10" t="n"/>
      <c r="U26" s="10" t="n"/>
      <c r="V26" s="10" t="n"/>
      <c r="W26" s="10" t="n"/>
      <c r="X26" s="10" t="n"/>
      <c r="Y26" s="12">
        <f>SUM(L26:X26)</f>
        <v/>
      </c>
      <c r="Z26" s="13" t="inlineStr"/>
    </row>
    <row r="27" ht="30" customHeight="1">
      <c r="A27" s="7" t="inlineStr">
        <is>
          <t>B023</t>
        </is>
      </c>
      <c r="B27" s="7" t="inlineStr">
        <is>
          <t>2026-05-27</t>
        </is>
      </c>
      <c r="C27" s="7" t="inlineStr">
        <is>
          <t>2026-05-27</t>
        </is>
      </c>
      <c r="D27" s="7" t="inlineStr"/>
      <c r="E27" s="7" t="inlineStr">
        <is>
          <t>Martins</t>
        </is>
      </c>
      <c r="F27" s="7" t="inlineStr"/>
      <c r="G27" s="7" t="inlineStr"/>
      <c r="H27" s="7" t="inlineStr"/>
      <c r="I27" s="7" t="inlineStr">
        <is>
          <t>Pelvic block</t>
        </is>
      </c>
      <c r="J27" s="8" t="inlineStr">
        <is>
          <t>Fail</t>
        </is>
      </c>
      <c r="K27" s="9" t="inlineStr">
        <is>
          <t>hole in mesentary membrane in critical area greater than 1.5"</t>
        </is>
      </c>
      <c r="L27" s="10" t="n"/>
      <c r="M27" s="10" t="n"/>
      <c r="N27" s="10" t="n"/>
      <c r="O27" s="10" t="n"/>
      <c r="P27" s="10" t="n"/>
      <c r="Q27" s="11" t="n">
        <v>1</v>
      </c>
      <c r="R27" s="10" t="n"/>
      <c r="S27" s="10" t="n"/>
      <c r="T27" s="10" t="n"/>
      <c r="U27" s="10" t="n"/>
      <c r="V27" s="10" t="n"/>
      <c r="W27" s="10" t="n"/>
      <c r="X27" s="10" t="n"/>
      <c r="Y27" s="12">
        <f>SUM(L27:X27)</f>
        <v/>
      </c>
      <c r="Z27" s="13" t="inlineStr"/>
    </row>
    <row r="28" ht="30" customHeight="1">
      <c r="A28" s="7" t="inlineStr">
        <is>
          <t>B024</t>
        </is>
      </c>
      <c r="B28" s="7" t="inlineStr">
        <is>
          <t>2026-05-27</t>
        </is>
      </c>
      <c r="C28" s="7" t="inlineStr">
        <is>
          <t>2026-05-27</t>
        </is>
      </c>
      <c r="D28" s="7" t="inlineStr"/>
      <c r="E28" s="7" t="inlineStr">
        <is>
          <t>Martins</t>
        </is>
      </c>
      <c r="F28" s="7" t="inlineStr"/>
      <c r="G28" s="7" t="inlineStr"/>
      <c r="H28" s="7" t="inlineStr"/>
      <c r="I28" s="7" t="inlineStr">
        <is>
          <t>Pelvic block</t>
        </is>
      </c>
      <c r="J28" s="8" t="inlineStr">
        <is>
          <t>Fail</t>
        </is>
      </c>
      <c r="K28" s="9" t="inlineStr">
        <is>
          <t>hole in mesentary membrane in critical area greater than 1.5"</t>
        </is>
      </c>
      <c r="L28" s="10" t="n"/>
      <c r="M28" s="10" t="n"/>
      <c r="N28" s="10" t="n"/>
      <c r="O28" s="10" t="n"/>
      <c r="P28" s="10" t="n"/>
      <c r="Q28" s="11" t="n">
        <v>1</v>
      </c>
      <c r="R28" s="10" t="n"/>
      <c r="S28" s="10" t="n"/>
      <c r="T28" s="10" t="n"/>
      <c r="U28" s="10" t="n"/>
      <c r="V28" s="10" t="n"/>
      <c r="W28" s="10" t="n"/>
      <c r="X28" s="10" t="n"/>
      <c r="Y28" s="12">
        <f>SUM(L28:X28)</f>
        <v/>
      </c>
      <c r="Z28" s="13" t="inlineStr"/>
    </row>
    <row r="29" ht="30" customHeight="1">
      <c r="A29" s="7" t="inlineStr">
        <is>
          <t>B025</t>
        </is>
      </c>
      <c r="B29" s="7" t="inlineStr">
        <is>
          <t>2026-05-27</t>
        </is>
      </c>
      <c r="C29" s="7" t="inlineStr">
        <is>
          <t>2026-05-27</t>
        </is>
      </c>
      <c r="D29" s="7" t="inlineStr"/>
      <c r="E29" s="7" t="inlineStr">
        <is>
          <t>Martins</t>
        </is>
      </c>
      <c r="F29" s="7" t="inlineStr"/>
      <c r="G29" s="7" t="inlineStr"/>
      <c r="H29" s="7" t="inlineStr"/>
      <c r="I29" s="7" t="inlineStr">
        <is>
          <t>Pelvic block</t>
        </is>
      </c>
      <c r="J29" s="8" t="inlineStr">
        <is>
          <t>Fail</t>
        </is>
      </c>
      <c r="K29" s="9" t="inlineStr">
        <is>
          <t>hole in mesentary membrane in critical area greater than 1.5"</t>
        </is>
      </c>
      <c r="L29" s="10" t="n"/>
      <c r="M29" s="10" t="n"/>
      <c r="N29" s="10" t="n"/>
      <c r="O29" s="10" t="n"/>
      <c r="P29" s="10" t="n"/>
      <c r="Q29" s="11" t="n">
        <v>1</v>
      </c>
      <c r="R29" s="10" t="n"/>
      <c r="S29" s="10" t="n"/>
      <c r="T29" s="10" t="n"/>
      <c r="U29" s="10" t="n"/>
      <c r="V29" s="10" t="n"/>
      <c r="W29" s="10" t="n"/>
      <c r="X29" s="10" t="n"/>
      <c r="Y29" s="12">
        <f>SUM(L29:X29)</f>
        <v/>
      </c>
      <c r="Z29" s="13" t="inlineStr"/>
    </row>
    <row r="30" ht="30" customHeight="1">
      <c r="A30" s="7" t="inlineStr">
        <is>
          <t>B026</t>
        </is>
      </c>
      <c r="B30" s="7" t="inlineStr">
        <is>
          <t>2026-05-27</t>
        </is>
      </c>
      <c r="C30" s="7" t="inlineStr">
        <is>
          <t>2026-05-27</t>
        </is>
      </c>
      <c r="D30" s="7" t="inlineStr"/>
      <c r="E30" s="7" t="inlineStr">
        <is>
          <t>Martins</t>
        </is>
      </c>
      <c r="F30" s="7" t="inlineStr"/>
      <c r="G30" s="7" t="inlineStr"/>
      <c r="H30" s="7" t="inlineStr"/>
      <c r="I30" s="7" t="inlineStr">
        <is>
          <t>Pelvic block</t>
        </is>
      </c>
      <c r="J30" s="8" t="inlineStr">
        <is>
          <t>Fail</t>
        </is>
      </c>
      <c r="K30" s="9" t="inlineStr">
        <is>
          <t>hole in mesentary membrane in critical area greater than 1.5"</t>
        </is>
      </c>
      <c r="L30" s="10" t="n"/>
      <c r="M30" s="10" t="n"/>
      <c r="N30" s="10" t="n"/>
      <c r="O30" s="10" t="n"/>
      <c r="P30" s="10" t="n"/>
      <c r="Q30" s="11" t="n">
        <v>1</v>
      </c>
      <c r="R30" s="10" t="n"/>
      <c r="S30" s="10" t="n"/>
      <c r="T30" s="10" t="n"/>
      <c r="U30" s="10" t="n"/>
      <c r="V30" s="10" t="n"/>
      <c r="W30" s="10" t="n"/>
      <c r="X30" s="10" t="n"/>
      <c r="Y30" s="12">
        <f>SUM(L30:X30)</f>
        <v/>
      </c>
      <c r="Z30" s="13" t="inlineStr"/>
    </row>
    <row r="31" ht="30" customHeight="1">
      <c r="A31" s="7" t="inlineStr">
        <is>
          <t>B027</t>
        </is>
      </c>
      <c r="B31" s="7" t="inlineStr">
        <is>
          <t>2026-05-27</t>
        </is>
      </c>
      <c r="C31" s="7" t="inlineStr">
        <is>
          <t>2026-05-27</t>
        </is>
      </c>
      <c r="D31" s="7" t="inlineStr"/>
      <c r="E31" s="7" t="inlineStr">
        <is>
          <t>Martins</t>
        </is>
      </c>
      <c r="F31" s="7" t="inlineStr"/>
      <c r="G31" s="7" t="inlineStr"/>
      <c r="H31" s="7" t="inlineStr"/>
      <c r="I31" s="7" t="inlineStr">
        <is>
          <t>Pelvic block</t>
        </is>
      </c>
      <c r="J31" s="8" t="inlineStr">
        <is>
          <t>Fail</t>
        </is>
      </c>
      <c r="K31" s="9" t="inlineStr">
        <is>
          <t>rectum seperation</t>
        </is>
      </c>
      <c r="L31" s="10" t="n"/>
      <c r="M31" s="10" t="n"/>
      <c r="N31" s="10" t="n"/>
      <c r="O31" s="10" t="n"/>
      <c r="P31" s="10" t="n"/>
      <c r="Q31" s="10" t="n"/>
      <c r="R31" s="10" t="n"/>
      <c r="S31" s="11" t="n">
        <v>1</v>
      </c>
      <c r="T31" s="10" t="n"/>
      <c r="U31" s="10" t="n"/>
      <c r="V31" s="10" t="n"/>
      <c r="W31" s="10" t="n"/>
      <c r="X31" s="10" t="n"/>
      <c r="Y31" s="12">
        <f>SUM(L31:X31)</f>
        <v/>
      </c>
      <c r="Z31" s="13" t="inlineStr"/>
    </row>
    <row r="32" ht="30" customHeight="1">
      <c r="A32" s="7" t="inlineStr">
        <is>
          <t>B028</t>
        </is>
      </c>
      <c r="B32" s="7" t="inlineStr">
        <is>
          <t>2026-05-27</t>
        </is>
      </c>
      <c r="C32" s="7" t="inlineStr">
        <is>
          <t>2026-05-27</t>
        </is>
      </c>
      <c r="D32" s="7" t="inlineStr"/>
      <c r="E32" s="7" t="inlineStr">
        <is>
          <t>Martins</t>
        </is>
      </c>
      <c r="F32" s="7" t="inlineStr"/>
      <c r="G32" s="7" t="inlineStr"/>
      <c r="H32" s="7" t="inlineStr"/>
      <c r="I32" s="7" t="inlineStr">
        <is>
          <t>Pelvic block</t>
        </is>
      </c>
      <c r="J32" s="8" t="inlineStr">
        <is>
          <t>Fail</t>
        </is>
      </c>
      <c r="K32" s="9" t="inlineStr">
        <is>
          <t>laceration in urethra</t>
        </is>
      </c>
      <c r="L32" s="10" t="n"/>
      <c r="M32" s="10" t="n"/>
      <c r="N32" s="10" t="n"/>
      <c r="O32" s="10" t="n"/>
      <c r="P32" s="11" t="n">
        <v>1</v>
      </c>
      <c r="Q32" s="10" t="n"/>
      <c r="R32" s="10" t="n"/>
      <c r="S32" s="10" t="n"/>
      <c r="T32" s="10" t="n"/>
      <c r="U32" s="10" t="n"/>
      <c r="V32" s="10" t="n"/>
      <c r="W32" s="10" t="n"/>
      <c r="X32" s="10" t="n"/>
      <c r="Y32" s="12">
        <f>SUM(L32:X32)</f>
        <v/>
      </c>
      <c r="Z32" s="13" t="inlineStr"/>
    </row>
    <row r="33" ht="30" customHeight="1">
      <c r="A33" s="7" t="inlineStr">
        <is>
          <t>B029</t>
        </is>
      </c>
      <c r="B33" s="7" t="inlineStr">
        <is>
          <t>2026-05-27</t>
        </is>
      </c>
      <c r="C33" s="7" t="inlineStr">
        <is>
          <t>2026-05-27</t>
        </is>
      </c>
      <c r="D33" s="7" t="inlineStr"/>
      <c r="E33" s="7" t="inlineStr">
        <is>
          <t>Martins</t>
        </is>
      </c>
      <c r="F33" s="7" t="inlineStr"/>
      <c r="G33" s="7" t="inlineStr"/>
      <c r="H33" s="7" t="inlineStr"/>
      <c r="I33" s="7" t="inlineStr">
        <is>
          <t>Pelvic block</t>
        </is>
      </c>
      <c r="J33" s="8" t="inlineStr">
        <is>
          <t>Fail</t>
        </is>
      </c>
      <c r="K33" s="9" t="inlineStr">
        <is>
          <t>laceration in urethra</t>
        </is>
      </c>
      <c r="L33" s="10" t="n"/>
      <c r="M33" s="10" t="n"/>
      <c r="N33" s="10" t="n"/>
      <c r="O33" s="10" t="n"/>
      <c r="P33" s="11" t="n">
        <v>1</v>
      </c>
      <c r="Q33" s="10" t="n"/>
      <c r="R33" s="10" t="n"/>
      <c r="S33" s="10" t="n"/>
      <c r="T33" s="10" t="n"/>
      <c r="U33" s="10" t="n"/>
      <c r="V33" s="10" t="n"/>
      <c r="W33" s="10" t="n"/>
      <c r="X33" s="10" t="n"/>
      <c r="Y33" s="12">
        <f>SUM(L33:X33)</f>
        <v/>
      </c>
      <c r="Z33" s="13" t="inlineStr"/>
    </row>
    <row r="34" ht="30" customHeight="1">
      <c r="A34" s="7" t="inlineStr">
        <is>
          <t>B030</t>
        </is>
      </c>
      <c r="B34" s="7" t="inlineStr">
        <is>
          <t>2026-05-27</t>
        </is>
      </c>
      <c r="C34" s="7" t="inlineStr">
        <is>
          <t>2026-05-27</t>
        </is>
      </c>
      <c r="D34" s="7" t="inlineStr"/>
      <c r="E34" s="7" t="inlineStr">
        <is>
          <t>Martins</t>
        </is>
      </c>
      <c r="F34" s="7" t="inlineStr"/>
      <c r="G34" s="7" t="inlineStr"/>
      <c r="H34" s="7" t="inlineStr"/>
      <c r="I34" s="7" t="inlineStr">
        <is>
          <t>Pelvic block</t>
        </is>
      </c>
      <c r="J34" s="8" t="inlineStr">
        <is>
          <t>Fail</t>
        </is>
      </c>
      <c r="K34" s="9" t="inlineStr">
        <is>
          <t>hole in the distal end of the urethra and hole in mesentary membrane in critical area greater than 1.5"</t>
        </is>
      </c>
      <c r="L34" s="10" t="n"/>
      <c r="M34" s="10" t="n"/>
      <c r="N34" s="10" t="n"/>
      <c r="O34" s="10" t="n"/>
      <c r="P34" s="11" t="n">
        <v>1</v>
      </c>
      <c r="Q34" s="11" t="n">
        <v>1</v>
      </c>
      <c r="R34" s="10" t="n"/>
      <c r="S34" s="10" t="n"/>
      <c r="T34" s="10" t="n"/>
      <c r="U34" s="10" t="n"/>
      <c r="V34" s="10" t="n"/>
      <c r="W34" s="10" t="n"/>
      <c r="X34" s="10" t="n"/>
      <c r="Y34" s="12">
        <f>SUM(L34:X34)</f>
        <v/>
      </c>
      <c r="Z34" s="13" t="inlineStr"/>
    </row>
    <row r="35" ht="30" customHeight="1">
      <c r="A35" s="7" t="inlineStr">
        <is>
          <t>B031</t>
        </is>
      </c>
      <c r="B35" s="7" t="inlineStr">
        <is>
          <t>2026-05-27</t>
        </is>
      </c>
      <c r="C35" s="7" t="inlineStr">
        <is>
          <t>2026-05-27</t>
        </is>
      </c>
      <c r="D35" s="7" t="inlineStr"/>
      <c r="E35" s="7" t="inlineStr">
        <is>
          <t>Martins</t>
        </is>
      </c>
      <c r="F35" s="7" t="inlineStr"/>
      <c r="G35" s="7" t="inlineStr"/>
      <c r="H35" s="7" t="inlineStr"/>
      <c r="I35" s="7" t="inlineStr">
        <is>
          <t>Pelvic block</t>
        </is>
      </c>
      <c r="J35" s="14" t="inlineStr">
        <is>
          <t>Pass</t>
        </is>
      </c>
      <c r="K35" s="9" t="inlineStr">
        <is>
          <t>hole in the distal end of the colon passed the template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2">
        <f>SUM(L35:X35)</f>
        <v/>
      </c>
      <c r="Z35" s="15" t="inlineStr">
        <is>
          <t>Colon hole small enough to pass template.</t>
        </is>
      </c>
    </row>
    <row r="36" ht="30" customHeight="1">
      <c r="A36" s="7" t="inlineStr">
        <is>
          <t>B032</t>
        </is>
      </c>
      <c r="B36" s="7" t="inlineStr">
        <is>
          <t>2026-07-10</t>
        </is>
      </c>
      <c r="C36" s="7" t="inlineStr">
        <is>
          <t>2026-07-08</t>
        </is>
      </c>
      <c r="D36" s="7" t="inlineStr">
        <is>
          <t>2026-07-08</t>
        </is>
      </c>
      <c r="E36" s="7" t="inlineStr">
        <is>
          <t>Martins</t>
        </is>
      </c>
      <c r="F36" s="7" t="inlineStr"/>
      <c r="G36" s="7" t="inlineStr"/>
      <c r="H36" s="7" t="inlineStr">
        <is>
          <t>12:30 PM - 12:45 PM</t>
        </is>
      </c>
      <c r="I36" s="7" t="inlineStr">
        <is>
          <t>Tiss, porcine, fem, Pelvic block</t>
        </is>
      </c>
      <c r="J36" s="8" t="inlineStr">
        <is>
          <t>Fail</t>
        </is>
      </c>
      <c r="K36" s="9" t="inlineStr">
        <is>
          <t>Large hole near right broad ligament and membrane causing seperation of bowel and ureters.</t>
        </is>
      </c>
      <c r="L36" s="10" t="n"/>
      <c r="M36" s="10" t="n"/>
      <c r="N36" s="10" t="n"/>
      <c r="O36" s="10" t="n"/>
      <c r="P36" s="10" t="n"/>
      <c r="Q36" s="11" t="n">
        <v>1</v>
      </c>
      <c r="R36" s="10" t="n"/>
      <c r="S36" s="11" t="n">
        <v>1</v>
      </c>
      <c r="T36" s="10" t="n"/>
      <c r="U36" s="11" t="n">
        <v>1</v>
      </c>
      <c r="V36" s="10" t="n"/>
      <c r="W36" s="10" t="n"/>
      <c r="X36" s="10" t="n"/>
      <c r="Y36" s="12">
        <f>SUM(L36:X36)</f>
        <v/>
      </c>
      <c r="Z36" s="13" t="inlineStr"/>
    </row>
    <row r="37" ht="30" customHeight="1">
      <c r="A37" s="7" t="inlineStr">
        <is>
          <t>B033</t>
        </is>
      </c>
      <c r="B37" s="7" t="inlineStr">
        <is>
          <t>2026-07-10</t>
        </is>
      </c>
      <c r="C37" s="7" t="inlineStr">
        <is>
          <t>2026-07-08</t>
        </is>
      </c>
      <c r="D37" s="7" t="inlineStr">
        <is>
          <t>2026-07-08</t>
        </is>
      </c>
      <c r="E37" s="7" t="inlineStr">
        <is>
          <t>Martins</t>
        </is>
      </c>
      <c r="F37" s="7" t="inlineStr"/>
      <c r="G37" s="7" t="inlineStr"/>
      <c r="H37" s="7" t="inlineStr">
        <is>
          <t>12:30 PM - 12:45 PM</t>
        </is>
      </c>
      <c r="I37" s="7" t="inlineStr">
        <is>
          <t>Tiss, porcine, fem, Pelvic block</t>
        </is>
      </c>
      <c r="J37" s="8" t="inlineStr">
        <is>
          <t>Fail</t>
        </is>
      </c>
      <c r="K37" s="9" t="inlineStr">
        <is>
          <t>2 inch damage on membrane seperating bowel in critical area</t>
        </is>
      </c>
      <c r="L37" s="10" t="n"/>
      <c r="M37" s="10" t="n"/>
      <c r="N37" s="10" t="n"/>
      <c r="O37" s="10" t="n"/>
      <c r="P37" s="10" t="n"/>
      <c r="Q37" s="11" t="n">
        <v>1</v>
      </c>
      <c r="R37" s="10" t="n"/>
      <c r="S37" s="11" t="n">
        <v>1</v>
      </c>
      <c r="T37" s="10" t="n"/>
      <c r="U37" s="10" t="n"/>
      <c r="V37" s="10" t="n"/>
      <c r="W37" s="10" t="n"/>
      <c r="X37" s="10" t="n"/>
      <c r="Y37" s="12">
        <f>SUM(L37:X37)</f>
        <v/>
      </c>
      <c r="Z37" s="13" t="inlineStr"/>
    </row>
    <row r="38" ht="30" customHeight="1">
      <c r="A38" s="7" t="inlineStr">
        <is>
          <t>B034</t>
        </is>
      </c>
      <c r="B38" s="7" t="inlineStr">
        <is>
          <t>2026-07-10</t>
        </is>
      </c>
      <c r="C38" s="7" t="inlineStr">
        <is>
          <t>2026-07-08</t>
        </is>
      </c>
      <c r="D38" s="7" t="inlineStr">
        <is>
          <t>2026-07-08</t>
        </is>
      </c>
      <c r="E38" s="7" t="inlineStr">
        <is>
          <t>Martins</t>
        </is>
      </c>
      <c r="F38" s="7" t="inlineStr"/>
      <c r="G38" s="7" t="inlineStr"/>
      <c r="H38" s="7" t="inlineStr">
        <is>
          <t>12:30 PM - 12:45 PM</t>
        </is>
      </c>
      <c r="I38" s="7" t="inlineStr">
        <is>
          <t>Tiss, porcine, fem, Pelvic block</t>
        </is>
      </c>
      <c r="J38" s="8" t="inlineStr">
        <is>
          <t>Fail</t>
        </is>
      </c>
      <c r="K38" s="9" t="inlineStr">
        <is>
          <t>urethra is cut</t>
        </is>
      </c>
      <c r="L38" s="10" t="n"/>
      <c r="M38" s="10" t="n"/>
      <c r="N38" s="10" t="n"/>
      <c r="O38" s="10" t="n"/>
      <c r="P38" s="11" t="n">
        <v>1</v>
      </c>
      <c r="Q38" s="10" t="n"/>
      <c r="R38" s="10" t="n"/>
      <c r="S38" s="10" t="n"/>
      <c r="T38" s="10" t="n"/>
      <c r="U38" s="10" t="n"/>
      <c r="V38" s="10" t="n"/>
      <c r="W38" s="10" t="n"/>
      <c r="X38" s="10" t="n"/>
      <c r="Y38" s="12">
        <f>SUM(L38:X38)</f>
        <v/>
      </c>
      <c r="Z38" s="13" t="inlineStr"/>
    </row>
    <row r="39" ht="30" customHeight="1">
      <c r="A39" s="7" t="inlineStr">
        <is>
          <t>B035</t>
        </is>
      </c>
      <c r="B39" s="7" t="inlineStr">
        <is>
          <t>2026-07-10</t>
        </is>
      </c>
      <c r="C39" s="7" t="inlineStr">
        <is>
          <t>2026-07-08</t>
        </is>
      </c>
      <c r="D39" s="7" t="inlineStr">
        <is>
          <t>2026-07-08</t>
        </is>
      </c>
      <c r="E39" s="7" t="inlineStr">
        <is>
          <t>Martins</t>
        </is>
      </c>
      <c r="F39" s="7" t="inlineStr"/>
      <c r="G39" s="7" t="inlineStr"/>
      <c r="H39" s="7" t="inlineStr">
        <is>
          <t>12:30 PM - 12:45 PM</t>
        </is>
      </c>
      <c r="I39" s="7" t="inlineStr">
        <is>
          <t>Tiss, porcine, fem, Pelvic block</t>
        </is>
      </c>
      <c r="J39" s="8" t="inlineStr">
        <is>
          <t>Fail</t>
        </is>
      </c>
      <c r="K39" s="9" t="inlineStr">
        <is>
          <t>bladder deformed 12 inch deformed attachment</t>
        </is>
      </c>
      <c r="L39" s="10" t="n"/>
      <c r="M39" s="10" t="n"/>
      <c r="N39" s="10" t="n"/>
      <c r="O39" s="10" t="n"/>
      <c r="P39" s="10" t="n"/>
      <c r="Q39" s="10" t="n"/>
      <c r="R39" s="11" t="n">
        <v>1</v>
      </c>
      <c r="S39" s="10" t="n"/>
      <c r="T39" s="10" t="n"/>
      <c r="U39" s="10" t="n"/>
      <c r="V39" s="10" t="n"/>
      <c r="W39" s="10" t="n"/>
      <c r="X39" s="10" t="n"/>
      <c r="Y39" s="12">
        <f>SUM(L39:X39)</f>
        <v/>
      </c>
      <c r="Z39" s="13" t="inlineStr"/>
    </row>
    <row r="40" ht="30" customHeight="1">
      <c r="A40" s="7" t="inlineStr">
        <is>
          <t>B036</t>
        </is>
      </c>
      <c r="B40" s="7" t="inlineStr">
        <is>
          <t>2026-07-10</t>
        </is>
      </c>
      <c r="C40" s="7" t="inlineStr">
        <is>
          <t>2026-07-08</t>
        </is>
      </c>
      <c r="D40" s="7" t="inlineStr">
        <is>
          <t>2026-07-08</t>
        </is>
      </c>
      <c r="E40" s="7" t="inlineStr">
        <is>
          <t>Martins</t>
        </is>
      </c>
      <c r="F40" s="7" t="inlineStr"/>
      <c r="G40" s="7" t="inlineStr"/>
      <c r="H40" s="7" t="inlineStr">
        <is>
          <t>12:30 PM - 12:45 PM</t>
        </is>
      </c>
      <c r="I40" s="7" t="inlineStr">
        <is>
          <t>Tiss, porcine, fem, Pelvic block</t>
        </is>
      </c>
      <c r="J40" s="8" t="inlineStr">
        <is>
          <t>Fail</t>
        </is>
      </c>
      <c r="K40" s="9" t="inlineStr">
        <is>
          <t>suspensory ligaments damaged, ureters not embedded</t>
        </is>
      </c>
      <c r="L40" s="11" t="n">
        <v>1</v>
      </c>
      <c r="M40" s="10" t="n"/>
      <c r="N40" s="10" t="n"/>
      <c r="O40" s="11" t="n">
        <v>1</v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2">
        <f>SUM(L40:X40)</f>
        <v/>
      </c>
      <c r="Z40" s="13" t="inlineStr"/>
    </row>
    <row r="41" ht="30" customHeight="1">
      <c r="A41" s="7" t="inlineStr">
        <is>
          <t>B037</t>
        </is>
      </c>
      <c r="B41" s="7" t="inlineStr">
        <is>
          <t>2026-07-10</t>
        </is>
      </c>
      <c r="C41" s="7" t="inlineStr">
        <is>
          <t>2026-07-08</t>
        </is>
      </c>
      <c r="D41" s="7" t="inlineStr">
        <is>
          <t>2026-07-08</t>
        </is>
      </c>
      <c r="E41" s="7" t="inlineStr">
        <is>
          <t>Martins</t>
        </is>
      </c>
      <c r="F41" s="7" t="inlineStr"/>
      <c r="G41" s="7" t="inlineStr"/>
      <c r="H41" s="7" t="inlineStr">
        <is>
          <t>12:30 PM - 12:45 PM</t>
        </is>
      </c>
      <c r="I41" s="7" t="inlineStr">
        <is>
          <t>Tiss, porcine, fem, Pelvic block</t>
        </is>
      </c>
      <c r="J41" s="8" t="inlineStr">
        <is>
          <t>Fail</t>
        </is>
      </c>
      <c r="K41" s="9" t="inlineStr">
        <is>
          <t>ureters not embedded, suspensory ligaments damaged, cut urethra</t>
        </is>
      </c>
      <c r="L41" s="11" t="n">
        <v>1</v>
      </c>
      <c r="M41" s="10" t="n"/>
      <c r="N41" s="10" t="n"/>
      <c r="O41" s="11" t="n">
        <v>1</v>
      </c>
      <c r="P41" s="11" t="n">
        <v>1</v>
      </c>
      <c r="Q41" s="10" t="n"/>
      <c r="R41" s="10" t="n"/>
      <c r="S41" s="10" t="n"/>
      <c r="T41" s="10" t="n"/>
      <c r="U41" s="10" t="n"/>
      <c r="V41" s="10" t="n"/>
      <c r="W41" s="10" t="n"/>
      <c r="X41" s="10" t="n"/>
      <c r="Y41" s="12">
        <f>SUM(L41:X41)</f>
        <v/>
      </c>
      <c r="Z41" s="13" t="inlineStr"/>
    </row>
    <row r="42" ht="30" customHeight="1">
      <c r="A42" s="7" t="inlineStr">
        <is>
          <t>B038</t>
        </is>
      </c>
      <c r="B42" s="7" t="inlineStr">
        <is>
          <t>2026-07-10</t>
        </is>
      </c>
      <c r="C42" s="7" t="inlineStr">
        <is>
          <t>2026-07-08</t>
        </is>
      </c>
      <c r="D42" s="7" t="inlineStr">
        <is>
          <t>2026-07-08</t>
        </is>
      </c>
      <c r="E42" s="7" t="inlineStr">
        <is>
          <t>Martins</t>
        </is>
      </c>
      <c r="F42" s="7" t="inlineStr"/>
      <c r="G42" s="7" t="inlineStr"/>
      <c r="H42" s="7" t="inlineStr">
        <is>
          <t>12:30 PM - 12:45 PM</t>
        </is>
      </c>
      <c r="I42" s="7" t="inlineStr">
        <is>
          <t>Tiss, porcine, fem, Pelvic block</t>
        </is>
      </c>
      <c r="J42" s="8" t="inlineStr">
        <is>
          <t>Fail</t>
        </is>
      </c>
      <c r="K42" s="9" t="inlineStr">
        <is>
          <t>ureters not embedded and cut, suspensory ligaments damaged, cut urethra</t>
        </is>
      </c>
      <c r="L42" s="11" t="n">
        <v>1</v>
      </c>
      <c r="M42" s="11" t="n">
        <v>1</v>
      </c>
      <c r="N42" s="10" t="n"/>
      <c r="O42" s="11" t="n">
        <v>1</v>
      </c>
      <c r="P42" s="11" t="n">
        <v>1</v>
      </c>
      <c r="Q42" s="10" t="n"/>
      <c r="R42" s="10" t="n"/>
      <c r="S42" s="10" t="n"/>
      <c r="T42" s="10" t="n"/>
      <c r="U42" s="10" t="n"/>
      <c r="V42" s="10" t="n"/>
      <c r="W42" s="10" t="n"/>
      <c r="X42" s="10" t="n"/>
      <c r="Y42" s="12">
        <f>SUM(L42:X42)</f>
        <v/>
      </c>
      <c r="Z42" s="13" t="inlineStr"/>
    </row>
    <row r="43" ht="30" customHeight="1">
      <c r="A43" s="7" t="inlineStr">
        <is>
          <t>B039</t>
        </is>
      </c>
      <c r="B43" s="7" t="inlineStr">
        <is>
          <t>2026-07-10</t>
        </is>
      </c>
      <c r="C43" s="7" t="inlineStr">
        <is>
          <t>2026-07-08</t>
        </is>
      </c>
      <c r="D43" s="7" t="inlineStr">
        <is>
          <t>2026-07-08</t>
        </is>
      </c>
      <c r="E43" s="7" t="inlineStr">
        <is>
          <t>Martins</t>
        </is>
      </c>
      <c r="F43" s="7" t="inlineStr"/>
      <c r="G43" s="7" t="inlineStr"/>
      <c r="H43" s="7" t="inlineStr">
        <is>
          <t>12:30 PM - 12:45 PM</t>
        </is>
      </c>
      <c r="I43" s="7" t="inlineStr">
        <is>
          <t>Tiss, porcine, fem, Pelvic block</t>
        </is>
      </c>
      <c r="J43" s="8" t="inlineStr">
        <is>
          <t>Fail</t>
        </is>
      </c>
      <c r="K43" s="9" t="inlineStr">
        <is>
          <t>ureters not embedded, suspensory ligaments damaged, cut urethra, membrane damaged in critical area</t>
        </is>
      </c>
      <c r="L43" s="11" t="n">
        <v>1</v>
      </c>
      <c r="M43" s="10" t="n"/>
      <c r="N43" s="10" t="n"/>
      <c r="O43" s="11" t="n">
        <v>1</v>
      </c>
      <c r="P43" s="11" t="n">
        <v>1</v>
      </c>
      <c r="Q43" s="11" t="n">
        <v>1</v>
      </c>
      <c r="R43" s="10" t="n"/>
      <c r="S43" s="10" t="n"/>
      <c r="T43" s="10" t="n"/>
      <c r="U43" s="10" t="n"/>
      <c r="V43" s="10" t="n"/>
      <c r="W43" s="10" t="n"/>
      <c r="X43" s="10" t="n"/>
      <c r="Y43" s="12">
        <f>SUM(L43:X43)</f>
        <v/>
      </c>
      <c r="Z43" s="13" t="inlineStr"/>
    </row>
    <row r="44" ht="30" customHeight="1">
      <c r="A44" s="7" t="inlineStr">
        <is>
          <t>B040</t>
        </is>
      </c>
      <c r="B44" s="7" t="inlineStr">
        <is>
          <t>2026-07-10</t>
        </is>
      </c>
      <c r="C44" s="7" t="inlineStr">
        <is>
          <t>2026-07-08</t>
        </is>
      </c>
      <c r="D44" s="7" t="inlineStr">
        <is>
          <t>2026-07-08</t>
        </is>
      </c>
      <c r="E44" s="7" t="inlineStr">
        <is>
          <t>Martins</t>
        </is>
      </c>
      <c r="F44" s="7" t="inlineStr"/>
      <c r="G44" s="7" t="inlineStr"/>
      <c r="H44" s="7" t="inlineStr">
        <is>
          <t>12:30 PM - 12:45 PM</t>
        </is>
      </c>
      <c r="I44" s="7" t="inlineStr">
        <is>
          <t>Tiss, porcine, fem, Pelvic block</t>
        </is>
      </c>
      <c r="J44" s="8" t="inlineStr">
        <is>
          <t>Fail</t>
        </is>
      </c>
      <c r="K44" s="9" t="inlineStr">
        <is>
          <t>suspensory ligaments damaged, ureters not embedded</t>
        </is>
      </c>
      <c r="L44" s="11" t="n">
        <v>1</v>
      </c>
      <c r="M44" s="10" t="n"/>
      <c r="N44" s="10" t="n"/>
      <c r="O44" s="11" t="n">
        <v>1</v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2">
        <f>SUM(L44:X44)</f>
        <v/>
      </c>
      <c r="Z44" s="13" t="inlineStr"/>
    </row>
    <row r="45" ht="30" customHeight="1">
      <c r="A45" s="7" t="inlineStr">
        <is>
          <t>B041</t>
        </is>
      </c>
      <c r="B45" s="7" t="inlineStr">
        <is>
          <t>2026-07-10</t>
        </is>
      </c>
      <c r="C45" s="7" t="inlineStr">
        <is>
          <t>2026-07-08</t>
        </is>
      </c>
      <c r="D45" s="7" t="inlineStr">
        <is>
          <t>2026-07-08</t>
        </is>
      </c>
      <c r="E45" s="7" t="inlineStr">
        <is>
          <t>Martins</t>
        </is>
      </c>
      <c r="F45" s="7" t="inlineStr"/>
      <c r="G45" s="7" t="inlineStr"/>
      <c r="H45" s="7" t="inlineStr">
        <is>
          <t>12:30 PM - 12:45 PM</t>
        </is>
      </c>
      <c r="I45" s="7" t="inlineStr">
        <is>
          <t>Tiss, porcine, fem, Pelvic block</t>
        </is>
      </c>
      <c r="J45" s="8" t="inlineStr">
        <is>
          <t>Fail</t>
        </is>
      </c>
      <c r="K45" s="9" t="inlineStr">
        <is>
          <t>ureters not embedded, suspensory ligaments damaged, cut urethra, membrane damaged in critical area</t>
        </is>
      </c>
      <c r="L45" s="11" t="n">
        <v>1</v>
      </c>
      <c r="M45" s="10" t="n"/>
      <c r="N45" s="10" t="n"/>
      <c r="O45" s="11" t="n">
        <v>1</v>
      </c>
      <c r="P45" s="11" t="n">
        <v>1</v>
      </c>
      <c r="Q45" s="11" t="n">
        <v>1</v>
      </c>
      <c r="R45" s="10" t="n"/>
      <c r="S45" s="10" t="n"/>
      <c r="T45" s="10" t="n"/>
      <c r="U45" s="10" t="n"/>
      <c r="V45" s="10" t="n"/>
      <c r="W45" s="10" t="n"/>
      <c r="X45" s="10" t="n"/>
      <c r="Y45" s="12">
        <f>SUM(L45:X45)</f>
        <v/>
      </c>
      <c r="Z45" s="13" t="inlineStr"/>
    </row>
    <row r="46" ht="30" customHeight="1">
      <c r="A46" s="7" t="inlineStr">
        <is>
          <t>B042</t>
        </is>
      </c>
      <c r="B46" s="7" t="inlineStr">
        <is>
          <t>2026-07-10</t>
        </is>
      </c>
      <c r="C46" s="7" t="inlineStr">
        <is>
          <t>2026-07-08</t>
        </is>
      </c>
      <c r="D46" s="7" t="inlineStr">
        <is>
          <t>2026-07-08</t>
        </is>
      </c>
      <c r="E46" s="7" t="inlineStr">
        <is>
          <t>Martins</t>
        </is>
      </c>
      <c r="F46" s="7" t="inlineStr"/>
      <c r="G46" s="7" t="inlineStr"/>
      <c r="H46" s="7" t="inlineStr">
        <is>
          <t>12:30 PM - 12:45 PM</t>
        </is>
      </c>
      <c r="I46" s="7" t="inlineStr">
        <is>
          <t>Tiss, porcine, fem, Pelvic block</t>
        </is>
      </c>
      <c r="J46" s="8" t="inlineStr">
        <is>
          <t>Fail</t>
        </is>
      </c>
      <c r="K46" s="9" t="inlineStr">
        <is>
          <t>left ureter is missing</t>
        </is>
      </c>
      <c r="L46" s="10" t="n"/>
      <c r="M46" s="10" t="n"/>
      <c r="N46" s="11" t="n">
        <v>1</v>
      </c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2">
        <f>SUM(L46:X46)</f>
        <v/>
      </c>
      <c r="Z46" s="13" t="inlineStr"/>
    </row>
    <row r="47" ht="30" customHeight="1">
      <c r="A47" s="7" t="inlineStr">
        <is>
          <t>B043</t>
        </is>
      </c>
      <c r="B47" s="7" t="inlineStr">
        <is>
          <t>2026-07-10</t>
        </is>
      </c>
      <c r="C47" s="7" t="inlineStr">
        <is>
          <t>2026-07-08</t>
        </is>
      </c>
      <c r="D47" s="7" t="inlineStr">
        <is>
          <t>2026-07-08</t>
        </is>
      </c>
      <c r="E47" s="7" t="inlineStr">
        <is>
          <t>Martins</t>
        </is>
      </c>
      <c r="F47" s="7" t="inlineStr"/>
      <c r="G47" s="7" t="inlineStr"/>
      <c r="H47" s="7" t="inlineStr">
        <is>
          <t>12:30 PM - 12:45 PM</t>
        </is>
      </c>
      <c r="I47" s="7" t="inlineStr">
        <is>
          <t>Tiss, porcine, fem, Pelvic block</t>
        </is>
      </c>
      <c r="J47" s="8" t="inlineStr">
        <is>
          <t>Fail</t>
        </is>
      </c>
      <c r="K47" s="9" t="inlineStr">
        <is>
          <t>ureters not embedded, suspensory ligaments damaged, membrane damaged in critical area</t>
        </is>
      </c>
      <c r="L47" s="11" t="n">
        <v>1</v>
      </c>
      <c r="M47" s="10" t="n"/>
      <c r="N47" s="10" t="n"/>
      <c r="O47" s="11" t="n">
        <v>1</v>
      </c>
      <c r="P47" s="10" t="n"/>
      <c r="Q47" s="11" t="n">
        <v>1</v>
      </c>
      <c r="R47" s="10" t="n"/>
      <c r="S47" s="10" t="n"/>
      <c r="T47" s="10" t="n"/>
      <c r="U47" s="10" t="n"/>
      <c r="V47" s="10" t="n"/>
      <c r="W47" s="10" t="n"/>
      <c r="X47" s="10" t="n"/>
      <c r="Y47" s="12">
        <f>SUM(L47:X47)</f>
        <v/>
      </c>
      <c r="Z47" s="13" t="inlineStr"/>
    </row>
    <row r="48" ht="30" customHeight="1">
      <c r="A48" s="7" t="inlineStr">
        <is>
          <t>B044</t>
        </is>
      </c>
      <c r="B48" s="7" t="inlineStr">
        <is>
          <t>2026-07-10</t>
        </is>
      </c>
      <c r="C48" s="7" t="inlineStr">
        <is>
          <t>2026-07-08</t>
        </is>
      </c>
      <c r="D48" s="7" t="inlineStr">
        <is>
          <t>2026-07-08</t>
        </is>
      </c>
      <c r="E48" s="7" t="inlineStr">
        <is>
          <t>Martins</t>
        </is>
      </c>
      <c r="F48" s="7" t="inlineStr"/>
      <c r="G48" s="7" t="inlineStr"/>
      <c r="H48" s="7" t="inlineStr">
        <is>
          <t>12:30 PM - 12:45 PM</t>
        </is>
      </c>
      <c r="I48" s="7" t="inlineStr">
        <is>
          <t>Tiss, porcine, fem, Pelvic block</t>
        </is>
      </c>
      <c r="J48" s="8" t="inlineStr">
        <is>
          <t>Fail</t>
        </is>
      </c>
      <c r="K48" s="9" t="inlineStr">
        <is>
          <t>ureters not embedded, suspensory ligaments damaged, membrane damaged in critical area</t>
        </is>
      </c>
      <c r="L48" s="11" t="n">
        <v>1</v>
      </c>
      <c r="M48" s="10" t="n"/>
      <c r="N48" s="10" t="n"/>
      <c r="O48" s="11" t="n">
        <v>1</v>
      </c>
      <c r="P48" s="10" t="n"/>
      <c r="Q48" s="11" t="n">
        <v>1</v>
      </c>
      <c r="R48" s="10" t="n"/>
      <c r="S48" s="10" t="n"/>
      <c r="T48" s="10" t="n"/>
      <c r="U48" s="10" t="n"/>
      <c r="V48" s="10" t="n"/>
      <c r="W48" s="10" t="n"/>
      <c r="X48" s="10" t="n"/>
      <c r="Y48" s="12">
        <f>SUM(L48:X48)</f>
        <v/>
      </c>
      <c r="Z48" s="13" t="inlineStr"/>
    </row>
    <row r="49" ht="30" customHeight="1">
      <c r="A49" s="7" t="inlineStr">
        <is>
          <t>B045</t>
        </is>
      </c>
      <c r="B49" s="7" t="inlineStr">
        <is>
          <t>2026-07-10</t>
        </is>
      </c>
      <c r="C49" s="7" t="inlineStr">
        <is>
          <t>2026-07-08</t>
        </is>
      </c>
      <c r="D49" s="7" t="inlineStr">
        <is>
          <t>2026-07-08</t>
        </is>
      </c>
      <c r="E49" s="7" t="inlineStr">
        <is>
          <t>Martins</t>
        </is>
      </c>
      <c r="F49" s="7" t="inlineStr"/>
      <c r="G49" s="7" t="inlineStr"/>
      <c r="H49" s="7" t="inlineStr">
        <is>
          <t>12:30 PM - 12:45 PM</t>
        </is>
      </c>
      <c r="I49" s="7" t="inlineStr">
        <is>
          <t>Tiss, porcine, fem, Pelvic block</t>
        </is>
      </c>
      <c r="J49" s="8" t="inlineStr">
        <is>
          <t>Fail</t>
        </is>
      </c>
      <c r="K49" s="9" t="inlineStr">
        <is>
          <t>left ureter missing, blood clots</t>
        </is>
      </c>
      <c r="L49" s="10" t="n"/>
      <c r="M49" s="10" t="n"/>
      <c r="N49" s="11" t="n">
        <v>1</v>
      </c>
      <c r="O49" s="10" t="n"/>
      <c r="P49" s="10" t="n"/>
      <c r="Q49" s="10" t="n"/>
      <c r="R49" s="10" t="n"/>
      <c r="S49" s="10" t="n"/>
      <c r="T49" s="11" t="n">
        <v>1</v>
      </c>
      <c r="U49" s="10" t="n"/>
      <c r="V49" s="10" t="n"/>
      <c r="W49" s="10" t="n"/>
      <c r="X49" s="10" t="n"/>
      <c r="Y49" s="12">
        <f>SUM(L49:X49)</f>
        <v/>
      </c>
      <c r="Z49" s="13" t="inlineStr"/>
    </row>
    <row r="50" ht="30" customHeight="1">
      <c r="A50" s="7" t="inlineStr">
        <is>
          <t>B046</t>
        </is>
      </c>
      <c r="B50" s="7" t="inlineStr">
        <is>
          <t>2026-07-10</t>
        </is>
      </c>
      <c r="C50" s="7" t="inlineStr">
        <is>
          <t>2026-07-08</t>
        </is>
      </c>
      <c r="D50" s="7" t="inlineStr">
        <is>
          <t>2026-07-08</t>
        </is>
      </c>
      <c r="E50" s="7" t="inlineStr">
        <is>
          <t>Martins</t>
        </is>
      </c>
      <c r="F50" s="7" t="inlineStr"/>
      <c r="G50" s="7" t="inlineStr"/>
      <c r="H50" s="7" t="inlineStr">
        <is>
          <t>12:30 PM - 12:45 PM</t>
        </is>
      </c>
      <c r="I50" s="7" t="inlineStr">
        <is>
          <t>Tiss, porcine, fem, Pelvic block</t>
        </is>
      </c>
      <c r="J50" s="8" t="inlineStr">
        <is>
          <t>Fail</t>
        </is>
      </c>
      <c r="K50" s="9" t="inlineStr">
        <is>
          <t>right ureter missing, membrane damage in critical area</t>
        </is>
      </c>
      <c r="L50" s="10" t="n"/>
      <c r="M50" s="10" t="n"/>
      <c r="N50" s="11" t="n">
        <v>1</v>
      </c>
      <c r="O50" s="10" t="n"/>
      <c r="P50" s="10" t="n"/>
      <c r="Q50" s="11" t="n">
        <v>1</v>
      </c>
      <c r="R50" s="10" t="n"/>
      <c r="S50" s="10" t="n"/>
      <c r="T50" s="10" t="n"/>
      <c r="U50" s="10" t="n"/>
      <c r="V50" s="10" t="n"/>
      <c r="W50" s="10" t="n"/>
      <c r="X50" s="10" t="n"/>
      <c r="Y50" s="12">
        <f>SUM(L50:X50)</f>
        <v/>
      </c>
      <c r="Z50" s="13" t="inlineStr"/>
    </row>
    <row r="51" ht="30" customHeight="1">
      <c r="A51" s="7" t="inlineStr">
        <is>
          <t>B047</t>
        </is>
      </c>
      <c r="B51" s="7" t="inlineStr">
        <is>
          <t>2026-07-10</t>
        </is>
      </c>
      <c r="C51" s="7" t="inlineStr">
        <is>
          <t>2026-07-08</t>
        </is>
      </c>
      <c r="D51" s="7" t="inlineStr">
        <is>
          <t>2026-07-08</t>
        </is>
      </c>
      <c r="E51" s="7" t="inlineStr">
        <is>
          <t>Martins</t>
        </is>
      </c>
      <c r="F51" s="7" t="inlineStr"/>
      <c r="G51" s="7" t="inlineStr"/>
      <c r="H51" s="7" t="inlineStr">
        <is>
          <t>12:30 PM - 12:45 PM</t>
        </is>
      </c>
      <c r="I51" s="7" t="inlineStr">
        <is>
          <t>Tiss, porcine, fem, Pelvic block</t>
        </is>
      </c>
      <c r="J51" s="8" t="inlineStr">
        <is>
          <t>Fail</t>
        </is>
      </c>
      <c r="K51" s="9" t="inlineStr">
        <is>
          <t>membrane damage in critical area, ureters not embedded</t>
        </is>
      </c>
      <c r="L51" s="11" t="n">
        <v>1</v>
      </c>
      <c r="M51" s="10" t="n"/>
      <c r="N51" s="10" t="n"/>
      <c r="O51" s="10" t="n"/>
      <c r="P51" s="10" t="n"/>
      <c r="Q51" s="11" t="n">
        <v>1</v>
      </c>
      <c r="R51" s="10" t="n"/>
      <c r="S51" s="10" t="n"/>
      <c r="T51" s="10" t="n"/>
      <c r="U51" s="10" t="n"/>
      <c r="V51" s="10" t="n"/>
      <c r="W51" s="10" t="n"/>
      <c r="X51" s="10" t="n"/>
      <c r="Y51" s="12">
        <f>SUM(L51:X51)</f>
        <v/>
      </c>
      <c r="Z51" s="13" t="inlineStr"/>
    </row>
    <row r="52" ht="30" customHeight="1">
      <c r="A52" s="7" t="inlineStr">
        <is>
          <t>B048</t>
        </is>
      </c>
      <c r="B52" s="7" t="inlineStr">
        <is>
          <t>2026-07-10</t>
        </is>
      </c>
      <c r="C52" s="7" t="inlineStr">
        <is>
          <t>2026-07-08</t>
        </is>
      </c>
      <c r="D52" s="7" t="inlineStr">
        <is>
          <t>2026-07-08</t>
        </is>
      </c>
      <c r="E52" s="7" t="inlineStr">
        <is>
          <t>Martins</t>
        </is>
      </c>
      <c r="F52" s="7" t="inlineStr"/>
      <c r="G52" s="7" t="inlineStr"/>
      <c r="H52" s="7" t="inlineStr">
        <is>
          <t>12:30 PM - 12:45 PM</t>
        </is>
      </c>
      <c r="I52" s="7" t="inlineStr">
        <is>
          <t>Tiss, porcine, fem, Pelvic block</t>
        </is>
      </c>
      <c r="J52" s="8" t="inlineStr">
        <is>
          <t>Fail</t>
        </is>
      </c>
      <c r="K52" s="9" t="inlineStr">
        <is>
          <t>membrane damage in critical area, ureters not embedded</t>
        </is>
      </c>
      <c r="L52" s="11" t="n">
        <v>1</v>
      </c>
      <c r="M52" s="10" t="n"/>
      <c r="N52" s="10" t="n"/>
      <c r="O52" s="10" t="n"/>
      <c r="P52" s="10" t="n"/>
      <c r="Q52" s="11" t="n">
        <v>1</v>
      </c>
      <c r="R52" s="10" t="n"/>
      <c r="S52" s="10" t="n"/>
      <c r="T52" s="10" t="n"/>
      <c r="U52" s="10" t="n"/>
      <c r="V52" s="10" t="n"/>
      <c r="W52" s="10" t="n"/>
      <c r="X52" s="10" t="n"/>
      <c r="Y52" s="12">
        <f>SUM(L52:X52)</f>
        <v/>
      </c>
      <c r="Z52" s="13" t="inlineStr"/>
    </row>
    <row r="53" ht="30" customHeight="1">
      <c r="A53" s="7" t="inlineStr">
        <is>
          <t>B049</t>
        </is>
      </c>
      <c r="B53" s="7" t="inlineStr">
        <is>
          <t>2026-07-10</t>
        </is>
      </c>
      <c r="C53" s="7" t="inlineStr">
        <is>
          <t>2026-07-08</t>
        </is>
      </c>
      <c r="D53" s="7" t="inlineStr">
        <is>
          <t>2026-07-08</t>
        </is>
      </c>
      <c r="E53" s="7" t="inlineStr">
        <is>
          <t>Martins</t>
        </is>
      </c>
      <c r="F53" s="7" t="inlineStr"/>
      <c r="G53" s="7" t="inlineStr"/>
      <c r="H53" s="7" t="inlineStr">
        <is>
          <t>12:30 PM - 12:45 PM</t>
        </is>
      </c>
      <c r="I53" s="7" t="inlineStr">
        <is>
          <t>Tiss, porcine, fem, Pelvic block</t>
        </is>
      </c>
      <c r="J53" s="8" t="inlineStr">
        <is>
          <t>Fail</t>
        </is>
      </c>
      <c r="K53" s="9" t="inlineStr">
        <is>
          <t>ureter cut, membrane damage in critital area, right ureter not embedded</t>
        </is>
      </c>
      <c r="L53" s="11" t="n">
        <v>1</v>
      </c>
      <c r="M53" s="11" t="n">
        <v>1</v>
      </c>
      <c r="N53" s="10" t="n"/>
      <c r="O53" s="10" t="n"/>
      <c r="P53" s="10" t="n"/>
      <c r="Q53" s="11" t="n">
        <v>1</v>
      </c>
      <c r="R53" s="10" t="n"/>
      <c r="S53" s="10" t="n"/>
      <c r="T53" s="10" t="n"/>
      <c r="U53" s="10" t="n"/>
      <c r="V53" s="10" t="n"/>
      <c r="W53" s="10" t="n"/>
      <c r="X53" s="10" t="n"/>
      <c r="Y53" s="12">
        <f>SUM(L53:X53)</f>
        <v/>
      </c>
      <c r="Z53" s="13" t="inlineStr"/>
    </row>
    <row r="54" ht="30" customHeight="1">
      <c r="A54" s="7" t="inlineStr">
        <is>
          <t>B050</t>
        </is>
      </c>
      <c r="B54" s="7" t="inlineStr">
        <is>
          <t>2026-07-10</t>
        </is>
      </c>
      <c r="C54" s="7" t="inlineStr">
        <is>
          <t>2026-07-08</t>
        </is>
      </c>
      <c r="D54" s="7" t="inlineStr">
        <is>
          <t>2026-07-08</t>
        </is>
      </c>
      <c r="E54" s="7" t="inlineStr">
        <is>
          <t>Martins</t>
        </is>
      </c>
      <c r="F54" s="7" t="inlineStr"/>
      <c r="G54" s="7" t="inlineStr"/>
      <c r="H54" s="7" t="inlineStr">
        <is>
          <t>12:30 PM - 12:45 PM</t>
        </is>
      </c>
      <c r="I54" s="7" t="inlineStr">
        <is>
          <t>Tiss, porcine, fem, Pelvic block</t>
        </is>
      </c>
      <c r="J54" s="8" t="inlineStr">
        <is>
          <t>Fail</t>
        </is>
      </c>
      <c r="K54" s="9" t="inlineStr">
        <is>
          <t>urethra cut, membrnae damage in critial area</t>
        </is>
      </c>
      <c r="L54" s="10" t="n"/>
      <c r="M54" s="10" t="n"/>
      <c r="N54" s="10" t="n"/>
      <c r="O54" s="10" t="n"/>
      <c r="P54" s="11" t="n">
        <v>1</v>
      </c>
      <c r="Q54" s="11" t="n">
        <v>1</v>
      </c>
      <c r="R54" s="10" t="n"/>
      <c r="S54" s="10" t="n"/>
      <c r="T54" s="10" t="n"/>
      <c r="U54" s="10" t="n"/>
      <c r="V54" s="10" t="n"/>
      <c r="W54" s="10" t="n"/>
      <c r="X54" s="10" t="n"/>
      <c r="Y54" s="12">
        <f>SUM(L54:X54)</f>
        <v/>
      </c>
      <c r="Z54" s="13" t="inlineStr"/>
    </row>
    <row r="55" ht="30" customHeight="1">
      <c r="A55" s="7" t="inlineStr">
        <is>
          <t>B051</t>
        </is>
      </c>
      <c r="B55" s="7" t="inlineStr">
        <is>
          <t>2026-07-10</t>
        </is>
      </c>
      <c r="C55" s="7" t="inlineStr">
        <is>
          <t>2026-07-08</t>
        </is>
      </c>
      <c r="D55" s="7" t="inlineStr">
        <is>
          <t>2026-07-08</t>
        </is>
      </c>
      <c r="E55" s="7" t="inlineStr">
        <is>
          <t>Martins</t>
        </is>
      </c>
      <c r="F55" s="7" t="inlineStr"/>
      <c r="G55" s="7" t="inlineStr"/>
      <c r="H55" s="7" t="inlineStr">
        <is>
          <t>12:30 PM - 12:45 PM</t>
        </is>
      </c>
      <c r="I55" s="7" t="inlineStr">
        <is>
          <t>Tiss, porcine, fem, Pelvic block</t>
        </is>
      </c>
      <c r="J55" s="8" t="inlineStr">
        <is>
          <t>Fail</t>
        </is>
      </c>
      <c r="K55" s="9" t="inlineStr">
        <is>
          <t>bowel is cut open</t>
        </is>
      </c>
      <c r="L55" s="10" t="n"/>
      <c r="M55" s="10" t="n"/>
      <c r="N55" s="10" t="n"/>
      <c r="O55" s="10" t="n"/>
      <c r="P55" s="10" t="n"/>
      <c r="Q55" s="10" t="n"/>
      <c r="R55" s="10" t="n"/>
      <c r="S55" s="11" t="n">
        <v>1</v>
      </c>
      <c r="T55" s="10" t="n"/>
      <c r="U55" s="10" t="n"/>
      <c r="V55" s="10" t="n"/>
      <c r="W55" s="10" t="n"/>
      <c r="X55" s="10" t="n"/>
      <c r="Y55" s="12">
        <f>SUM(L55:X55)</f>
        <v/>
      </c>
      <c r="Z55" s="13" t="inlineStr"/>
    </row>
    <row r="56" ht="30" customHeight="1">
      <c r="A56" s="7" t="inlineStr">
        <is>
          <t>B052</t>
        </is>
      </c>
      <c r="B56" s="7" t="inlineStr">
        <is>
          <t>2026-07-10</t>
        </is>
      </c>
      <c r="C56" s="7" t="inlineStr">
        <is>
          <t>2026-07-08</t>
        </is>
      </c>
      <c r="D56" s="7" t="inlineStr">
        <is>
          <t>2026-07-08</t>
        </is>
      </c>
      <c r="E56" s="7" t="inlineStr">
        <is>
          <t>Martins</t>
        </is>
      </c>
      <c r="F56" s="7" t="inlineStr"/>
      <c r="G56" s="7" t="inlineStr"/>
      <c r="H56" s="7" t="inlineStr">
        <is>
          <t>12:30 PM - 12:45 PM</t>
        </is>
      </c>
      <c r="I56" s="7" t="inlineStr">
        <is>
          <t>Tiss, porcine, fem, Pelvic block</t>
        </is>
      </c>
      <c r="J56" s="8" t="inlineStr">
        <is>
          <t>Fail</t>
        </is>
      </c>
      <c r="K56" s="9" t="inlineStr">
        <is>
          <t>urethra is cut, membrane damage in critical area</t>
        </is>
      </c>
      <c r="L56" s="10" t="n"/>
      <c r="M56" s="10" t="n"/>
      <c r="N56" s="10" t="n"/>
      <c r="O56" s="10" t="n"/>
      <c r="P56" s="11" t="n">
        <v>1</v>
      </c>
      <c r="Q56" s="11" t="n">
        <v>1</v>
      </c>
      <c r="R56" s="10" t="n"/>
      <c r="S56" s="10" t="n"/>
      <c r="T56" s="10" t="n"/>
      <c r="U56" s="10" t="n"/>
      <c r="V56" s="10" t="n"/>
      <c r="W56" s="10" t="n"/>
      <c r="X56" s="10" t="n"/>
      <c r="Y56" s="12">
        <f>SUM(L56:X56)</f>
        <v/>
      </c>
      <c r="Z56" s="13" t="inlineStr"/>
    </row>
    <row r="57" ht="30" customHeight="1">
      <c r="A57" s="7" t="inlineStr">
        <is>
          <t>B053</t>
        </is>
      </c>
      <c r="B57" s="7" t="inlineStr">
        <is>
          <t>2026-07-10</t>
        </is>
      </c>
      <c r="C57" s="7" t="inlineStr">
        <is>
          <t>2026-07-08</t>
        </is>
      </c>
      <c r="D57" s="7" t="inlineStr">
        <is>
          <t>2026-07-08</t>
        </is>
      </c>
      <c r="E57" s="7" t="inlineStr">
        <is>
          <t>Martins</t>
        </is>
      </c>
      <c r="F57" s="7" t="inlineStr"/>
      <c r="G57" s="7" t="inlineStr"/>
      <c r="H57" s="7" t="inlineStr">
        <is>
          <t>12:30 PM - 12:45 PM</t>
        </is>
      </c>
      <c r="I57" s="7" t="inlineStr">
        <is>
          <t>Tiss, porcine, fem, Pelvic block</t>
        </is>
      </c>
      <c r="J57" s="8" t="inlineStr">
        <is>
          <t>Fail</t>
        </is>
      </c>
      <c r="K57" s="9" t="inlineStr">
        <is>
          <t>membrane damage in critical area</t>
        </is>
      </c>
      <c r="L57" s="10" t="n"/>
      <c r="M57" s="10" t="n"/>
      <c r="N57" s="10" t="n"/>
      <c r="O57" s="10" t="n"/>
      <c r="P57" s="10" t="n"/>
      <c r="Q57" s="11" t="n">
        <v>1</v>
      </c>
      <c r="R57" s="10" t="n"/>
      <c r="S57" s="10" t="n"/>
      <c r="T57" s="10" t="n"/>
      <c r="U57" s="10" t="n"/>
      <c r="V57" s="10" t="n"/>
      <c r="W57" s="10" t="n"/>
      <c r="X57" s="10" t="n"/>
      <c r="Y57" s="12">
        <f>SUM(L57:X57)</f>
        <v/>
      </c>
      <c r="Z57" s="13" t="inlineStr"/>
    </row>
    <row r="58" ht="30" customHeight="1">
      <c r="A58" s="7" t="inlineStr">
        <is>
          <t>B054</t>
        </is>
      </c>
      <c r="B58" s="7" t="inlineStr">
        <is>
          <t>2026-07-10</t>
        </is>
      </c>
      <c r="C58" s="7" t="inlineStr">
        <is>
          <t>2026-07-08</t>
        </is>
      </c>
      <c r="D58" s="7" t="inlineStr">
        <is>
          <t>2026-07-08</t>
        </is>
      </c>
      <c r="E58" s="7" t="inlineStr">
        <is>
          <t>Martins</t>
        </is>
      </c>
      <c r="F58" s="7" t="inlineStr"/>
      <c r="G58" s="7" t="inlineStr"/>
      <c r="H58" s="7" t="inlineStr">
        <is>
          <t>12:30 PM - 12:45 PM</t>
        </is>
      </c>
      <c r="I58" s="7" t="inlineStr">
        <is>
          <t>Tiss, porcine, fem, Pelvic block</t>
        </is>
      </c>
      <c r="J58" s="8" t="inlineStr">
        <is>
          <t>Fail</t>
        </is>
      </c>
      <c r="K58" s="9" t="inlineStr">
        <is>
          <t>membrane damage in critical area</t>
        </is>
      </c>
      <c r="L58" s="10" t="n"/>
      <c r="M58" s="10" t="n"/>
      <c r="N58" s="10" t="n"/>
      <c r="O58" s="10" t="n"/>
      <c r="P58" s="10" t="n"/>
      <c r="Q58" s="11" t="n">
        <v>1</v>
      </c>
      <c r="R58" s="10" t="n"/>
      <c r="S58" s="10" t="n"/>
      <c r="T58" s="10" t="n"/>
      <c r="U58" s="10" t="n"/>
      <c r="V58" s="10" t="n"/>
      <c r="W58" s="10" t="n"/>
      <c r="X58" s="10" t="n"/>
      <c r="Y58" s="12">
        <f>SUM(L58:X58)</f>
        <v/>
      </c>
      <c r="Z58" s="13" t="inlineStr"/>
    </row>
    <row r="59" ht="30" customHeight="1">
      <c r="A59" s="7" t="inlineStr">
        <is>
          <t>B055</t>
        </is>
      </c>
      <c r="B59" s="7" t="inlineStr">
        <is>
          <t>2026-07-10</t>
        </is>
      </c>
      <c r="C59" s="7" t="inlineStr">
        <is>
          <t>2026-07-08</t>
        </is>
      </c>
      <c r="D59" s="7" t="inlineStr">
        <is>
          <t>2026-07-08</t>
        </is>
      </c>
      <c r="E59" s="7" t="inlineStr">
        <is>
          <t>Martins</t>
        </is>
      </c>
      <c r="F59" s="7" t="inlineStr"/>
      <c r="G59" s="7" t="inlineStr"/>
      <c r="H59" s="7" t="inlineStr">
        <is>
          <t>12:30 PM - 12:45 PM</t>
        </is>
      </c>
      <c r="I59" s="7" t="inlineStr">
        <is>
          <t>Tiss, porcine, fem, Pelvic block</t>
        </is>
      </c>
      <c r="J59" s="8" t="inlineStr">
        <is>
          <t>Fail</t>
        </is>
      </c>
      <c r="K59" s="9" t="inlineStr">
        <is>
          <t>membrane damage in critical area</t>
        </is>
      </c>
      <c r="L59" s="10" t="n"/>
      <c r="M59" s="10" t="n"/>
      <c r="N59" s="10" t="n"/>
      <c r="O59" s="10" t="n"/>
      <c r="P59" s="10" t="n"/>
      <c r="Q59" s="11" t="n">
        <v>1</v>
      </c>
      <c r="R59" s="10" t="n"/>
      <c r="S59" s="10" t="n"/>
      <c r="T59" s="10" t="n"/>
      <c r="U59" s="10" t="n"/>
      <c r="V59" s="10" t="n"/>
      <c r="W59" s="10" t="n"/>
      <c r="X59" s="10" t="n"/>
      <c r="Y59" s="12">
        <f>SUM(L59:X59)</f>
        <v/>
      </c>
      <c r="Z59" s="13" t="inlineStr"/>
    </row>
    <row r="60" ht="30" customHeight="1">
      <c r="A60" s="7" t="inlineStr">
        <is>
          <t>B056</t>
        </is>
      </c>
      <c r="B60" s="7" t="inlineStr">
        <is>
          <t>2026-07-10</t>
        </is>
      </c>
      <c r="C60" s="7" t="inlineStr">
        <is>
          <t>2026-07-08</t>
        </is>
      </c>
      <c r="D60" s="7" t="inlineStr">
        <is>
          <t>2026-07-08</t>
        </is>
      </c>
      <c r="E60" s="7" t="inlineStr">
        <is>
          <t>Martins</t>
        </is>
      </c>
      <c r="F60" s="7" t="inlineStr"/>
      <c r="G60" s="7" t="inlineStr"/>
      <c r="H60" s="7" t="inlineStr">
        <is>
          <t>12:30 PM - 12:45 PM</t>
        </is>
      </c>
      <c r="I60" s="7" t="inlineStr">
        <is>
          <t>Tiss, porcine, fem, Pelvic block</t>
        </is>
      </c>
      <c r="J60" s="8" t="inlineStr">
        <is>
          <t>Fail</t>
        </is>
      </c>
      <c r="K60" s="9" t="inlineStr">
        <is>
          <t>membrane damage in critical area</t>
        </is>
      </c>
      <c r="L60" s="10" t="n"/>
      <c r="M60" s="10" t="n"/>
      <c r="N60" s="10" t="n"/>
      <c r="O60" s="10" t="n"/>
      <c r="P60" s="10" t="n"/>
      <c r="Q60" s="11" t="n">
        <v>1</v>
      </c>
      <c r="R60" s="10" t="n"/>
      <c r="S60" s="10" t="n"/>
      <c r="T60" s="10" t="n"/>
      <c r="U60" s="10" t="n"/>
      <c r="V60" s="10" t="n"/>
      <c r="W60" s="10" t="n"/>
      <c r="X60" s="10" t="n"/>
      <c r="Y60" s="12">
        <f>SUM(L60:X60)</f>
        <v/>
      </c>
      <c r="Z60" s="13" t="inlineStr"/>
    </row>
    <row r="61" ht="16" customHeight="1">
      <c r="A61" s="7" t="inlineStr">
        <is>
          <t>B057</t>
        </is>
      </c>
      <c r="B61" s="7" t="inlineStr">
        <is>
          <t>2026-07-10</t>
        </is>
      </c>
      <c r="C61" s="7" t="inlineStr">
        <is>
          <t>2026-07-08</t>
        </is>
      </c>
      <c r="D61" s="7" t="inlineStr">
        <is>
          <t>2026-07-08</t>
        </is>
      </c>
      <c r="E61" s="7" t="inlineStr">
        <is>
          <t>Martins</t>
        </is>
      </c>
      <c r="F61" s="7" t="inlineStr"/>
      <c r="G61" s="7" t="inlineStr"/>
      <c r="H61" s="7" t="inlineStr">
        <is>
          <t>12:30 PM - 12:45 PM</t>
        </is>
      </c>
      <c r="I61" s="7" t="inlineStr">
        <is>
          <t>Tiss, porcine, fem, Pelvic block</t>
        </is>
      </c>
      <c r="J61" s="14" t="inlineStr">
        <is>
          <t>Pass</t>
        </is>
      </c>
      <c r="K61" s="9" t="inlineStr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2">
        <f>SUM(L61:X61)</f>
        <v/>
      </c>
      <c r="Z61" s="13" t="inlineStr"/>
    </row>
    <row r="62" ht="30" customHeight="1">
      <c r="A62" s="7" t="inlineStr">
        <is>
          <t>B058</t>
        </is>
      </c>
      <c r="B62" s="7" t="inlineStr">
        <is>
          <t>2026-07-29</t>
        </is>
      </c>
      <c r="C62" s="7" t="inlineStr">
        <is>
          <t>2026-07-28</t>
        </is>
      </c>
      <c r="D62" s="7" t="inlineStr">
        <is>
          <t>2026-07-28</t>
        </is>
      </c>
      <c r="E62" s="7" t="inlineStr">
        <is>
          <t>Martins</t>
        </is>
      </c>
      <c r="F62" s="7" t="inlineStr"/>
      <c r="G62" s="7" t="inlineStr">
        <is>
          <t>Rasmin</t>
        </is>
      </c>
      <c r="H62" s="7" t="inlineStr"/>
      <c r="I62" s="7" t="inlineStr">
        <is>
          <t>Pelvic block</t>
        </is>
      </c>
      <c r="J62" s="8" t="inlineStr">
        <is>
          <t>Fail</t>
        </is>
      </c>
      <c r="K62" s="9" t="inlineStr">
        <is>
          <t>large hole in bladder</t>
        </is>
      </c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1" t="n">
        <v>1</v>
      </c>
      <c r="X62" s="10" t="n"/>
      <c r="Y62" s="12">
        <f>SUM(L62:X62)</f>
        <v/>
      </c>
      <c r="Z62" s="13" t="inlineStr"/>
    </row>
    <row r="63" ht="30" customHeight="1">
      <c r="A63" s="7" t="inlineStr">
        <is>
          <t>B059</t>
        </is>
      </c>
      <c r="B63" s="7" t="inlineStr">
        <is>
          <t>2026-07-29</t>
        </is>
      </c>
      <c r="C63" s="7" t="inlineStr">
        <is>
          <t>2026-07-28</t>
        </is>
      </c>
      <c r="D63" s="7" t="inlineStr">
        <is>
          <t>2026-07-28</t>
        </is>
      </c>
      <c r="E63" s="7" t="inlineStr">
        <is>
          <t>Martins</t>
        </is>
      </c>
      <c r="F63" s="7" t="inlineStr"/>
      <c r="G63" s="7" t="inlineStr">
        <is>
          <t>Rasmin</t>
        </is>
      </c>
      <c r="H63" s="7" t="inlineStr"/>
      <c r="I63" s="7" t="inlineStr">
        <is>
          <t>Pelvic block</t>
        </is>
      </c>
      <c r="J63" s="8" t="inlineStr">
        <is>
          <t>Fail</t>
        </is>
      </c>
      <c r="K63" s="9" t="inlineStr">
        <is>
          <t>large hole in bladder</t>
        </is>
      </c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1" t="n">
        <v>1</v>
      </c>
      <c r="X63" s="10" t="n"/>
      <c r="Y63" s="12">
        <f>SUM(L63:X63)</f>
        <v/>
      </c>
      <c r="Z63" s="13" t="inlineStr"/>
    </row>
    <row r="64" ht="30" customHeight="1">
      <c r="A64" s="7" t="inlineStr">
        <is>
          <t>B060</t>
        </is>
      </c>
      <c r="B64" s="7" t="inlineStr">
        <is>
          <t>2026-07-29</t>
        </is>
      </c>
      <c r="C64" s="7" t="inlineStr">
        <is>
          <t>2026-07-28</t>
        </is>
      </c>
      <c r="D64" s="7" t="inlineStr">
        <is>
          <t>2026-07-28</t>
        </is>
      </c>
      <c r="E64" s="7" t="inlineStr">
        <is>
          <t>Martins</t>
        </is>
      </c>
      <c r="F64" s="7" t="inlineStr"/>
      <c r="G64" s="7" t="inlineStr">
        <is>
          <t>Rasmin</t>
        </is>
      </c>
      <c r="H64" s="7" t="inlineStr"/>
      <c r="I64" s="7" t="inlineStr">
        <is>
          <t>Pelvic block</t>
        </is>
      </c>
      <c r="J64" s="8" t="inlineStr">
        <is>
          <t>Fail</t>
        </is>
      </c>
      <c r="K64" s="9" t="inlineStr">
        <is>
          <t>Ureter lac</t>
        </is>
      </c>
      <c r="L64" s="10" t="n"/>
      <c r="M64" s="11" t="n">
        <v>1</v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2">
        <f>SUM(L64:X64)</f>
        <v/>
      </c>
      <c r="Z64" s="13" t="inlineStr"/>
    </row>
    <row r="65" ht="30" customHeight="1">
      <c r="A65" s="7" t="inlineStr">
        <is>
          <t>B061</t>
        </is>
      </c>
      <c r="B65" s="7" t="inlineStr">
        <is>
          <t>2026-07-29</t>
        </is>
      </c>
      <c r="C65" s="7" t="inlineStr">
        <is>
          <t>2026-07-28</t>
        </is>
      </c>
      <c r="D65" s="7" t="inlineStr">
        <is>
          <t>2026-07-28</t>
        </is>
      </c>
      <c r="E65" s="7" t="inlineStr">
        <is>
          <t>Martins</t>
        </is>
      </c>
      <c r="F65" s="7" t="inlineStr"/>
      <c r="G65" s="7" t="inlineStr">
        <is>
          <t>Rasmin</t>
        </is>
      </c>
      <c r="H65" s="7" t="inlineStr"/>
      <c r="I65" s="7" t="inlineStr">
        <is>
          <t>Pelvic block</t>
        </is>
      </c>
      <c r="J65" s="8" t="inlineStr">
        <is>
          <t>Fail</t>
        </is>
      </c>
      <c r="K65" s="9" t="inlineStr">
        <is>
          <t>Ureter lac</t>
        </is>
      </c>
      <c r="L65" s="10" t="n"/>
      <c r="M65" s="11" t="n">
        <v>1</v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2">
        <f>SUM(L65:X65)</f>
        <v/>
      </c>
      <c r="Z65" s="13" t="inlineStr"/>
    </row>
    <row r="66" ht="16" customHeight="1">
      <c r="A66" s="7" t="inlineStr">
        <is>
          <t>B062</t>
        </is>
      </c>
      <c r="B66" s="7" t="inlineStr">
        <is>
          <t>2026-07-29</t>
        </is>
      </c>
      <c r="C66" s="7" t="inlineStr">
        <is>
          <t>2026-07-28</t>
        </is>
      </c>
      <c r="D66" s="7" t="inlineStr">
        <is>
          <t>2026-07-28</t>
        </is>
      </c>
      <c r="E66" s="7" t="inlineStr">
        <is>
          <t>Martins</t>
        </is>
      </c>
      <c r="F66" s="7" t="inlineStr"/>
      <c r="G66" s="7" t="inlineStr">
        <is>
          <t>Rasmin</t>
        </is>
      </c>
      <c r="H66" s="7" t="inlineStr"/>
      <c r="I66" s="7" t="inlineStr">
        <is>
          <t>Pelvic block</t>
        </is>
      </c>
      <c r="J66" s="14" t="inlineStr">
        <is>
          <t>Pass</t>
        </is>
      </c>
      <c r="K66" s="9" t="inlineStr">
        <is>
          <t>no damage found</t>
        </is>
      </c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2">
        <f>SUM(L66:X66)</f>
        <v/>
      </c>
      <c r="Z66" s="13" t="inlineStr"/>
    </row>
    <row r="67" ht="30" customHeight="1">
      <c r="A67" s="7" t="inlineStr">
        <is>
          <t>B063</t>
        </is>
      </c>
      <c r="B67" s="7" t="inlineStr">
        <is>
          <t>2026-07-29</t>
        </is>
      </c>
      <c r="C67" s="7" t="inlineStr">
        <is>
          <t>2026-07-28</t>
        </is>
      </c>
      <c r="D67" s="7" t="inlineStr">
        <is>
          <t>2026-07-28</t>
        </is>
      </c>
      <c r="E67" s="7" t="inlineStr">
        <is>
          <t>Martins</t>
        </is>
      </c>
      <c r="F67" s="7" t="inlineStr"/>
      <c r="G67" s="7" t="inlineStr">
        <is>
          <t>Rasmin</t>
        </is>
      </c>
      <c r="H67" s="7" t="inlineStr"/>
      <c r="I67" s="7" t="inlineStr">
        <is>
          <t>Pelvic block</t>
        </is>
      </c>
      <c r="J67" s="8" t="inlineStr">
        <is>
          <t>Fail</t>
        </is>
      </c>
      <c r="K67" s="9" t="inlineStr">
        <is>
          <t>ureter not imbedded</t>
        </is>
      </c>
      <c r="L67" s="11" t="n">
        <v>1</v>
      </c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2">
        <f>SUM(L67:X67)</f>
        <v/>
      </c>
      <c r="Z67" s="13" t="inlineStr"/>
    </row>
    <row r="68" ht="30" customHeight="1">
      <c r="A68" s="7" t="inlineStr">
        <is>
          <t>B064</t>
        </is>
      </c>
      <c r="B68" s="7" t="inlineStr">
        <is>
          <t>2026-07-29</t>
        </is>
      </c>
      <c r="C68" s="7" t="inlineStr">
        <is>
          <t>2026-07-28</t>
        </is>
      </c>
      <c r="D68" s="7" t="inlineStr">
        <is>
          <t>2026-07-28</t>
        </is>
      </c>
      <c r="E68" s="7" t="inlineStr">
        <is>
          <t>Martins</t>
        </is>
      </c>
      <c r="F68" s="7" t="inlineStr"/>
      <c r="G68" s="7" t="inlineStr">
        <is>
          <t>Rasmin</t>
        </is>
      </c>
      <c r="H68" s="7" t="inlineStr"/>
      <c r="I68" s="7" t="inlineStr">
        <is>
          <t>Pelvic block</t>
        </is>
      </c>
      <c r="J68" s="8" t="inlineStr">
        <is>
          <t>Fail</t>
        </is>
      </c>
      <c r="K68" s="9" t="inlineStr">
        <is>
          <t>ureter not imbedded</t>
        </is>
      </c>
      <c r="L68" s="11" t="n">
        <v>1</v>
      </c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2">
        <f>SUM(L68:X68)</f>
        <v/>
      </c>
      <c r="Z68" s="13" t="inlineStr"/>
    </row>
    <row r="69" ht="30" customHeight="1">
      <c r="A69" s="7" t="inlineStr">
        <is>
          <t>B065</t>
        </is>
      </c>
      <c r="B69" s="7" t="inlineStr">
        <is>
          <t>2026-07-29</t>
        </is>
      </c>
      <c r="C69" s="7" t="inlineStr">
        <is>
          <t>2026-07-28</t>
        </is>
      </c>
      <c r="D69" s="7" t="inlineStr">
        <is>
          <t>2026-07-28</t>
        </is>
      </c>
      <c r="E69" s="7" t="inlineStr">
        <is>
          <t>Martins</t>
        </is>
      </c>
      <c r="F69" s="7" t="inlineStr"/>
      <c r="G69" s="7" t="inlineStr">
        <is>
          <t>Rasmin</t>
        </is>
      </c>
      <c r="H69" s="7" t="inlineStr"/>
      <c r="I69" s="7" t="inlineStr">
        <is>
          <t>Pelvic block</t>
        </is>
      </c>
      <c r="J69" s="8" t="inlineStr">
        <is>
          <t>Fail</t>
        </is>
      </c>
      <c r="K69" s="9" t="inlineStr">
        <is>
          <t>ureter not imbedded</t>
        </is>
      </c>
      <c r="L69" s="11" t="n">
        <v>1</v>
      </c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2">
        <f>SUM(L69:X69)</f>
        <v/>
      </c>
      <c r="Z69" s="13" t="inlineStr"/>
    </row>
    <row r="70" ht="30" customHeight="1">
      <c r="A70" s="7" t="inlineStr">
        <is>
          <t>B066</t>
        </is>
      </c>
      <c r="B70" s="7" t="inlineStr">
        <is>
          <t>2026-07-29</t>
        </is>
      </c>
      <c r="C70" s="7" t="inlineStr">
        <is>
          <t>2026-07-28</t>
        </is>
      </c>
      <c r="D70" s="7" t="inlineStr">
        <is>
          <t>2026-07-28</t>
        </is>
      </c>
      <c r="E70" s="7" t="inlineStr">
        <is>
          <t>Martins</t>
        </is>
      </c>
      <c r="F70" s="7" t="inlineStr"/>
      <c r="G70" s="7" t="inlineStr">
        <is>
          <t>Rasmin</t>
        </is>
      </c>
      <c r="H70" s="7" t="inlineStr"/>
      <c r="I70" s="7" t="inlineStr">
        <is>
          <t>Pelvic block</t>
        </is>
      </c>
      <c r="J70" s="8" t="inlineStr">
        <is>
          <t>Fail</t>
        </is>
      </c>
      <c r="K70" s="9" t="inlineStr">
        <is>
          <t>ureter not imbedded</t>
        </is>
      </c>
      <c r="L70" s="11" t="n">
        <v>1</v>
      </c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2">
        <f>SUM(L70:X70)</f>
        <v/>
      </c>
      <c r="Z70" s="13" t="inlineStr"/>
    </row>
    <row r="71" ht="30" customHeight="1">
      <c r="A71" s="7" t="inlineStr">
        <is>
          <t>B067</t>
        </is>
      </c>
      <c r="B71" s="7" t="inlineStr">
        <is>
          <t>2026-07-29</t>
        </is>
      </c>
      <c r="C71" s="7" t="inlineStr">
        <is>
          <t>2026-07-28</t>
        </is>
      </c>
      <c r="D71" s="7" t="inlineStr">
        <is>
          <t>2026-07-28</t>
        </is>
      </c>
      <c r="E71" s="7" t="inlineStr">
        <is>
          <t>Martins</t>
        </is>
      </c>
      <c r="F71" s="7" t="inlineStr"/>
      <c r="G71" s="7" t="inlineStr">
        <is>
          <t>Rasmin</t>
        </is>
      </c>
      <c r="H71" s="7" t="inlineStr"/>
      <c r="I71" s="7" t="inlineStr">
        <is>
          <t>Pelvic block</t>
        </is>
      </c>
      <c r="J71" s="8" t="inlineStr">
        <is>
          <t>Fail</t>
        </is>
      </c>
      <c r="K71" s="9" t="inlineStr">
        <is>
          <t>ureter not imbedded</t>
        </is>
      </c>
      <c r="L71" s="11" t="n">
        <v>1</v>
      </c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2">
        <f>SUM(L71:X71)</f>
        <v/>
      </c>
      <c r="Z71" s="13" t="inlineStr"/>
    </row>
    <row r="72" ht="30" customHeight="1">
      <c r="A72" s="7" t="inlineStr">
        <is>
          <t>B068</t>
        </is>
      </c>
      <c r="B72" s="7" t="inlineStr">
        <is>
          <t>2026-07-29</t>
        </is>
      </c>
      <c r="C72" s="7" t="inlineStr">
        <is>
          <t>2026-07-28</t>
        </is>
      </c>
      <c r="D72" s="7" t="inlineStr">
        <is>
          <t>2026-07-28</t>
        </is>
      </c>
      <c r="E72" s="7" t="inlineStr">
        <is>
          <t>Martins</t>
        </is>
      </c>
      <c r="F72" s="7" t="inlineStr"/>
      <c r="G72" s="7" t="inlineStr">
        <is>
          <t>Rasmin</t>
        </is>
      </c>
      <c r="H72" s="7" t="inlineStr"/>
      <c r="I72" s="7" t="inlineStr">
        <is>
          <t>Pelvic block</t>
        </is>
      </c>
      <c r="J72" s="8" t="inlineStr">
        <is>
          <t>Fail</t>
        </is>
      </c>
      <c r="K72" s="9" t="inlineStr">
        <is>
          <t>ureter not imbedded</t>
        </is>
      </c>
      <c r="L72" s="11" t="n">
        <v>1</v>
      </c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2">
        <f>SUM(L72:X72)</f>
        <v/>
      </c>
      <c r="Z72" s="13" t="inlineStr"/>
    </row>
    <row r="73" ht="30" customHeight="1">
      <c r="A73" s="7" t="inlineStr">
        <is>
          <t>B069</t>
        </is>
      </c>
      <c r="B73" s="7" t="inlineStr">
        <is>
          <t>2026-07-29</t>
        </is>
      </c>
      <c r="C73" s="7" t="inlineStr">
        <is>
          <t>2026-07-28</t>
        </is>
      </c>
      <c r="D73" s="7" t="inlineStr">
        <is>
          <t>2026-07-28</t>
        </is>
      </c>
      <c r="E73" s="7" t="inlineStr">
        <is>
          <t>Martins</t>
        </is>
      </c>
      <c r="F73" s="7" t="inlineStr"/>
      <c r="G73" s="7" t="inlineStr">
        <is>
          <t>Rasmin</t>
        </is>
      </c>
      <c r="H73" s="7" t="inlineStr"/>
      <c r="I73" s="7" t="inlineStr">
        <is>
          <t>Pelvic block</t>
        </is>
      </c>
      <c r="J73" s="8" t="inlineStr">
        <is>
          <t>Fail</t>
        </is>
      </c>
      <c r="K73" s="9" t="inlineStr">
        <is>
          <t>hole in mesentary membrane in critical area greater than 1.5"</t>
        </is>
      </c>
      <c r="L73" s="10" t="n"/>
      <c r="M73" s="10" t="n"/>
      <c r="N73" s="10" t="n"/>
      <c r="O73" s="10" t="n"/>
      <c r="P73" s="10" t="n"/>
      <c r="Q73" s="11" t="n">
        <v>1</v>
      </c>
      <c r="R73" s="10" t="n"/>
      <c r="S73" s="10" t="n"/>
      <c r="T73" s="10" t="n"/>
      <c r="U73" s="10" t="n"/>
      <c r="V73" s="10" t="n"/>
      <c r="W73" s="10" t="n"/>
      <c r="X73" s="10" t="n"/>
      <c r="Y73" s="12">
        <f>SUM(L73:X73)</f>
        <v/>
      </c>
      <c r="Z73" s="13" t="inlineStr"/>
    </row>
    <row r="74" ht="30" customHeight="1">
      <c r="A74" s="7" t="inlineStr">
        <is>
          <t>B070</t>
        </is>
      </c>
      <c r="B74" s="7" t="inlineStr">
        <is>
          <t>2026-07-29</t>
        </is>
      </c>
      <c r="C74" s="7" t="inlineStr">
        <is>
          <t>2026-07-28</t>
        </is>
      </c>
      <c r="D74" s="7" t="inlineStr">
        <is>
          <t>2026-07-28</t>
        </is>
      </c>
      <c r="E74" s="7" t="inlineStr">
        <is>
          <t>Martins</t>
        </is>
      </c>
      <c r="F74" s="7" t="inlineStr"/>
      <c r="G74" s="7" t="inlineStr">
        <is>
          <t>Rasmin</t>
        </is>
      </c>
      <c r="H74" s="7" t="inlineStr"/>
      <c r="I74" s="7" t="inlineStr">
        <is>
          <t>Pelvic block</t>
        </is>
      </c>
      <c r="J74" s="8" t="inlineStr">
        <is>
          <t>Fail</t>
        </is>
      </c>
      <c r="K74" s="9" t="inlineStr">
        <is>
          <t>hole in mesentary membrane in critical area greater than 1.5"</t>
        </is>
      </c>
      <c r="L74" s="10" t="n"/>
      <c r="M74" s="10" t="n"/>
      <c r="N74" s="10" t="n"/>
      <c r="O74" s="10" t="n"/>
      <c r="P74" s="10" t="n"/>
      <c r="Q74" s="11" t="n">
        <v>1</v>
      </c>
      <c r="R74" s="10" t="n"/>
      <c r="S74" s="10" t="n"/>
      <c r="T74" s="10" t="n"/>
      <c r="U74" s="10" t="n"/>
      <c r="V74" s="10" t="n"/>
      <c r="W74" s="10" t="n"/>
      <c r="X74" s="10" t="n"/>
      <c r="Y74" s="12">
        <f>SUM(L74:X74)</f>
        <v/>
      </c>
      <c r="Z74" s="13" t="inlineStr"/>
    </row>
    <row r="75" ht="30" customHeight="1">
      <c r="A75" s="7" t="inlineStr">
        <is>
          <t>B071</t>
        </is>
      </c>
      <c r="B75" s="7" t="inlineStr">
        <is>
          <t>2026-07-29</t>
        </is>
      </c>
      <c r="C75" s="7" t="inlineStr">
        <is>
          <t>2026-07-28</t>
        </is>
      </c>
      <c r="D75" s="7" t="inlineStr">
        <is>
          <t>2026-07-28</t>
        </is>
      </c>
      <c r="E75" s="7" t="inlineStr">
        <is>
          <t>Martins</t>
        </is>
      </c>
      <c r="F75" s="7" t="inlineStr"/>
      <c r="G75" s="7" t="inlineStr">
        <is>
          <t>Rasmin</t>
        </is>
      </c>
      <c r="H75" s="7" t="inlineStr"/>
      <c r="I75" s="7" t="inlineStr">
        <is>
          <t>Pelvic block</t>
        </is>
      </c>
      <c r="J75" s="8" t="inlineStr">
        <is>
          <t>Fail</t>
        </is>
      </c>
      <c r="K75" s="9" t="inlineStr">
        <is>
          <t>hole in mesentary membrane in critical area greater than 1.5"</t>
        </is>
      </c>
      <c r="L75" s="10" t="n"/>
      <c r="M75" s="10" t="n"/>
      <c r="N75" s="10" t="n"/>
      <c r="O75" s="10" t="n"/>
      <c r="P75" s="10" t="n"/>
      <c r="Q75" s="11" t="n">
        <v>1</v>
      </c>
      <c r="R75" s="10" t="n"/>
      <c r="S75" s="10" t="n"/>
      <c r="T75" s="10" t="n"/>
      <c r="U75" s="10" t="n"/>
      <c r="V75" s="10" t="n"/>
      <c r="W75" s="10" t="n"/>
      <c r="X75" s="10" t="n"/>
      <c r="Y75" s="12">
        <f>SUM(L75:X75)</f>
        <v/>
      </c>
      <c r="Z75" s="13" t="inlineStr"/>
    </row>
    <row r="76" ht="30" customHeight="1">
      <c r="A76" s="7" t="inlineStr">
        <is>
          <t>B072</t>
        </is>
      </c>
      <c r="B76" s="7" t="inlineStr">
        <is>
          <t>2026-07-29</t>
        </is>
      </c>
      <c r="C76" s="7" t="inlineStr">
        <is>
          <t>2026-07-28</t>
        </is>
      </c>
      <c r="D76" s="7" t="inlineStr">
        <is>
          <t>2026-07-28</t>
        </is>
      </c>
      <c r="E76" s="7" t="inlineStr">
        <is>
          <t>Martins</t>
        </is>
      </c>
      <c r="F76" s="7" t="inlineStr"/>
      <c r="G76" s="7" t="inlineStr">
        <is>
          <t>Rasmin</t>
        </is>
      </c>
      <c r="H76" s="7" t="inlineStr"/>
      <c r="I76" s="7" t="inlineStr">
        <is>
          <t>Pelvic block</t>
        </is>
      </c>
      <c r="J76" s="8" t="inlineStr">
        <is>
          <t>Fail</t>
        </is>
      </c>
      <c r="K76" s="9" t="inlineStr">
        <is>
          <t>hole in mesentary membrane in critical area greater than 1.5"</t>
        </is>
      </c>
      <c r="L76" s="10" t="n"/>
      <c r="M76" s="10" t="n"/>
      <c r="N76" s="10" t="n"/>
      <c r="O76" s="10" t="n"/>
      <c r="P76" s="10" t="n"/>
      <c r="Q76" s="11" t="n">
        <v>1</v>
      </c>
      <c r="R76" s="10" t="n"/>
      <c r="S76" s="10" t="n"/>
      <c r="T76" s="10" t="n"/>
      <c r="U76" s="10" t="n"/>
      <c r="V76" s="10" t="n"/>
      <c r="W76" s="10" t="n"/>
      <c r="X76" s="10" t="n"/>
      <c r="Y76" s="12">
        <f>SUM(L76:X76)</f>
        <v/>
      </c>
      <c r="Z76" s="13" t="inlineStr"/>
    </row>
    <row r="77" ht="30" customHeight="1">
      <c r="A77" s="7" t="inlineStr">
        <is>
          <t>B073</t>
        </is>
      </c>
      <c r="B77" s="7" t="inlineStr">
        <is>
          <t>2026-07-29</t>
        </is>
      </c>
      <c r="C77" s="7" t="inlineStr">
        <is>
          <t>2026-07-28</t>
        </is>
      </c>
      <c r="D77" s="7" t="inlineStr">
        <is>
          <t>2026-07-28</t>
        </is>
      </c>
      <c r="E77" s="7" t="inlineStr">
        <is>
          <t>Martins</t>
        </is>
      </c>
      <c r="F77" s="7" t="inlineStr"/>
      <c r="G77" s="7" t="inlineStr">
        <is>
          <t>Rasmin</t>
        </is>
      </c>
      <c r="H77" s="7" t="inlineStr"/>
      <c r="I77" s="7" t="inlineStr">
        <is>
          <t>Pelvic block</t>
        </is>
      </c>
      <c r="J77" s="8" t="inlineStr">
        <is>
          <t>Fail</t>
        </is>
      </c>
      <c r="K77" s="9" t="inlineStr">
        <is>
          <t>hole in mesentary membrane in critical area greater than 1.5"</t>
        </is>
      </c>
      <c r="L77" s="10" t="n"/>
      <c r="M77" s="10" t="n"/>
      <c r="N77" s="10" t="n"/>
      <c r="O77" s="10" t="n"/>
      <c r="P77" s="10" t="n"/>
      <c r="Q77" s="11" t="n">
        <v>1</v>
      </c>
      <c r="R77" s="10" t="n"/>
      <c r="S77" s="10" t="n"/>
      <c r="T77" s="10" t="n"/>
      <c r="U77" s="10" t="n"/>
      <c r="V77" s="10" t="n"/>
      <c r="W77" s="10" t="n"/>
      <c r="X77" s="10" t="n"/>
      <c r="Y77" s="12">
        <f>SUM(L77:X77)</f>
        <v/>
      </c>
      <c r="Z77" s="13" t="inlineStr"/>
    </row>
    <row r="78" ht="30" customHeight="1">
      <c r="A78" s="7" t="inlineStr">
        <is>
          <t>B074</t>
        </is>
      </c>
      <c r="B78" s="7" t="inlineStr">
        <is>
          <t>2026-07-29</t>
        </is>
      </c>
      <c r="C78" s="7" t="inlineStr">
        <is>
          <t>2026-07-28</t>
        </is>
      </c>
      <c r="D78" s="7" t="inlineStr">
        <is>
          <t>2026-07-28</t>
        </is>
      </c>
      <c r="E78" s="7" t="inlineStr">
        <is>
          <t>Martins</t>
        </is>
      </c>
      <c r="F78" s="7" t="inlineStr"/>
      <c r="G78" s="7" t="inlineStr">
        <is>
          <t>Rasmin</t>
        </is>
      </c>
      <c r="H78" s="7" t="inlineStr"/>
      <c r="I78" s="7" t="inlineStr">
        <is>
          <t>Pelvic block</t>
        </is>
      </c>
      <c r="J78" s="8" t="inlineStr">
        <is>
          <t>Fail</t>
        </is>
      </c>
      <c r="K78" s="9" t="inlineStr">
        <is>
          <t>hole in mesentary membrane in critical area greater than 1.5"</t>
        </is>
      </c>
      <c r="L78" s="10" t="n"/>
      <c r="M78" s="10" t="n"/>
      <c r="N78" s="10" t="n"/>
      <c r="O78" s="10" t="n"/>
      <c r="P78" s="10" t="n"/>
      <c r="Q78" s="11" t="n">
        <v>1</v>
      </c>
      <c r="R78" s="10" t="n"/>
      <c r="S78" s="10" t="n"/>
      <c r="T78" s="10" t="n"/>
      <c r="U78" s="10" t="n"/>
      <c r="V78" s="10" t="n"/>
      <c r="W78" s="10" t="n"/>
      <c r="X78" s="10" t="n"/>
      <c r="Y78" s="12">
        <f>SUM(L78:X78)</f>
        <v/>
      </c>
      <c r="Z78" s="13" t="inlineStr"/>
    </row>
    <row r="79" ht="30" customHeight="1">
      <c r="A79" s="7" t="inlineStr">
        <is>
          <t>B075</t>
        </is>
      </c>
      <c r="B79" s="7" t="inlineStr">
        <is>
          <t>2026-07-29</t>
        </is>
      </c>
      <c r="C79" s="7" t="inlineStr">
        <is>
          <t>2026-07-28</t>
        </is>
      </c>
      <c r="D79" s="7" t="inlineStr">
        <is>
          <t>2026-07-28</t>
        </is>
      </c>
      <c r="E79" s="7" t="inlineStr">
        <is>
          <t>Martins</t>
        </is>
      </c>
      <c r="F79" s="7" t="inlineStr"/>
      <c r="G79" s="7" t="inlineStr">
        <is>
          <t>Rasmin</t>
        </is>
      </c>
      <c r="H79" s="7" t="inlineStr"/>
      <c r="I79" s="7" t="inlineStr">
        <is>
          <t>Pelvic block</t>
        </is>
      </c>
      <c r="J79" s="8" t="inlineStr">
        <is>
          <t>Fail</t>
        </is>
      </c>
      <c r="K79" s="9" t="inlineStr">
        <is>
          <t>hole in mesentary membrane in critical area greater than 1.5"</t>
        </is>
      </c>
      <c r="L79" s="10" t="n"/>
      <c r="M79" s="10" t="n"/>
      <c r="N79" s="10" t="n"/>
      <c r="O79" s="10" t="n"/>
      <c r="P79" s="10" t="n"/>
      <c r="Q79" s="11" t="n">
        <v>1</v>
      </c>
      <c r="R79" s="10" t="n"/>
      <c r="S79" s="10" t="n"/>
      <c r="T79" s="10" t="n"/>
      <c r="U79" s="10" t="n"/>
      <c r="V79" s="10" t="n"/>
      <c r="W79" s="10" t="n"/>
      <c r="X79" s="10" t="n"/>
      <c r="Y79" s="12">
        <f>SUM(L79:X79)</f>
        <v/>
      </c>
      <c r="Z79" s="13" t="inlineStr"/>
    </row>
    <row r="80" ht="30" customHeight="1">
      <c r="A80" s="7" t="inlineStr">
        <is>
          <t>B076</t>
        </is>
      </c>
      <c r="B80" s="7" t="inlineStr">
        <is>
          <t>2026-07-29</t>
        </is>
      </c>
      <c r="C80" s="7" t="inlineStr">
        <is>
          <t>2026-07-28</t>
        </is>
      </c>
      <c r="D80" s="7" t="inlineStr">
        <is>
          <t>2026-07-28</t>
        </is>
      </c>
      <c r="E80" s="7" t="inlineStr">
        <is>
          <t>Martins</t>
        </is>
      </c>
      <c r="F80" s="7" t="inlineStr"/>
      <c r="G80" s="7" t="inlineStr">
        <is>
          <t>Rasmin</t>
        </is>
      </c>
      <c r="H80" s="7" t="inlineStr"/>
      <c r="I80" s="7" t="inlineStr">
        <is>
          <t>Pelvic block</t>
        </is>
      </c>
      <c r="J80" s="8" t="inlineStr">
        <is>
          <t>Fail</t>
        </is>
      </c>
      <c r="K80" s="9" t="inlineStr">
        <is>
          <t>hole in mesentary membrane in critical area greater than 1.5"</t>
        </is>
      </c>
      <c r="L80" s="10" t="n"/>
      <c r="M80" s="10" t="n"/>
      <c r="N80" s="10" t="n"/>
      <c r="O80" s="10" t="n"/>
      <c r="P80" s="10" t="n"/>
      <c r="Q80" s="11" t="n">
        <v>1</v>
      </c>
      <c r="R80" s="10" t="n"/>
      <c r="S80" s="10" t="n"/>
      <c r="T80" s="10" t="n"/>
      <c r="U80" s="10" t="n"/>
      <c r="V80" s="10" t="n"/>
      <c r="W80" s="10" t="n"/>
      <c r="X80" s="10" t="n"/>
      <c r="Y80" s="12">
        <f>SUM(L80:X80)</f>
        <v/>
      </c>
      <c r="Z80" s="13" t="inlineStr"/>
    </row>
    <row r="81" ht="30" customHeight="1">
      <c r="A81" s="7" t="inlineStr">
        <is>
          <t>B077</t>
        </is>
      </c>
      <c r="B81" s="7" t="inlineStr">
        <is>
          <t>2026-07-29</t>
        </is>
      </c>
      <c r="C81" s="7" t="inlineStr">
        <is>
          <t>2026-07-28</t>
        </is>
      </c>
      <c r="D81" s="7" t="inlineStr">
        <is>
          <t>2026-07-28</t>
        </is>
      </c>
      <c r="E81" s="7" t="inlineStr">
        <is>
          <t>Martins</t>
        </is>
      </c>
      <c r="F81" s="7" t="inlineStr"/>
      <c r="G81" s="7" t="inlineStr">
        <is>
          <t>Rasmin</t>
        </is>
      </c>
      <c r="H81" s="7" t="inlineStr"/>
      <c r="I81" s="7" t="inlineStr">
        <is>
          <t>Pelvic block</t>
        </is>
      </c>
      <c r="J81" s="8" t="inlineStr">
        <is>
          <t>Fail</t>
        </is>
      </c>
      <c r="K81" s="9" t="inlineStr">
        <is>
          <t>hole in mesentary membrane in critical area greater than 1.5"</t>
        </is>
      </c>
      <c r="L81" s="10" t="n"/>
      <c r="M81" s="10" t="n"/>
      <c r="N81" s="10" t="n"/>
      <c r="O81" s="10" t="n"/>
      <c r="P81" s="10" t="n"/>
      <c r="Q81" s="11" t="n">
        <v>1</v>
      </c>
      <c r="R81" s="10" t="n"/>
      <c r="S81" s="10" t="n"/>
      <c r="T81" s="10" t="n"/>
      <c r="U81" s="10" t="n"/>
      <c r="V81" s="10" t="n"/>
      <c r="W81" s="10" t="n"/>
      <c r="X81" s="10" t="n"/>
      <c r="Y81" s="12">
        <f>SUM(L81:X81)</f>
        <v/>
      </c>
      <c r="Z81" s="13" t="inlineStr"/>
    </row>
    <row r="82" ht="30" customHeight="1">
      <c r="A82" s="7" t="inlineStr">
        <is>
          <t>B078</t>
        </is>
      </c>
      <c r="B82" s="7" t="inlineStr">
        <is>
          <t>2026-07-29</t>
        </is>
      </c>
      <c r="C82" s="7" t="inlineStr">
        <is>
          <t>2026-07-28</t>
        </is>
      </c>
      <c r="D82" s="7" t="inlineStr">
        <is>
          <t>2026-07-28</t>
        </is>
      </c>
      <c r="E82" s="7" t="inlineStr">
        <is>
          <t>Martins</t>
        </is>
      </c>
      <c r="F82" s="7" t="inlineStr"/>
      <c r="G82" s="7" t="inlineStr">
        <is>
          <t>Rasmin</t>
        </is>
      </c>
      <c r="H82" s="7" t="inlineStr"/>
      <c r="I82" s="7" t="inlineStr">
        <is>
          <t>Pelvic block</t>
        </is>
      </c>
      <c r="J82" s="8" t="inlineStr">
        <is>
          <t>Fail</t>
        </is>
      </c>
      <c r="K82" s="9" t="inlineStr">
        <is>
          <t>hole in mesentary membrane in critical area greater than 1.5"</t>
        </is>
      </c>
      <c r="L82" s="10" t="n"/>
      <c r="M82" s="10" t="n"/>
      <c r="N82" s="10" t="n"/>
      <c r="O82" s="10" t="n"/>
      <c r="P82" s="10" t="n"/>
      <c r="Q82" s="11" t="n">
        <v>1</v>
      </c>
      <c r="R82" s="10" t="n"/>
      <c r="S82" s="10" t="n"/>
      <c r="T82" s="10" t="n"/>
      <c r="U82" s="10" t="n"/>
      <c r="V82" s="10" t="n"/>
      <c r="W82" s="10" t="n"/>
      <c r="X82" s="10" t="n"/>
      <c r="Y82" s="12">
        <f>SUM(L82:X82)</f>
        <v/>
      </c>
      <c r="Z82" s="13" t="inlineStr"/>
    </row>
    <row r="83" ht="30" customHeight="1">
      <c r="A83" s="7" t="inlineStr">
        <is>
          <t>B079</t>
        </is>
      </c>
      <c r="B83" s="7" t="inlineStr">
        <is>
          <t>2026-07-29</t>
        </is>
      </c>
      <c r="C83" s="7" t="inlineStr">
        <is>
          <t>2026-07-28</t>
        </is>
      </c>
      <c r="D83" s="7" t="inlineStr">
        <is>
          <t>2026-07-28</t>
        </is>
      </c>
      <c r="E83" s="7" t="inlineStr">
        <is>
          <t>Martins</t>
        </is>
      </c>
      <c r="F83" s="7" t="inlineStr"/>
      <c r="G83" s="7" t="inlineStr">
        <is>
          <t>Rasmin</t>
        </is>
      </c>
      <c r="H83" s="7" t="inlineStr"/>
      <c r="I83" s="7" t="inlineStr">
        <is>
          <t>Pelvic block</t>
        </is>
      </c>
      <c r="J83" s="8" t="inlineStr">
        <is>
          <t>Fail</t>
        </is>
      </c>
      <c r="K83" s="9" t="inlineStr">
        <is>
          <t>hole in mesentary membrane in critical area greater than 1.5"</t>
        </is>
      </c>
      <c r="L83" s="10" t="n"/>
      <c r="M83" s="10" t="n"/>
      <c r="N83" s="10" t="n"/>
      <c r="O83" s="10" t="n"/>
      <c r="P83" s="10" t="n"/>
      <c r="Q83" s="11" t="n">
        <v>1</v>
      </c>
      <c r="R83" s="10" t="n"/>
      <c r="S83" s="10" t="n"/>
      <c r="T83" s="10" t="n"/>
      <c r="U83" s="10" t="n"/>
      <c r="V83" s="10" t="n"/>
      <c r="W83" s="10" t="n"/>
      <c r="X83" s="10" t="n"/>
      <c r="Y83" s="12">
        <f>SUM(L83:X83)</f>
        <v/>
      </c>
      <c r="Z83" s="13" t="inlineStr"/>
    </row>
    <row r="84" ht="30" customHeight="1">
      <c r="A84" s="7" t="inlineStr">
        <is>
          <t>B080</t>
        </is>
      </c>
      <c r="B84" s="7" t="inlineStr">
        <is>
          <t>2026-07-29</t>
        </is>
      </c>
      <c r="C84" s="7" t="inlineStr">
        <is>
          <t>2026-07-28</t>
        </is>
      </c>
      <c r="D84" s="7" t="inlineStr">
        <is>
          <t>2026-07-28</t>
        </is>
      </c>
      <c r="E84" s="7" t="inlineStr">
        <is>
          <t>Martins</t>
        </is>
      </c>
      <c r="F84" s="7" t="inlineStr"/>
      <c r="G84" s="7" t="inlineStr">
        <is>
          <t>Rasmin</t>
        </is>
      </c>
      <c r="H84" s="7" t="inlineStr"/>
      <c r="I84" s="7" t="inlineStr">
        <is>
          <t>Pelvic block</t>
        </is>
      </c>
      <c r="J84" s="8" t="inlineStr">
        <is>
          <t>Fail</t>
        </is>
      </c>
      <c r="K84" s="9" t="inlineStr">
        <is>
          <t>hole in mesentary membrane in critical area greater than 1.5"</t>
        </is>
      </c>
      <c r="L84" s="10" t="n"/>
      <c r="M84" s="10" t="n"/>
      <c r="N84" s="10" t="n"/>
      <c r="O84" s="10" t="n"/>
      <c r="P84" s="10" t="n"/>
      <c r="Q84" s="11" t="n">
        <v>1</v>
      </c>
      <c r="R84" s="10" t="n"/>
      <c r="S84" s="10" t="n"/>
      <c r="T84" s="10" t="n"/>
      <c r="U84" s="10" t="n"/>
      <c r="V84" s="10" t="n"/>
      <c r="W84" s="10" t="n"/>
      <c r="X84" s="10" t="n"/>
      <c r="Y84" s="12">
        <f>SUM(L84:X84)</f>
        <v/>
      </c>
      <c r="Z84" s="13" t="inlineStr"/>
    </row>
    <row r="85" ht="30" customHeight="1">
      <c r="A85" s="7" t="inlineStr">
        <is>
          <t>B081</t>
        </is>
      </c>
      <c r="B85" s="7" t="inlineStr">
        <is>
          <t>2026-07-29</t>
        </is>
      </c>
      <c r="C85" s="7" t="inlineStr">
        <is>
          <t>2026-07-28</t>
        </is>
      </c>
      <c r="D85" s="7" t="inlineStr">
        <is>
          <t>2026-07-28</t>
        </is>
      </c>
      <c r="E85" s="7" t="inlineStr">
        <is>
          <t>Martins</t>
        </is>
      </c>
      <c r="F85" s="7" t="inlineStr"/>
      <c r="G85" s="7" t="inlineStr">
        <is>
          <t>Rasmin</t>
        </is>
      </c>
      <c r="H85" s="7" t="inlineStr"/>
      <c r="I85" s="7" t="inlineStr">
        <is>
          <t>Pelvic block</t>
        </is>
      </c>
      <c r="J85" s="8" t="inlineStr">
        <is>
          <t>Fail</t>
        </is>
      </c>
      <c r="K85" s="9" t="inlineStr">
        <is>
          <t>Block too short</t>
        </is>
      </c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1" t="n">
        <v>1</v>
      </c>
      <c r="Y85" s="12">
        <f>SUM(L85:X85)</f>
        <v/>
      </c>
      <c r="Z85" s="13" t="inlineStr"/>
    </row>
    <row r="86" ht="30" customHeight="1">
      <c r="A86" s="7" t="inlineStr">
        <is>
          <t>B082</t>
        </is>
      </c>
      <c r="B86" s="7" t="inlineStr">
        <is>
          <t>2026-07-29</t>
        </is>
      </c>
      <c r="C86" s="7" t="inlineStr">
        <is>
          <t>2026-07-28</t>
        </is>
      </c>
      <c r="D86" s="7" t="inlineStr">
        <is>
          <t>2026-07-28</t>
        </is>
      </c>
      <c r="E86" s="7" t="inlineStr">
        <is>
          <t>Martins</t>
        </is>
      </c>
      <c r="F86" s="7" t="inlineStr"/>
      <c r="G86" s="7" t="inlineStr">
        <is>
          <t>Rasmin</t>
        </is>
      </c>
      <c r="H86" s="7" t="inlineStr"/>
      <c r="I86" s="7" t="inlineStr">
        <is>
          <t>Pelvic block</t>
        </is>
      </c>
      <c r="J86" s="8" t="inlineStr">
        <is>
          <t>Fail</t>
        </is>
      </c>
      <c r="K86" s="9" t="inlineStr">
        <is>
          <t>Block too short</t>
        </is>
      </c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1" t="n">
        <v>1</v>
      </c>
      <c r="Y86" s="12">
        <f>SUM(L86:X86)</f>
        <v/>
      </c>
      <c r="Z86" s="13" t="inlineStr"/>
    </row>
    <row r="87" ht="30" customHeight="1">
      <c r="A87" s="7" t="inlineStr">
        <is>
          <t>B083</t>
        </is>
      </c>
      <c r="B87" s="7" t="inlineStr">
        <is>
          <t>2026-07-29</t>
        </is>
      </c>
      <c r="C87" s="7" t="inlineStr">
        <is>
          <t>2026-07-28</t>
        </is>
      </c>
      <c r="D87" s="7" t="inlineStr">
        <is>
          <t>2026-07-28</t>
        </is>
      </c>
      <c r="E87" s="7" t="inlineStr">
        <is>
          <t>Martins</t>
        </is>
      </c>
      <c r="F87" s="7" t="inlineStr"/>
      <c r="G87" s="7" t="inlineStr">
        <is>
          <t>Rasmin</t>
        </is>
      </c>
      <c r="H87" s="7" t="inlineStr"/>
      <c r="I87" s="7" t="inlineStr">
        <is>
          <t>Pelvic block</t>
        </is>
      </c>
      <c r="J87" s="8" t="inlineStr">
        <is>
          <t>Fail</t>
        </is>
      </c>
      <c r="K87" s="9" t="inlineStr">
        <is>
          <t>Block too short</t>
        </is>
      </c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1" t="n">
        <v>1</v>
      </c>
      <c r="Y87" s="12">
        <f>SUM(L87:X87)</f>
        <v/>
      </c>
      <c r="Z87" s="13" t="inlineStr"/>
    </row>
    <row r="88" ht="30" customHeight="1">
      <c r="A88" s="7" t="inlineStr">
        <is>
          <t>B084</t>
        </is>
      </c>
      <c r="B88" s="7" t="inlineStr">
        <is>
          <t>2026-07-29</t>
        </is>
      </c>
      <c r="C88" s="7" t="inlineStr">
        <is>
          <t>2026-07-28</t>
        </is>
      </c>
      <c r="D88" s="7" t="inlineStr">
        <is>
          <t>2026-07-28</t>
        </is>
      </c>
      <c r="E88" s="7" t="inlineStr">
        <is>
          <t>Martins</t>
        </is>
      </c>
      <c r="F88" s="7" t="inlineStr"/>
      <c r="G88" s="7" t="inlineStr">
        <is>
          <t>Rasmin</t>
        </is>
      </c>
      <c r="H88" s="7" t="inlineStr"/>
      <c r="I88" s="7" t="inlineStr">
        <is>
          <t>Pelvic block</t>
        </is>
      </c>
      <c r="J88" s="8" t="inlineStr">
        <is>
          <t>Fail</t>
        </is>
      </c>
      <c r="K88" s="9" t="inlineStr">
        <is>
          <t>Block too short</t>
        </is>
      </c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1" t="n">
        <v>1</v>
      </c>
      <c r="Y88" s="12">
        <f>SUM(L88:X88)</f>
        <v/>
      </c>
      <c r="Z88" s="13" t="inlineStr"/>
    </row>
    <row r="89" ht="30" customHeight="1">
      <c r="A89" s="7" t="inlineStr">
        <is>
          <t>B085</t>
        </is>
      </c>
      <c r="B89" s="7" t="inlineStr">
        <is>
          <t>2026-07-29</t>
        </is>
      </c>
      <c r="C89" s="7" t="inlineStr">
        <is>
          <t>2026-07-28</t>
        </is>
      </c>
      <c r="D89" s="7" t="inlineStr">
        <is>
          <t>2026-07-28</t>
        </is>
      </c>
      <c r="E89" s="7" t="inlineStr">
        <is>
          <t>Martins</t>
        </is>
      </c>
      <c r="F89" s="7" t="inlineStr"/>
      <c r="G89" s="7" t="inlineStr">
        <is>
          <t>Rasmin</t>
        </is>
      </c>
      <c r="H89" s="7" t="inlineStr"/>
      <c r="I89" s="7" t="inlineStr">
        <is>
          <t>Pelvic block</t>
        </is>
      </c>
      <c r="J89" s="8" t="inlineStr">
        <is>
          <t>Fail</t>
        </is>
      </c>
      <c r="K89" s="9" t="inlineStr">
        <is>
          <t>Block too short</t>
        </is>
      </c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1" t="n">
        <v>1</v>
      </c>
      <c r="Y89" s="12">
        <f>SUM(L89:X89)</f>
        <v/>
      </c>
      <c r="Z89" s="13" t="inlineStr"/>
    </row>
    <row r="90" ht="30" customHeight="1">
      <c r="A90" s="7" t="inlineStr">
        <is>
          <t>B086</t>
        </is>
      </c>
      <c r="B90" s="7" t="inlineStr">
        <is>
          <t>2026-07-29</t>
        </is>
      </c>
      <c r="C90" s="7" t="inlineStr">
        <is>
          <t>2026-07-28</t>
        </is>
      </c>
      <c r="D90" s="7" t="inlineStr">
        <is>
          <t>2026-07-28</t>
        </is>
      </c>
      <c r="E90" s="7" t="inlineStr">
        <is>
          <t>Martins</t>
        </is>
      </c>
      <c r="F90" s="7" t="inlineStr"/>
      <c r="G90" s="7" t="inlineStr">
        <is>
          <t>Rasmin</t>
        </is>
      </c>
      <c r="H90" s="7" t="inlineStr"/>
      <c r="I90" s="7" t="inlineStr">
        <is>
          <t>Pelvic block</t>
        </is>
      </c>
      <c r="J90" s="8" t="inlineStr">
        <is>
          <t>Fail</t>
        </is>
      </c>
      <c r="K90" s="9" t="inlineStr">
        <is>
          <t>Block too short</t>
        </is>
      </c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1" t="n">
        <v>1</v>
      </c>
      <c r="Y90" s="12">
        <f>SUM(L90:X90)</f>
        <v/>
      </c>
      <c r="Z90" s="13" t="inlineStr"/>
    </row>
    <row r="91" ht="30" customHeight="1">
      <c r="A91" s="7" t="inlineStr">
        <is>
          <t>B087</t>
        </is>
      </c>
      <c r="B91" s="7" t="inlineStr">
        <is>
          <t>2026-07-29</t>
        </is>
      </c>
      <c r="C91" s="7" t="inlineStr">
        <is>
          <t>2026-07-28</t>
        </is>
      </c>
      <c r="D91" s="7" t="inlineStr">
        <is>
          <t>2026-07-28</t>
        </is>
      </c>
      <c r="E91" s="7" t="inlineStr">
        <is>
          <t>Martins</t>
        </is>
      </c>
      <c r="F91" s="7" t="inlineStr"/>
      <c r="G91" s="7" t="inlineStr">
        <is>
          <t>Rasmin</t>
        </is>
      </c>
      <c r="H91" s="7" t="inlineStr"/>
      <c r="I91" s="7" t="inlineStr">
        <is>
          <t>Pelvic block</t>
        </is>
      </c>
      <c r="J91" s="8" t="inlineStr">
        <is>
          <t>Fail</t>
        </is>
      </c>
      <c r="K91" s="9" t="inlineStr">
        <is>
          <t>laceration in urethra</t>
        </is>
      </c>
      <c r="L91" s="10" t="n"/>
      <c r="M91" s="10" t="n"/>
      <c r="N91" s="10" t="n"/>
      <c r="O91" s="10" t="n"/>
      <c r="P91" s="11" t="n">
        <v>1</v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2">
        <f>SUM(L91:X91)</f>
        <v/>
      </c>
      <c r="Z91" s="15" t="inlineStr">
        <is>
          <t>Sheet's handwritten total read '1 Pass / 22 failures'; per-row entries sum to 29 fails (used here).</t>
        </is>
      </c>
    </row>
    <row r="92" ht="30" customHeight="1">
      <c r="A92" s="7" t="inlineStr">
        <is>
          <t>B088</t>
        </is>
      </c>
      <c r="B92" s="7" t="inlineStr">
        <is>
          <t>2026-07-29</t>
        </is>
      </c>
      <c r="C92" s="7" t="inlineStr">
        <is>
          <t>2026-07-28</t>
        </is>
      </c>
      <c r="D92" s="7" t="inlineStr">
        <is>
          <t>2026-07-28</t>
        </is>
      </c>
      <c r="E92" s="7" t="inlineStr">
        <is>
          <t>Martins</t>
        </is>
      </c>
      <c r="F92" s="7" t="inlineStr"/>
      <c r="G92" s="7" t="inlineStr">
        <is>
          <t>Toni</t>
        </is>
      </c>
      <c r="H92" s="7" t="inlineStr"/>
      <c r="I92" s="7" t="inlineStr">
        <is>
          <t>Tiss, porcine, fem, Pelvic block</t>
        </is>
      </c>
      <c r="J92" s="8" t="inlineStr">
        <is>
          <t>Fail</t>
        </is>
      </c>
      <c r="K92" s="9" t="inlineStr">
        <is>
          <t>bowel is cut open</t>
        </is>
      </c>
      <c r="L92" s="10" t="n"/>
      <c r="M92" s="10" t="n"/>
      <c r="N92" s="10" t="n"/>
      <c r="O92" s="10" t="n"/>
      <c r="P92" s="10" t="n"/>
      <c r="Q92" s="10" t="n"/>
      <c r="R92" s="10" t="n"/>
      <c r="S92" s="11" t="n">
        <v>1</v>
      </c>
      <c r="T92" s="10" t="n"/>
      <c r="U92" s="10" t="n"/>
      <c r="V92" s="10" t="n"/>
      <c r="W92" s="10" t="n"/>
      <c r="X92" s="10" t="n"/>
      <c r="Y92" s="12">
        <f>SUM(L92:X92)</f>
        <v/>
      </c>
      <c r="Z92" s="13" t="inlineStr"/>
    </row>
    <row r="93" ht="30" customHeight="1">
      <c r="A93" s="7" t="inlineStr">
        <is>
          <t>B089</t>
        </is>
      </c>
      <c r="B93" s="7" t="inlineStr">
        <is>
          <t>2026-07-29</t>
        </is>
      </c>
      <c r="C93" s="7" t="inlineStr">
        <is>
          <t>2026-07-28</t>
        </is>
      </c>
      <c r="D93" s="7" t="inlineStr">
        <is>
          <t>2026-07-28</t>
        </is>
      </c>
      <c r="E93" s="7" t="inlineStr">
        <is>
          <t>Martins</t>
        </is>
      </c>
      <c r="F93" s="7" t="inlineStr"/>
      <c r="G93" s="7" t="inlineStr">
        <is>
          <t>Toni</t>
        </is>
      </c>
      <c r="H93" s="7" t="inlineStr"/>
      <c r="I93" s="7" t="inlineStr">
        <is>
          <t>Tiss, porcine, fem, Pelvic block</t>
        </is>
      </c>
      <c r="J93" s="8" t="inlineStr">
        <is>
          <t>Fail</t>
        </is>
      </c>
      <c r="K93" s="9" t="inlineStr">
        <is>
          <t>membrane damage greater than .5" in critical area</t>
        </is>
      </c>
      <c r="L93" s="10" t="n"/>
      <c r="M93" s="10" t="n"/>
      <c r="N93" s="10" t="n"/>
      <c r="O93" s="10" t="n"/>
      <c r="P93" s="10" t="n"/>
      <c r="Q93" s="11" t="n">
        <v>1</v>
      </c>
      <c r="R93" s="10" t="n"/>
      <c r="S93" s="10" t="n"/>
      <c r="T93" s="10" t="n"/>
      <c r="U93" s="10" t="n"/>
      <c r="V93" s="10" t="n"/>
      <c r="W93" s="10" t="n"/>
      <c r="X93" s="10" t="n"/>
      <c r="Y93" s="12">
        <f>SUM(L93:X93)</f>
        <v/>
      </c>
      <c r="Z93" s="13" t="inlineStr"/>
    </row>
    <row r="94" ht="30" customHeight="1">
      <c r="A94" s="7" t="inlineStr">
        <is>
          <t>B090</t>
        </is>
      </c>
      <c r="B94" s="7" t="inlineStr">
        <is>
          <t>2026-07-29</t>
        </is>
      </c>
      <c r="C94" s="7" t="inlineStr">
        <is>
          <t>2026-07-28</t>
        </is>
      </c>
      <c r="D94" s="7" t="inlineStr">
        <is>
          <t>2026-07-28</t>
        </is>
      </c>
      <c r="E94" s="7" t="inlineStr">
        <is>
          <t>Martins</t>
        </is>
      </c>
      <c r="F94" s="7" t="inlineStr"/>
      <c r="G94" s="7" t="inlineStr">
        <is>
          <t>Toni</t>
        </is>
      </c>
      <c r="H94" s="7" t="inlineStr"/>
      <c r="I94" s="7" t="inlineStr">
        <is>
          <t>Tiss, porcine, fem, Pelvic block</t>
        </is>
      </c>
      <c r="J94" s="8" t="inlineStr">
        <is>
          <t>Fail</t>
        </is>
      </c>
      <c r="K94" s="9" t="inlineStr">
        <is>
          <t>membrane damage greater than .5" in critical area</t>
        </is>
      </c>
      <c r="L94" s="10" t="n"/>
      <c r="M94" s="10" t="n"/>
      <c r="N94" s="10" t="n"/>
      <c r="O94" s="10" t="n"/>
      <c r="P94" s="10" t="n"/>
      <c r="Q94" s="11" t="n">
        <v>1</v>
      </c>
      <c r="R94" s="10" t="n"/>
      <c r="S94" s="10" t="n"/>
      <c r="T94" s="10" t="n"/>
      <c r="U94" s="10" t="n"/>
      <c r="V94" s="10" t="n"/>
      <c r="W94" s="10" t="n"/>
      <c r="X94" s="10" t="n"/>
      <c r="Y94" s="12">
        <f>SUM(L94:X94)</f>
        <v/>
      </c>
      <c r="Z94" s="13" t="inlineStr"/>
    </row>
    <row r="95" ht="30" customHeight="1">
      <c r="A95" s="7" t="inlineStr">
        <is>
          <t>B091</t>
        </is>
      </c>
      <c r="B95" s="7" t="inlineStr">
        <is>
          <t>2026-07-29</t>
        </is>
      </c>
      <c r="C95" s="7" t="inlineStr">
        <is>
          <t>2026-07-28</t>
        </is>
      </c>
      <c r="D95" s="7" t="inlineStr">
        <is>
          <t>2026-07-28</t>
        </is>
      </c>
      <c r="E95" s="7" t="inlineStr">
        <is>
          <t>Martins</t>
        </is>
      </c>
      <c r="F95" s="7" t="inlineStr"/>
      <c r="G95" s="7" t="inlineStr">
        <is>
          <t>Toni</t>
        </is>
      </c>
      <c r="H95" s="7" t="inlineStr"/>
      <c r="I95" s="7" t="inlineStr">
        <is>
          <t>Tiss, porcine, fem, Pelvic block</t>
        </is>
      </c>
      <c r="J95" s="8" t="inlineStr">
        <is>
          <t>Fail</t>
        </is>
      </c>
      <c r="K95" s="9" t="inlineStr">
        <is>
          <t>membrane damage greater than .5" in critical area</t>
        </is>
      </c>
      <c r="L95" s="10" t="n"/>
      <c r="M95" s="10" t="n"/>
      <c r="N95" s="10" t="n"/>
      <c r="O95" s="10" t="n"/>
      <c r="P95" s="10" t="n"/>
      <c r="Q95" s="11" t="n">
        <v>1</v>
      </c>
      <c r="R95" s="10" t="n"/>
      <c r="S95" s="10" t="n"/>
      <c r="T95" s="10" t="n"/>
      <c r="U95" s="10" t="n"/>
      <c r="V95" s="10" t="n"/>
      <c r="W95" s="10" t="n"/>
      <c r="X95" s="10" t="n"/>
      <c r="Y95" s="12">
        <f>SUM(L95:X95)</f>
        <v/>
      </c>
      <c r="Z95" s="13" t="inlineStr"/>
    </row>
    <row r="96" ht="30" customHeight="1">
      <c r="A96" s="7" t="inlineStr">
        <is>
          <t>B092</t>
        </is>
      </c>
      <c r="B96" s="7" t="inlineStr">
        <is>
          <t>2026-07-29</t>
        </is>
      </c>
      <c r="C96" s="7" t="inlineStr">
        <is>
          <t>2026-07-28</t>
        </is>
      </c>
      <c r="D96" s="7" t="inlineStr">
        <is>
          <t>2026-07-28</t>
        </is>
      </c>
      <c r="E96" s="7" t="inlineStr">
        <is>
          <t>Martins</t>
        </is>
      </c>
      <c r="F96" s="7" t="inlineStr"/>
      <c r="G96" s="7" t="inlineStr">
        <is>
          <t>Toni</t>
        </is>
      </c>
      <c r="H96" s="7" t="inlineStr"/>
      <c r="I96" s="7" t="inlineStr">
        <is>
          <t>Tiss, porcine, fem, Pelvic block</t>
        </is>
      </c>
      <c r="J96" s="8" t="inlineStr">
        <is>
          <t>Fail</t>
        </is>
      </c>
      <c r="K96" s="9" t="inlineStr">
        <is>
          <t>membrane damage greater than .5" in critical area</t>
        </is>
      </c>
      <c r="L96" s="10" t="n"/>
      <c r="M96" s="10" t="n"/>
      <c r="N96" s="10" t="n"/>
      <c r="O96" s="10" t="n"/>
      <c r="P96" s="10" t="n"/>
      <c r="Q96" s="11" t="n">
        <v>1</v>
      </c>
      <c r="R96" s="10" t="n"/>
      <c r="S96" s="10" t="n"/>
      <c r="T96" s="10" t="n"/>
      <c r="U96" s="10" t="n"/>
      <c r="V96" s="10" t="n"/>
      <c r="W96" s="10" t="n"/>
      <c r="X96" s="10" t="n"/>
      <c r="Y96" s="12">
        <f>SUM(L96:X96)</f>
        <v/>
      </c>
      <c r="Z96" s="13" t="inlineStr"/>
    </row>
    <row r="97" ht="30" customHeight="1">
      <c r="A97" s="7" t="inlineStr">
        <is>
          <t>B093</t>
        </is>
      </c>
      <c r="B97" s="7" t="inlineStr">
        <is>
          <t>2026-07-29</t>
        </is>
      </c>
      <c r="C97" s="7" t="inlineStr">
        <is>
          <t>2026-07-28</t>
        </is>
      </c>
      <c r="D97" s="7" t="inlineStr">
        <is>
          <t>2026-07-28</t>
        </is>
      </c>
      <c r="E97" s="7" t="inlineStr">
        <is>
          <t>Martins</t>
        </is>
      </c>
      <c r="F97" s="7" t="inlineStr"/>
      <c r="G97" s="7" t="inlineStr">
        <is>
          <t>Toni</t>
        </is>
      </c>
      <c r="H97" s="7" t="inlineStr"/>
      <c r="I97" s="7" t="inlineStr">
        <is>
          <t>Tiss, porcine, fem, Pelvic block</t>
        </is>
      </c>
      <c r="J97" s="8" t="inlineStr">
        <is>
          <t>Fail</t>
        </is>
      </c>
      <c r="K97" s="9" t="inlineStr">
        <is>
          <t>membrane damage greater than .5" in critical area</t>
        </is>
      </c>
      <c r="L97" s="10" t="n"/>
      <c r="M97" s="10" t="n"/>
      <c r="N97" s="10" t="n"/>
      <c r="O97" s="10" t="n"/>
      <c r="P97" s="10" t="n"/>
      <c r="Q97" s="11" t="n">
        <v>1</v>
      </c>
      <c r="R97" s="10" t="n"/>
      <c r="S97" s="10" t="n"/>
      <c r="T97" s="10" t="n"/>
      <c r="U97" s="10" t="n"/>
      <c r="V97" s="10" t="n"/>
      <c r="W97" s="10" t="n"/>
      <c r="X97" s="10" t="n"/>
      <c r="Y97" s="12">
        <f>SUM(L97:X97)</f>
        <v/>
      </c>
      <c r="Z97" s="13" t="inlineStr"/>
    </row>
    <row r="98" ht="30" customHeight="1">
      <c r="A98" s="7" t="inlineStr">
        <is>
          <t>B094</t>
        </is>
      </c>
      <c r="B98" s="7" t="inlineStr">
        <is>
          <t>2026-07-29</t>
        </is>
      </c>
      <c r="C98" s="7" t="inlineStr">
        <is>
          <t>2026-07-28</t>
        </is>
      </c>
      <c r="D98" s="7" t="inlineStr">
        <is>
          <t>2026-07-28</t>
        </is>
      </c>
      <c r="E98" s="7" t="inlineStr">
        <is>
          <t>Martins</t>
        </is>
      </c>
      <c r="F98" s="7" t="inlineStr"/>
      <c r="G98" s="7" t="inlineStr">
        <is>
          <t>Toni</t>
        </is>
      </c>
      <c r="H98" s="7" t="inlineStr"/>
      <c r="I98" s="7" t="inlineStr">
        <is>
          <t>Tiss, porcine, fem, Pelvic block</t>
        </is>
      </c>
      <c r="J98" s="8" t="inlineStr">
        <is>
          <t>Fail</t>
        </is>
      </c>
      <c r="K98" s="9" t="inlineStr">
        <is>
          <t>urethra cut, bowel damaged</t>
        </is>
      </c>
      <c r="L98" s="10" t="n"/>
      <c r="M98" s="10" t="n"/>
      <c r="N98" s="10" t="n"/>
      <c r="O98" s="10" t="n"/>
      <c r="P98" s="11" t="n">
        <v>1</v>
      </c>
      <c r="Q98" s="10" t="n"/>
      <c r="R98" s="10" t="n"/>
      <c r="S98" s="11" t="n">
        <v>1</v>
      </c>
      <c r="T98" s="10" t="n"/>
      <c r="U98" s="10" t="n"/>
      <c r="V98" s="10" t="n"/>
      <c r="W98" s="10" t="n"/>
      <c r="X98" s="10" t="n"/>
      <c r="Y98" s="12">
        <f>SUM(L98:X98)</f>
        <v/>
      </c>
      <c r="Z98" s="13" t="inlineStr"/>
    </row>
    <row r="99" ht="30" customHeight="1">
      <c r="A99" s="7" t="inlineStr">
        <is>
          <t>B095</t>
        </is>
      </c>
      <c r="B99" s="7" t="inlineStr">
        <is>
          <t>2026-07-29</t>
        </is>
      </c>
      <c r="C99" s="7" t="inlineStr">
        <is>
          <t>2026-07-28</t>
        </is>
      </c>
      <c r="D99" s="7" t="inlineStr">
        <is>
          <t>2026-07-28</t>
        </is>
      </c>
      <c r="E99" s="7" t="inlineStr">
        <is>
          <t>Martins</t>
        </is>
      </c>
      <c r="F99" s="7" t="inlineStr"/>
      <c r="G99" s="7" t="inlineStr">
        <is>
          <t>Toni</t>
        </is>
      </c>
      <c r="H99" s="7" t="inlineStr"/>
      <c r="I99" s="7" t="inlineStr">
        <is>
          <t>Tiss, porcine, fem, Pelvic block</t>
        </is>
      </c>
      <c r="J99" s="8" t="inlineStr">
        <is>
          <t>Fail</t>
        </is>
      </c>
      <c r="K99" s="9" t="inlineStr">
        <is>
          <t>ureter is damaged and cut off</t>
        </is>
      </c>
      <c r="L99" s="10" t="n"/>
      <c r="M99" s="11" t="n">
        <v>1</v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2">
        <f>SUM(L99:X99)</f>
        <v/>
      </c>
      <c r="Z99" s="13" t="inlineStr"/>
    </row>
    <row r="100" ht="30" customHeight="1">
      <c r="A100" s="7" t="inlineStr">
        <is>
          <t>B096</t>
        </is>
      </c>
      <c r="B100" s="7" t="inlineStr">
        <is>
          <t>2026-07-29</t>
        </is>
      </c>
      <c r="C100" s="7" t="inlineStr">
        <is>
          <t>2026-07-28</t>
        </is>
      </c>
      <c r="D100" s="7" t="inlineStr">
        <is>
          <t>2026-07-28</t>
        </is>
      </c>
      <c r="E100" s="7" t="inlineStr">
        <is>
          <t>Martins</t>
        </is>
      </c>
      <c r="F100" s="7" t="inlineStr"/>
      <c r="G100" s="7" t="inlineStr">
        <is>
          <t>Toni</t>
        </is>
      </c>
      <c r="H100" s="7" t="inlineStr"/>
      <c r="I100" s="7" t="inlineStr">
        <is>
          <t>Tiss, porcine, fem, Pelvic block</t>
        </is>
      </c>
      <c r="J100" s="8" t="inlineStr">
        <is>
          <t>Fail</t>
        </is>
      </c>
      <c r="K100" s="9" t="inlineStr">
        <is>
          <t>ureter is damaged and cut off</t>
        </is>
      </c>
      <c r="L100" s="10" t="n"/>
      <c r="M100" s="11" t="n">
        <v>1</v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2">
        <f>SUM(L100:X100)</f>
        <v/>
      </c>
      <c r="Z100" s="13" t="inlineStr"/>
    </row>
    <row r="101" ht="30" customHeight="1">
      <c r="A101" s="7" t="inlineStr">
        <is>
          <t>B097</t>
        </is>
      </c>
      <c r="B101" s="7" t="inlineStr">
        <is>
          <t>2026-07-29</t>
        </is>
      </c>
      <c r="C101" s="7" t="inlineStr">
        <is>
          <t>2026-07-28</t>
        </is>
      </c>
      <c r="D101" s="7" t="inlineStr">
        <is>
          <t>2026-07-28</t>
        </is>
      </c>
      <c r="E101" s="7" t="inlineStr">
        <is>
          <t>Martins</t>
        </is>
      </c>
      <c r="F101" s="7" t="inlineStr"/>
      <c r="G101" s="7" t="inlineStr">
        <is>
          <t>Toni</t>
        </is>
      </c>
      <c r="H101" s="7" t="inlineStr"/>
      <c r="I101" s="7" t="inlineStr">
        <is>
          <t>Tiss, porcine, fem, Pelvic block</t>
        </is>
      </c>
      <c r="J101" s="8" t="inlineStr">
        <is>
          <t>Fail</t>
        </is>
      </c>
      <c r="K101" s="9" t="inlineStr">
        <is>
          <t>bladder is cut open</t>
        </is>
      </c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1" t="n">
        <v>1</v>
      </c>
      <c r="X101" s="10" t="n"/>
      <c r="Y101" s="12">
        <f>SUM(L101:X101)</f>
        <v/>
      </c>
      <c r="Z101" s="13" t="inlineStr"/>
    </row>
    <row r="102" ht="30" customHeight="1">
      <c r="A102" s="7" t="inlineStr">
        <is>
          <t>B098</t>
        </is>
      </c>
      <c r="B102" s="7" t="inlineStr">
        <is>
          <t>2026-07-29</t>
        </is>
      </c>
      <c r="C102" s="7" t="inlineStr">
        <is>
          <t>2026-07-28</t>
        </is>
      </c>
      <c r="D102" s="7" t="inlineStr">
        <is>
          <t>2026-07-28</t>
        </is>
      </c>
      <c r="E102" s="7" t="inlineStr">
        <is>
          <t>Martins</t>
        </is>
      </c>
      <c r="F102" s="7" t="inlineStr"/>
      <c r="G102" s="7" t="inlineStr">
        <is>
          <t>Toni</t>
        </is>
      </c>
      <c r="H102" s="7" t="inlineStr"/>
      <c r="I102" s="7" t="inlineStr">
        <is>
          <t>Tiss, porcine, fem, Pelvic block</t>
        </is>
      </c>
      <c r="J102" s="8" t="inlineStr">
        <is>
          <t>Fail</t>
        </is>
      </c>
      <c r="K102" s="9" t="inlineStr">
        <is>
          <t>bladder is cut open, urethra seperated, membrane damage greater than .5"</t>
        </is>
      </c>
      <c r="L102" s="10" t="n"/>
      <c r="M102" s="10" t="n"/>
      <c r="N102" s="10" t="n"/>
      <c r="O102" s="10" t="n"/>
      <c r="P102" s="11" t="n">
        <v>1</v>
      </c>
      <c r="Q102" s="11" t="n">
        <v>1</v>
      </c>
      <c r="R102" s="10" t="n"/>
      <c r="S102" s="10" t="n"/>
      <c r="T102" s="10" t="n"/>
      <c r="U102" s="10" t="n"/>
      <c r="V102" s="10" t="n"/>
      <c r="W102" s="11" t="n">
        <v>1</v>
      </c>
      <c r="X102" s="10" t="n"/>
      <c r="Y102" s="12">
        <f>SUM(L102:X102)</f>
        <v/>
      </c>
      <c r="Z102" s="13" t="inlineStr"/>
    </row>
    <row r="103" ht="30" customHeight="1">
      <c r="A103" s="7" t="inlineStr">
        <is>
          <t>B099</t>
        </is>
      </c>
      <c r="B103" s="7" t="inlineStr">
        <is>
          <t>2026-07-29</t>
        </is>
      </c>
      <c r="C103" s="7" t="inlineStr">
        <is>
          <t>2026-07-28</t>
        </is>
      </c>
      <c r="D103" s="7" t="inlineStr">
        <is>
          <t>2026-07-28</t>
        </is>
      </c>
      <c r="E103" s="7" t="inlineStr">
        <is>
          <t>Martins</t>
        </is>
      </c>
      <c r="F103" s="7" t="inlineStr"/>
      <c r="G103" s="7" t="inlineStr">
        <is>
          <t>Toni</t>
        </is>
      </c>
      <c r="H103" s="7" t="inlineStr"/>
      <c r="I103" s="7" t="inlineStr">
        <is>
          <t>Tiss, porcine, fem, Pelvic block</t>
        </is>
      </c>
      <c r="J103" s="8" t="inlineStr">
        <is>
          <t>Fail</t>
        </is>
      </c>
      <c r="K103" s="9" t="inlineStr">
        <is>
          <t>short block</t>
        </is>
      </c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1" t="n">
        <v>1</v>
      </c>
      <c r="Y103" s="12">
        <f>SUM(L103:X103)</f>
        <v/>
      </c>
      <c r="Z103" s="13" t="inlineStr"/>
    </row>
  </sheetData>
  <mergeCells count="2">
    <mergeCell ref="A1:Z1"/>
    <mergeCell ref="A2:Z2"/>
  </mergeCells>
  <dataValidations count="2">
    <dataValidation sqref="J5:J405" showDropDown="0" showInputMessage="0" showErrorMessage="0" allowBlank="1" type="list">
      <formula1>"Pass,Fail"</formula1>
    </dataValidation>
    <dataValidation sqref="L5:X405" showDropDown="0" showInputMessage="0" showErrorMessage="0" allowBlank="1" type="list">
      <formula1>"1"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42" customWidth="1" min="3" max="3"/>
    <col width="9" customWidth="1" min="4" max="4"/>
    <col width="30" customWidth="1" min="5" max="5"/>
    <col width="18" customWidth="1" min="6" max="6"/>
    <col width="16" customWidth="1" min="7" max="7"/>
    <col width="38" customWidth="1" min="8" max="8"/>
    <col width="42" customWidth="1" min="9" max="9"/>
    <col width="30" customWidth="1" min="10" max="10"/>
  </cols>
  <sheetData>
    <row r="1" ht="30" customHeight="1">
      <c r="A1" s="1" t="inlineStr">
        <is>
          <t>DEFECT TAXONOMY &amp; ROOT-CAUSE MAP</t>
        </is>
      </c>
    </row>
    <row r="2" ht="18" customHeight="1">
      <c r="A2" s="2" t="inlineStr">
        <is>
          <t>The controlled vocabulary. Every scrap reason maps to a code here — the point where a defect is traced back to the supplier's process.</t>
        </is>
      </c>
    </row>
    <row r="4" ht="30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Definition</t>
        </is>
      </c>
      <c r="D4" s="6" t="inlineStr">
        <is>
          <t>Severity</t>
        </is>
      </c>
      <c r="E4" s="6" t="inlineStr">
        <is>
          <t>Likely Process Step (where it's born)</t>
        </is>
      </c>
      <c r="F4" s="6" t="inlineStr">
        <is>
          <t>Supplier Station</t>
        </is>
      </c>
      <c r="G4" s="6" t="inlineStr">
        <is>
          <t>Root-Cause Category (6M)</t>
        </is>
      </c>
      <c r="H4" s="6" t="inlineStr">
        <is>
          <t>Likely Mechanism</t>
        </is>
      </c>
      <c r="I4" s="6" t="inlineStr">
        <is>
          <t>Recommended Corrective Action (to supplier)</t>
        </is>
      </c>
      <c r="J4" s="6" t="inlineStr">
        <is>
          <t>Lessons Learned  (fill in over time)</t>
        </is>
      </c>
    </row>
    <row r="5" ht="46" customHeight="1">
      <c r="A5" s="16" t="inlineStr">
        <is>
          <t>D1</t>
        </is>
      </c>
      <c r="B5" s="9" t="inlineStr">
        <is>
          <t>Ureters not embedded</t>
        </is>
      </c>
      <c r="C5" s="9" t="inlineStr">
        <is>
          <t>Ureter(s) dislodged/stripped from the surrounding pelvic fat &amp; fascia; no longer seated in tissue.</t>
        </is>
      </c>
      <c r="D5" s="17" t="inlineStr">
        <is>
          <t>Major</t>
        </is>
      </c>
      <c r="E5" s="9" t="inlineStr">
        <is>
          <t>Evisceration traction (gut-set withdrawal)</t>
        </is>
      </c>
      <c r="F5" s="7" t="inlineStr">
        <is>
          <t>S3 Evisceration</t>
        </is>
      </c>
      <c r="G5" s="9" t="inlineStr">
        <is>
          <t>Method / Handling</t>
        </is>
      </c>
      <c r="H5" s="9" t="inlineStr">
        <is>
          <t>The ureter runs retroperitoneally in sublumbar fat (ventral to psoas, through the lateral bladder ligaments); caudo-ventral pull on the gut set peels it out of that fat bed intact-but-loose.</t>
        </is>
      </c>
      <c r="I5" s="9" t="inlineStr">
        <is>
          <t>Cut the ureters &amp; sublumbar attachments BEFORE withdrawing the gut set (per hand-slaughter standard); slower, controlled set removal; gentler pit drop.</t>
        </is>
      </c>
      <c r="J5" s="18" t="inlineStr"/>
    </row>
    <row r="6" ht="46" customHeight="1">
      <c r="A6" s="16" t="inlineStr">
        <is>
          <t>D2</t>
        </is>
      </c>
      <c r="B6" s="9" t="inlineStr">
        <is>
          <t>Ureter cut / severed</t>
        </is>
      </c>
      <c r="C6" s="9" t="inlineStr">
        <is>
          <t>Ureter partially or fully transected / cut off (sharp cut edge).</t>
        </is>
      </c>
      <c r="D6" s="17" t="inlineStr">
        <is>
          <t>Major</t>
        </is>
      </c>
      <c r="E6" s="9" t="inlineStr">
        <is>
          <t>Bung/aitch coring, split saw, or traction avulsion</t>
        </is>
      </c>
      <c r="F6" s="7" t="inlineStr">
        <is>
          <t>S3 Evisceration</t>
        </is>
      </c>
      <c r="G6" s="9" t="inlineStr">
        <is>
          <t>Machine / Method</t>
        </is>
      </c>
      <c r="H6" s="9" t="inlineStr">
        <is>
          <t>Coring knife/aitch blade cuts the pelvic ureter (step 8); split saw shears it if off-center (11); over-pull avulses it at the narrow external-iliac crossing (10).</t>
        </is>
      </c>
      <c r="I6" s="9" t="inlineStr">
        <is>
          <t>Coring depth/axis control; verify aitch-blade &amp; split-saw alignment; cut-don't-over-pull the gut set.</t>
        </is>
      </c>
      <c r="J6" s="18" t="inlineStr"/>
    </row>
    <row r="7" ht="46" customHeight="1">
      <c r="A7" s="16" t="inlineStr">
        <is>
          <t>D3</t>
        </is>
      </c>
      <c r="B7" s="9" t="inlineStr">
        <is>
          <t>Ureter missing</t>
        </is>
      </c>
      <c r="C7" s="9" t="inlineStr">
        <is>
          <t>One ureter (left or right) absent from the block.</t>
        </is>
      </c>
      <c r="D7" s="17" t="inlineStr">
        <is>
          <t>Major</t>
        </is>
      </c>
      <c r="E7" s="9" t="inlineStr">
        <is>
          <t>Bung/aitch over-cut or lost in the dropped set</t>
        </is>
      </c>
      <c r="F7" s="7" t="inlineStr">
        <is>
          <t>S2 Bung + aitch bone</t>
        </is>
      </c>
      <c r="G7" s="9" t="inlineStr">
        <is>
          <t>Method / Handling</t>
        </is>
      </c>
      <c r="H7" s="9" t="inlineStr">
        <is>
          <t>Aitch/bung over-cut removes the distal ureter, or it avulses at the iliac crossing and is lost in the dropped gut set / pit.</t>
        </is>
      </c>
      <c r="I7" s="9" t="inlineStr">
        <is>
          <t>Tighten bung/aitch cut boundary &amp; coring axis; audit pit collection for detached tissue.</t>
        </is>
      </c>
      <c r="J7" s="18" t="inlineStr"/>
    </row>
    <row r="8" ht="46" customHeight="1">
      <c r="A8" s="16" t="inlineStr">
        <is>
          <t>D4</t>
        </is>
      </c>
      <c r="B8" s="9" t="inlineStr">
        <is>
          <t>Suspensory ligaments damaged</t>
        </is>
      </c>
      <c r="C8" s="9" t="inlineStr">
        <is>
          <t>Suspensory ligament(s) torn/frayed or holed (incl. bladder suspensory ligament).</t>
        </is>
      </c>
      <c r="D8" s="17" t="inlineStr">
        <is>
          <t>Major</t>
        </is>
      </c>
      <c r="E8" s="9" t="inlineStr">
        <is>
          <t>Evisceration traction (gut-set withdrawal)</t>
        </is>
      </c>
      <c r="F8" s="7" t="inlineStr">
        <is>
          <t>S3 Evisceration</t>
        </is>
      </c>
      <c r="G8" s="9" t="inlineStr">
        <is>
          <t>Method / Handling</t>
        </is>
      </c>
      <c r="H8" s="9" t="inlineStr">
        <is>
          <t>The bladder is slung by a median ligament (ventral) &amp; paired lateral ligaments (dorsolateral, carrying the ureters); traction on the gut set tears these off the bladder/body wall; the midline knife/saw severs the median ligament.</t>
        </is>
      </c>
      <c r="I8" s="9" t="inlineStr">
        <is>
          <t>Handle the block by a support surface, not by the ligaments; control pull-force &amp; angle; cut attachments first.</t>
        </is>
      </c>
      <c r="J8" s="18" t="inlineStr"/>
    </row>
    <row r="9" ht="46" customHeight="1">
      <c r="A9" s="16" t="inlineStr">
        <is>
          <t>D5</t>
        </is>
      </c>
      <c r="B9" s="9" t="inlineStr">
        <is>
          <t>Urethra breach (cut / laceration / hole / separation)</t>
        </is>
      </c>
      <c r="C9" s="9" t="inlineStr">
        <is>
          <t>Urethra transected, lacerated, perforated or separated (incl. hole in distal urethra).</t>
        </is>
      </c>
      <c r="D9" s="17" t="inlineStr">
        <is>
          <t>Major</t>
        </is>
      </c>
      <c r="E9" s="9" t="inlineStr">
        <is>
          <t>Aitch-bone cut &amp; carcass split saw (midline)</t>
        </is>
      </c>
      <c r="F9" s="7" t="inlineStr">
        <is>
          <t>S4 Carcass splitting</t>
        </is>
      </c>
      <c r="G9" s="9" t="inlineStr">
        <is>
          <t>Machine / Method</t>
        </is>
      </c>
      <c r="H9" s="9" t="inlineStr">
        <is>
          <t>The urethra sits on the midline directly under the pubic symphysis — in the path of BOTH the aitch-bone cut (step 8) and the split saw (step 11); a midline pizzle cut severs the penile urethra in barrows.</t>
        </is>
      </c>
      <c r="I9" s="9" t="inlineStr">
        <is>
          <t>Center the pelvic split on the symphysis; calibrate/align split saw &amp; guide; verify aitch-blade alignment; size-class sorting; keep the pizzle cut off-center.</t>
        </is>
      </c>
      <c r="J9" s="18" t="inlineStr"/>
    </row>
    <row r="10" ht="46" customHeight="1">
      <c r="A10" s="16" t="inlineStr">
        <is>
          <t>D6</t>
        </is>
      </c>
      <c r="B10" s="9" t="inlineStr">
        <is>
          <t>Membrane damage in critical area</t>
        </is>
      </c>
      <c r="C10" s="9" t="inlineStr">
        <is>
          <t>Hole/tear in the mesentery membrane separating bowel from pelvic organs, in the critical zone (&gt;1.5").</t>
        </is>
      </c>
      <c r="D10" s="8" t="inlineStr">
        <is>
          <t>Critical</t>
        </is>
      </c>
      <c r="E10" s="9" t="inlineStr">
        <is>
          <t>Evisceration traction (gut-set withdrawal)</t>
        </is>
      </c>
      <c r="F10" s="7" t="inlineStr">
        <is>
          <t>S3 Evisceration</t>
        </is>
      </c>
      <c r="G10" s="9" t="inlineStr">
        <is>
          <t>Method / Man</t>
        </is>
      </c>
      <c r="H10" s="9" t="inlineStr">
        <is>
          <t>The thin, fenestrated mesentery/broad-ligament membrane is the weakest element under traction and tears/holes first — especially where fingers/hook engage it to pull, or where the knife releases the set.</t>
        </is>
      </c>
      <c r="I10" s="9" t="inlineStr">
        <is>
          <t>Cut membrane attachments before pulling; blunt-dissect; slow the line through the pelvic zone; ergonomic relief so operators aren't yanking to keep pace.</t>
        </is>
      </c>
      <c r="J10" s="18" t="inlineStr"/>
    </row>
    <row r="11" ht="46" customHeight="1">
      <c r="A11" s="16" t="inlineStr">
        <is>
          <t>D7</t>
        </is>
      </c>
      <c r="B11" s="9" t="inlineStr">
        <is>
          <t>Bladder deformed / deformed attachment</t>
        </is>
      </c>
      <c r="C11" s="9" t="inlineStr">
        <is>
          <t>Bladder misshapen or attachment distorted.</t>
        </is>
      </c>
      <c r="D11" s="19" t="inlineStr">
        <is>
          <t>Minor</t>
        </is>
      </c>
      <c r="E11" s="9" t="inlineStr">
        <is>
          <t>Live-animal fill state / handling pressure</t>
        </is>
      </c>
      <c r="F11" s="7" t="inlineStr">
        <is>
          <t>S6 Live / physiology</t>
        </is>
      </c>
      <c r="G11" s="9" t="inlineStr">
        <is>
          <t>Material / Handling</t>
        </is>
      </c>
      <c r="H11" s="9" t="inlineStr">
        <is>
          <t>Distended (full) bladder at slaughter, or compression/traction on the attachment during handling.</t>
        </is>
      </c>
      <c r="I11" s="9" t="inlineStr">
        <is>
          <t>Manage lairage feed/water withdrawal (fasting) to empty the bladder; avoid compressing the block.</t>
        </is>
      </c>
      <c r="J11" s="18" t="inlineStr"/>
    </row>
    <row r="12" ht="46" customHeight="1">
      <c r="A12" s="16" t="inlineStr">
        <is>
          <t>D8</t>
        </is>
      </c>
      <c r="B12" s="9" t="inlineStr">
        <is>
          <t>Bowel / colon / rectum breach</t>
        </is>
      </c>
      <c r="C12" s="9" t="inlineStr">
        <is>
          <t>Bowel integrity breached - cut, hole, or separation of colon/rectum. FOOD-SAFETY / contamination risk.</t>
        </is>
      </c>
      <c r="D12" s="8" t="inlineStr">
        <is>
          <t>Critical</t>
        </is>
      </c>
      <c r="E12" s="9" t="inlineStr">
        <is>
          <t>Bung margin / belly-opening knife / traction</t>
        </is>
      </c>
      <c r="F12" s="7" t="inlineStr">
        <is>
          <t>S3 Evisceration</t>
        </is>
      </c>
      <c r="G12" s="9" t="inlineStr">
        <is>
          <t>Method / Man</t>
        </is>
      </c>
      <c r="H12" s="9" t="inlineStr">
        <is>
          <t>A &lt;1/2" circumanal margin nicks the rectum (step 8); the knife perforates the colon at belly opening (step 9); pull separates colon from rectum (step 10). Bung not sealed before withdrawal.</t>
        </is>
      </c>
      <c r="I12" s="9" t="inlineStr">
        <is>
          <t>Hold a &gt;=1/2" circumanal margin; seal/bag the bung BEFORE pulling; retrain knife path; treat as a contamination CCP.</t>
        </is>
      </c>
      <c r="J12" s="18" t="inlineStr"/>
    </row>
    <row r="13" ht="46" customHeight="1">
      <c r="A13" s="16" t="inlineStr">
        <is>
          <t>D9</t>
        </is>
      </c>
      <c r="B13" s="9" t="inlineStr">
        <is>
          <t>Blood clots</t>
        </is>
      </c>
      <c r="C13" s="9" t="inlineStr">
        <is>
          <t>Retained blood clots / blood-splash speckle in the tissue block.</t>
        </is>
      </c>
      <c r="D13" s="19" t="inlineStr">
        <is>
          <t>Minor</t>
        </is>
      </c>
      <c r="E13" s="9" t="inlineStr">
        <is>
          <t>Stunning + sticking (stun-to-stick interval)</t>
        </is>
      </c>
      <c r="F13" s="7" t="inlineStr">
        <is>
          <t>S1 Sticking / Bleeding</t>
        </is>
      </c>
      <c r="G13" s="9" t="inlineStr">
        <is>
          <t>Method</t>
        </is>
      </c>
      <c r="H13" s="9" t="inlineStr">
        <is>
          <t>Electrical-stun blood-pressure spike + a long/variable stun-to-stick interval ruptures capillaries (splash/speckle) and leaves vessels filled; incomplete bleed-out.</t>
        </is>
      </c>
      <c r="I13" s="9" t="inlineStr">
        <is>
          <t>Shorten &amp; stabilize the stun-to-stick interval; verify stick placement &amp; bleed-out time; consider CO2 stun (fewer hemorrhages).</t>
        </is>
      </c>
      <c r="J13" s="18" t="inlineStr"/>
    </row>
    <row r="14" ht="46" customHeight="1">
      <c r="A14" s="16" t="inlineStr">
        <is>
          <t>D10</t>
        </is>
      </c>
      <c r="B14" s="9" t="inlineStr">
        <is>
          <t>Broad ligament hole / tear</t>
        </is>
      </c>
      <c r="C14" s="9" t="inlineStr">
        <is>
          <t>Large hole/tear in the broad ligament (mesometrium in gilts).</t>
        </is>
      </c>
      <c r="D14" s="17" t="inlineStr">
        <is>
          <t>Major</t>
        </is>
      </c>
      <c r="E14" s="9" t="inlineStr">
        <is>
          <t>Evisceration traction (gut-set withdrawal)</t>
        </is>
      </c>
      <c r="F14" s="7" t="inlineStr">
        <is>
          <t>S3 Evisceration</t>
        </is>
      </c>
      <c r="G14" s="9" t="inlineStr">
        <is>
          <t>Method / Handling</t>
        </is>
      </c>
      <c r="H14" s="9" t="inlineStr">
        <is>
          <t>The broad ligament suspending the uterus/ovary is torn by the same caudo-ventral pull on the gut set; the ovarian suspensory ligament is a common tear point.</t>
        </is>
      </c>
      <c r="I14" s="9" t="inlineStr">
        <is>
          <t>Control pull-force; cut attachments before pulling; retrain knife path near the broad ligament.</t>
        </is>
      </c>
      <c r="J14" s="18" t="inlineStr"/>
    </row>
    <row r="15" ht="46" customHeight="1">
      <c r="A15" s="16" t="inlineStr">
        <is>
          <t>D11</t>
        </is>
      </c>
      <c r="B15" s="9" t="inlineStr">
        <is>
          <t>Bladder neck separation</t>
        </is>
      </c>
      <c r="C15" s="9" t="inlineStr">
        <is>
          <t>Bladder detached/separated at the neck (bladder-urethra junction at the pelvic floor).</t>
        </is>
      </c>
      <c r="D15" s="17" t="inlineStr">
        <is>
          <t>Major</t>
        </is>
      </c>
      <c r="E15" s="9" t="inlineStr">
        <is>
          <t>Aitch-bone cut &amp; split saw (symphysis plane)</t>
        </is>
      </c>
      <c r="F15" s="7" t="inlineStr">
        <is>
          <t>S4 Carcass splitting</t>
        </is>
      </c>
      <c r="G15" s="9" t="inlineStr">
        <is>
          <t>Machine / Method</t>
        </is>
      </c>
      <c r="H15" s="9" t="inlineStr">
        <is>
          <t>The neck is sheared at the pubic-symphysis plane by the aitch cut / split saw, or avulsed by traction on the urethra/ligaments.</t>
        </is>
      </c>
      <c r="I15" s="9" t="inlineStr">
        <is>
          <t>Center the pelvic split; protect the bladder neck at the pelvic outlet; verify aitch-blade alignment; control traction.</t>
        </is>
      </c>
      <c r="J15" s="18" t="inlineStr"/>
    </row>
    <row r="16" ht="46" customHeight="1">
      <c r="A16" s="16" t="inlineStr">
        <is>
          <t>D12</t>
        </is>
      </c>
      <c r="B16" s="9" t="inlineStr">
        <is>
          <t>Bladder cut / hole (breach)</t>
        </is>
      </c>
      <c r="C16" s="9" t="inlineStr">
        <is>
          <t>Bladder wall cut open or holed. Urine-contamination risk. Distinct from D7 (deformed) &amp; D11 (neck separation).</t>
        </is>
      </c>
      <c r="D16" s="17" t="inlineStr">
        <is>
          <t>Major</t>
        </is>
      </c>
      <c r="E16" s="9" t="inlineStr">
        <is>
          <t>Belly opening (knife) - full-bladder risk</t>
        </is>
      </c>
      <c r="F16" s="7" t="inlineStr">
        <is>
          <t>S3 Evisceration</t>
        </is>
      </c>
      <c r="G16" s="9" t="inlineStr">
        <is>
          <t>Machine / Method</t>
        </is>
      </c>
      <c r="H16" s="9" t="inlineStr">
        <is>
          <t>The knife tip enters the cavity and punctures a distended, thin-walled bladder (a full bladder sits abdominally, in the knife's path) instead of riding along the body wall.</t>
        </is>
      </c>
      <c r="I16" s="9" t="inlineStr">
        <is>
          <t>'Unzip' belly cut (handle inside, blade riding outward); sharper knives; fasting/feed-water withdrawal to empty the bladder before slaughter.</t>
        </is>
      </c>
      <c r="J16" s="18" t="inlineStr"/>
    </row>
    <row r="17" ht="46" customHeight="1">
      <c r="A17" s="16" t="inlineStr">
        <is>
          <t>D13</t>
        </is>
      </c>
      <c r="B17" s="9" t="inlineStr">
        <is>
          <t>Block too short / undersized</t>
        </is>
      </c>
      <c r="C17" s="9" t="inlineStr">
        <is>
          <t>Harvested pelvic block dimensionally too short / fails the length template (insufficient tissue retained).</t>
        </is>
      </c>
      <c r="D17" s="17" t="inlineStr">
        <is>
          <t>Major</t>
        </is>
      </c>
      <c r="E17" s="9" t="inlineStr">
        <is>
          <t>Aitch/split cut height + harvester recovery boundary</t>
        </is>
      </c>
      <c r="F17" s="7" t="inlineStr">
        <is>
          <t>S3 Evisceration</t>
        </is>
      </c>
      <c r="G17" s="9" t="inlineStr">
        <is>
          <t>Method / Man</t>
        </is>
      </c>
      <c r="H17" s="9" t="inlineStr">
        <is>
          <t>The distal urethra/bladder-neck was already transected high at the aitch-bone cut or split (steps 8/11), leaving insufficient distal length; or the harvester sets the cranial boundary too tight to the bladder.</t>
        </is>
      </c>
      <c r="I17" s="9" t="inlineStr">
        <is>
          <t>Define minimum block length &amp; cut boundaries vs a template/gauge; align aitch/split to preserve distal urethra length; train the recovery boundary cut.</t>
        </is>
      </c>
      <c r="J17" s="18" t="inlineStr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6" customWidth="1" min="3" max="3"/>
    <col width="13" customWidth="1" min="4" max="4"/>
    <col width="26" customWidth="1" min="5" max="5"/>
    <col width="10" customWidth="1" min="6" max="6"/>
  </cols>
  <sheetData>
    <row r="1" ht="30" customHeight="1">
      <c r="A1" s="1" t="inlineStr">
        <is>
          <t>PARETO — DEFECT FREQUENCY &amp; SUPPLIER-STATION ROLLUP</t>
        </is>
      </c>
    </row>
    <row r="2" ht="18" customHeight="1">
      <c r="A2" s="2" t="inlineStr">
        <is>
          <t>Counts pull live from the Inspection Log (all batches). Fix the 'vital few' (cumulative line to ~80%) first. Re-sort high-&gt;low if ranking changes.</t>
        </is>
      </c>
    </row>
    <row r="4">
      <c r="A4" s="20" t="inlineStr">
        <is>
          <t>A.  DEFECT PARETO  (by occurrence across all inspected blocks, all batches)</t>
        </is>
      </c>
    </row>
    <row r="5" ht="24" customHeight="1">
      <c r="A5" s="6" t="inlineStr">
        <is>
          <t>Rank</t>
        </is>
      </c>
      <c r="B5" s="6" t="inlineStr">
        <is>
          <t>Code</t>
        </is>
      </c>
      <c r="C5" s="6" t="inlineStr">
        <is>
          <t>Defect Mode</t>
        </is>
      </c>
      <c r="D5" s="6" t="inlineStr">
        <is>
          <t>Count</t>
        </is>
      </c>
      <c r="E5" s="6" t="inlineStr">
        <is>
          <t>% of Total</t>
        </is>
      </c>
      <c r="F5" s="6" t="inlineStr">
        <is>
          <t>Cumulative %</t>
        </is>
      </c>
      <c r="M5" s="21" t="n"/>
      <c r="N5" t="inlineStr">
        <is>
          <t>80% target</t>
        </is>
      </c>
    </row>
    <row r="6">
      <c r="A6" s="22" t="n">
        <v>1</v>
      </c>
      <c r="B6" s="23" t="inlineStr">
        <is>
          <t>D6</t>
        </is>
      </c>
      <c r="C6" s="24" t="inlineStr">
        <is>
          <t>Membrane damage in critical area</t>
        </is>
      </c>
      <c r="D6" s="12">
        <f>SUM('Inspection Log'!Q5:Q503)</f>
        <v/>
      </c>
      <c r="E6" s="25">
        <f>D6/SUM('Inspection Log'!L5:X503)</f>
        <v/>
      </c>
      <c r="F6" s="25">
        <f>E6</f>
        <v/>
      </c>
      <c r="M6" t="inlineStr">
        <is>
          <t>D6 · Membrane dmg</t>
        </is>
      </c>
      <c r="N6" t="n">
        <v>0.8</v>
      </c>
    </row>
    <row r="7">
      <c r="A7" s="22" t="n">
        <v>2</v>
      </c>
      <c r="B7" s="23" t="inlineStr">
        <is>
          <t>D1</t>
        </is>
      </c>
      <c r="C7" s="24" t="inlineStr">
        <is>
          <t>Ureters not embedded</t>
        </is>
      </c>
      <c r="D7" s="12">
        <f>SUM('Inspection Log'!L5:L503)</f>
        <v/>
      </c>
      <c r="E7" s="25">
        <f>D7/SUM('Inspection Log'!L5:X503)</f>
        <v/>
      </c>
      <c r="F7" s="25">
        <f>F6+E7</f>
        <v/>
      </c>
      <c r="M7" t="inlineStr">
        <is>
          <t>D1 · Ureters n/e</t>
        </is>
      </c>
      <c r="N7" t="n">
        <v>0.8</v>
      </c>
    </row>
    <row r="8">
      <c r="A8" s="22" t="n">
        <v>3</v>
      </c>
      <c r="B8" s="23" t="inlineStr">
        <is>
          <t>D5</t>
        </is>
      </c>
      <c r="C8" s="24" t="inlineStr">
        <is>
          <t>Urethra breach (cut / laceration / hole / separation)</t>
        </is>
      </c>
      <c r="D8" s="12">
        <f>SUM('Inspection Log'!P5:P503)</f>
        <v/>
      </c>
      <c r="E8" s="25">
        <f>D8/SUM('Inspection Log'!L5:X503)</f>
        <v/>
      </c>
      <c r="F8" s="25">
        <f>F7+E8</f>
        <v/>
      </c>
      <c r="M8" t="inlineStr">
        <is>
          <t>D5 · Urethra breach</t>
        </is>
      </c>
      <c r="N8" t="n">
        <v>0.8</v>
      </c>
    </row>
    <row r="9">
      <c r="A9" s="22" t="n">
        <v>4</v>
      </c>
      <c r="B9" s="23" t="inlineStr">
        <is>
          <t>D8</t>
        </is>
      </c>
      <c r="C9" s="24" t="inlineStr">
        <is>
          <t>Bowel / colon / rectum breach</t>
        </is>
      </c>
      <c r="D9" s="12">
        <f>SUM('Inspection Log'!S5:S503)</f>
        <v/>
      </c>
      <c r="E9" s="25">
        <f>D9/SUM('Inspection Log'!L5:X503)</f>
        <v/>
      </c>
      <c r="F9" s="25">
        <f>F8+E9</f>
        <v/>
      </c>
      <c r="M9" t="inlineStr">
        <is>
          <t>D8 · Bowel/colon</t>
        </is>
      </c>
      <c r="N9" t="n">
        <v>0.8</v>
      </c>
    </row>
    <row r="10">
      <c r="A10" s="22" t="n">
        <v>5</v>
      </c>
      <c r="B10" s="23" t="inlineStr">
        <is>
          <t>D4</t>
        </is>
      </c>
      <c r="C10" s="24" t="inlineStr">
        <is>
          <t>Suspensory ligaments damaged</t>
        </is>
      </c>
      <c r="D10" s="12">
        <f>SUM('Inspection Log'!O5:O503)</f>
        <v/>
      </c>
      <c r="E10" s="25">
        <f>D10/SUM('Inspection Log'!L5:X503)</f>
        <v/>
      </c>
      <c r="F10" s="25">
        <f>F9+E10</f>
        <v/>
      </c>
      <c r="M10" t="inlineStr">
        <is>
          <t>D4 · Susp. ligament</t>
        </is>
      </c>
      <c r="N10" t="n">
        <v>0.8</v>
      </c>
    </row>
    <row r="11">
      <c r="A11" s="22" t="n">
        <v>6</v>
      </c>
      <c r="B11" s="23" t="inlineStr">
        <is>
          <t>D2</t>
        </is>
      </c>
      <c r="C11" s="26" t="inlineStr">
        <is>
          <t>Ureter cut / severed</t>
        </is>
      </c>
      <c r="D11" s="12">
        <f>SUM('Inspection Log'!M5:M503)</f>
        <v/>
      </c>
      <c r="E11" s="25">
        <f>D11/SUM('Inspection Log'!L5:X503)</f>
        <v/>
      </c>
      <c r="F11" s="25">
        <f>F10+E11</f>
        <v/>
      </c>
      <c r="M11" t="inlineStr">
        <is>
          <t>D2 · Ureter cut</t>
        </is>
      </c>
      <c r="N11" t="n">
        <v>0.8</v>
      </c>
    </row>
    <row r="12">
      <c r="A12" s="22" t="n">
        <v>7</v>
      </c>
      <c r="B12" s="23" t="inlineStr">
        <is>
          <t>D13</t>
        </is>
      </c>
      <c r="C12" s="26" t="inlineStr">
        <is>
          <t>Block too short / undersized</t>
        </is>
      </c>
      <c r="D12" s="12">
        <f>SUM('Inspection Log'!X5:X503)</f>
        <v/>
      </c>
      <c r="E12" s="25">
        <f>D12/SUM('Inspection Log'!L5:X503)</f>
        <v/>
      </c>
      <c r="F12" s="25">
        <f>F11+E12</f>
        <v/>
      </c>
      <c r="M12" t="inlineStr">
        <is>
          <t>D13 · Block too short</t>
        </is>
      </c>
      <c r="N12" t="n">
        <v>0.8</v>
      </c>
    </row>
    <row r="13">
      <c r="A13" s="22" t="n">
        <v>8</v>
      </c>
      <c r="B13" s="23" t="inlineStr">
        <is>
          <t>D12</t>
        </is>
      </c>
      <c r="C13" s="26" t="inlineStr">
        <is>
          <t>Bladder cut / hole (breach)</t>
        </is>
      </c>
      <c r="D13" s="12">
        <f>SUM('Inspection Log'!W5:W503)</f>
        <v/>
      </c>
      <c r="E13" s="25">
        <f>D13/SUM('Inspection Log'!L5:X503)</f>
        <v/>
      </c>
      <c r="F13" s="25">
        <f>F12+E13</f>
        <v/>
      </c>
      <c r="M13" t="inlineStr">
        <is>
          <t>D12 · Bladder breach</t>
        </is>
      </c>
      <c r="N13" t="n">
        <v>0.8</v>
      </c>
    </row>
    <row r="14">
      <c r="A14" s="22" t="n">
        <v>9</v>
      </c>
      <c r="B14" s="23" t="inlineStr">
        <is>
          <t>D3</t>
        </is>
      </c>
      <c r="C14" s="26" t="inlineStr">
        <is>
          <t>Ureter missing</t>
        </is>
      </c>
      <c r="D14" s="12">
        <f>SUM('Inspection Log'!N5:N503)</f>
        <v/>
      </c>
      <c r="E14" s="25">
        <f>D14/SUM('Inspection Log'!L5:X503)</f>
        <v/>
      </c>
      <c r="F14" s="25">
        <f>F13+E14</f>
        <v/>
      </c>
      <c r="M14" t="inlineStr">
        <is>
          <t>D3 · Ureter missing</t>
        </is>
      </c>
      <c r="N14" t="n">
        <v>0.8</v>
      </c>
    </row>
    <row r="15">
      <c r="A15" s="22" t="n">
        <v>10</v>
      </c>
      <c r="B15" s="23" t="inlineStr">
        <is>
          <t>D7</t>
        </is>
      </c>
      <c r="C15" s="26" t="inlineStr">
        <is>
          <t>Bladder deformed / deformed attachment</t>
        </is>
      </c>
      <c r="D15" s="12">
        <f>SUM('Inspection Log'!R5:R503)</f>
        <v/>
      </c>
      <c r="E15" s="25">
        <f>D15/SUM('Inspection Log'!L5:X503)</f>
        <v/>
      </c>
      <c r="F15" s="25">
        <f>F14+E15</f>
        <v/>
      </c>
      <c r="M15" t="inlineStr">
        <is>
          <t>D7 · Bladder def.</t>
        </is>
      </c>
      <c r="N15" t="n">
        <v>0.8</v>
      </c>
    </row>
    <row r="16">
      <c r="A16" s="22" t="n">
        <v>11</v>
      </c>
      <c r="B16" s="23" t="inlineStr">
        <is>
          <t>D9</t>
        </is>
      </c>
      <c r="C16" s="26" t="inlineStr">
        <is>
          <t>Blood clots</t>
        </is>
      </c>
      <c r="D16" s="12">
        <f>SUM('Inspection Log'!T5:T503)</f>
        <v/>
      </c>
      <c r="E16" s="25">
        <f>D16/SUM('Inspection Log'!L5:X503)</f>
        <v/>
      </c>
      <c r="F16" s="25">
        <f>F15+E16</f>
        <v/>
      </c>
      <c r="M16" t="inlineStr">
        <is>
          <t>D9 · Blood clots</t>
        </is>
      </c>
      <c r="N16" t="n">
        <v>0.8</v>
      </c>
    </row>
    <row r="17">
      <c r="A17" s="22" t="n">
        <v>12</v>
      </c>
      <c r="B17" s="23" t="inlineStr">
        <is>
          <t>D10</t>
        </is>
      </c>
      <c r="C17" s="26" t="inlineStr">
        <is>
          <t>Broad ligament hole / tear</t>
        </is>
      </c>
      <c r="D17" s="12">
        <f>SUM('Inspection Log'!U5:U503)</f>
        <v/>
      </c>
      <c r="E17" s="25">
        <f>D17/SUM('Inspection Log'!L5:X503)</f>
        <v/>
      </c>
      <c r="F17" s="25">
        <f>F16+E17</f>
        <v/>
      </c>
      <c r="M17" t="inlineStr">
        <is>
          <t>D10 · Broad ligament</t>
        </is>
      </c>
      <c r="N17" t="n">
        <v>0.8</v>
      </c>
    </row>
    <row r="18">
      <c r="A18" s="22" t="n">
        <v>13</v>
      </c>
      <c r="B18" s="23" t="inlineStr">
        <is>
          <t>D11</t>
        </is>
      </c>
      <c r="C18" s="26" t="inlineStr">
        <is>
          <t>Bladder neck separation</t>
        </is>
      </c>
      <c r="D18" s="12">
        <f>SUM('Inspection Log'!V5:V503)</f>
        <v/>
      </c>
      <c r="E18" s="25">
        <f>D18/SUM('Inspection Log'!L5:X503)</f>
        <v/>
      </c>
      <c r="F18" s="25">
        <f>F17+E18</f>
        <v/>
      </c>
      <c r="M18" t="inlineStr">
        <is>
          <t>D11 · Bladder neck sep.</t>
        </is>
      </c>
      <c r="N18" t="n">
        <v>0.8</v>
      </c>
    </row>
    <row r="19">
      <c r="A19" s="27" t="n"/>
      <c r="B19" s="27" t="n"/>
      <c r="C19" s="28" t="inlineStr">
        <is>
          <t>TOTAL</t>
        </is>
      </c>
      <c r="D19" s="29">
        <f>SUM(D6:D18)</f>
        <v/>
      </c>
      <c r="E19" s="30">
        <f>D19/SUM('Inspection Log'!L5:X503)</f>
        <v/>
      </c>
      <c r="F19" s="27" t="n"/>
    </row>
    <row r="22">
      <c r="A22" s="20" t="inlineStr">
        <is>
          <t>B.  ROLLUP BY SUPPLIER STATION  (which station to fix first)</t>
        </is>
      </c>
    </row>
    <row r="23" ht="24" customHeight="1">
      <c r="A23" s="6" t="inlineStr">
        <is>
          <t>Station</t>
        </is>
      </c>
      <c r="B23" s="6" t="inlineStr">
        <is>
          <t>Station Name</t>
        </is>
      </c>
      <c r="C23" s="6" t="inlineStr">
        <is>
          <t>Defect Count</t>
        </is>
      </c>
      <c r="D23" s="6" t="inlineStr">
        <is>
          <t>% of Total</t>
        </is>
      </c>
      <c r="E23" s="6" t="inlineStr">
        <is>
          <t>Defect Codes</t>
        </is>
      </c>
    </row>
    <row r="24">
      <c r="A24" s="31" t="inlineStr">
        <is>
          <t>S3</t>
        </is>
      </c>
      <c r="B24" s="32" t="inlineStr">
        <is>
          <t>Evisceration</t>
        </is>
      </c>
      <c r="C24" s="33">
        <f>SUM('Inspection Log'!L5:L503)+SUM('Inspection Log'!M5:M503)+SUM('Inspection Log'!O5:O503)+SUM('Inspection Log'!Q5:Q503)+SUM('Inspection Log'!S5:S503)+SUM('Inspection Log'!U5:U503)+SUM('Inspection Log'!W5:W503)+SUM('Inspection Log'!X5:X503)</f>
        <v/>
      </c>
      <c r="D24" s="34">
        <f>C24/SUM('Inspection Log'!L5:X503)</f>
        <v/>
      </c>
      <c r="E24" s="32" t="inlineStr">
        <is>
          <t>D1, D2, D4, D6, D8, D10, D12, D13</t>
        </is>
      </c>
    </row>
    <row r="25">
      <c r="A25" s="23" t="inlineStr">
        <is>
          <t>S4</t>
        </is>
      </c>
      <c r="B25" s="26" t="inlineStr">
        <is>
          <t>Carcass splitting</t>
        </is>
      </c>
      <c r="C25" s="12">
        <f>SUM('Inspection Log'!P5:P503)+SUM('Inspection Log'!V5:V503)</f>
        <v/>
      </c>
      <c r="D25" s="25">
        <f>C25/SUM('Inspection Log'!L5:X503)</f>
        <v/>
      </c>
      <c r="E25" s="26" t="inlineStr">
        <is>
          <t>D5, D11</t>
        </is>
      </c>
    </row>
    <row r="26">
      <c r="A26" s="23" t="inlineStr">
        <is>
          <t>S2</t>
        </is>
      </c>
      <c r="B26" s="26" t="inlineStr">
        <is>
          <t>Bung + aitch bone</t>
        </is>
      </c>
      <c r="C26" s="12">
        <f>SUM('Inspection Log'!N5:N503)</f>
        <v/>
      </c>
      <c r="D26" s="25">
        <f>C26/SUM('Inspection Log'!L5:X503)</f>
        <v/>
      </c>
      <c r="E26" s="26" t="inlineStr">
        <is>
          <t>D3</t>
        </is>
      </c>
    </row>
    <row r="27">
      <c r="A27" s="23" t="inlineStr">
        <is>
          <t>S6</t>
        </is>
      </c>
      <c r="B27" s="26" t="inlineStr">
        <is>
          <t>Live / physiology</t>
        </is>
      </c>
      <c r="C27" s="12">
        <f>SUM('Inspection Log'!R5:R503)</f>
        <v/>
      </c>
      <c r="D27" s="25">
        <f>C27/SUM('Inspection Log'!L5:X503)</f>
        <v/>
      </c>
      <c r="E27" s="26" t="inlineStr">
        <is>
          <t>D7</t>
        </is>
      </c>
    </row>
    <row r="28">
      <c r="A28" s="23" t="inlineStr">
        <is>
          <t>S1</t>
        </is>
      </c>
      <c r="B28" s="26" t="inlineStr">
        <is>
          <t>Sticking / Bleeding</t>
        </is>
      </c>
      <c r="C28" s="12">
        <f>SUM('Inspection Log'!T5:T503)</f>
        <v/>
      </c>
      <c r="D28" s="25">
        <f>C28/SUM('Inspection Log'!L5:X503)</f>
        <v/>
      </c>
      <c r="E28" s="26" t="inlineStr">
        <is>
          <t>D9</t>
        </is>
      </c>
    </row>
  </sheetData>
  <mergeCells count="4">
    <mergeCell ref="A2:F2"/>
    <mergeCell ref="A22:F22"/>
    <mergeCell ref="A1:F1"/>
    <mergeCell ref="A4:F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30" customWidth="1" min="2" max="2"/>
    <col width="31" customWidth="1" min="3" max="3"/>
    <col width="25" customWidth="1" min="4" max="4"/>
    <col width="29" customWidth="1" min="5" max="5"/>
  </cols>
  <sheetData>
    <row r="1" ht="30" customHeight="1">
      <c r="A1" s="1" t="inlineStr">
        <is>
          <t>ROOT-CAUSE DEEP-DIVE — THE PORK EVISCERATION PROCESS</t>
        </is>
      </c>
    </row>
    <row r="2" ht="18" customHeight="1">
      <c r="A2" s="2" t="inlineStr">
        <is>
          <t>Where each defect is BORN, before the block reaches the harvest tech. Read the damage 'signature' (Section D) to name the station.</t>
        </is>
      </c>
    </row>
    <row r="4" ht="22" customHeight="1">
      <c r="A4" s="35" t="inlineStr">
        <is>
          <t>A.  WHERE YOUR PELVIC BLOCK COMES FROM</t>
        </is>
      </c>
    </row>
    <row r="5" ht="60" customHeight="1">
      <c r="A5" s="36" t="inlineStr">
        <is>
          <t>Your pelvic block is NOT harvested as a designed unit. It is the caudal (tail) end of the 'gut set' (green offal) — the abdominal-pelvic digestive tract plus the urogenital organs (bladder, ureters, urethra, bladder neck, ligaments, membranes, adjacent colon/rectum) — that is dropped out of the carcass during EVISCERATION onto the viscera table ('the pit'). The supplier's harvester then recovers the pelvic portion from that dropped set.</t>
        </is>
      </c>
    </row>
    <row r="6" ht="44" customHeight="1">
      <c r="A6" s="37" t="inlineStr">
        <is>
          <t>So almost every defect is inflicted during one of FOUR caudal kill-floor substeps — (1) bung + aitch-bone cut, (2) belly opening, (3) evisceration traction, (4) the split saw — or during the harvester's own boundary cut. The damage SIGNATURE (Section D) tells you which one.</t>
        </is>
      </c>
    </row>
    <row r="8" ht="22" customHeight="1">
      <c r="A8" s="35" t="inlineStr">
        <is>
          <t>B.  THE PROCESS (stunning -&gt; chilling) — steps 8-11 are the ones that touch the pelvic block</t>
        </is>
      </c>
    </row>
    <row r="9" ht="20" customHeight="1">
      <c r="A9" s="38" t="inlineStr">
        <is>
          <t>Step</t>
        </is>
      </c>
      <c r="B9" s="38" t="inlineStr">
        <is>
          <t>Operation</t>
        </is>
      </c>
      <c r="C9" s="39" t="n"/>
      <c r="D9" s="38" t="inlineStr">
        <is>
          <t>Touches the pelvic block?</t>
        </is>
      </c>
      <c r="E9" s="39" t="n"/>
    </row>
    <row r="10" ht="26" customHeight="1">
      <c r="A10" s="13" t="inlineStr">
        <is>
          <t>1</t>
        </is>
      </c>
      <c r="B10" s="13" t="inlineStr">
        <is>
          <t>Stunning</t>
        </is>
      </c>
      <c r="C10" s="39" t="n"/>
      <c r="D10" s="13" t="inlineStr">
        <is>
          <t>Indirect — drives blood splash / clot retention</t>
        </is>
      </c>
      <c r="E10" s="39" t="n"/>
    </row>
    <row r="11" ht="26" customHeight="1">
      <c r="A11" s="13" t="inlineStr">
        <is>
          <t>2</t>
        </is>
      </c>
      <c r="B11" s="13" t="inlineStr">
        <is>
          <t>Sticking / bleeding (exsanguination)</t>
        </is>
      </c>
      <c r="C11" s="39" t="n"/>
      <c r="D11" s="13" t="inlineStr">
        <is>
          <t>Indirect — stun-to-stick interval -&gt; retained clots</t>
        </is>
      </c>
      <c r="E11" s="39" t="n"/>
    </row>
    <row r="12" ht="26" customHeight="1">
      <c r="A12" s="13" t="inlineStr">
        <is>
          <t>3-6</t>
        </is>
      </c>
      <c r="B12" s="13" t="inlineStr">
        <is>
          <t>Scald -&gt; dehair -&gt; singe -&gt; polish/wash</t>
        </is>
      </c>
      <c r="C12" s="39" t="n"/>
      <c r="D12" s="13" t="inlineStr">
        <is>
          <t>No</t>
        </is>
      </c>
      <c r="E12" s="39" t="n"/>
    </row>
    <row r="13" ht="26" customHeight="1">
      <c r="A13" s="13" t="inlineStr">
        <is>
          <t>7</t>
        </is>
      </c>
      <c r="B13" s="13" t="inlineStr">
        <is>
          <t>Head dropping</t>
        </is>
      </c>
      <c r="C13" s="39" t="n"/>
      <c r="D13" s="13" t="inlineStr">
        <is>
          <t>No</t>
        </is>
      </c>
      <c r="E13" s="39" t="n"/>
    </row>
    <row r="14" ht="26" customHeight="1">
      <c r="A14" s="40" t="inlineStr">
        <is>
          <t>8</t>
        </is>
      </c>
      <c r="B14" s="40" t="inlineStr">
        <is>
          <t>Bung dropping + AITCH-BONE opening</t>
        </is>
      </c>
      <c r="C14" s="39" t="n"/>
      <c r="D14" s="40" t="inlineStr">
        <is>
          <t>YES - PRIMARY: rectum, bladder neck, urethra, distal ureters</t>
        </is>
      </c>
      <c r="E14" s="39" t="n"/>
    </row>
    <row r="15" ht="26" customHeight="1">
      <c r="A15" s="40" t="inlineStr">
        <is>
          <t>9</t>
        </is>
      </c>
      <c r="B15" s="40" t="inlineStr">
        <is>
          <t>Belly + brisket opening</t>
        </is>
      </c>
      <c r="C15" s="39" t="n"/>
      <c r="D15" s="40" t="inlineStr">
        <is>
          <t>YES - HIGH: bladder puncture; sets the plane the gut set is pulled through</t>
        </is>
      </c>
      <c r="E15" s="39" t="n"/>
    </row>
    <row r="16" ht="26" customHeight="1">
      <c r="A16" s="40" t="inlineStr">
        <is>
          <t>10</t>
        </is>
      </c>
      <c r="B16" s="40" t="inlineStr">
        <is>
          <t>EVISCERATION (gut-set / green-offal withdrawal)</t>
        </is>
      </c>
      <c r="C16" s="39" t="n"/>
      <c r="D16" s="40" t="inlineStr">
        <is>
          <t>YES - PRIMARY: strips ureters, tears membranes &amp; ligaments</t>
        </is>
      </c>
      <c r="E16" s="39" t="n"/>
    </row>
    <row r="17" ht="26" customHeight="1">
      <c r="A17" s="40" t="inlineStr">
        <is>
          <t>11</t>
        </is>
      </c>
      <c r="B17" s="40" t="inlineStr">
        <is>
          <t>Carcass SPLITTING (saw through spine + pelvis)</t>
        </is>
      </c>
      <c r="C17" s="39" t="n"/>
      <c r="D17" s="40" t="inlineStr">
        <is>
          <t>YES - HIGH: off-center split shears urethra / bladder neck / ureter</t>
        </is>
      </c>
      <c r="E17" s="39" t="n"/>
    </row>
    <row r="18" ht="26" customHeight="1">
      <c r="A18" s="13" t="inlineStr">
        <is>
          <t>12</t>
        </is>
      </c>
      <c r="B18" s="13" t="inlineStr">
        <is>
          <t>Final-rail trim &amp; inspection</t>
        </is>
      </c>
      <c r="C18" s="39" t="n"/>
      <c r="D18" s="13" t="inlineStr">
        <is>
          <t>Trimming can shorten attached urogenital tissue</t>
        </is>
      </c>
      <c r="E18" s="39" t="n"/>
    </row>
    <row r="19" ht="26" customHeight="1">
      <c r="A19" s="13" t="inlineStr">
        <is>
          <t>13</t>
        </is>
      </c>
      <c r="B19" s="13" t="inlineStr">
        <is>
          <t>Chilling</t>
        </is>
      </c>
      <c r="C19" s="39" t="n"/>
      <c r="D19" s="13" t="inlineStr">
        <is>
          <t>No</t>
        </is>
      </c>
      <c r="E19" s="39" t="n"/>
    </row>
    <row r="21" ht="22" customHeight="1">
      <c r="A21" s="35" t="inlineStr">
        <is>
          <t>C.  THE FOUR CAUDAL SUBSTEPS  —  what each one creates, and how</t>
        </is>
      </c>
    </row>
    <row r="22" ht="30" customHeight="1">
      <c r="A22" s="38" t="inlineStr">
        <is>
          <t>Substep (station)</t>
        </is>
      </c>
      <c r="B22" s="38" t="inlineStr">
        <is>
          <t>Defects it creates</t>
        </is>
      </c>
      <c r="C22" s="38" t="inlineStr">
        <is>
          <t>Mechanism</t>
        </is>
      </c>
      <c r="D22" s="38" t="inlineStr">
        <is>
          <t>Damage signature</t>
        </is>
      </c>
      <c r="E22" s="38" t="inlineStr">
        <is>
          <t>Primary fix</t>
        </is>
      </c>
    </row>
    <row r="23" ht="74" customHeight="1">
      <c r="A23" s="41" t="inlineStr">
        <is>
          <t>Bung dropping + aitch-bone (S2, step 8)</t>
        </is>
      </c>
      <c r="B23" s="41" t="inlineStr">
        <is>
          <t>Rectum nick (D8); distal ureter cut/missing (D2/D3); urethra &amp; bladder-neck cut (D5/D11)</t>
        </is>
      </c>
      <c r="C23" s="41" t="inlineStr">
        <is>
          <t>Coring knife too deep / off-axis; the aitch blade crosses the midline urethra &amp; bladder neck</t>
        </is>
      </c>
      <c r="D23" s="41" t="inlineStr">
        <is>
          <t>Clean knife slit; fecal spill if rectum</t>
        </is>
      </c>
      <c r="E23" s="41" t="inlineStr">
        <is>
          <t>Coring depth/axis control; &gt;=1/2" circumanal margin; aitch-blade alignment; size-adaptive settings</t>
        </is>
      </c>
    </row>
    <row r="24" ht="74" customHeight="1">
      <c r="A24" s="41" t="inlineStr">
        <is>
          <t>Belly + brisket opening (S3, step 9)</t>
        </is>
      </c>
      <c r="B24" s="41" t="inlineStr">
        <is>
          <t>Bladder hole (D12); median-ligament cut (D4)</t>
        </is>
      </c>
      <c r="C24" s="41" t="inlineStr">
        <is>
          <t>Knife tip stabs the distended bladder instead of riding the body wall</t>
        </is>
      </c>
      <c r="D24" s="41" t="inlineStr">
        <is>
          <t>Single clean slit; URINE spill</t>
        </is>
      </c>
      <c r="E24" s="41" t="inlineStr">
        <is>
          <t>'Unzip' handle-in belly cut; sharper knives; FAST the hogs to empty the bladder</t>
        </is>
      </c>
    </row>
    <row r="25" ht="74" customHeight="1">
      <c r="A25" s="41" t="inlineStr">
        <is>
          <t>Evisceration traction (S3, step 10)</t>
        </is>
      </c>
      <c r="B25" s="41" t="inlineStr">
        <is>
          <t>Ureters not embedded (D1); mesentery / broad / suspensory tears (D6/D10/D4); avulsed ureter (D2)</t>
        </is>
      </c>
      <c r="C25" s="41" t="inlineStr">
        <is>
          <t>Caudo-ventral PULL peels the ureter out of its sublumbar fat bed; the thin membranes tear first</t>
        </is>
      </c>
      <c r="D25" s="41" t="inlineStr">
        <is>
          <t>Irregular, stretched, FRAYED tear; NO bone dust</t>
        </is>
      </c>
      <c r="E25" s="41" t="inlineStr">
        <is>
          <t>Cut ureters &amp; attachments BEFORE pulling; slower set removal; ergonomic relief</t>
        </is>
      </c>
    </row>
    <row r="26" ht="74" customHeight="1">
      <c r="A26" s="41" t="inlineStr">
        <is>
          <t>Carcass split saw (S4, step 11)</t>
        </is>
      </c>
      <c r="B26" s="41" t="inlineStr">
        <is>
          <t>Urethra / bladder-neck / ureter transection (D5/D11/D2)</t>
        </is>
      </c>
      <c r="C26" s="41" t="inlineStr">
        <is>
          <t>Saw through the pubic symphysis bisects the midline urogenital tissue; off-center shears one side</t>
        </is>
      </c>
      <c r="D26" s="41" t="inlineStr">
        <is>
          <t>Straight parallel KERF + bone dust; matching cut on the mirror side</t>
        </is>
      </c>
      <c r="E26" s="41" t="inlineStr">
        <is>
          <t>Saw/guide calibration; blade condition; size-class sorting</t>
        </is>
      </c>
    </row>
    <row r="28" ht="22" customHeight="1">
      <c r="A28" s="35" t="inlineStr">
        <is>
          <t>D.  DAMAGE-SIGNATURE DIAGNOSTIC  —  read the defect, name the station  (the most useful tool here)</t>
        </is>
      </c>
    </row>
    <row r="29" ht="20" customHeight="1">
      <c r="A29" s="38" t="inlineStr">
        <is>
          <t>What you see on the block</t>
        </is>
      </c>
      <c r="B29" s="39" t="n"/>
      <c r="C29" s="38" t="inlineStr">
        <is>
          <t>What it means</t>
        </is>
      </c>
      <c r="D29" s="39" t="n"/>
      <c r="E29" s="38" t="inlineStr">
        <is>
          <t>Look at this station</t>
        </is>
      </c>
    </row>
    <row r="30" ht="30" customHeight="1">
      <c r="A30" s="41" t="inlineStr">
        <is>
          <t>Straight, parallel-sided cut + bone dust/marrow; matching cut on the mirror side</t>
        </is>
      </c>
      <c r="B30" s="39" t="n"/>
      <c r="C30" s="41" t="inlineStr">
        <is>
          <t>SAW cut</t>
        </is>
      </c>
      <c r="D30" s="39" t="n"/>
      <c r="E30" s="41" t="inlineStr">
        <is>
          <t>S4 Carcass splitting</t>
        </is>
      </c>
    </row>
    <row r="31" ht="30" customHeight="1">
      <c r="A31" s="41" t="inlineStr">
        <is>
          <t>Single clean slit, no bone dust</t>
        </is>
      </c>
      <c r="B31" s="39" t="n"/>
      <c r="C31" s="41" t="inlineStr">
        <is>
          <t>KNIFE cut</t>
        </is>
      </c>
      <c r="D31" s="39" t="n"/>
      <c r="E31" s="41" t="inlineStr">
        <is>
          <t>S2 Bung/aitch  or  S3 belly opening</t>
        </is>
      </c>
    </row>
    <row r="32" ht="30" customHeight="1">
      <c r="A32" s="41" t="inlineStr">
        <is>
          <t>Irregular, stretched, FRAYED tear; no bone dust</t>
        </is>
      </c>
      <c r="B32" s="39" t="n"/>
      <c r="C32" s="41" t="inlineStr">
        <is>
          <t>TRACTION tear</t>
        </is>
      </c>
      <c r="D32" s="39" t="n"/>
      <c r="E32" s="41" t="inlineStr">
        <is>
          <t>S3 Evisceration (the pull)</t>
        </is>
      </c>
    </row>
    <row r="33" ht="30" customHeight="1">
      <c r="A33" s="41" t="inlineStr">
        <is>
          <t>Petechiae / speckle in fat &amp; connective tissue</t>
        </is>
      </c>
      <c r="B33" s="39" t="n"/>
      <c r="C33" s="41" t="inlineStr">
        <is>
          <t>Blood splash</t>
        </is>
      </c>
      <c r="D33" s="39" t="n"/>
      <c r="E33" s="41" t="inlineStr">
        <is>
          <t>S1 Stunning / sticking</t>
        </is>
      </c>
    </row>
    <row r="34" ht="30" customHeight="1">
      <c r="A34" s="41" t="inlineStr">
        <is>
          <t>Fecal spill at the cut</t>
        </is>
      </c>
      <c r="B34" s="39" t="n"/>
      <c r="C34" s="41" t="inlineStr">
        <is>
          <t>Rectum / colon breach</t>
        </is>
      </c>
      <c r="D34" s="39" t="n"/>
      <c r="E34" s="41" t="inlineStr">
        <is>
          <t>S2 bung margin  /  S3 belly knife</t>
        </is>
      </c>
    </row>
    <row r="35" ht="30" customHeight="1">
      <c r="A35" s="41" t="inlineStr">
        <is>
          <t>Urine spill at the cut</t>
        </is>
      </c>
      <c r="B35" s="39" t="n"/>
      <c r="C35" s="41" t="inlineStr">
        <is>
          <t>Bladder breach</t>
        </is>
      </c>
      <c r="D35" s="39" t="n"/>
      <c r="E35" s="41" t="inlineStr">
        <is>
          <t>S3 belly opening (full bladder)</t>
        </is>
      </c>
    </row>
    <row r="36" ht="30" customHeight="1">
      <c r="A36" s="41" t="inlineStr">
        <is>
          <t>Missing distal urethra / short block</t>
        </is>
      </c>
      <c r="B36" s="39" t="n"/>
      <c r="C36" s="41" t="inlineStr">
        <is>
          <t>Cut too high upstream</t>
        </is>
      </c>
      <c r="D36" s="39" t="n"/>
      <c r="E36" s="41" t="inlineStr">
        <is>
          <t>S2 aitch / S4 split, then harvest boundary</t>
        </is>
      </c>
    </row>
    <row r="38" ht="22" customHeight="1">
      <c r="A38" s="35" t="inlineStr">
        <is>
          <t>E.  CONTRIBUTING FACTORS  —  track these as covariates (by shift, station, hog weight class)</t>
        </is>
      </c>
    </row>
    <row r="39" ht="20" customHeight="1">
      <c r="A39" s="38" t="inlineStr">
        <is>
          <t>Factor</t>
        </is>
      </c>
      <c r="B39" s="38" t="inlineStr">
        <is>
          <t>Why it matters</t>
        </is>
      </c>
      <c r="C39" s="39" t="n"/>
      <c r="D39" s="38" t="inlineStr">
        <is>
          <t>What to do / track</t>
        </is>
      </c>
      <c r="E39" s="39" t="n"/>
    </row>
    <row r="40" ht="40" customHeight="1">
      <c r="A40" s="41" t="inlineStr">
        <is>
          <t>Line speed</t>
        </is>
      </c>
      <c r="B40" s="41" t="inlineStr">
        <is>
          <t>NSIS removed the federal max line-speed cap; a faster line = rushed coring margins, off-center saw, more yanking</t>
        </is>
      </c>
      <c r="C40" s="39" t="n"/>
      <c r="D40" s="41" t="inlineStr">
        <is>
          <t>Correlate defect rate with line speed / shift; ergonomic relief</t>
        </is>
      </c>
      <c r="E40" s="39" t="n"/>
    </row>
    <row r="41" ht="40" customHeight="1">
      <c r="A41" s="41" t="inlineStr">
        <is>
          <t>Hog size variability</t>
        </is>
      </c>
      <c r="B41" s="41" t="inlineStr">
        <is>
          <t>Bung / aitch / saw are set for an 'average' pelvis and mis-locate on off-size hogs</t>
        </is>
      </c>
      <c r="C41" s="39" t="n"/>
      <c r="D41" s="41" t="inlineStr">
        <is>
          <t>Size-class sorting; size-adaptive tool settings; track defects by weight class</t>
        </is>
      </c>
      <c r="E41" s="39" t="n"/>
    </row>
    <row r="42" ht="40" customHeight="1">
      <c r="A42" s="41" t="inlineStr">
        <is>
          <t>Bladder fill (fasting)</t>
        </is>
      </c>
      <c r="B42" s="41" t="inlineStr">
        <is>
          <t>A full bladder is abdominal &amp; thin-walled, in the knife's path; fasting empties it (~70% of contamination variance)</t>
        </is>
      </c>
      <c r="C42" s="39" t="n"/>
      <c r="D42" s="41" t="inlineStr">
        <is>
          <t>Enforce feed/water withdrawal; verify lairage time; track by fasting time</t>
        </is>
      </c>
      <c r="E42" s="39" t="n"/>
    </row>
    <row r="43" ht="40" customHeight="1">
      <c r="A43" s="41" t="inlineStr">
        <is>
          <t>Stun-to-stick interval</t>
        </is>
      </c>
      <c r="B43" s="41" t="inlineStr">
        <is>
          <t>Long / variable interval -&gt; blood splash &amp; retained clots (D9)</t>
        </is>
      </c>
      <c r="C43" s="39" t="n"/>
      <c r="D43" s="41" t="inlineStr">
        <is>
          <t>Shorten &amp; stabilize the interval; consider CO2 stun</t>
        </is>
      </c>
      <c r="E43" s="39" t="n"/>
    </row>
    <row r="44" ht="40" customHeight="1">
      <c r="A44" s="41" t="inlineStr">
        <is>
          <t>Knife sharpness</t>
        </is>
      </c>
      <c r="B44" s="41" t="inlineStr">
        <is>
          <t>A dull knife needs more force -&gt; over-travel into bladder / urethra / ureter</t>
        </is>
      </c>
      <c r="C44" s="39" t="n"/>
      <c r="D44" s="41" t="inlineStr">
        <is>
          <t>Steel/replace on schedule; sharpness checks</t>
        </is>
      </c>
      <c r="E44" s="39" t="n"/>
    </row>
    <row r="45" ht="40" customHeight="1">
      <c r="A45" s="41" t="inlineStr">
        <is>
          <t>Saw alignment / calibration</t>
        </is>
      </c>
      <c r="B45" s="41" t="inlineStr">
        <is>
          <t>Off-center / worn saw shears the midline urogenital tissue</t>
        </is>
      </c>
      <c r="C45" s="39" t="n"/>
      <c r="D45" s="41" t="inlineStr">
        <is>
          <t>Calibrate guide &amp; blade; preventive-maintenance schedule</t>
        </is>
      </c>
      <c r="E45" s="39" t="n"/>
    </row>
    <row r="46" ht="40" customHeight="1">
      <c r="A46" s="41" t="inlineStr">
        <is>
          <t>Operator training / fatigue</t>
        </is>
      </c>
      <c r="B46" s="41" t="inlineStr">
        <is>
          <t>Margin-setting, the 'unzip' cut, and the cut-vs-yank decision are all skill &amp; attention dependent</t>
        </is>
      </c>
      <c r="C46" s="39" t="n"/>
      <c r="D46" s="41" t="inlineStr">
        <is>
          <t>Train the four substeps; rotate to manage fatigue; track by station/shift</t>
        </is>
      </c>
      <c r="E46" s="39" t="n"/>
    </row>
    <row r="48" ht="22" customHeight="1">
      <c r="A48" s="35" t="inlineStr">
        <is>
          <t>F.  TAKE TO THE SUPPLIER  —  walk the line and ask / observe</t>
        </is>
      </c>
    </row>
    <row r="49" ht="32" customHeight="1">
      <c r="A49" s="41" t="inlineStr">
        <is>
          <t>Bung / aitch (S2):</t>
        </is>
      </c>
      <c r="B49" s="41" t="inlineStr">
        <is>
          <t>What coring tool &amp; margin? Is the bung sealed/bagged BEFORE withdrawal? Is aitch-blade alignment checked per hog? Size-adaptive?</t>
        </is>
      </c>
      <c r="C49" s="42" t="n"/>
      <c r="D49" s="42" t="n"/>
      <c r="E49" s="39" t="n"/>
    </row>
    <row r="50" ht="32" customHeight="1">
      <c r="A50" s="41" t="inlineStr">
        <is>
          <t>Belly opening (S3):</t>
        </is>
      </c>
      <c r="B50" s="41" t="inlineStr">
        <is>
          <t>Is the 'unzip' (handle-in) technique used? Knife-sharpening schedule? What is the fasting / feed-water-withdrawal time before slaughter?</t>
        </is>
      </c>
      <c r="C50" s="42" t="n"/>
      <c r="D50" s="42" t="n"/>
      <c r="E50" s="39" t="n"/>
    </row>
    <row r="51" ht="32" customHeight="1">
      <c r="A51" s="41" t="inlineStr">
        <is>
          <t>Traction (S3):</t>
        </is>
      </c>
      <c r="B51" s="41" t="inlineStr">
        <is>
          <t>Are the ureters &amp; sublumbar attachments CUT before the gut set is pulled, or yanked? Line speed at evisceration? Operator ergonomics?</t>
        </is>
      </c>
      <c r="C51" s="42" t="n"/>
      <c r="D51" s="42" t="n"/>
      <c r="E51" s="39" t="n"/>
    </row>
    <row r="52" ht="32" customHeight="1">
      <c r="A52" s="41" t="inlineStr">
        <is>
          <t>Split saw (S4):</t>
        </is>
      </c>
      <c r="B52" s="41" t="inlineStr">
        <is>
          <t>How is the split centered? Guide/blade calibration &amp; PM frequency? Are hogs sorted by size class?</t>
        </is>
      </c>
      <c r="C52" s="42" t="n"/>
      <c r="D52" s="42" t="n"/>
      <c r="E52" s="39" t="n"/>
    </row>
    <row r="53" ht="32" customHeight="1">
      <c r="A53" s="41" t="inlineStr">
        <is>
          <t>Cross-cut:</t>
        </is>
      </c>
      <c r="B53" s="41" t="inlineStr">
        <is>
          <t>Can they share defect data by shift, station, and hog weight class so we can correlate?</t>
        </is>
      </c>
      <c r="C53" s="42" t="n"/>
      <c r="D53" s="42" t="n"/>
      <c r="E53" s="39" t="n"/>
    </row>
    <row r="55" ht="22" customHeight="1">
      <c r="A55" s="35" t="inlineStr">
        <is>
          <t>G.  GLOSSARY  (use the right terms with the supplier)</t>
        </is>
      </c>
    </row>
    <row r="56" ht="28" customHeight="1">
      <c r="A56" s="41" t="inlineStr">
        <is>
          <t>Aitch bone</t>
        </is>
      </c>
      <c r="B56" s="41" t="inlineStr">
        <is>
          <t>The pelvic bone / pubic symphysis. 'Opening the aitch' = splitting the symphysis on the midline to open the pelvic canal.</t>
        </is>
      </c>
      <c r="C56" s="42" t="n"/>
      <c r="D56" s="42" t="n"/>
      <c r="E56" s="39" t="n"/>
    </row>
    <row r="57" ht="28" customHeight="1">
      <c r="A57" s="41" t="inlineStr">
        <is>
          <t>Bung</t>
        </is>
      </c>
      <c r="B57" s="41" t="inlineStr">
        <is>
          <t>The terminal rectum / anus. 'Bunging' / 'bung dropping' = coring it free of the pelvic wall and sealing it (tie / clip / bag).</t>
        </is>
      </c>
      <c r="C57" s="42" t="n"/>
      <c r="D57" s="42" t="n"/>
      <c r="E57" s="39" t="n"/>
    </row>
    <row r="58" ht="28" customHeight="1">
      <c r="A58" s="41" t="inlineStr">
        <is>
          <t>Rodding</t>
        </is>
      </c>
      <c r="B58" s="41" t="inlineStr">
        <is>
          <t>Inserting a rod to free &amp; seal a tube — classically the weasand (esophagus) — before the pull. A 'rodding gun' does the coring/sealing.</t>
        </is>
      </c>
      <c r="C58" s="42" t="n"/>
      <c r="D58" s="42" t="n"/>
      <c r="E58" s="39" t="n"/>
    </row>
    <row r="59" ht="28" customHeight="1">
      <c r="A59" s="41" t="inlineStr">
        <is>
          <t>Weasand</t>
        </is>
      </c>
      <c r="B59" s="41" t="inlineStr">
        <is>
          <t>The esophagus (industry term).</t>
        </is>
      </c>
      <c r="C59" s="42" t="n"/>
      <c r="D59" s="42" t="n"/>
      <c r="E59" s="39" t="n"/>
    </row>
    <row r="60" ht="28" customHeight="1">
      <c r="A60" s="41" t="inlineStr">
        <is>
          <t>Pluck</t>
        </is>
      </c>
      <c r="B60" s="41" t="inlineStr">
        <is>
          <t>The thoracic organ set removed together — heart, lungs, liver, trachea ('red offal').</t>
        </is>
      </c>
      <c r="C60" s="42" t="n"/>
      <c r="D60" s="42" t="n"/>
      <c r="E60" s="39" t="n"/>
    </row>
    <row r="61" ht="28" customHeight="1">
      <c r="A61" s="41" t="inlineStr">
        <is>
          <t>Gut set / green offal</t>
        </is>
      </c>
      <c r="B61" s="41" t="inlineStr">
        <is>
          <t>The abdominal-pelvic digestive tract removed as a unit (stomach, intestines, rectum), carrying the bladder/urogenital organs. Your block is its caudal end.</t>
        </is>
      </c>
      <c r="C61" s="42" t="n"/>
      <c r="D61" s="42" t="n"/>
      <c r="E61" s="39" t="n"/>
    </row>
    <row r="62" ht="28" customHeight="1">
      <c r="A62" s="41" t="inlineStr">
        <is>
          <t>Brisket cut</t>
        </is>
      </c>
      <c r="B62" s="41" t="inlineStr">
        <is>
          <t>The cut that opens the sternum / chest to access the pluck.</t>
        </is>
      </c>
      <c r="C62" s="42" t="n"/>
      <c r="D62" s="42" t="n"/>
      <c r="E62" s="39" t="n"/>
    </row>
    <row r="63" ht="28" customHeight="1">
      <c r="A63" s="41" t="inlineStr">
        <is>
          <t>Pizzle</t>
        </is>
      </c>
      <c r="B63" s="41" t="inlineStr">
        <is>
          <t>The penis (barrows); in the pig it is the extrapelvic continuation of the urethra, so a mishandled pizzle cut is a urethra defect.</t>
        </is>
      </c>
      <c r="C63" s="42" t="n"/>
      <c r="D63" s="42" t="n"/>
      <c r="E63" s="39" t="n"/>
    </row>
    <row r="64" ht="28" customHeight="1">
      <c r="A64" s="41" t="inlineStr">
        <is>
          <t>Split / sides</t>
        </is>
      </c>
      <c r="B64" s="41" t="inlineStr">
        <is>
          <t>Sawing the carcass into two 'sides' down the spine and through the pelvis.</t>
        </is>
      </c>
      <c r="C64" s="42" t="n"/>
      <c r="D64" s="42" t="n"/>
      <c r="E64" s="39" t="n"/>
    </row>
    <row r="66" ht="56" customHeight="1">
      <c r="A66" s="43" t="inlineStr">
        <is>
          <t>Process grounded in the USDA-FSIS swine HACCP model, Purdue Extension AS-671-W hand-slaughter guide, the FAO slaughter manual, Frontmatec/DMRI/Marel equipment references, and porcine pelvic anatomy (ureter retroperitoneal course; bladder median/lateral ligaments; midline urethra under the pubic symphysis). Defect-&gt;substep attributions are engineering inferences — validate them against your incoming-defect photos and a walk of the supplier's evisceration &amp; splitting stations.</t>
        </is>
      </c>
    </row>
  </sheetData>
  <mergeCells count="80">
    <mergeCell ref="A48:E48"/>
    <mergeCell ref="A1:E1"/>
    <mergeCell ref="D45:E45"/>
    <mergeCell ref="B12:C12"/>
    <mergeCell ref="D13:E13"/>
    <mergeCell ref="B14:C14"/>
    <mergeCell ref="B13:C13"/>
    <mergeCell ref="A21:E21"/>
    <mergeCell ref="A33:B33"/>
    <mergeCell ref="C36:D36"/>
    <mergeCell ref="B40:C40"/>
    <mergeCell ref="A35:B35"/>
    <mergeCell ref="B41:C41"/>
    <mergeCell ref="A30:B30"/>
    <mergeCell ref="B16:C16"/>
    <mergeCell ref="D10:E10"/>
    <mergeCell ref="C30:D30"/>
    <mergeCell ref="B49:E49"/>
    <mergeCell ref="D19:E19"/>
    <mergeCell ref="B64:E64"/>
    <mergeCell ref="B51:E51"/>
    <mergeCell ref="B18:C18"/>
    <mergeCell ref="A6:E6"/>
    <mergeCell ref="B63:E63"/>
    <mergeCell ref="B50:E50"/>
    <mergeCell ref="B11:C11"/>
    <mergeCell ref="D11:E11"/>
    <mergeCell ref="A55:E55"/>
    <mergeCell ref="A5:E5"/>
    <mergeCell ref="D9:E9"/>
    <mergeCell ref="D39:E39"/>
    <mergeCell ref="B61:E61"/>
    <mergeCell ref="A4:E4"/>
    <mergeCell ref="B15:C15"/>
    <mergeCell ref="A38:E38"/>
    <mergeCell ref="B53:E53"/>
    <mergeCell ref="D15:E15"/>
    <mergeCell ref="A34:B34"/>
    <mergeCell ref="C34:D34"/>
    <mergeCell ref="A36:B36"/>
    <mergeCell ref="B43:C43"/>
    <mergeCell ref="C29:D29"/>
    <mergeCell ref="B42:C42"/>
    <mergeCell ref="B17:C17"/>
    <mergeCell ref="A66:E66"/>
    <mergeCell ref="C31:D31"/>
    <mergeCell ref="D17:E17"/>
    <mergeCell ref="B44:C44"/>
    <mergeCell ref="B56:E56"/>
    <mergeCell ref="A2:E2"/>
    <mergeCell ref="B58:E58"/>
    <mergeCell ref="B19:C19"/>
    <mergeCell ref="B52:E52"/>
    <mergeCell ref="A32:B32"/>
    <mergeCell ref="B9:C9"/>
    <mergeCell ref="D12:E12"/>
    <mergeCell ref="B60:E60"/>
    <mergeCell ref="B57:E57"/>
    <mergeCell ref="C32:D32"/>
    <mergeCell ref="A28:E28"/>
    <mergeCell ref="B45:C45"/>
    <mergeCell ref="D14:E14"/>
    <mergeCell ref="C33:D33"/>
    <mergeCell ref="B46:C46"/>
    <mergeCell ref="D46:E46"/>
    <mergeCell ref="D40:E40"/>
    <mergeCell ref="C35:D35"/>
    <mergeCell ref="B39:C39"/>
    <mergeCell ref="B62:E62"/>
    <mergeCell ref="B59:E59"/>
    <mergeCell ref="D41:E41"/>
    <mergeCell ref="D16:E16"/>
    <mergeCell ref="D43:E43"/>
    <mergeCell ref="B10:C10"/>
    <mergeCell ref="A8:E8"/>
    <mergeCell ref="D18:E18"/>
    <mergeCell ref="A29:B29"/>
    <mergeCell ref="D42:E42"/>
    <mergeCell ref="A31:B31"/>
    <mergeCell ref="D44:E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22" customWidth="1" min="3" max="3"/>
    <col width="22" customWidth="1" min="4" max="4"/>
    <col width="22" customWidth="1" min="5" max="5"/>
    <col width="20" customWidth="1" min="6" max="6"/>
    <col width="22" customWidth="1" min="7" max="7"/>
    <col width="30" customWidth="1" min="8" max="8"/>
    <col width="16" customWidth="1" min="9" max="9"/>
    <col width="12" customWidth="1" min="10" max="10"/>
    <col width="9" customWidth="1" min="11" max="11"/>
    <col width="26" customWidth="1" min="12" max="12"/>
  </cols>
  <sheetData>
    <row r="1" ht="30" customHeight="1">
      <c r="A1" s="1" t="inlineStr">
        <is>
          <t>ROOT CAUSE — 5-WHY WORKSHEET</t>
        </is>
      </c>
    </row>
    <row r="2" ht="18" customHeight="1">
      <c r="A2" s="2" t="inlineStr">
        <is>
          <t>Seeded with a starting hypothesis chain for the vital-few defects. Drive each to a true root cause with the supplier, then log the countermeasure &amp; lesson.</t>
        </is>
      </c>
    </row>
    <row r="4" ht="26" customHeight="1">
      <c r="A4" s="6" t="inlineStr">
        <is>
          <t>Code</t>
        </is>
      </c>
      <c r="B4" s="6" t="inlineStr">
        <is>
          <t>Defect Mode</t>
        </is>
      </c>
      <c r="C4" s="6" t="inlineStr">
        <is>
          <t>Why 1</t>
        </is>
      </c>
      <c r="D4" s="6" t="inlineStr">
        <is>
          <t>Why 2</t>
        </is>
      </c>
      <c r="E4" s="6" t="inlineStr">
        <is>
          <t>Why 3</t>
        </is>
      </c>
      <c r="F4" s="6" t="inlineStr">
        <is>
          <t>Why 4</t>
        </is>
      </c>
      <c r="G4" s="6" t="inlineStr">
        <is>
          <t>Why 5 (root cause)</t>
        </is>
      </c>
      <c r="H4" s="6" t="inlineStr">
        <is>
          <t>Countermeasure (at supplier)</t>
        </is>
      </c>
      <c r="I4" s="6" t="inlineStr">
        <is>
          <t>Owner</t>
        </is>
      </c>
      <c r="J4" s="6" t="inlineStr">
        <is>
          <t>Target Date</t>
        </is>
      </c>
      <c r="K4" s="6" t="inlineStr">
        <is>
          <t>Status</t>
        </is>
      </c>
      <c r="L4" s="6" t="inlineStr">
        <is>
          <t>Lessons Learned</t>
        </is>
      </c>
    </row>
    <row r="5" ht="60" customHeight="1">
      <c r="A5" s="16" t="inlineStr">
        <is>
          <t>D6</t>
        </is>
      </c>
      <c r="B5" s="44" t="inlineStr">
        <is>
          <t>Membrane damage in critical area</t>
        </is>
      </c>
      <c r="C5" s="13" t="inlineStr">
        <is>
          <t>Hole/tear in mesentery membrane, critical zone (&gt;1.5")</t>
        </is>
      </c>
      <c r="D5" s="13" t="inlineStr">
        <is>
          <t>The thin fenestrated membrane is the weakest element under traction — it tears first</t>
        </is>
      </c>
      <c r="E5" s="13" t="inlineStr">
        <is>
          <t>Gut set pulled caudo-ventrally; fingers/hook engage the membrane to pull</t>
        </is>
      </c>
      <c r="F5" s="13" t="inlineStr">
        <is>
          <t>'Pull-don't-cut' evisceration; attachments not released first; line-speed pressure</t>
        </is>
      </c>
      <c r="G5" s="40" t="inlineStr">
        <is>
          <t>(confirm) no cut-first SOP for pelvic attachments + speed/ergonomic load on eviscerator</t>
        </is>
      </c>
      <c r="H5" s="45" t="inlineStr">
        <is>
          <t>Cut membrane attachments BEFORE pulling; blunt-dissect; slow line through pelvic zone; ergonomic relief</t>
        </is>
      </c>
      <c r="I5" s="46" t="inlineStr">
        <is>
          <t>SH Martins - Evisceration lead</t>
        </is>
      </c>
      <c r="J5" s="46" t="inlineStr"/>
      <c r="K5" s="47" t="inlineStr">
        <is>
          <t>Open</t>
        </is>
      </c>
      <c r="L5" s="41" t="inlineStr"/>
    </row>
    <row r="6" ht="60" customHeight="1">
      <c r="A6" s="16" t="inlineStr">
        <is>
          <t>D1</t>
        </is>
      </c>
      <c r="B6" s="44" t="inlineStr">
        <is>
          <t>Ureters not embedded</t>
        </is>
      </c>
      <c r="C6" s="13" t="inlineStr">
        <is>
          <t>Ureter lying free, its fat bed empty (not embedded)</t>
        </is>
      </c>
      <c r="D6" s="13" t="inlineStr">
        <is>
          <t>Retroperitoneal ureter (in sublumbar fat) peeled out of its bed during the pull</t>
        </is>
      </c>
      <c r="E6" s="13" t="inlineStr">
        <is>
          <t>Gut set withdrawn WITHOUT first releasing ureter / sublumbar attachments</t>
        </is>
      </c>
      <c r="F6" s="13" t="inlineStr">
        <is>
          <t>Hand-slaughter standard ('cut the ureters, don't yank') not applied on the line</t>
        </is>
      </c>
      <c r="G6" s="40" t="inlineStr">
        <is>
          <t>(confirm) cut-first standard missing; speed rewards pulling over cutting</t>
        </is>
      </c>
      <c r="H6" s="45" t="inlineStr">
        <is>
          <t>Cut ureters &amp; sublumbar attachments before withdrawing the set; controlled removal; gentler pit drop</t>
        </is>
      </c>
      <c r="I6" s="46" t="inlineStr">
        <is>
          <t>SH Martins - Evisceration lead</t>
        </is>
      </c>
      <c r="J6" s="46" t="inlineStr"/>
      <c r="K6" s="47" t="inlineStr">
        <is>
          <t>Open</t>
        </is>
      </c>
      <c r="L6" s="41" t="inlineStr"/>
    </row>
    <row r="7" ht="60" customHeight="1">
      <c r="A7" s="16" t="inlineStr">
        <is>
          <t>D5</t>
        </is>
      </c>
      <c r="B7" s="44" t="inlineStr">
        <is>
          <t>Urethra breach (cut / laceration / hole / separation)</t>
        </is>
      </c>
      <c r="C7" s="13" t="inlineStr">
        <is>
          <t>Urethra cut / laceration / hole / separation</t>
        </is>
      </c>
      <c r="D7" s="13" t="inlineStr">
        <is>
          <t>The urethra sits on the midline directly under the pubic symphysis</t>
        </is>
      </c>
      <c r="E7" s="13" t="inlineStr">
        <is>
          <t>In the plane of BOTH the aitch-bone cut and the split saw; off-axis / over-deep cut hits it</t>
        </is>
      </c>
      <c r="F7" s="13" t="inlineStr">
        <is>
          <t>Saw/guide &amp; aitch-blade alignment not verified per hog size; size variability</t>
        </is>
      </c>
      <c r="G7" s="40" t="inlineStr">
        <is>
          <t>(confirm) size-adaptive settings + saw calibration gap</t>
        </is>
      </c>
      <c r="H7" s="45" t="inlineStr">
        <is>
          <t>Center split on symphysis; calibrate saw/guide; verify aitch-blade; size-class sorting</t>
        </is>
      </c>
      <c r="I7" s="46" t="inlineStr">
        <is>
          <t>SH Martins - Splitting / Bung lead</t>
        </is>
      </c>
      <c r="J7" s="46" t="inlineStr"/>
      <c r="K7" s="47" t="inlineStr">
        <is>
          <t>Open</t>
        </is>
      </c>
      <c r="L7" s="41" t="inlineStr"/>
    </row>
    <row r="8" ht="60" customHeight="1">
      <c r="A8" s="16" t="inlineStr">
        <is>
          <t>D8</t>
        </is>
      </c>
      <c r="B8" s="44" t="inlineStr">
        <is>
          <t>Bowel / colon / rectum breach</t>
        </is>
      </c>
      <c r="C8" s="13" t="inlineStr">
        <is>
          <t>Rectum / colon breached (FOOD SAFETY)</t>
        </is>
      </c>
      <c r="D8" s="13" t="inlineStr">
        <is>
          <t>&lt;1/2" circumanal margin nicks rectum; knife perforates colon; pull separates colon</t>
        </is>
      </c>
      <c r="E8" s="13" t="inlineStr">
        <is>
          <t>Coring margin too tight at speed; bung not sealed before the pull</t>
        </is>
      </c>
      <c r="F8" s="13" t="inlineStr">
        <is>
          <t>Margin/seal SOP not enforced; bung-dropping CCP not robust</t>
        </is>
      </c>
      <c r="G8" s="40" t="inlineStr">
        <is>
          <t>(confirm) contamination-control gap at the bung/aitch station + speed</t>
        </is>
      </c>
      <c r="H8" s="45" t="inlineStr">
        <is>
          <t>Hold &gt;=1/2" margin; seal/bag bung BEFORE pulling; retrain knife path; contamination CCP</t>
        </is>
      </c>
      <c r="I8" s="46" t="inlineStr">
        <is>
          <t>SH Martins - Bung/Evisc. lead</t>
        </is>
      </c>
      <c r="J8" s="46" t="inlineStr"/>
      <c r="K8" s="47" t="inlineStr">
        <is>
          <t>Open</t>
        </is>
      </c>
      <c r="L8" s="41" t="inlineStr"/>
    </row>
    <row r="9" ht="60" customHeight="1">
      <c r="A9" s="16" t="inlineStr">
        <is>
          <t>D4</t>
        </is>
      </c>
      <c r="B9" s="44" t="inlineStr">
        <is>
          <t>Suspensory ligaments damaged</t>
        </is>
      </c>
      <c r="C9" s="13" t="inlineStr">
        <is>
          <t>Median/lateral bladder &amp; suspensory ligaments torn</t>
        </is>
      </c>
      <c r="D9" s="13" t="inlineStr">
        <is>
          <t>Traction on the gut set/bladder tears the ligaments off the bladder/body wall</t>
        </is>
      </c>
      <c r="E9" s="13" t="inlineStr">
        <is>
          <t>Block pulled/handled BY the ligaments; median ligament severed by midline knife/saw</t>
        </is>
      </c>
      <c r="F9" s="13" t="inlineStr">
        <is>
          <t>No 'handle-by-support-surface' rule; pull-force &amp; angle uncontrolled</t>
        </is>
      </c>
      <c r="G9" s="40" t="inlineStr">
        <is>
          <t>(confirm) handling standard missing + speed</t>
        </is>
      </c>
      <c r="H9" s="45" t="inlineStr">
        <is>
          <t>Handle by a support surface, not the ligaments; control pull-force; cut attachments first</t>
        </is>
      </c>
      <c r="I9" s="46" t="inlineStr">
        <is>
          <t>SH Martins - Evisceration lead</t>
        </is>
      </c>
      <c r="J9" s="46" t="inlineStr"/>
      <c r="K9" s="47" t="inlineStr">
        <is>
          <t>Open</t>
        </is>
      </c>
      <c r="L9" s="41" t="inlineStr"/>
    </row>
    <row r="10" ht="60" customHeight="1">
      <c r="A10" s="16" t="inlineStr">
        <is>
          <t>D12</t>
        </is>
      </c>
      <c r="B10" s="44" t="inlineStr">
        <is>
          <t>Bladder cut / hole (breach)</t>
        </is>
      </c>
      <c r="C10" s="13" t="inlineStr">
        <is>
          <t>Bladder cut open / large hole (urine spill)</t>
        </is>
      </c>
      <c r="D10" s="13" t="inlineStr">
        <is>
          <t>Knife tip punctures a distended, thin-walled bladder during belly opening</t>
        </is>
      </c>
      <c r="E10" s="13" t="inlineStr">
        <is>
          <t>Bladder full &amp; sitting abdominally (in the knife's path); stab entry, not an 'unzip'</t>
        </is>
      </c>
      <c r="F10" s="13" t="inlineStr">
        <is>
          <t>Fasting (feed/water withdrawal) not enforced; belly-cut technique not standardized</t>
        </is>
      </c>
      <c r="G10" s="40" t="inlineStr">
        <is>
          <t>(confirm) lairage feed-water timing + belly-opening technique gap</t>
        </is>
      </c>
      <c r="H10" s="45" t="inlineStr">
        <is>
          <t>Fasting to empty the bladder; 'unzip' handle-in belly cut; sharper knives</t>
        </is>
      </c>
      <c r="I10" s="46" t="inlineStr">
        <is>
          <t>SH Martins - Evisc./Lairage lead</t>
        </is>
      </c>
      <c r="J10" s="46" t="inlineStr"/>
      <c r="K10" s="47" t="inlineStr">
        <is>
          <t>Open</t>
        </is>
      </c>
      <c r="L10" s="41" t="inlineStr"/>
    </row>
    <row r="11" ht="60" customHeight="1">
      <c r="A11" s="16" t="inlineStr">
        <is>
          <t>D13</t>
        </is>
      </c>
      <c r="B11" s="44" t="inlineStr">
        <is>
          <t>Block too short / undersized</t>
        </is>
      </c>
      <c r="C11" s="13" t="inlineStr">
        <is>
          <t>Block too short / fails the length template</t>
        </is>
      </c>
      <c r="D11" s="13" t="inlineStr">
        <is>
          <t>Distal urethra/bladder-neck already transected high at the aitch-bone cut or split</t>
        </is>
      </c>
      <c r="E11" s="13" t="inlineStr">
        <is>
          <t>Aitch/split cut takes too much distal length, OR harvester boundary set too tight to bladder</t>
        </is>
      </c>
      <c r="F11" s="13" t="inlineStr">
        <is>
          <t>No cut-height / minimum-length spec vs a template at aitch/split + recovery</t>
        </is>
      </c>
      <c r="G11" s="40" t="inlineStr">
        <is>
          <t>(confirm) length spec/gauge missing across aitch, split, and recovery cut</t>
        </is>
      </c>
      <c r="H11" s="45" t="inlineStr">
        <is>
          <t>Define min block length &amp; boundaries vs template/gauge; align aitch/split to preserve distal urethra</t>
        </is>
      </c>
      <c r="I11" s="46" t="inlineStr">
        <is>
          <t>SH Martins - Splitting + Harvest lead</t>
        </is>
      </c>
      <c r="J11" s="46" t="inlineStr"/>
      <c r="K11" s="47" t="inlineStr">
        <is>
          <t>Open</t>
        </is>
      </c>
      <c r="L11" s="41" t="inlineStr"/>
    </row>
    <row r="12" ht="40" customHeight="1">
      <c r="A12" s="48" t="n"/>
      <c r="B12" s="48" t="n"/>
      <c r="C12" s="48" t="n"/>
      <c r="D12" s="48" t="n"/>
      <c r="E12" s="48" t="n"/>
      <c r="F12" s="48" t="n"/>
      <c r="G12" s="49" t="n"/>
      <c r="H12" s="50" t="n"/>
      <c r="I12" s="48" t="n"/>
      <c r="J12" s="48" t="n"/>
      <c r="K12" s="48" t="n"/>
      <c r="L12" s="51" t="n"/>
    </row>
    <row r="13" ht="40" customHeight="1">
      <c r="A13" s="48" t="n"/>
      <c r="B13" s="48" t="n"/>
      <c r="C13" s="48" t="n"/>
      <c r="D13" s="48" t="n"/>
      <c r="E13" s="48" t="n"/>
      <c r="F13" s="48" t="n"/>
      <c r="G13" s="49" t="n"/>
      <c r="H13" s="50" t="n"/>
      <c r="I13" s="48" t="n"/>
      <c r="J13" s="48" t="n"/>
      <c r="K13" s="48" t="n"/>
      <c r="L13" s="51" t="n"/>
    </row>
  </sheetData>
  <mergeCells count="2">
    <mergeCell ref="A2:L2"/>
    <mergeCell ref="A1:L1"/>
  </mergeCells>
  <dataValidations count="1">
    <dataValidation sqref="K5:K44" showDropDown="0" showInputMessage="0" showErrorMessage="0" allowBlank="1" type="list">
      <formula1>"Open,In Progress,Verifying,Closed"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12" customWidth="1" min="7" max="7"/>
  </cols>
  <sheetData>
    <row r="1" ht="30" customHeight="1">
      <c r="A1" s="1" t="inlineStr">
        <is>
          <t>DASHBOARD — SUMMARY</t>
        </is>
      </c>
    </row>
    <row r="2" ht="18" customHeight="1">
      <c r="A2" s="2" t="inlineStr">
        <is>
          <t>SH: Martins  |  4 inspection sheets across 3 kill dates (2026-05-27, 2026-07-08, 2026-07-28)</t>
        </is>
      </c>
    </row>
    <row r="4">
      <c r="A4" s="52" t="inlineStr">
        <is>
          <t>KEY METRICS (all batches)</t>
        </is>
      </c>
    </row>
    <row r="5" ht="22" customHeight="1">
      <c r="A5" s="53" t="inlineStr">
        <is>
          <t>Blocks Inspected</t>
        </is>
      </c>
      <c r="B5" s="54">
        <f>COUNTIF('Inspection Log'!J5:J503,"Pass")+COUNTIF('Inspection Log'!J5:J503,"Fail")</f>
        <v/>
      </c>
    </row>
    <row r="6" ht="22" customHeight="1">
      <c r="A6" s="53" t="inlineStr">
        <is>
          <t>Pass</t>
        </is>
      </c>
      <c r="B6" s="54">
        <f>COUNTIF('Inspection Log'!J5:J503,"Pass")</f>
        <v/>
      </c>
    </row>
    <row r="7" ht="22" customHeight="1">
      <c r="A7" s="53" t="inlineStr">
        <is>
          <t>Fail</t>
        </is>
      </c>
      <c r="B7" s="54">
        <f>COUNTIF('Inspection Log'!J5:J503,"Fail")</f>
        <v/>
      </c>
    </row>
    <row r="8" ht="22" customHeight="1">
      <c r="A8" s="53" t="inlineStr">
        <is>
          <t>First Pass Yield</t>
        </is>
      </c>
      <c r="B8" s="55">
        <f>IFERROR(COUNTIF('Inspection Log'!J5:J503,"Pass")/(COUNTIF('Inspection Log'!J5:J503,"Pass")+COUNTIF('Inspection Log'!J5:J503,"Fail")),0)</f>
        <v/>
      </c>
    </row>
    <row r="9" ht="22" customHeight="1">
      <c r="A9" s="53" t="inlineStr">
        <is>
          <t>Total Defect Occurrences</t>
        </is>
      </c>
      <c r="B9" s="54">
        <f>SUM('Inspection Log'!L5:X503)</f>
        <v/>
      </c>
    </row>
    <row r="10" ht="22" customHeight="1">
      <c r="A10" s="53" t="inlineStr">
        <is>
          <t>Defects per Failed Block</t>
        </is>
      </c>
      <c r="B10" s="56">
        <f>IFERROR(SUM('Inspection Log'!L5:X503)/COUNTIF('Inspection Log'!J5:J503,"Fail"),0)</f>
        <v/>
      </c>
    </row>
    <row r="12">
      <c r="A12" s="52" t="inlineStr">
        <is>
          <t>PER-BATCH BREAKDOWN (watch the trend)</t>
        </is>
      </c>
    </row>
    <row r="13">
      <c r="A13" s="6" t="inlineStr">
        <is>
          <t>Kill Date</t>
        </is>
      </c>
      <c r="B13" s="6" t="inlineStr">
        <is>
          <t>Inspected</t>
        </is>
      </c>
      <c r="C13" s="6" t="inlineStr">
        <is>
          <t>Pass</t>
        </is>
      </c>
      <c r="D13" s="6" t="inlineStr">
        <is>
          <t>Fail</t>
        </is>
      </c>
      <c r="E13" s="6" t="inlineStr">
        <is>
          <t>First Pass Yield</t>
        </is>
      </c>
      <c r="F13" s="6" t="inlineStr">
        <is>
          <t>Top Defect (this batch)</t>
        </is>
      </c>
    </row>
    <row r="14">
      <c r="A14" s="22" t="inlineStr">
        <is>
          <t>2026-05-27</t>
        </is>
      </c>
      <c r="B14" s="22">
        <f>COUNTIF('Inspection Log'!C5:C503,"2026-05-27")</f>
        <v/>
      </c>
      <c r="C14" s="22">
        <f>COUNTIFS('Inspection Log'!C5:C503,"2026-05-27",'Inspection Log'!J5:J503,"Pass")</f>
        <v/>
      </c>
      <c r="D14" s="22">
        <f>COUNTIFS('Inspection Log'!C5:C503,"2026-05-27",'Inspection Log'!J5:J503,"Fail")</f>
        <v/>
      </c>
      <c r="E14" s="25">
        <f>IFERROR(C14/B14,0)</f>
        <v/>
      </c>
      <c r="F14" s="26" t="inlineStr">
        <is>
          <t>D6 Membrane damage in critical area (15)</t>
        </is>
      </c>
    </row>
    <row r="15">
      <c r="A15" s="22" t="inlineStr">
        <is>
          <t>2026-07-08</t>
        </is>
      </c>
      <c r="B15" s="22">
        <f>COUNTIF('Inspection Log'!C5:C503,"2026-07-08")</f>
        <v/>
      </c>
      <c r="C15" s="22">
        <f>COUNTIFS('Inspection Log'!C5:C503,"2026-07-08",'Inspection Log'!J5:J503,"Pass")</f>
        <v/>
      </c>
      <c r="D15" s="22">
        <f>COUNTIFS('Inspection Log'!C5:C503,"2026-07-08",'Inspection Log'!J5:J503,"Fail")</f>
        <v/>
      </c>
      <c r="E15" s="34">
        <f>IFERROR(C15/B15,0)</f>
        <v/>
      </c>
      <c r="F15" s="26" t="inlineStr">
        <is>
          <t>D6 Membrane damage in critical area (16)</t>
        </is>
      </c>
    </row>
    <row r="16">
      <c r="A16" s="22" t="inlineStr">
        <is>
          <t>2026-07-28</t>
        </is>
      </c>
      <c r="B16" s="22">
        <f>COUNTIF('Inspection Log'!C5:C503,"2026-07-28")</f>
        <v/>
      </c>
      <c r="C16" s="22">
        <f>COUNTIFS('Inspection Log'!C5:C503,"2026-07-28",'Inspection Log'!J5:J503,"Pass")</f>
        <v/>
      </c>
      <c r="D16" s="22">
        <f>COUNTIFS('Inspection Log'!C5:C503,"2026-07-28",'Inspection Log'!J5:J503,"Fail")</f>
        <v/>
      </c>
      <c r="E16" s="34">
        <f>IFERROR(C16/B16,0)</f>
        <v/>
      </c>
      <c r="F16" s="26" t="inlineStr">
        <is>
          <t>D6 Membrane damage in critical area (18)</t>
        </is>
      </c>
    </row>
    <row r="18">
      <c r="A18" s="52" t="inlineStr">
        <is>
          <t>Top defect (all batches)</t>
        </is>
      </c>
    </row>
    <row r="19">
      <c r="A19" s="57" t="inlineStr">
        <is>
          <t>D6 Membrane damage in critical area</t>
        </is>
      </c>
    </row>
    <row r="20">
      <c r="A20" s="58" t="inlineStr">
        <is>
          <t>Dominant supplier station</t>
        </is>
      </c>
    </row>
    <row r="21">
      <c r="A21" s="59" t="inlineStr">
        <is>
          <t>S3 Evisceration  -&gt;  primary target for corrective action</t>
        </is>
      </c>
    </row>
    <row r="23">
      <c r="A23" s="60" t="inlineStr">
        <is>
          <t>Critical / food-safety defect occurrences</t>
        </is>
      </c>
      <c r="B23" s="61">
        <f>SUM('Inspection Log'!Q5:Q503)+SUM('Inspection Log'!S5:S503)</f>
        <v/>
      </c>
    </row>
    <row r="24">
      <c r="A24" s="62" t="inlineStr">
        <is>
          <t xml:space="preserve">  (Critical codes: D6, D8 — membrane damage &amp; bowel/colon/rectum breach)</t>
        </is>
      </c>
    </row>
    <row r="26">
      <c r="A26" s="63" t="inlineStr">
        <is>
          <t>OPEN ITEMS</t>
        </is>
      </c>
    </row>
    <row r="27">
      <c r="A27" s="64" t="inlineStr">
        <is>
          <t>1)  5 blocks (kill 2026-05-27), 8" hole in bladder suspensory ligament, recorded as PASS pending ME/DE determination. If confirmed Fail -&gt; tag D4.</t>
        </is>
      </c>
    </row>
    <row r="28">
      <c r="A28" s="64" t="inlineStr">
        <is>
          <t>2)  Rasmin 07-28 sheet: handwritten total read '1 Pass / 22 failures', but the per-row entries sum to 29 fails — the granular rows were used. Confirm with inspector.</t>
        </is>
      </c>
    </row>
  </sheetData>
  <mergeCells count="6">
    <mergeCell ref="A21:E21"/>
    <mergeCell ref="A1:G1"/>
    <mergeCell ref="A27:G27"/>
    <mergeCell ref="A2:G2"/>
    <mergeCell ref="A19:D19"/>
    <mergeCell ref="A28:G2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26" customWidth="1" min="3" max="3"/>
    <col width="18" customWidth="1" min="4" max="4"/>
    <col width="12" customWidth="1" min="5" max="5"/>
    <col width="14" customWidth="1" min="6" max="6"/>
    <col width="16" customWidth="1" min="7" max="7"/>
  </cols>
  <sheetData>
    <row r="1" ht="30" customHeight="1">
      <c r="A1" s="1" t="inlineStr">
        <is>
          <t>YIELD &amp; INSPECTOR–TECH ALIGNMENT</t>
        </is>
      </c>
    </row>
    <row r="2" ht="18" customHeight="1">
      <c r="A2" s="2" t="inlineStr">
        <is>
          <t>How many pelvics are good across the board — and what it may say about harvest-tech training and tech&lt;-&gt;inspector alignment.</t>
        </is>
      </c>
    </row>
    <row r="4" ht="20" customHeight="1">
      <c r="A4" s="35" t="inlineStr">
        <is>
          <t>GOOD PELVICS — ACROSS THE BOARD  (First Pass Yield = good / inspected)</t>
        </is>
      </c>
    </row>
    <row r="5" ht="28" customHeight="1">
      <c r="A5" s="65">
        <f>IFERROR(COUNTIFS('Inspection Log'!J5:J503,"Pass")/(COUNTIFS('Inspection Log'!J5:J503,"Pass")+COUNTIFS('Inspection Log'!J5:J503,"Fail")),0)</f>
        <v/>
      </c>
      <c r="B5" s="51" t="n"/>
      <c r="C5" s="66" t="inlineStr">
        <is>
          <t>of pelvic blocks that reach inspection pass IQC on the first look.</t>
        </is>
      </c>
    </row>
    <row r="6" ht="18" customHeight="1">
      <c r="A6" s="51" t="n"/>
      <c r="B6" s="51" t="n"/>
      <c r="C6" s="67">
        <f>"= "&amp;COUNTIFS('Inspection Log'!J5:J503,"Pass")&amp;" good  /  "&amp;(COUNTIFS('Inspection Log'!J5:J503,"Pass")+COUNTIFS('Inspection Log'!J5:J503,"Fail"))&amp;" inspected  -&gt;  ~9 of every 10 blocks are rejected"</f>
        <v/>
      </c>
    </row>
    <row r="7" ht="30" customHeight="1">
      <c r="A7" s="51" t="n"/>
      <c r="B7" s="51" t="n"/>
      <c r="C7" s="68" t="inlineStr">
        <is>
          <t>A yield this low is first a SUPPLIER signal (84% of defects are evisceration-origin) — but it also frames the tech/inspector questions below.</t>
        </is>
      </c>
    </row>
    <row r="8" ht="16" customHeight="1">
      <c r="A8" s="69" t="inlineStr">
        <is>
          <t>Caveat: the 8 passes on 2026-05-27 include 5 blocks recorded Pass pending ME/DE. If those are confirmed failures, the across-the-board good rate falls to ~5% (5/99).</t>
        </is>
      </c>
    </row>
    <row r="10" ht="20" customHeight="1">
      <c r="A10" s="35" t="inlineStr">
        <is>
          <t>GOOD RATE BY INSPECTION SHEET  (kill date x inspector)</t>
        </is>
      </c>
    </row>
    <row r="11" ht="22" customHeight="1">
      <c r="A11" s="6" t="inlineStr">
        <is>
          <t>Kill Date</t>
        </is>
      </c>
      <c r="B11" s="6" t="inlineStr">
        <is>
          <t>Inspector</t>
        </is>
      </c>
      <c r="C11" s="6" t="inlineStr">
        <is>
          <t>Inspected</t>
        </is>
      </c>
      <c r="D11" s="6" t="inlineStr">
        <is>
          <t>Good (pass)</t>
        </is>
      </c>
      <c r="E11" s="6" t="inlineStr">
        <is>
          <t>Good %</t>
        </is>
      </c>
    </row>
    <row r="12">
      <c r="A12" s="7" t="inlineStr">
        <is>
          <t>2026-05-27</t>
        </is>
      </c>
      <c r="B12" s="7" t="inlineStr">
        <is>
          <t>(unnamed)</t>
        </is>
      </c>
      <c r="C12" s="7">
        <f>COUNTIFS('Inspection Log'!C5:C503,"2026-05-27",'Inspection Log'!J5:J503,"Pass")+COUNTIFS('Inspection Log'!C5:C503,"2026-05-27",'Inspection Log'!J5:J503,"Fail")</f>
        <v/>
      </c>
      <c r="D12" s="7">
        <f>COUNTIFS('Inspection Log'!C5:C503,"2026-05-27",'Inspection Log'!J5:J503,"Pass")</f>
        <v/>
      </c>
      <c r="E12" s="70">
        <f>IFERROR(D12/C12,0)</f>
        <v/>
      </c>
    </row>
    <row r="13">
      <c r="A13" s="7" t="inlineStr">
        <is>
          <t>2026-07-08</t>
        </is>
      </c>
      <c r="B13" s="7" t="inlineStr">
        <is>
          <t>(unnamed)</t>
        </is>
      </c>
      <c r="C13" s="7">
        <f>COUNTIFS('Inspection Log'!C5:C503,"2026-07-08",'Inspection Log'!J5:J503,"Pass")+COUNTIFS('Inspection Log'!C5:C503,"2026-07-08",'Inspection Log'!J5:J503,"Fail")</f>
        <v/>
      </c>
      <c r="D13" s="7">
        <f>COUNTIFS('Inspection Log'!C5:C503,"2026-07-08",'Inspection Log'!J5:J503,"Pass")</f>
        <v/>
      </c>
      <c r="E13" s="70">
        <f>IFERROR(D13/C13,0)</f>
        <v/>
      </c>
    </row>
    <row r="14">
      <c r="A14" s="7" t="inlineStr">
        <is>
          <t>2026-07-28</t>
        </is>
      </c>
      <c r="B14" s="7" t="inlineStr">
        <is>
          <t>Rasmin</t>
        </is>
      </c>
      <c r="C14" s="7">
        <f>COUNTIFS('Inspection Log'!C5:C503,"2026-07-28",'Inspection Log'!G5:G503,"Rasmin",'Inspection Log'!J5:J503,"Pass")+COUNTIFS('Inspection Log'!C5:C503,"2026-07-28",'Inspection Log'!G5:G503,"Rasmin",'Inspection Log'!J5:J503,"Fail")</f>
        <v/>
      </c>
      <c r="D14" s="7">
        <f>COUNTIFS('Inspection Log'!C5:C503,"2026-07-28",'Inspection Log'!G5:G503,"Rasmin",'Inspection Log'!J5:J503,"Pass")</f>
        <v/>
      </c>
      <c r="E14" s="70">
        <f>IFERROR(D14/C14,0)</f>
        <v/>
      </c>
    </row>
    <row r="15">
      <c r="A15" s="7" t="inlineStr">
        <is>
          <t>2026-07-28</t>
        </is>
      </c>
      <c r="B15" s="7" t="inlineStr">
        <is>
          <t>Toni</t>
        </is>
      </c>
      <c r="C15" s="7">
        <f>COUNTIFS('Inspection Log'!C5:C503,"2026-07-28",'Inspection Log'!G5:G503,"Toni",'Inspection Log'!J5:J503,"Pass")+COUNTIFS('Inspection Log'!C5:C503,"2026-07-28",'Inspection Log'!G5:G503,"Toni",'Inspection Log'!J5:J503,"Fail")</f>
        <v/>
      </c>
      <c r="D15" s="7">
        <f>COUNTIFS('Inspection Log'!C5:C503,"2026-07-28",'Inspection Log'!G5:G503,"Toni",'Inspection Log'!J5:J503,"Pass")</f>
        <v/>
      </c>
      <c r="E15" s="70">
        <f>IFERROR(D15/C15,0)</f>
        <v/>
      </c>
    </row>
    <row r="16">
      <c r="A16" s="29" t="inlineStr">
        <is>
          <t>ALL</t>
        </is>
      </c>
      <c r="B16" s="29" t="inlineStr"/>
      <c r="C16" s="29">
        <f>COUNTIFS('Inspection Log'!J5:J503,"Pass")+COUNTIFS('Inspection Log'!J5:J503,"Fail")</f>
        <v/>
      </c>
      <c r="D16" s="29">
        <f>COUNTIFS('Inspection Log'!J5:J503,"Pass")</f>
        <v/>
      </c>
      <c r="E16" s="71">
        <f>IFERROR(D16/C16,0)</f>
        <v/>
      </c>
    </row>
    <row r="18" ht="20" customHeight="1">
      <c r="A18" s="35" t="inlineStr">
        <is>
          <t>WHAT THIS COULD MEAN ABOUT HARVEST-TECH TRAINING</t>
        </is>
      </c>
    </row>
    <row r="19" ht="30" customHeight="1">
      <c r="A19" s="36" t="inlineStr">
        <is>
          <t>The harvest techs are the first-pass filter: they recover blocks from the pit and keep (spec-out) or discard each one. A ~10% good rate can mean two very different things, and the current data cannot fully separate them:</t>
        </is>
      </c>
    </row>
    <row r="20" ht="42" customHeight="1">
      <c r="A20" s="72" t="inlineStr">
        <is>
          <t>1)  MATERIAL (most likely).  The incoming tissue is overwhelmingly defective — 84% of defects are evisceration-origin — so even a perfectly-trained tech would keep mostly-bad blocks because there is little good material to choose from. Here the low yield is a SUPPLIER signal, not a tech signal.</t>
        </is>
      </c>
    </row>
    <row r="21" ht="42" customHeight="1">
      <c r="A21" s="72" t="inlineStr">
        <is>
          <t>2)  CALIBRATION GAP.  If the techs are keeping blocks that inspectors then reject, their internal 'good/bad' threshold is looser than the inspection spec — a training / standardization gap. The tell for this is a high tech KEEP rate paired with a low IQC pass rate (see alignment below).</t>
        </is>
      </c>
    </row>
    <row r="22" ht="44" customHeight="1">
      <c r="A22" s="73" t="inlineStr">
        <is>
          <t>Reading them together: because the defects are dominated by real, supplier-side damage, (1) is the stronger explanation today — but (2) cannot be ruled out until we log the techs' keep/discard decisions. A quick check: have a lead re-grade a sample of kept AND discarded blocks against the written spec and compare to both the tech and the inspector.</t>
        </is>
      </c>
    </row>
    <row r="24" ht="20" customHeight="1">
      <c r="A24" s="35" t="inlineStr">
        <is>
          <t>INSPECTOR &lt;-&gt; HARVEST-TECH ALIGNMENT  (agreement on the good/bad call)</t>
        </is>
      </c>
    </row>
    <row r="25" ht="64" customHeight="1">
      <c r="A25" s="36" t="inlineStr">
        <is>
          <t>Alignment = do the harvest tech (keep/discard) and the inspector (pass/fail) make the SAME good/bad call on the same block? What we can see now: the inspected blocks are the ones the techs KEPT, and inspectors pass only ~10% of them — so on the KEEP decision the two groups agree ~10% of the time (9 of 10 blocks a tech judged good enough to keep, the inspector rejected). That is a strong misalignment signal, but it is confounded with material quality, and we cannot yet see the techs' DISCARD calls.</t>
        </is>
      </c>
    </row>
    <row r="26" ht="34" customHeight="1">
      <c r="A26" s="73" t="inlineStr">
        <is>
          <t>To measure alignment properly, enter the harvest-tech first-pass numbers below (received from pit, discarded first-pass). Then the agreement metrics compute automatically. Also re-inspect a sample of discarded blocks to catch over-discarding (good blocks thrown away).</t>
        </is>
      </c>
    </row>
    <row r="28" ht="34" customHeight="1">
      <c r="A28" s="6" t="inlineStr">
        <is>
          <t>Kill Date</t>
        </is>
      </c>
      <c r="B28" s="6" t="inlineStr">
        <is>
          <t>Received from pit  (enter)</t>
        </is>
      </c>
      <c r="C28" s="6" t="inlineStr">
        <is>
          <t>Tech discarded 1st-pass  (enter)</t>
        </is>
      </c>
      <c r="D28" s="6" t="inlineStr">
        <is>
          <t>IQC inspected (=kept)</t>
        </is>
      </c>
      <c r="E28" s="6" t="inlineStr">
        <is>
          <t>IQC good</t>
        </is>
      </c>
      <c r="F28" s="6" t="inlineStr">
        <is>
          <t>Tech reject %</t>
        </is>
      </c>
      <c r="G28" s="6" t="inlineStr">
        <is>
          <t>Good-from-pit %</t>
        </is>
      </c>
    </row>
    <row r="29">
      <c r="A29" s="7" t="inlineStr">
        <is>
          <t>2026-05-27</t>
        </is>
      </c>
      <c r="B29" s="74" t="n"/>
      <c r="C29" s="74" t="n"/>
      <c r="D29" s="7">
        <f>COUNTIFS('Inspection Log'!C5:C503,"2026-05-27",'Inspection Log'!J5:J503,"Pass")+COUNTIFS('Inspection Log'!C5:C503,"2026-05-27",'Inspection Log'!J5:J503,"Fail")</f>
        <v/>
      </c>
      <c r="E29" s="7">
        <f>COUNTIFS('Inspection Log'!C5:C503,"2026-05-27",'Inspection Log'!J5:J503,"Pass")</f>
        <v/>
      </c>
      <c r="F29" s="70">
        <f>IF(B29="","",IFERROR(C29/B29,0))</f>
        <v/>
      </c>
      <c r="G29" s="70">
        <f>IF(B29="","",IFERROR(E29/B29,0))</f>
        <v/>
      </c>
    </row>
    <row r="30">
      <c r="A30" s="7" t="inlineStr">
        <is>
          <t>2026-07-08</t>
        </is>
      </c>
      <c r="B30" s="74" t="n"/>
      <c r="C30" s="74" t="n"/>
      <c r="D30" s="7">
        <f>COUNTIFS('Inspection Log'!C5:C503,"2026-07-08",'Inspection Log'!J5:J503,"Pass")+COUNTIFS('Inspection Log'!C5:C503,"2026-07-08",'Inspection Log'!J5:J503,"Fail")</f>
        <v/>
      </c>
      <c r="E30" s="7">
        <f>COUNTIFS('Inspection Log'!C5:C503,"2026-07-08",'Inspection Log'!J5:J503,"Pass")</f>
        <v/>
      </c>
      <c r="F30" s="70">
        <f>IF(B30="","",IFERROR(C30/B30,0))</f>
        <v/>
      </c>
      <c r="G30" s="70">
        <f>IF(B30="","",IFERROR(E30/B30,0))</f>
        <v/>
      </c>
    </row>
    <row r="31">
      <c r="A31" s="7" t="inlineStr">
        <is>
          <t>2026-07-28</t>
        </is>
      </c>
      <c r="B31" s="74" t="n"/>
      <c r="C31" s="74" t="n"/>
      <c r="D31" s="7">
        <f>COUNTIFS('Inspection Log'!C5:C503,"2026-07-28",'Inspection Log'!J5:J503,"Pass")+COUNTIFS('Inspection Log'!C5:C503,"2026-07-28",'Inspection Log'!J5:J503,"Fail")</f>
        <v/>
      </c>
      <c r="E31" s="7">
        <f>COUNTIFS('Inspection Log'!C5:C503,"2026-07-28",'Inspection Log'!J5:J503,"Pass")</f>
        <v/>
      </c>
      <c r="F31" s="70">
        <f>IF(B31="","",IFERROR(C31/B31,0))</f>
        <v/>
      </c>
      <c r="G31" s="70">
        <f>IF(B31="","",IFERROR(E31/B31,0))</f>
        <v/>
      </c>
    </row>
    <row r="32" ht="26" customHeight="1">
      <c r="A32" s="62" t="inlineStr">
        <is>
          <t>Tech reject % = discarded / received.   Good-from-pit % = IQC good / received (the true end-to-end yield).   IQC good / IQC inspected = the agreement on kept blocks (headline above).</t>
        </is>
      </c>
    </row>
  </sheetData>
  <mergeCells count="18">
    <mergeCell ref="A32:G32"/>
    <mergeCell ref="C7:G7"/>
    <mergeCell ref="A1:G1"/>
    <mergeCell ref="A18:G18"/>
    <mergeCell ref="C6:G6"/>
    <mergeCell ref="A8:G8"/>
    <mergeCell ref="A21:G21"/>
    <mergeCell ref="A22:G22"/>
    <mergeCell ref="A5:B7"/>
    <mergeCell ref="A4:G4"/>
    <mergeCell ref="A20:G20"/>
    <mergeCell ref="C5:G5"/>
    <mergeCell ref="A2:G2"/>
    <mergeCell ref="A24:G24"/>
    <mergeCell ref="A26:G26"/>
    <mergeCell ref="A25:G25"/>
    <mergeCell ref="A19:G19"/>
    <mergeCell ref="A10:G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2026-07-30T15:23:10Z</dcterms:created>
  <dcterms:modified xsi:type="dcterms:W3CDTF">2026-07-30T15:23:10Z</dcterms:modified>
</cp:coreProperties>
</file>