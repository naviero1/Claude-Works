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 Log" sheetId="2" state="visible" r:id="rId2"/>
    <sheet name="Defect Taxonomy" sheetId="3" state="visible" r:id="rId3"/>
    <sheet name="Pareto" sheetId="4" state="visible" r:id="rId4"/>
    <sheet name="Root Cause 5-Wh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color rgb="00222222"/>
      <sz val="10"/>
    </font>
    <font>
      <name val="Calibri"/>
      <b val="1"/>
      <color rgb="001F3864"/>
      <sz val="11"/>
    </font>
    <font>
      <name val="Calibri"/>
      <b val="1"/>
      <color rgb="001F4E5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833C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b val="1"/>
      <color rgb="00375623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833C00"/>
      <sz val="9"/>
    </font>
    <font>
      <name val="Calibri"/>
      <b val="1"/>
      <color rgb="001F3864"/>
      <sz val="12"/>
    </font>
    <font>
      <name val="Calibri"/>
      <b val="1"/>
      <color rgb="00222222"/>
      <sz val="11"/>
    </font>
    <font>
      <name val="Calibri"/>
      <b val="1"/>
      <color rgb="001F3864"/>
      <sz val="13"/>
    </font>
    <font>
      <name val="Calibri"/>
      <b val="1"/>
      <color rgb="00833C00"/>
      <sz val="12"/>
    </font>
    <font>
      <name val="Calibri"/>
      <b val="1"/>
      <color rgb="00833C00"/>
      <sz val="11"/>
    </font>
    <font>
      <name val="Calibri"/>
      <b val="1"/>
      <color rgb="00C00000"/>
      <sz val="11"/>
    </font>
    <font>
      <name val="Calibri"/>
      <b val="1"/>
      <color rgb="00C00000"/>
      <sz val="13"/>
    </font>
    <font>
      <name val="Calibri"/>
      <i val="1"/>
      <color rgb="0080808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indent="1"/>
    </xf>
    <xf numFmtId="0" fontId="0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16" fillId="0" borderId="0" pivotButton="0" quotePrefix="0" xfId="0"/>
    <xf numFmtId="0" fontId="17" fillId="4" borderId="1" applyAlignment="1" pivotButton="0" quotePrefix="0" xfId="0">
      <alignment horizontal="left" indent="1"/>
    </xf>
    <xf numFmtId="1" fontId="18" fillId="8" borderId="1" applyAlignment="1" pivotButton="0" quotePrefix="0" xfId="0">
      <alignment horizontal="center" vertical="center" wrapText="1"/>
    </xf>
    <xf numFmtId="164" fontId="18" fillId="8" borderId="1" applyAlignment="1" pivotButton="0" quotePrefix="0" xfId="0">
      <alignment horizontal="center" vertical="center" wrapText="1"/>
    </xf>
    <xf numFmtId="2" fontId="18" fillId="8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indent="1"/>
    </xf>
    <xf numFmtId="0" fontId="4" fillId="0" borderId="0" pivotButton="0" quotePrefix="0" xfId="0"/>
    <xf numFmtId="0" fontId="20" fillId="5" borderId="1" applyAlignment="1" pivotButton="0" quotePrefix="0" xfId="0">
      <alignment horizontal="left" indent="1"/>
    </xf>
    <xf numFmtId="0" fontId="21" fillId="4" borderId="1" applyAlignment="1" pivotButton="0" quotePrefix="0" xfId="0">
      <alignment horizontal="left" indent="1"/>
    </xf>
    <xf numFmtId="0" fontId="22" fillId="0" borderId="1" applyAlignment="1" pivotButton="0" quotePrefix="0" xfId="0">
      <alignment horizontal="center" vertical="center" wrapText="1"/>
    </xf>
    <xf numFmtId="0" fontId="2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Defect Pareto — Rejected Pelvic Blocks (SH: Martins, 2026-07-08)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'Pareto'!D5</f>
            </strRef>
          </tx>
          <spPr>
            <a:ln>
              <a:prstDash val="solid"/>
            </a:ln>
          </spPr>
          <cat>
            <numRef>
              <f>'Pareto'!$C$6:$C$15</f>
            </numRef>
          </cat>
          <val>
            <numRef>
              <f>'Pareto'!$D$6:$D$15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'Pareto'!F5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val>
            <numRef>
              <f>'Pareto'!$F$6:$F$15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Defect mode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Defect count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6819900" cy="3114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PELVIC BLOCK IQC — PARETO &amp; ROOT-CAUSE FRAMEWORK</t>
        </is>
      </c>
    </row>
    <row r="2" ht="18" customHeight="1">
      <c r="A2" s="2" t="inlineStr">
        <is>
          <t>Incoming Quality Control of rejected porcine femoral pelvic blocks  |  Purpose: pinpoint where defects originate at the supplier and drive corrective action upstream</t>
        </is>
      </c>
    </row>
    <row r="4">
      <c r="A4" s="3" t="inlineStr"/>
    </row>
    <row r="5" ht="18" customHeight="1">
      <c r="A5" s="4" t="inlineStr">
        <is>
          <t>PURPOSE</t>
        </is>
      </c>
    </row>
    <row r="6">
      <c r="A6" s="3" t="inlineStr">
        <is>
          <t>This workbook ingests IQC inspection results for rejected pelvic blocks, sorts the defects with a Pareto (which few defects cause most of the loss), and</t>
        </is>
      </c>
    </row>
    <row r="7">
      <c r="A7" s="3" t="inlineStr">
        <is>
          <t>maps every defect back to the point in the SUPPLIER's process where it is created — so corrective action can be taken BEFORE the tissue block reaches us.</t>
        </is>
      </c>
    </row>
    <row r="8">
      <c r="A8" s="3" t="inlineStr"/>
    </row>
    <row r="9" ht="18" customHeight="1">
      <c r="A9" s="4" t="inlineStr">
        <is>
          <t>THE PROCESS (where a defect can be born)  —  everything up to 'Delivered to us' is the supplier's to control</t>
        </is>
      </c>
    </row>
    <row r="10">
      <c r="A10" s="5" t="inlineStr">
        <is>
          <t xml:space="preserve">  Live animal  -&gt;  S1 Sticking/Bleeding  -&gt;  S2 Bung dropping/Rodding  -&gt;  S3 Evisceration (knife + gut pull)  -&gt;  S4 Carcass splitting (saw)  -&gt;  S5 Handling &amp; Pit drop  -&gt;  Delivered to us</t>
        </is>
      </c>
    </row>
    <row r="11">
      <c r="A11" s="5" t="inlineStr">
        <is>
          <t xml:space="preserve">                                                                                                                                                          |</t>
        </is>
      </c>
    </row>
    <row r="12">
      <c r="A12" s="5" t="inlineStr">
        <is>
          <t xml:space="preserve">                                                                                                              OUR side -&gt;  Harvest techs receive block from pit  -&gt;  spec-out / accept decision  -&gt;  IQC inspection (this data)</t>
        </is>
      </c>
    </row>
    <row r="13">
      <c r="A13" s="3" t="inlineStr"/>
    </row>
    <row r="14" ht="18" customHeight="1">
      <c r="A14" s="4" t="inlineStr">
        <is>
          <t>HOW THE SHEETS FIT TOGETHER</t>
        </is>
      </c>
    </row>
    <row r="15">
      <c r="A15" s="3" t="inlineStr">
        <is>
          <t xml:space="preserve">  1. Inspection Log   Master data — ONE ROW PER BLOCK. Each free-text scrap reason is normalized into 1/0 flags against the defect taxonomy. Append future batches here.</t>
        </is>
      </c>
    </row>
    <row r="16">
      <c r="A16" s="3" t="inlineStr">
        <is>
          <t xml:space="preserve">  2. Defect Taxonomy  The controlled vocabulary (D1–D10) + the root-cause map: each defect -&gt; process step, supplier station, 6M cause, mechanism, corrective action.</t>
        </is>
      </c>
    </row>
    <row r="17">
      <c r="A17" s="3" t="inlineStr">
        <is>
          <t xml:space="preserve">  3. Pareto           Auto-calculating defect Pareto (bar + cumulative line) and a rollup by SUPPLIER STATION — the single most useful view for the supplier conversation.</t>
        </is>
      </c>
    </row>
    <row r="18">
      <c r="A18" s="3" t="inlineStr">
        <is>
          <t xml:space="preserve">  4. Root Cause 5-Why  A structured RCA template, pre-seeded for the vital-few defects, with a Lessons-Learned column for you to fill in over time.</t>
        </is>
      </c>
    </row>
    <row r="19">
      <c r="A19" s="3" t="inlineStr">
        <is>
          <t xml:space="preserve">  5. Dashboard        Batch KPI summary (yield, top defect, food-safety flags).</t>
        </is>
      </c>
    </row>
    <row r="20">
      <c r="A20" s="3" t="inlineStr"/>
    </row>
    <row r="21" ht="18" customHeight="1">
      <c r="A21" s="4" t="inlineStr">
        <is>
          <t>HOW TO ADD THE NEXT INSPECTION (keep the framework alive)</t>
        </is>
      </c>
    </row>
    <row r="22">
      <c r="A22" s="3" t="inlineStr">
        <is>
          <t xml:space="preserve">  a. Go to 'Inspection Log'. Add one row per inspected block (copy the metadata columns, set Result = Pass/Fail, paste the verbatim reason).</t>
        </is>
      </c>
    </row>
    <row r="23">
      <c r="A23" s="3" t="inlineStr">
        <is>
          <t xml:space="preserve">  b. Put a 1 in each defect column (D1–D10) that applies to that block; leave the rest blank/0. Use the dropdown list; if a NEW defect appears, add it to 'Defect Taxonomy' first.</t>
        </is>
      </c>
    </row>
    <row r="24">
      <c r="A24" s="3" t="inlineStr">
        <is>
          <t xml:space="preserve">  c. The Pareto and Dashboard recalculate automatically. (Re-sort the Pareto table high-&gt;low if the ranking changes — counts update live, row order does not.)</t>
        </is>
      </c>
    </row>
    <row r="25">
      <c r="A25" s="3" t="inlineStr"/>
    </row>
    <row r="26" ht="18" customHeight="1">
      <c r="A26" s="4" t="inlineStr">
        <is>
          <t>READING THE PARETO</t>
        </is>
      </c>
    </row>
    <row r="27">
      <c r="A27" s="3" t="inlineStr">
        <is>
          <t xml:space="preserve">  The 'vital few' are the leftmost bars whose cumulative line reaches ~80%. Fix those first. For THIS batch they are membrane damage, ureters-not-embedded,</t>
        </is>
      </c>
    </row>
    <row r="28">
      <c r="A28" s="3" t="inlineStr">
        <is>
          <t xml:space="preserve">  suspensory-ligament damage and urethra cuts — and ~77% of all defects trace to ONE supplier station: Evisceration.</t>
        </is>
      </c>
    </row>
    <row r="29">
      <c r="A29" s="3" t="inlineStr"/>
    </row>
    <row r="30" ht="18" customHeight="1">
      <c r="A30" s="4" t="inlineStr">
        <is>
          <t>SEVERITY KEY</t>
        </is>
      </c>
    </row>
    <row r="31">
      <c r="A31" s="3" t="inlineStr">
        <is>
          <t xml:space="preserve">  Critical = function-destroying or food-safety (e.g. bowel breach = contamination).   Major = block rejected.   Minor = cosmetic / recoverable.</t>
        </is>
      </c>
    </row>
    <row r="32">
      <c r="A32" s="3" t="inlineStr"/>
    </row>
    <row r="33" ht="18" customHeight="1">
      <c r="A33" s="4" t="inlineStr">
        <is>
          <t>SOURCE</t>
        </is>
      </c>
    </row>
    <row r="34">
      <c r="A34" s="3" t="inlineStr">
        <is>
          <t xml:space="preserve">  IQC Tally Sheet — SH: Martins — Kill/Harvest 2026-07-08 — 26 inspected, 1 pass, 25 fail (First Pass Yield 3.8%).  Original file kept as source_IQC_Martins_failed_blocks_2026-07-08.xlsx</t>
        </is>
      </c>
    </row>
  </sheetData>
  <mergeCells count="33">
    <mergeCell ref="A9:H9"/>
    <mergeCell ref="A30:H30"/>
    <mergeCell ref="A15:H15"/>
    <mergeCell ref="A24:H24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20:H20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24" customWidth="1" min="9" max="9"/>
    <col width="8" customWidth="1" min="10" max="10"/>
    <col width="48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9" customWidth="1" min="22" max="22"/>
  </cols>
  <sheetData>
    <row r="1" ht="30" customHeight="1">
      <c r="A1" s="1" t="inlineStr">
        <is>
          <t>INSPECTION LOG  (master data — one row per inspected block)</t>
        </is>
      </c>
    </row>
    <row r="2" ht="18" customHeight="1">
      <c r="A2" s="2" t="inlineStr">
        <is>
          <t>Append future inspections below. Put 1 in each defect column that applies. Counts on Pareto/Dashboard update automatically.</t>
        </is>
      </c>
    </row>
    <row r="4" ht="28" customHeight="1">
      <c r="A4" s="6" t="inlineStr">
        <is>
          <t>Block ID</t>
        </is>
      </c>
      <c r="B4" s="6" t="inlineStr">
        <is>
          <t>Insp. Date</t>
        </is>
      </c>
      <c r="C4" s="6" t="inlineStr">
        <is>
          <t>Kill Date</t>
        </is>
      </c>
      <c r="D4" s="6" t="inlineStr">
        <is>
          <t>Harvest Date</t>
        </is>
      </c>
      <c r="E4" s="6" t="inlineStr">
        <is>
          <t>Slaughterhouse</t>
        </is>
      </c>
      <c r="F4" s="6" t="inlineStr">
        <is>
          <t>SH Tech</t>
        </is>
      </c>
      <c r="G4" s="6" t="inlineStr">
        <is>
          <t>Inspector</t>
        </is>
      </c>
      <c r="H4" s="6" t="inlineStr">
        <is>
          <t>Batch/Lot</t>
        </is>
      </c>
      <c r="I4" s="6" t="inlineStr">
        <is>
          <t>Part Name</t>
        </is>
      </c>
      <c r="J4" s="6" t="inlineStr">
        <is>
          <t>Result</t>
        </is>
      </c>
      <c r="K4" s="6" t="inlineStr">
        <is>
          <t>Verbatim Scrap Reason</t>
        </is>
      </c>
      <c r="L4" s="6" t="inlineStr">
        <is>
          <t>D1</t>
        </is>
      </c>
      <c r="M4" s="6" t="inlineStr">
        <is>
          <t>D2</t>
        </is>
      </c>
      <c r="N4" s="6" t="inlineStr">
        <is>
          <t>D3</t>
        </is>
      </c>
      <c r="O4" s="6" t="inlineStr">
        <is>
          <t>D4</t>
        </is>
      </c>
      <c r="P4" s="6" t="inlineStr">
        <is>
          <t>D5</t>
        </is>
      </c>
      <c r="Q4" s="6" t="inlineStr">
        <is>
          <t>D6</t>
        </is>
      </c>
      <c r="R4" s="6" t="inlineStr">
        <is>
          <t>D7</t>
        </is>
      </c>
      <c r="S4" s="6" t="inlineStr">
        <is>
          <t>D8</t>
        </is>
      </c>
      <c r="T4" s="6" t="inlineStr">
        <is>
          <t>D9</t>
        </is>
      </c>
      <c r="U4" s="6" t="inlineStr">
        <is>
          <t>D10</t>
        </is>
      </c>
      <c r="V4" s="6" t="inlineStr">
        <is>
          <t># Defects</t>
        </is>
      </c>
    </row>
    <row r="5" ht="30" customHeight="1">
      <c r="A5" s="7" t="inlineStr">
        <is>
          <t>B001</t>
        </is>
      </c>
      <c r="B5" s="7" t="inlineStr">
        <is>
          <t>2026-07-10</t>
        </is>
      </c>
      <c r="C5" s="7" t="inlineStr">
        <is>
          <t>2026-07-08</t>
        </is>
      </c>
      <c r="D5" s="7" t="inlineStr">
        <is>
          <t>2026-07-08</t>
        </is>
      </c>
      <c r="E5" s="7" t="inlineStr">
        <is>
          <t>Martins</t>
        </is>
      </c>
      <c r="F5" s="7" t="inlineStr"/>
      <c r="G5" s="7" t="inlineStr"/>
      <c r="H5" s="7" t="inlineStr">
        <is>
          <t>12:30 PM - 12:45 PM</t>
        </is>
      </c>
      <c r="I5" s="7" t="inlineStr">
        <is>
          <t>Tiss, porcine, fem, Pelvic block</t>
        </is>
      </c>
      <c r="J5" s="8" t="inlineStr">
        <is>
          <t>Fail</t>
        </is>
      </c>
      <c r="K5" s="9" t="inlineStr">
        <is>
          <t>Large hole near right broad ligament and membrane causing seperation of bowel and ureters.</t>
        </is>
      </c>
      <c r="L5" s="10" t="n"/>
      <c r="M5" s="10" t="n"/>
      <c r="N5" s="10" t="n"/>
      <c r="O5" s="10" t="n"/>
      <c r="P5" s="10" t="n"/>
      <c r="Q5" s="11" t="n">
        <v>1</v>
      </c>
      <c r="R5" s="10" t="n"/>
      <c r="S5" s="11" t="n">
        <v>1</v>
      </c>
      <c r="T5" s="10" t="n"/>
      <c r="U5" s="11" t="n">
        <v>1</v>
      </c>
      <c r="V5" s="12">
        <f>SUM(L5:U5)</f>
        <v/>
      </c>
    </row>
    <row r="6" ht="30" customHeight="1">
      <c r="A6" s="7" t="inlineStr">
        <is>
          <t>B002</t>
        </is>
      </c>
      <c r="B6" s="7" t="inlineStr">
        <is>
          <t>2026-07-10</t>
        </is>
      </c>
      <c r="C6" s="7" t="inlineStr">
        <is>
          <t>2026-07-08</t>
        </is>
      </c>
      <c r="D6" s="7" t="inlineStr">
        <is>
          <t>2026-07-08</t>
        </is>
      </c>
      <c r="E6" s="7" t="inlineStr">
        <is>
          <t>Martins</t>
        </is>
      </c>
      <c r="F6" s="7" t="inlineStr"/>
      <c r="G6" s="7" t="inlineStr"/>
      <c r="H6" s="7" t="inlineStr">
        <is>
          <t>12:30 PM - 12:45 PM</t>
        </is>
      </c>
      <c r="I6" s="7" t="inlineStr">
        <is>
          <t>Tiss, porcine, fem, Pelvic block</t>
        </is>
      </c>
      <c r="J6" s="8" t="inlineStr">
        <is>
          <t>Fail</t>
        </is>
      </c>
      <c r="K6" s="9" t="inlineStr">
        <is>
          <t>2 inch damage on membrane seperating bowel in critical area</t>
        </is>
      </c>
      <c r="L6" s="10" t="n"/>
      <c r="M6" s="10" t="n"/>
      <c r="N6" s="10" t="n"/>
      <c r="O6" s="10" t="n"/>
      <c r="P6" s="10" t="n"/>
      <c r="Q6" s="11" t="n">
        <v>1</v>
      </c>
      <c r="R6" s="10" t="n"/>
      <c r="S6" s="11" t="n">
        <v>1</v>
      </c>
      <c r="T6" s="10" t="n"/>
      <c r="U6" s="10" t="n"/>
      <c r="V6" s="12">
        <f>SUM(L6:U6)</f>
        <v/>
      </c>
    </row>
    <row r="7" ht="30" customHeight="1">
      <c r="A7" s="7" t="inlineStr">
        <is>
          <t>B003</t>
        </is>
      </c>
      <c r="B7" s="7" t="inlineStr">
        <is>
          <t>2026-07-10</t>
        </is>
      </c>
      <c r="C7" s="7" t="inlineStr">
        <is>
          <t>2026-07-08</t>
        </is>
      </c>
      <c r="D7" s="7" t="inlineStr">
        <is>
          <t>2026-07-08</t>
        </is>
      </c>
      <c r="E7" s="7" t="inlineStr">
        <is>
          <t>Martins</t>
        </is>
      </c>
      <c r="F7" s="7" t="inlineStr"/>
      <c r="G7" s="7" t="inlineStr"/>
      <c r="H7" s="7" t="inlineStr">
        <is>
          <t>12:30 PM - 12:45 PM</t>
        </is>
      </c>
      <c r="I7" s="7" t="inlineStr">
        <is>
          <t>Tiss, porcine, fem, Pelvic block</t>
        </is>
      </c>
      <c r="J7" s="8" t="inlineStr">
        <is>
          <t>Fail</t>
        </is>
      </c>
      <c r="K7" s="9" t="inlineStr">
        <is>
          <t>urethra is cut</t>
        </is>
      </c>
      <c r="L7" s="10" t="n"/>
      <c r="M7" s="10" t="n"/>
      <c r="N7" s="10" t="n"/>
      <c r="O7" s="10" t="n"/>
      <c r="P7" s="11" t="n">
        <v>1</v>
      </c>
      <c r="Q7" s="10" t="n"/>
      <c r="R7" s="10" t="n"/>
      <c r="S7" s="10" t="n"/>
      <c r="T7" s="10" t="n"/>
      <c r="U7" s="10" t="n"/>
      <c r="V7" s="12">
        <f>SUM(L7:U7)</f>
        <v/>
      </c>
    </row>
    <row r="8" ht="30" customHeight="1">
      <c r="A8" s="7" t="inlineStr">
        <is>
          <t>B004</t>
        </is>
      </c>
      <c r="B8" s="7" t="inlineStr">
        <is>
          <t>2026-07-10</t>
        </is>
      </c>
      <c r="C8" s="7" t="inlineStr">
        <is>
          <t>2026-07-08</t>
        </is>
      </c>
      <c r="D8" s="7" t="inlineStr">
        <is>
          <t>2026-07-08</t>
        </is>
      </c>
      <c r="E8" s="7" t="inlineStr">
        <is>
          <t>Martins</t>
        </is>
      </c>
      <c r="F8" s="7" t="inlineStr"/>
      <c r="G8" s="7" t="inlineStr"/>
      <c r="H8" s="7" t="inlineStr">
        <is>
          <t>12:30 PM - 12:45 PM</t>
        </is>
      </c>
      <c r="I8" s="7" t="inlineStr">
        <is>
          <t>Tiss, porcine, fem, Pelvic block</t>
        </is>
      </c>
      <c r="J8" s="8" t="inlineStr">
        <is>
          <t>Fail</t>
        </is>
      </c>
      <c r="K8" s="9" t="inlineStr">
        <is>
          <t>bladder deformed 12 inch deformed attachment</t>
        </is>
      </c>
      <c r="L8" s="10" t="n"/>
      <c r="M8" s="10" t="n"/>
      <c r="N8" s="10" t="n"/>
      <c r="O8" s="10" t="n"/>
      <c r="P8" s="10" t="n"/>
      <c r="Q8" s="10" t="n"/>
      <c r="R8" s="11" t="n">
        <v>1</v>
      </c>
      <c r="S8" s="10" t="n"/>
      <c r="T8" s="10" t="n"/>
      <c r="U8" s="10" t="n"/>
      <c r="V8" s="12">
        <f>SUM(L8:U8)</f>
        <v/>
      </c>
    </row>
    <row r="9" ht="30" customHeight="1">
      <c r="A9" s="7" t="inlineStr">
        <is>
          <t>B005</t>
        </is>
      </c>
      <c r="B9" s="7" t="inlineStr">
        <is>
          <t>2026-07-10</t>
        </is>
      </c>
      <c r="C9" s="7" t="inlineStr">
        <is>
          <t>2026-07-08</t>
        </is>
      </c>
      <c r="D9" s="7" t="inlineStr">
        <is>
          <t>2026-07-08</t>
        </is>
      </c>
      <c r="E9" s="7" t="inlineStr">
        <is>
          <t>Martins</t>
        </is>
      </c>
      <c r="F9" s="7" t="inlineStr"/>
      <c r="G9" s="7" t="inlineStr"/>
      <c r="H9" s="7" t="inlineStr">
        <is>
          <t>12:30 PM - 12:45 PM</t>
        </is>
      </c>
      <c r="I9" s="7" t="inlineStr">
        <is>
          <t>Tiss, porcine, fem, Pelvic block</t>
        </is>
      </c>
      <c r="J9" s="8" t="inlineStr">
        <is>
          <t>Fail</t>
        </is>
      </c>
      <c r="K9" s="9" t="inlineStr">
        <is>
          <t>suspensory ligaments damaged, ureters not embedded</t>
        </is>
      </c>
      <c r="L9" s="11" t="n">
        <v>1</v>
      </c>
      <c r="M9" s="10" t="n"/>
      <c r="N9" s="10" t="n"/>
      <c r="O9" s="11" t="n">
        <v>1</v>
      </c>
      <c r="P9" s="10" t="n"/>
      <c r="Q9" s="10" t="n"/>
      <c r="R9" s="10" t="n"/>
      <c r="S9" s="10" t="n"/>
      <c r="T9" s="10" t="n"/>
      <c r="U9" s="10" t="n"/>
      <c r="V9" s="12">
        <f>SUM(L9:U9)</f>
        <v/>
      </c>
    </row>
    <row r="10" ht="30" customHeight="1">
      <c r="A10" s="7" t="inlineStr">
        <is>
          <t>B006</t>
        </is>
      </c>
      <c r="B10" s="7" t="inlineStr">
        <is>
          <t>2026-07-10</t>
        </is>
      </c>
      <c r="C10" s="7" t="inlineStr">
        <is>
          <t>2026-07-08</t>
        </is>
      </c>
      <c r="D10" s="7" t="inlineStr">
        <is>
          <t>2026-07-08</t>
        </is>
      </c>
      <c r="E10" s="7" t="inlineStr">
        <is>
          <t>Martins</t>
        </is>
      </c>
      <c r="F10" s="7" t="inlineStr"/>
      <c r="G10" s="7" t="inlineStr"/>
      <c r="H10" s="7" t="inlineStr">
        <is>
          <t>12:30 PM - 12:45 PM</t>
        </is>
      </c>
      <c r="I10" s="7" t="inlineStr">
        <is>
          <t>Tiss, porcine, fem, Pelvic block</t>
        </is>
      </c>
      <c r="J10" s="8" t="inlineStr">
        <is>
          <t>Fail</t>
        </is>
      </c>
      <c r="K10" s="9" t="inlineStr">
        <is>
          <t>ureters not embedded, suspensory ligaments damaged, cut urethra</t>
        </is>
      </c>
      <c r="L10" s="11" t="n">
        <v>1</v>
      </c>
      <c r="M10" s="10" t="n"/>
      <c r="N10" s="10" t="n"/>
      <c r="O10" s="11" t="n">
        <v>1</v>
      </c>
      <c r="P10" s="11" t="n">
        <v>1</v>
      </c>
      <c r="Q10" s="10" t="n"/>
      <c r="R10" s="10" t="n"/>
      <c r="S10" s="10" t="n"/>
      <c r="T10" s="10" t="n"/>
      <c r="U10" s="10" t="n"/>
      <c r="V10" s="12">
        <f>SUM(L10:U10)</f>
        <v/>
      </c>
    </row>
    <row r="11" ht="30" customHeight="1">
      <c r="A11" s="7" t="inlineStr">
        <is>
          <t>B007</t>
        </is>
      </c>
      <c r="B11" s="7" t="inlineStr">
        <is>
          <t>2026-07-10</t>
        </is>
      </c>
      <c r="C11" s="7" t="inlineStr">
        <is>
          <t>2026-07-08</t>
        </is>
      </c>
      <c r="D11" s="7" t="inlineStr">
        <is>
          <t>2026-07-08</t>
        </is>
      </c>
      <c r="E11" s="7" t="inlineStr">
        <is>
          <t>Martins</t>
        </is>
      </c>
      <c r="F11" s="7" t="inlineStr"/>
      <c r="G11" s="7" t="inlineStr"/>
      <c r="H11" s="7" t="inlineStr">
        <is>
          <t>12:30 PM - 12:45 PM</t>
        </is>
      </c>
      <c r="I11" s="7" t="inlineStr">
        <is>
          <t>Tiss, porcine, fem, Pelvic block</t>
        </is>
      </c>
      <c r="J11" s="8" t="inlineStr">
        <is>
          <t>Fail</t>
        </is>
      </c>
      <c r="K11" s="9" t="inlineStr">
        <is>
          <t>ureters not embedded and cut, suspensory ligaments damaged, cut urethra</t>
        </is>
      </c>
      <c r="L11" s="11" t="n">
        <v>1</v>
      </c>
      <c r="M11" s="11" t="n">
        <v>1</v>
      </c>
      <c r="N11" s="10" t="n"/>
      <c r="O11" s="11" t="n">
        <v>1</v>
      </c>
      <c r="P11" s="11" t="n">
        <v>1</v>
      </c>
      <c r="Q11" s="10" t="n"/>
      <c r="R11" s="10" t="n"/>
      <c r="S11" s="10" t="n"/>
      <c r="T11" s="10" t="n"/>
      <c r="U11" s="10" t="n"/>
      <c r="V11" s="12">
        <f>SUM(L11:U11)</f>
        <v/>
      </c>
    </row>
    <row r="12" ht="30" customHeight="1">
      <c r="A12" s="7" t="inlineStr">
        <is>
          <t>B008</t>
        </is>
      </c>
      <c r="B12" s="7" t="inlineStr">
        <is>
          <t>2026-07-10</t>
        </is>
      </c>
      <c r="C12" s="7" t="inlineStr">
        <is>
          <t>2026-07-08</t>
        </is>
      </c>
      <c r="D12" s="7" t="inlineStr">
        <is>
          <t>2026-07-08</t>
        </is>
      </c>
      <c r="E12" s="7" t="inlineStr">
        <is>
          <t>Martins</t>
        </is>
      </c>
      <c r="F12" s="7" t="inlineStr"/>
      <c r="G12" s="7" t="inlineStr"/>
      <c r="H12" s="7" t="inlineStr">
        <is>
          <t>12:30 PM - 12:45 PM</t>
        </is>
      </c>
      <c r="I12" s="7" t="inlineStr">
        <is>
          <t>Tiss, porcine, fem, Pelvic block</t>
        </is>
      </c>
      <c r="J12" s="8" t="inlineStr">
        <is>
          <t>Fail</t>
        </is>
      </c>
      <c r="K12" s="9" t="inlineStr">
        <is>
          <t>ureters not embedded, suspensory ligaments damaged, cut urethra, membrane damaged in critical area</t>
        </is>
      </c>
      <c r="L12" s="11" t="n">
        <v>1</v>
      </c>
      <c r="M12" s="10" t="n"/>
      <c r="N12" s="10" t="n"/>
      <c r="O12" s="11" t="n">
        <v>1</v>
      </c>
      <c r="P12" s="11" t="n">
        <v>1</v>
      </c>
      <c r="Q12" s="11" t="n">
        <v>1</v>
      </c>
      <c r="R12" s="10" t="n"/>
      <c r="S12" s="10" t="n"/>
      <c r="T12" s="10" t="n"/>
      <c r="U12" s="10" t="n"/>
      <c r="V12" s="12">
        <f>SUM(L12:U12)</f>
        <v/>
      </c>
    </row>
    <row r="13" ht="30" customHeight="1">
      <c r="A13" s="7" t="inlineStr">
        <is>
          <t>B009</t>
        </is>
      </c>
      <c r="B13" s="7" t="inlineStr">
        <is>
          <t>2026-07-10</t>
        </is>
      </c>
      <c r="C13" s="7" t="inlineStr">
        <is>
          <t>2026-07-08</t>
        </is>
      </c>
      <c r="D13" s="7" t="inlineStr">
        <is>
          <t>2026-07-08</t>
        </is>
      </c>
      <c r="E13" s="7" t="inlineStr">
        <is>
          <t>Martins</t>
        </is>
      </c>
      <c r="F13" s="7" t="inlineStr"/>
      <c r="G13" s="7" t="inlineStr"/>
      <c r="H13" s="7" t="inlineStr">
        <is>
          <t>12:30 PM - 12:45 PM</t>
        </is>
      </c>
      <c r="I13" s="7" t="inlineStr">
        <is>
          <t>Tiss, porcine, fem, Pelvic block</t>
        </is>
      </c>
      <c r="J13" s="8" t="inlineStr">
        <is>
          <t>Fail</t>
        </is>
      </c>
      <c r="K13" s="9" t="inlineStr">
        <is>
          <t>suspensory ligaments damaged, ureters not embedded</t>
        </is>
      </c>
      <c r="L13" s="11" t="n">
        <v>1</v>
      </c>
      <c r="M13" s="10" t="n"/>
      <c r="N13" s="10" t="n"/>
      <c r="O13" s="11" t="n">
        <v>1</v>
      </c>
      <c r="P13" s="10" t="n"/>
      <c r="Q13" s="10" t="n"/>
      <c r="R13" s="10" t="n"/>
      <c r="S13" s="10" t="n"/>
      <c r="T13" s="10" t="n"/>
      <c r="U13" s="10" t="n"/>
      <c r="V13" s="12">
        <f>SUM(L13:U13)</f>
        <v/>
      </c>
    </row>
    <row r="14" ht="30" customHeight="1">
      <c r="A14" s="7" t="inlineStr">
        <is>
          <t>B010</t>
        </is>
      </c>
      <c r="B14" s="7" t="inlineStr">
        <is>
          <t>2026-07-10</t>
        </is>
      </c>
      <c r="C14" s="7" t="inlineStr">
        <is>
          <t>2026-07-08</t>
        </is>
      </c>
      <c r="D14" s="7" t="inlineStr">
        <is>
          <t>2026-07-08</t>
        </is>
      </c>
      <c r="E14" s="7" t="inlineStr">
        <is>
          <t>Martins</t>
        </is>
      </c>
      <c r="F14" s="7" t="inlineStr"/>
      <c r="G14" s="7" t="inlineStr"/>
      <c r="H14" s="7" t="inlineStr">
        <is>
          <t>12:30 PM - 12:45 PM</t>
        </is>
      </c>
      <c r="I14" s="7" t="inlineStr">
        <is>
          <t>Tiss, porcine, fem, Pelvic block</t>
        </is>
      </c>
      <c r="J14" s="8" t="inlineStr">
        <is>
          <t>Fail</t>
        </is>
      </c>
      <c r="K14" s="9" t="inlineStr">
        <is>
          <t>ureters not embedded, suspensory ligaments damaged, cut urethra, membrane damaged in critical area</t>
        </is>
      </c>
      <c r="L14" s="11" t="n">
        <v>1</v>
      </c>
      <c r="M14" s="10" t="n"/>
      <c r="N14" s="10" t="n"/>
      <c r="O14" s="11" t="n">
        <v>1</v>
      </c>
      <c r="P14" s="11" t="n">
        <v>1</v>
      </c>
      <c r="Q14" s="11" t="n">
        <v>1</v>
      </c>
      <c r="R14" s="10" t="n"/>
      <c r="S14" s="10" t="n"/>
      <c r="T14" s="10" t="n"/>
      <c r="U14" s="10" t="n"/>
      <c r="V14" s="12">
        <f>SUM(L14:U14)</f>
        <v/>
      </c>
    </row>
    <row r="15" ht="30" customHeight="1">
      <c r="A15" s="7" t="inlineStr">
        <is>
          <t>B011</t>
        </is>
      </c>
      <c r="B15" s="7" t="inlineStr">
        <is>
          <t>2026-07-10</t>
        </is>
      </c>
      <c r="C15" s="7" t="inlineStr">
        <is>
          <t>2026-07-08</t>
        </is>
      </c>
      <c r="D15" s="7" t="inlineStr">
        <is>
          <t>2026-07-08</t>
        </is>
      </c>
      <c r="E15" s="7" t="inlineStr">
        <is>
          <t>Martins</t>
        </is>
      </c>
      <c r="F15" s="7" t="inlineStr"/>
      <c r="G15" s="7" t="inlineStr"/>
      <c r="H15" s="7" t="inlineStr">
        <is>
          <t>12:30 PM - 12:45 PM</t>
        </is>
      </c>
      <c r="I15" s="7" t="inlineStr">
        <is>
          <t>Tiss, porcine, fem, Pelvic block</t>
        </is>
      </c>
      <c r="J15" s="8" t="inlineStr">
        <is>
          <t>Fail</t>
        </is>
      </c>
      <c r="K15" s="9" t="inlineStr">
        <is>
          <t>left ureter is missing</t>
        </is>
      </c>
      <c r="L15" s="10" t="n"/>
      <c r="M15" s="10" t="n"/>
      <c r="N15" s="11" t="n">
        <v>1</v>
      </c>
      <c r="O15" s="10" t="n"/>
      <c r="P15" s="10" t="n"/>
      <c r="Q15" s="10" t="n"/>
      <c r="R15" s="10" t="n"/>
      <c r="S15" s="10" t="n"/>
      <c r="T15" s="10" t="n"/>
      <c r="U15" s="10" t="n"/>
      <c r="V15" s="12">
        <f>SUM(L15:U15)</f>
        <v/>
      </c>
    </row>
    <row r="16" ht="30" customHeight="1">
      <c r="A16" s="7" t="inlineStr">
        <is>
          <t>B012</t>
        </is>
      </c>
      <c r="B16" s="7" t="inlineStr">
        <is>
          <t>2026-07-10</t>
        </is>
      </c>
      <c r="C16" s="7" t="inlineStr">
        <is>
          <t>2026-07-08</t>
        </is>
      </c>
      <c r="D16" s="7" t="inlineStr">
        <is>
          <t>2026-07-08</t>
        </is>
      </c>
      <c r="E16" s="7" t="inlineStr">
        <is>
          <t>Martins</t>
        </is>
      </c>
      <c r="F16" s="7" t="inlineStr"/>
      <c r="G16" s="7" t="inlineStr"/>
      <c r="H16" s="7" t="inlineStr">
        <is>
          <t>12:30 PM - 12:45 PM</t>
        </is>
      </c>
      <c r="I16" s="7" t="inlineStr">
        <is>
          <t>Tiss, porcine, fem, Pelvic block</t>
        </is>
      </c>
      <c r="J16" s="8" t="inlineStr">
        <is>
          <t>Fail</t>
        </is>
      </c>
      <c r="K16" s="9" t="inlineStr">
        <is>
          <t>ureters not embedded, suspensory ligaments damaged, membrane damaged in critical area</t>
        </is>
      </c>
      <c r="L16" s="11" t="n">
        <v>1</v>
      </c>
      <c r="M16" s="10" t="n"/>
      <c r="N16" s="10" t="n"/>
      <c r="O16" s="11" t="n">
        <v>1</v>
      </c>
      <c r="P16" s="10" t="n"/>
      <c r="Q16" s="11" t="n">
        <v>1</v>
      </c>
      <c r="R16" s="10" t="n"/>
      <c r="S16" s="10" t="n"/>
      <c r="T16" s="10" t="n"/>
      <c r="U16" s="10" t="n"/>
      <c r="V16" s="12">
        <f>SUM(L16:U16)</f>
        <v/>
      </c>
    </row>
    <row r="17" ht="30" customHeight="1">
      <c r="A17" s="7" t="inlineStr">
        <is>
          <t>B013</t>
        </is>
      </c>
      <c r="B17" s="7" t="inlineStr">
        <is>
          <t>2026-07-10</t>
        </is>
      </c>
      <c r="C17" s="7" t="inlineStr">
        <is>
          <t>2026-07-08</t>
        </is>
      </c>
      <c r="D17" s="7" t="inlineStr">
        <is>
          <t>2026-07-08</t>
        </is>
      </c>
      <c r="E17" s="7" t="inlineStr">
        <is>
          <t>Martins</t>
        </is>
      </c>
      <c r="F17" s="7" t="inlineStr"/>
      <c r="G17" s="7" t="inlineStr"/>
      <c r="H17" s="7" t="inlineStr">
        <is>
          <t>12:30 PM - 12:45 PM</t>
        </is>
      </c>
      <c r="I17" s="7" t="inlineStr">
        <is>
          <t>Tiss, porcine, fem, Pelvic block</t>
        </is>
      </c>
      <c r="J17" s="8" t="inlineStr">
        <is>
          <t>Fail</t>
        </is>
      </c>
      <c r="K17" s="9" t="inlineStr">
        <is>
          <t>ureters not embedded, suspensory ligaments damaged, membrane damaged in critical area</t>
        </is>
      </c>
      <c r="L17" s="11" t="n">
        <v>1</v>
      </c>
      <c r="M17" s="10" t="n"/>
      <c r="N17" s="10" t="n"/>
      <c r="O17" s="11" t="n">
        <v>1</v>
      </c>
      <c r="P17" s="10" t="n"/>
      <c r="Q17" s="11" t="n">
        <v>1</v>
      </c>
      <c r="R17" s="10" t="n"/>
      <c r="S17" s="10" t="n"/>
      <c r="T17" s="10" t="n"/>
      <c r="U17" s="10" t="n"/>
      <c r="V17" s="12">
        <f>SUM(L17:U17)</f>
        <v/>
      </c>
    </row>
    <row r="18" ht="30" customHeight="1">
      <c r="A18" s="7" t="inlineStr">
        <is>
          <t>B014</t>
        </is>
      </c>
      <c r="B18" s="7" t="inlineStr">
        <is>
          <t>2026-07-10</t>
        </is>
      </c>
      <c r="C18" s="7" t="inlineStr">
        <is>
          <t>2026-07-08</t>
        </is>
      </c>
      <c r="D18" s="7" t="inlineStr">
        <is>
          <t>2026-07-08</t>
        </is>
      </c>
      <c r="E18" s="7" t="inlineStr">
        <is>
          <t>Martins</t>
        </is>
      </c>
      <c r="F18" s="7" t="inlineStr"/>
      <c r="G18" s="7" t="inlineStr"/>
      <c r="H18" s="7" t="inlineStr">
        <is>
          <t>12:30 PM - 12:45 PM</t>
        </is>
      </c>
      <c r="I18" s="7" t="inlineStr">
        <is>
          <t>Tiss, porcine, fem, Pelvic block</t>
        </is>
      </c>
      <c r="J18" s="8" t="inlineStr">
        <is>
          <t>Fail</t>
        </is>
      </c>
      <c r="K18" s="9" t="inlineStr">
        <is>
          <t>left ureter missing, blood clots</t>
        </is>
      </c>
      <c r="L18" s="10" t="n"/>
      <c r="M18" s="10" t="n"/>
      <c r="N18" s="11" t="n">
        <v>1</v>
      </c>
      <c r="O18" s="10" t="n"/>
      <c r="P18" s="10" t="n"/>
      <c r="Q18" s="10" t="n"/>
      <c r="R18" s="10" t="n"/>
      <c r="S18" s="10" t="n"/>
      <c r="T18" s="11" t="n">
        <v>1</v>
      </c>
      <c r="U18" s="10" t="n"/>
      <c r="V18" s="12">
        <f>SUM(L18:U18)</f>
        <v/>
      </c>
    </row>
    <row r="19" ht="30" customHeight="1">
      <c r="A19" s="7" t="inlineStr">
        <is>
          <t>B015</t>
        </is>
      </c>
      <c r="B19" s="7" t="inlineStr">
        <is>
          <t>2026-07-10</t>
        </is>
      </c>
      <c r="C19" s="7" t="inlineStr">
        <is>
          <t>2026-07-08</t>
        </is>
      </c>
      <c r="D19" s="7" t="inlineStr">
        <is>
          <t>2026-07-08</t>
        </is>
      </c>
      <c r="E19" s="7" t="inlineStr">
        <is>
          <t>Martins</t>
        </is>
      </c>
      <c r="F19" s="7" t="inlineStr"/>
      <c r="G19" s="7" t="inlineStr"/>
      <c r="H19" s="7" t="inlineStr">
        <is>
          <t>12:30 PM - 12:45 PM</t>
        </is>
      </c>
      <c r="I19" s="7" t="inlineStr">
        <is>
          <t>Tiss, porcine, fem, Pelvic block</t>
        </is>
      </c>
      <c r="J19" s="8" t="inlineStr">
        <is>
          <t>Fail</t>
        </is>
      </c>
      <c r="K19" s="9" t="inlineStr">
        <is>
          <t>right ureter missing, membrane damage in critical area</t>
        </is>
      </c>
      <c r="L19" s="10" t="n"/>
      <c r="M19" s="10" t="n"/>
      <c r="N19" s="11" t="n">
        <v>1</v>
      </c>
      <c r="O19" s="10" t="n"/>
      <c r="P19" s="10" t="n"/>
      <c r="Q19" s="11" t="n">
        <v>1</v>
      </c>
      <c r="R19" s="10" t="n"/>
      <c r="S19" s="10" t="n"/>
      <c r="T19" s="10" t="n"/>
      <c r="U19" s="10" t="n"/>
      <c r="V19" s="12">
        <f>SUM(L19:U19)</f>
        <v/>
      </c>
    </row>
    <row r="20" ht="30" customHeight="1">
      <c r="A20" s="7" t="inlineStr">
        <is>
          <t>B016</t>
        </is>
      </c>
      <c r="B20" s="7" t="inlineStr">
        <is>
          <t>2026-07-10</t>
        </is>
      </c>
      <c r="C20" s="7" t="inlineStr">
        <is>
          <t>2026-07-08</t>
        </is>
      </c>
      <c r="D20" s="7" t="inlineStr">
        <is>
          <t>2026-07-08</t>
        </is>
      </c>
      <c r="E20" s="7" t="inlineStr">
        <is>
          <t>Martins</t>
        </is>
      </c>
      <c r="F20" s="7" t="inlineStr"/>
      <c r="G20" s="7" t="inlineStr"/>
      <c r="H20" s="7" t="inlineStr">
        <is>
          <t>12:30 PM - 12:45 PM</t>
        </is>
      </c>
      <c r="I20" s="7" t="inlineStr">
        <is>
          <t>Tiss, porcine, fem, Pelvic block</t>
        </is>
      </c>
      <c r="J20" s="8" t="inlineStr">
        <is>
          <t>Fail</t>
        </is>
      </c>
      <c r="K20" s="9" t="inlineStr">
        <is>
          <t>membrane damage in critical area, ureters not embedded</t>
        </is>
      </c>
      <c r="L20" s="11" t="n">
        <v>1</v>
      </c>
      <c r="M20" s="10" t="n"/>
      <c r="N20" s="10" t="n"/>
      <c r="O20" s="10" t="n"/>
      <c r="P20" s="10" t="n"/>
      <c r="Q20" s="11" t="n">
        <v>1</v>
      </c>
      <c r="R20" s="10" t="n"/>
      <c r="S20" s="10" t="n"/>
      <c r="T20" s="10" t="n"/>
      <c r="U20" s="10" t="n"/>
      <c r="V20" s="12">
        <f>SUM(L20:U20)</f>
        <v/>
      </c>
    </row>
    <row r="21" ht="30" customHeight="1">
      <c r="A21" s="7" t="inlineStr">
        <is>
          <t>B017</t>
        </is>
      </c>
      <c r="B21" s="7" t="inlineStr">
        <is>
          <t>2026-07-10</t>
        </is>
      </c>
      <c r="C21" s="7" t="inlineStr">
        <is>
          <t>2026-07-08</t>
        </is>
      </c>
      <c r="D21" s="7" t="inlineStr">
        <is>
          <t>2026-07-08</t>
        </is>
      </c>
      <c r="E21" s="7" t="inlineStr">
        <is>
          <t>Martins</t>
        </is>
      </c>
      <c r="F21" s="7" t="inlineStr"/>
      <c r="G21" s="7" t="inlineStr"/>
      <c r="H21" s="7" t="inlineStr">
        <is>
          <t>12:30 PM - 12:45 PM</t>
        </is>
      </c>
      <c r="I21" s="7" t="inlineStr">
        <is>
          <t>Tiss, porcine, fem, Pelvic block</t>
        </is>
      </c>
      <c r="J21" s="8" t="inlineStr">
        <is>
          <t>Fail</t>
        </is>
      </c>
      <c r="K21" s="9" t="inlineStr">
        <is>
          <t>membrane damage in critical area, ureters not embedded</t>
        </is>
      </c>
      <c r="L21" s="11" t="n">
        <v>1</v>
      </c>
      <c r="M21" s="10" t="n"/>
      <c r="N21" s="10" t="n"/>
      <c r="O21" s="10" t="n"/>
      <c r="P21" s="10" t="n"/>
      <c r="Q21" s="11" t="n">
        <v>1</v>
      </c>
      <c r="R21" s="10" t="n"/>
      <c r="S21" s="10" t="n"/>
      <c r="T21" s="10" t="n"/>
      <c r="U21" s="10" t="n"/>
      <c r="V21" s="12">
        <f>SUM(L21:U21)</f>
        <v/>
      </c>
    </row>
    <row r="22" ht="30" customHeight="1">
      <c r="A22" s="7" t="inlineStr">
        <is>
          <t>B018</t>
        </is>
      </c>
      <c r="B22" s="7" t="inlineStr">
        <is>
          <t>2026-07-10</t>
        </is>
      </c>
      <c r="C22" s="7" t="inlineStr">
        <is>
          <t>2026-07-08</t>
        </is>
      </c>
      <c r="D22" s="7" t="inlineStr">
        <is>
          <t>2026-07-08</t>
        </is>
      </c>
      <c r="E22" s="7" t="inlineStr">
        <is>
          <t>Martins</t>
        </is>
      </c>
      <c r="F22" s="7" t="inlineStr"/>
      <c r="G22" s="7" t="inlineStr"/>
      <c r="H22" s="7" t="inlineStr">
        <is>
          <t>12:30 PM - 12:45 PM</t>
        </is>
      </c>
      <c r="I22" s="7" t="inlineStr">
        <is>
          <t>Tiss, porcine, fem, Pelvic block</t>
        </is>
      </c>
      <c r="J22" s="8" t="inlineStr">
        <is>
          <t>Fail</t>
        </is>
      </c>
      <c r="K22" s="9" t="inlineStr">
        <is>
          <t>ureter cut, membrane damage in critital area, right ureter not embedded</t>
        </is>
      </c>
      <c r="L22" s="11" t="n">
        <v>1</v>
      </c>
      <c r="M22" s="11" t="n">
        <v>1</v>
      </c>
      <c r="N22" s="10" t="n"/>
      <c r="O22" s="10" t="n"/>
      <c r="P22" s="10" t="n"/>
      <c r="Q22" s="11" t="n">
        <v>1</v>
      </c>
      <c r="R22" s="10" t="n"/>
      <c r="S22" s="10" t="n"/>
      <c r="T22" s="10" t="n"/>
      <c r="U22" s="10" t="n"/>
      <c r="V22" s="12">
        <f>SUM(L22:U22)</f>
        <v/>
      </c>
    </row>
    <row r="23" ht="30" customHeight="1">
      <c r="A23" s="7" t="inlineStr">
        <is>
          <t>B019</t>
        </is>
      </c>
      <c r="B23" s="7" t="inlineStr">
        <is>
          <t>2026-07-10</t>
        </is>
      </c>
      <c r="C23" s="7" t="inlineStr">
        <is>
          <t>2026-07-08</t>
        </is>
      </c>
      <c r="D23" s="7" t="inlineStr">
        <is>
          <t>2026-07-08</t>
        </is>
      </c>
      <c r="E23" s="7" t="inlineStr">
        <is>
          <t>Martins</t>
        </is>
      </c>
      <c r="F23" s="7" t="inlineStr"/>
      <c r="G23" s="7" t="inlineStr"/>
      <c r="H23" s="7" t="inlineStr">
        <is>
          <t>12:30 PM - 12:45 PM</t>
        </is>
      </c>
      <c r="I23" s="7" t="inlineStr">
        <is>
          <t>Tiss, porcine, fem, Pelvic block</t>
        </is>
      </c>
      <c r="J23" s="8" t="inlineStr">
        <is>
          <t>Fail</t>
        </is>
      </c>
      <c r="K23" s="9" t="inlineStr">
        <is>
          <t>urethra cut, membrnae damage in critial area</t>
        </is>
      </c>
      <c r="L23" s="10" t="n"/>
      <c r="M23" s="10" t="n"/>
      <c r="N23" s="10" t="n"/>
      <c r="O23" s="10" t="n"/>
      <c r="P23" s="11" t="n">
        <v>1</v>
      </c>
      <c r="Q23" s="11" t="n">
        <v>1</v>
      </c>
      <c r="R23" s="10" t="n"/>
      <c r="S23" s="10" t="n"/>
      <c r="T23" s="10" t="n"/>
      <c r="U23" s="10" t="n"/>
      <c r="V23" s="12">
        <f>SUM(L23:U23)</f>
        <v/>
      </c>
    </row>
    <row r="24" ht="30" customHeight="1">
      <c r="A24" s="7" t="inlineStr">
        <is>
          <t>B020</t>
        </is>
      </c>
      <c r="B24" s="7" t="inlineStr">
        <is>
          <t>2026-07-10</t>
        </is>
      </c>
      <c r="C24" s="7" t="inlineStr">
        <is>
          <t>2026-07-08</t>
        </is>
      </c>
      <c r="D24" s="7" t="inlineStr">
        <is>
          <t>2026-07-08</t>
        </is>
      </c>
      <c r="E24" s="7" t="inlineStr">
        <is>
          <t>Martins</t>
        </is>
      </c>
      <c r="F24" s="7" t="inlineStr"/>
      <c r="G24" s="7" t="inlineStr"/>
      <c r="H24" s="7" t="inlineStr">
        <is>
          <t>12:30 PM - 12:45 PM</t>
        </is>
      </c>
      <c r="I24" s="7" t="inlineStr">
        <is>
          <t>Tiss, porcine, fem, Pelvic block</t>
        </is>
      </c>
      <c r="J24" s="8" t="inlineStr">
        <is>
          <t>Fail</t>
        </is>
      </c>
      <c r="K24" s="9" t="inlineStr">
        <is>
          <t>bowel is cut open</t>
        </is>
      </c>
      <c r="L24" s="10" t="n"/>
      <c r="M24" s="10" t="n"/>
      <c r="N24" s="10" t="n"/>
      <c r="O24" s="10" t="n"/>
      <c r="P24" s="10" t="n"/>
      <c r="Q24" s="10" t="n"/>
      <c r="R24" s="10" t="n"/>
      <c r="S24" s="11" t="n">
        <v>1</v>
      </c>
      <c r="T24" s="10" t="n"/>
      <c r="U24" s="10" t="n"/>
      <c r="V24" s="12">
        <f>SUM(L24:U24)</f>
        <v/>
      </c>
    </row>
    <row r="25" ht="30" customHeight="1">
      <c r="A25" s="7" t="inlineStr">
        <is>
          <t>B021</t>
        </is>
      </c>
      <c r="B25" s="7" t="inlineStr">
        <is>
          <t>2026-07-10</t>
        </is>
      </c>
      <c r="C25" s="7" t="inlineStr">
        <is>
          <t>2026-07-08</t>
        </is>
      </c>
      <c r="D25" s="7" t="inlineStr">
        <is>
          <t>2026-07-08</t>
        </is>
      </c>
      <c r="E25" s="7" t="inlineStr">
        <is>
          <t>Martins</t>
        </is>
      </c>
      <c r="F25" s="7" t="inlineStr"/>
      <c r="G25" s="7" t="inlineStr"/>
      <c r="H25" s="7" t="inlineStr">
        <is>
          <t>12:30 PM - 12:45 PM</t>
        </is>
      </c>
      <c r="I25" s="7" t="inlineStr">
        <is>
          <t>Tiss, porcine, fem, Pelvic block</t>
        </is>
      </c>
      <c r="J25" s="8" t="inlineStr">
        <is>
          <t>Fail</t>
        </is>
      </c>
      <c r="K25" s="9" t="inlineStr">
        <is>
          <t>urethra is cut, membrane damage in critical area</t>
        </is>
      </c>
      <c r="L25" s="10" t="n"/>
      <c r="M25" s="10" t="n"/>
      <c r="N25" s="10" t="n"/>
      <c r="O25" s="10" t="n"/>
      <c r="P25" s="11" t="n">
        <v>1</v>
      </c>
      <c r="Q25" s="11" t="n">
        <v>1</v>
      </c>
      <c r="R25" s="10" t="n"/>
      <c r="S25" s="10" t="n"/>
      <c r="T25" s="10" t="n"/>
      <c r="U25" s="10" t="n"/>
      <c r="V25" s="12">
        <f>SUM(L25:U25)</f>
        <v/>
      </c>
    </row>
    <row r="26" ht="30" customHeight="1">
      <c r="A26" s="7" t="inlineStr">
        <is>
          <t>B022</t>
        </is>
      </c>
      <c r="B26" s="7" t="inlineStr">
        <is>
          <t>2026-07-10</t>
        </is>
      </c>
      <c r="C26" s="7" t="inlineStr">
        <is>
          <t>2026-07-08</t>
        </is>
      </c>
      <c r="D26" s="7" t="inlineStr">
        <is>
          <t>2026-07-08</t>
        </is>
      </c>
      <c r="E26" s="7" t="inlineStr">
        <is>
          <t>Martins</t>
        </is>
      </c>
      <c r="F26" s="7" t="inlineStr"/>
      <c r="G26" s="7" t="inlineStr"/>
      <c r="H26" s="7" t="inlineStr">
        <is>
          <t>12:30 PM - 12:45 PM</t>
        </is>
      </c>
      <c r="I26" s="7" t="inlineStr">
        <is>
          <t>Tiss, porcine, fem, Pelvic block</t>
        </is>
      </c>
      <c r="J26" s="8" t="inlineStr">
        <is>
          <t>Fail</t>
        </is>
      </c>
      <c r="K26" s="9" t="inlineStr">
        <is>
          <t>membrane damage in critical area</t>
        </is>
      </c>
      <c r="L26" s="10" t="n"/>
      <c r="M26" s="10" t="n"/>
      <c r="N26" s="10" t="n"/>
      <c r="O26" s="10" t="n"/>
      <c r="P26" s="10" t="n"/>
      <c r="Q26" s="11" t="n">
        <v>1</v>
      </c>
      <c r="R26" s="10" t="n"/>
      <c r="S26" s="10" t="n"/>
      <c r="T26" s="10" t="n"/>
      <c r="U26" s="10" t="n"/>
      <c r="V26" s="12">
        <f>SUM(L26:U26)</f>
        <v/>
      </c>
    </row>
    <row r="27" ht="30" customHeight="1">
      <c r="A27" s="7" t="inlineStr">
        <is>
          <t>B023</t>
        </is>
      </c>
      <c r="B27" s="7" t="inlineStr">
        <is>
          <t>2026-07-10</t>
        </is>
      </c>
      <c r="C27" s="7" t="inlineStr">
        <is>
          <t>2026-07-08</t>
        </is>
      </c>
      <c r="D27" s="7" t="inlineStr">
        <is>
          <t>2026-07-08</t>
        </is>
      </c>
      <c r="E27" s="7" t="inlineStr">
        <is>
          <t>Martins</t>
        </is>
      </c>
      <c r="F27" s="7" t="inlineStr"/>
      <c r="G27" s="7" t="inlineStr"/>
      <c r="H27" s="7" t="inlineStr">
        <is>
          <t>12:30 PM - 12:45 PM</t>
        </is>
      </c>
      <c r="I27" s="7" t="inlineStr">
        <is>
          <t>Tiss, porcine, fem, Pelvic block</t>
        </is>
      </c>
      <c r="J27" s="8" t="inlineStr">
        <is>
          <t>Fail</t>
        </is>
      </c>
      <c r="K27" s="9" t="inlineStr">
        <is>
          <t>membrane damage in critical area</t>
        </is>
      </c>
      <c r="L27" s="10" t="n"/>
      <c r="M27" s="10" t="n"/>
      <c r="N27" s="10" t="n"/>
      <c r="O27" s="10" t="n"/>
      <c r="P27" s="10" t="n"/>
      <c r="Q27" s="11" t="n">
        <v>1</v>
      </c>
      <c r="R27" s="10" t="n"/>
      <c r="S27" s="10" t="n"/>
      <c r="T27" s="10" t="n"/>
      <c r="U27" s="10" t="n"/>
      <c r="V27" s="12">
        <f>SUM(L27:U27)</f>
        <v/>
      </c>
    </row>
    <row r="28" ht="30" customHeight="1">
      <c r="A28" s="7" t="inlineStr">
        <is>
          <t>B024</t>
        </is>
      </c>
      <c r="B28" s="7" t="inlineStr">
        <is>
          <t>2026-07-10</t>
        </is>
      </c>
      <c r="C28" s="7" t="inlineStr">
        <is>
          <t>2026-07-08</t>
        </is>
      </c>
      <c r="D28" s="7" t="inlineStr">
        <is>
          <t>2026-07-08</t>
        </is>
      </c>
      <c r="E28" s="7" t="inlineStr">
        <is>
          <t>Martins</t>
        </is>
      </c>
      <c r="F28" s="7" t="inlineStr"/>
      <c r="G28" s="7" t="inlineStr"/>
      <c r="H28" s="7" t="inlineStr">
        <is>
          <t>12:30 PM - 12:45 PM</t>
        </is>
      </c>
      <c r="I28" s="7" t="inlineStr">
        <is>
          <t>Tiss, porcine, fem, Pelvic block</t>
        </is>
      </c>
      <c r="J28" s="8" t="inlineStr">
        <is>
          <t>Fail</t>
        </is>
      </c>
      <c r="K28" s="9" t="inlineStr">
        <is>
          <t>membrane damage in critical area</t>
        </is>
      </c>
      <c r="L28" s="10" t="n"/>
      <c r="M28" s="10" t="n"/>
      <c r="N28" s="10" t="n"/>
      <c r="O28" s="10" t="n"/>
      <c r="P28" s="10" t="n"/>
      <c r="Q28" s="11" t="n">
        <v>1</v>
      </c>
      <c r="R28" s="10" t="n"/>
      <c r="S28" s="10" t="n"/>
      <c r="T28" s="10" t="n"/>
      <c r="U28" s="10" t="n"/>
      <c r="V28" s="12">
        <f>SUM(L28:U28)</f>
        <v/>
      </c>
    </row>
    <row r="29" ht="30" customHeight="1">
      <c r="A29" s="7" t="inlineStr">
        <is>
          <t>B025</t>
        </is>
      </c>
      <c r="B29" s="7" t="inlineStr">
        <is>
          <t>2026-07-10</t>
        </is>
      </c>
      <c r="C29" s="7" t="inlineStr">
        <is>
          <t>2026-07-08</t>
        </is>
      </c>
      <c r="D29" s="7" t="inlineStr">
        <is>
          <t>2026-07-08</t>
        </is>
      </c>
      <c r="E29" s="7" t="inlineStr">
        <is>
          <t>Martins</t>
        </is>
      </c>
      <c r="F29" s="7" t="inlineStr"/>
      <c r="G29" s="7" t="inlineStr"/>
      <c r="H29" s="7" t="inlineStr">
        <is>
          <t>12:30 PM - 12:45 PM</t>
        </is>
      </c>
      <c r="I29" s="7" t="inlineStr">
        <is>
          <t>Tiss, porcine, fem, Pelvic block</t>
        </is>
      </c>
      <c r="J29" s="8" t="inlineStr">
        <is>
          <t>Fail</t>
        </is>
      </c>
      <c r="K29" s="9" t="inlineStr">
        <is>
          <t>membrane damage in critical area</t>
        </is>
      </c>
      <c r="L29" s="10" t="n"/>
      <c r="M29" s="10" t="n"/>
      <c r="N29" s="10" t="n"/>
      <c r="O29" s="10" t="n"/>
      <c r="P29" s="10" t="n"/>
      <c r="Q29" s="11" t="n">
        <v>1</v>
      </c>
      <c r="R29" s="10" t="n"/>
      <c r="S29" s="10" t="n"/>
      <c r="T29" s="10" t="n"/>
      <c r="U29" s="10" t="n"/>
      <c r="V29" s="12">
        <f>SUM(L29:U29)</f>
        <v/>
      </c>
    </row>
    <row r="30" ht="16" customHeight="1">
      <c r="A30" s="7" t="inlineStr">
        <is>
          <t>B026</t>
        </is>
      </c>
      <c r="B30" s="7" t="inlineStr">
        <is>
          <t>2026-07-10</t>
        </is>
      </c>
      <c r="C30" s="7" t="inlineStr">
        <is>
          <t>2026-07-08</t>
        </is>
      </c>
      <c r="D30" s="7" t="inlineStr">
        <is>
          <t>2026-07-08</t>
        </is>
      </c>
      <c r="E30" s="7" t="inlineStr">
        <is>
          <t>Martins</t>
        </is>
      </c>
      <c r="F30" s="7" t="inlineStr"/>
      <c r="G30" s="7" t="inlineStr"/>
      <c r="H30" s="7" t="inlineStr">
        <is>
          <t>12:30 PM - 12:45 PM</t>
        </is>
      </c>
      <c r="I30" s="7" t="inlineStr">
        <is>
          <t>Tiss, porcine, fem, Pelvic block</t>
        </is>
      </c>
      <c r="J30" s="13" t="inlineStr">
        <is>
          <t>Pass</t>
        </is>
      </c>
      <c r="K30" s="9" t="inlineStr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2">
        <f>SUM(L30:U30)</f>
        <v/>
      </c>
    </row>
  </sheetData>
  <mergeCells count="2">
    <mergeCell ref="A2:V2"/>
    <mergeCell ref="A1:V1"/>
  </mergeCells>
  <dataValidations count="2">
    <dataValidation sqref="J5:J405" showDropDown="0" showInputMessage="0" showErrorMessage="0" allowBlank="1" type="list">
      <formula1>"Pass,Fail"</formula1>
    </dataValidation>
    <dataValidation sqref="L5:U405" showDropDown="0" showInputMessage="0" showErrorMessage="0" allowBlank="1" type="list">
      <formula1>"1"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0" customWidth="1" min="3" max="3"/>
    <col width="9" customWidth="1" min="4" max="4"/>
    <col width="30" customWidth="1" min="5" max="5"/>
    <col width="18" customWidth="1" min="6" max="6"/>
    <col width="16" customWidth="1" min="7" max="7"/>
    <col width="38" customWidth="1" min="8" max="8"/>
    <col width="42" customWidth="1" min="9" max="9"/>
    <col width="30" customWidth="1" min="10" max="10"/>
  </cols>
  <sheetData>
    <row r="1" ht="30" customHeight="1">
      <c r="A1" s="1" t="inlineStr">
        <is>
          <t>DEFECT TAXONOMY &amp; ROOT-CAUSE MAP</t>
        </is>
      </c>
    </row>
    <row r="2" ht="18" customHeight="1">
      <c r="A2" s="2" t="inlineStr">
        <is>
          <t>The controlled vocabulary. Every scrap reason must map to a code here. This is where a defect is traced back to the supplier's process.</t>
        </is>
      </c>
    </row>
    <row r="4" ht="30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Definition</t>
        </is>
      </c>
      <c r="D4" s="6" t="inlineStr">
        <is>
          <t>Severity</t>
        </is>
      </c>
      <c r="E4" s="6" t="inlineStr">
        <is>
          <t>Likely Process Step (where it's born)</t>
        </is>
      </c>
      <c r="F4" s="6" t="inlineStr">
        <is>
          <t>Supplier Station</t>
        </is>
      </c>
      <c r="G4" s="6" t="inlineStr">
        <is>
          <t>Root-Cause Category (6M)</t>
        </is>
      </c>
      <c r="H4" s="6" t="inlineStr">
        <is>
          <t>Likely Mechanism</t>
        </is>
      </c>
      <c r="I4" s="6" t="inlineStr">
        <is>
          <t>Recommended Corrective Action (to supplier)</t>
        </is>
      </c>
      <c r="J4" s="6" t="inlineStr">
        <is>
          <t>Lessons Learned  (fill in over time)</t>
        </is>
      </c>
    </row>
    <row r="5" ht="46" customHeight="1">
      <c r="A5" s="14" t="inlineStr">
        <is>
          <t>D1</t>
        </is>
      </c>
      <c r="B5" s="9" t="inlineStr">
        <is>
          <t>Ureters not embedded</t>
        </is>
      </c>
      <c r="C5" s="9" t="inlineStr">
        <is>
          <t>Ureter(s) dislodged/stripped from the surrounding pelvic fat &amp; fascia; no longer seated in tissue.</t>
        </is>
      </c>
      <c r="D5" s="15" t="inlineStr">
        <is>
          <t>Major</t>
        </is>
      </c>
      <c r="E5" s="9" t="inlineStr">
        <is>
          <t>Gut/pluck removal (traction) + pit handling</t>
        </is>
      </c>
      <c r="F5" s="7" t="inlineStr">
        <is>
          <t>S3 Evisceration</t>
        </is>
      </c>
      <c r="G5" s="9" t="inlineStr">
        <is>
          <t>Method / Handling</t>
        </is>
      </c>
      <c r="H5" s="9" t="inlineStr">
        <is>
          <t>Tensile traction: block pulled/stripped so fascia separates from ureter; over-trim.</t>
        </is>
      </c>
      <c r="I5" s="9" t="inlineStr">
        <is>
          <t>Standardize gut-pull technique &amp; pull-force; reduce stripping of perirenal fat; gentler drop to pit.</t>
        </is>
      </c>
      <c r="J5" s="16" t="inlineStr"/>
    </row>
    <row r="6" ht="46" customHeight="1">
      <c r="A6" s="14" t="inlineStr">
        <is>
          <t>D2</t>
        </is>
      </c>
      <c r="B6" s="9" t="inlineStr">
        <is>
          <t>Ureter cut / severed</t>
        </is>
      </c>
      <c r="C6" s="9" t="inlineStr">
        <is>
          <t>Ureter partially or fully transected (sharp cut edge).</t>
        </is>
      </c>
      <c r="D6" s="15" t="inlineStr">
        <is>
          <t>Major</t>
        </is>
      </c>
      <c r="E6" s="9" t="inlineStr">
        <is>
          <t>Evisceration knife / splitting saw</t>
        </is>
      </c>
      <c r="F6" s="7" t="inlineStr">
        <is>
          <t>S3 Evisceration</t>
        </is>
      </c>
      <c r="G6" s="9" t="inlineStr">
        <is>
          <t>Machine / Method</t>
        </is>
      </c>
      <c r="H6" s="9" t="inlineStr">
        <is>
          <t>Sharp laceration by evisceration knife or off-line pelvic saw path.</t>
        </is>
      </c>
      <c r="I6" s="9" t="inlineStr">
        <is>
          <t>Retrain knife path around pelvic organs; verify saw alignment through symphysis.</t>
        </is>
      </c>
      <c r="J6" s="16" t="inlineStr"/>
    </row>
    <row r="7" ht="46" customHeight="1">
      <c r="A7" s="14" t="inlineStr">
        <is>
          <t>D3</t>
        </is>
      </c>
      <c r="B7" s="9" t="inlineStr">
        <is>
          <t>Ureter missing</t>
        </is>
      </c>
      <c r="C7" s="9" t="inlineStr">
        <is>
          <t>One ureter (left or right) absent from the block.</t>
        </is>
      </c>
      <c r="D7" s="15" t="inlineStr">
        <is>
          <t>Major</t>
        </is>
      </c>
      <c r="E7" s="9" t="inlineStr">
        <is>
          <t>Bung dropping / splitting (over-cut) or lost in handling</t>
        </is>
      </c>
      <c r="F7" s="7" t="inlineStr">
        <is>
          <t>S2 Bung dropping</t>
        </is>
      </c>
      <c r="G7" s="9" t="inlineStr">
        <is>
          <t>Method / Handling</t>
        </is>
      </c>
      <c r="H7" s="9" t="inlineStr">
        <is>
          <t>Over-aggressive bung/pelvic cut removes ureter, or ureter lost during drop/collection.</t>
        </is>
      </c>
      <c r="I7" s="9" t="inlineStr">
        <is>
          <t>Tighten bung-dropping cut boundary; audit pit collection for detached tissue.</t>
        </is>
      </c>
      <c r="J7" s="16" t="inlineStr"/>
    </row>
    <row r="8" ht="46" customHeight="1">
      <c r="A8" s="14" t="inlineStr">
        <is>
          <t>D4</t>
        </is>
      </c>
      <c r="B8" s="9" t="inlineStr">
        <is>
          <t>Suspensory ligaments damaged</t>
        </is>
      </c>
      <c r="C8" s="9" t="inlineStr">
        <is>
          <t>Suspensory ligament(s) of the pelvic block torn/frayed.</t>
        </is>
      </c>
      <c r="D8" s="15" t="inlineStr">
        <is>
          <t>Major</t>
        </is>
      </c>
      <c r="E8" s="9" t="inlineStr">
        <is>
          <t>Gut pull (traction) + handling</t>
        </is>
      </c>
      <c r="F8" s="7" t="inlineStr">
        <is>
          <t>S3 Evisceration</t>
        </is>
      </c>
      <c r="G8" s="9" t="inlineStr">
        <is>
          <t>Method / Handling</t>
        </is>
      </c>
      <c r="H8" s="9" t="inlineStr">
        <is>
          <t>Excessive pull force / rough handling tears ligament attachments.</t>
        </is>
      </c>
      <c r="I8" s="9" t="inlineStr">
        <is>
          <t>Control pull-force &amp; angle on gut set removal; handle block by support surface, not by ligaments.</t>
        </is>
      </c>
      <c r="J8" s="16" t="inlineStr"/>
    </row>
    <row r="9" ht="46" customHeight="1">
      <c r="A9" s="14" t="inlineStr">
        <is>
          <t>D5</t>
        </is>
      </c>
      <c r="B9" s="9" t="inlineStr">
        <is>
          <t>Urethra cut</t>
        </is>
      </c>
      <c r="C9" s="9" t="inlineStr">
        <is>
          <t>Urethra transected (sharp cut).</t>
        </is>
      </c>
      <c r="D9" s="15" t="inlineStr">
        <is>
          <t>Major</t>
        </is>
      </c>
      <c r="E9" s="9" t="inlineStr">
        <is>
          <t>Carcass splitting saw / bung dropping</t>
        </is>
      </c>
      <c r="F9" s="7" t="inlineStr">
        <is>
          <t>S4 Carcass splitting</t>
        </is>
      </c>
      <c r="G9" s="9" t="inlineStr">
        <is>
          <t>Machine / Method</t>
        </is>
      </c>
      <c r="H9" s="9" t="inlineStr">
        <is>
          <t>Splitting saw off-center through pelvis, or bung-drop cut catches urethra.</t>
        </is>
      </c>
      <c r="I9" s="9" t="inlineStr">
        <is>
          <t>Center pelvic split on symphysis; calibrate/align splitting saw; slow through pelvic zone.</t>
        </is>
      </c>
      <c r="J9" s="16" t="inlineStr"/>
    </row>
    <row r="10" ht="46" customHeight="1">
      <c r="A10" s="14" t="inlineStr">
        <is>
          <t>D6</t>
        </is>
      </c>
      <c r="B10" s="9" t="inlineStr">
        <is>
          <t>Membrane damage in critical area</t>
        </is>
      </c>
      <c r="C10" s="9" t="inlineStr">
        <is>
          <t>Hole/tear in the membrane separating bowel from the pelvic organs, in the critical (functional) zone.</t>
        </is>
      </c>
      <c r="D10" s="8" t="inlineStr">
        <is>
          <t>Critical</t>
        </is>
      </c>
      <c r="E10" s="9" t="inlineStr">
        <is>
          <t>Evisceration knife technique / bung dropping</t>
        </is>
      </c>
      <c r="F10" s="7" t="inlineStr">
        <is>
          <t>S3 Evisceration</t>
        </is>
      </c>
      <c r="G10" s="9" t="inlineStr">
        <is>
          <t>Method / Man</t>
        </is>
      </c>
      <c r="H10" s="9" t="inlineStr">
        <is>
          <t>Knife nick or tensile tear of membrane during gut removal / bung loosening.</t>
        </is>
      </c>
      <c r="I10" s="9" t="inlineStr">
        <is>
          <t>Retrain evisceration knife depth &amp; path; slow line in pelvic zone; blunt-dissect where possible.</t>
        </is>
      </c>
      <c r="J10" s="16" t="inlineStr"/>
    </row>
    <row r="11" ht="46" customHeight="1">
      <c r="A11" s="14" t="inlineStr">
        <is>
          <t>D7</t>
        </is>
      </c>
      <c r="B11" s="9" t="inlineStr">
        <is>
          <t>Bladder deformed / deformed attachment</t>
        </is>
      </c>
      <c r="C11" s="9" t="inlineStr">
        <is>
          <t>Bladder misshapen or attachment distorted.</t>
        </is>
      </c>
      <c r="D11" s="17" t="inlineStr">
        <is>
          <t>Minor</t>
        </is>
      </c>
      <c r="E11" s="9" t="inlineStr">
        <is>
          <t>Live-animal fill state / handling pressure</t>
        </is>
      </c>
      <c r="F11" s="7" t="inlineStr">
        <is>
          <t>S6 Live / physiology</t>
        </is>
      </c>
      <c r="G11" s="9" t="inlineStr">
        <is>
          <t>Material / Handling</t>
        </is>
      </c>
      <c r="H11" s="9" t="inlineStr">
        <is>
          <t>Distended (full) bladder at slaughter, or compression during handling.</t>
        </is>
      </c>
      <c r="I11" s="9" t="inlineStr">
        <is>
          <t>Manage lairage/feed-water timing to reduce bladder fill; avoid compressing block.</t>
        </is>
      </c>
      <c r="J11" s="16" t="inlineStr"/>
    </row>
    <row r="12" ht="46" customHeight="1">
      <c r="A12" s="14" t="inlineStr">
        <is>
          <t>D8</t>
        </is>
      </c>
      <c r="B12" s="9" t="inlineStr">
        <is>
          <t>Bowel cut / opened / separated</t>
        </is>
      </c>
      <c r="C12" s="9" t="inlineStr">
        <is>
          <t>Bowel integrity breached (cut open or separated from block).  FOOD-SAFETY / contamination risk.</t>
        </is>
      </c>
      <c r="D12" s="8" t="inlineStr">
        <is>
          <t>Critical</t>
        </is>
      </c>
      <c r="E12" s="9" t="inlineStr">
        <is>
          <t>Evisceration / bung dropping</t>
        </is>
      </c>
      <c r="F12" s="7" t="inlineStr">
        <is>
          <t>S3 Evisceration</t>
        </is>
      </c>
      <c r="G12" s="9" t="inlineStr">
        <is>
          <t>Method / Man</t>
        </is>
      </c>
      <c r="H12" s="9" t="inlineStr">
        <is>
          <t>Knife slip or aggressive bung separation opens/severs bowel.</t>
        </is>
      </c>
      <c r="I12" s="9" t="inlineStr">
        <is>
          <t>Reinforce bung-bagging/tie-off; retrain knife path; treat as contamination CCP at supplier.</t>
        </is>
      </c>
      <c r="J12" s="16" t="inlineStr"/>
    </row>
    <row r="13" ht="46" customHeight="1">
      <c r="A13" s="14" t="inlineStr">
        <is>
          <t>D9</t>
        </is>
      </c>
      <c r="B13" s="9" t="inlineStr">
        <is>
          <t>Blood clots</t>
        </is>
      </c>
      <c r="C13" s="9" t="inlineStr">
        <is>
          <t>Retained blood clots in the tissue block.</t>
        </is>
      </c>
      <c r="D13" s="17" t="inlineStr">
        <is>
          <t>Minor</t>
        </is>
      </c>
      <c r="E13" s="9" t="inlineStr">
        <is>
          <t>Sticking / bleeding efficiency</t>
        </is>
      </c>
      <c r="F13" s="7" t="inlineStr">
        <is>
          <t>S1 Sticking / Bleeding</t>
        </is>
      </c>
      <c r="G13" s="9" t="inlineStr">
        <is>
          <t>Method</t>
        </is>
      </c>
      <c r="H13" s="9" t="inlineStr">
        <is>
          <t>Incomplete exsanguination (stick placement / stun-to-stick interval / bleed time).</t>
        </is>
      </c>
      <c r="I13" s="9" t="inlineStr">
        <is>
          <t>Verify stick placement &amp; bleed-out time; check stun-to-stick interval.</t>
        </is>
      </c>
      <c r="J13" s="16" t="inlineStr"/>
    </row>
    <row r="14" ht="46" customHeight="1">
      <c r="A14" s="14" t="inlineStr">
        <is>
          <t>D10</t>
        </is>
      </c>
      <c r="B14" s="9" t="inlineStr">
        <is>
          <t>Broad ligament hole / tear</t>
        </is>
      </c>
      <c r="C14" s="9" t="inlineStr">
        <is>
          <t>Large hole/tear in the broad ligament.</t>
        </is>
      </c>
      <c r="D14" s="15" t="inlineStr">
        <is>
          <t>Major</t>
        </is>
      </c>
      <c r="E14" s="9" t="inlineStr">
        <is>
          <t>Evisceration / bung dropping</t>
        </is>
      </c>
      <c r="F14" s="7" t="inlineStr">
        <is>
          <t>S3 Evisceration</t>
        </is>
      </c>
      <c r="G14" s="9" t="inlineStr">
        <is>
          <t>Method / Handling</t>
        </is>
      </c>
      <c r="H14" s="9" t="inlineStr">
        <is>
          <t>Traction tear or knife nick near broad ligament during gut removal.</t>
        </is>
      </c>
      <c r="I14" s="9" t="inlineStr">
        <is>
          <t>Control pull-force; retrain knife path near broad ligament.</t>
        </is>
      </c>
      <c r="J14" s="16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3" customWidth="1" min="4" max="4"/>
    <col width="24" customWidth="1" min="5" max="5"/>
    <col width="10" customWidth="1" min="6" max="6"/>
  </cols>
  <sheetData>
    <row r="1" ht="30" customHeight="1">
      <c r="A1" s="1" t="inlineStr">
        <is>
          <t>PARETO — DEFECT FREQUENCY &amp; SUPPLIER-STATION ROLLUP</t>
        </is>
      </c>
    </row>
    <row r="2" ht="18" customHeight="1">
      <c r="A2" s="2" t="inlineStr">
        <is>
          <t>Counts pull live from the Inspection Log. Fix the 'vital few' (cumulative line to ~80%) first. Re-sort high-&gt;low if ranking changes.</t>
        </is>
      </c>
    </row>
    <row r="4">
      <c r="A4" s="18" t="inlineStr">
        <is>
          <t>A.  DEFECT PARETO  (by occurrence across all inspected blocks)</t>
        </is>
      </c>
    </row>
    <row r="5" ht="24" customHeight="1">
      <c r="A5" s="6" t="inlineStr">
        <is>
          <t>Rank</t>
        </is>
      </c>
      <c r="B5" s="6" t="inlineStr">
        <is>
          <t>Code</t>
        </is>
      </c>
      <c r="C5" s="6" t="inlineStr">
        <is>
          <t>Defect Mode</t>
        </is>
      </c>
      <c r="D5" s="6" t="inlineStr">
        <is>
          <t>Count</t>
        </is>
      </c>
      <c r="E5" s="6" t="inlineStr">
        <is>
          <t>% of Total</t>
        </is>
      </c>
      <c r="F5" s="6" t="inlineStr">
        <is>
          <t>Cumulative %</t>
        </is>
      </c>
    </row>
    <row r="6">
      <c r="A6" s="19" t="n">
        <v>1</v>
      </c>
      <c r="B6" s="20" t="inlineStr">
        <is>
          <t>D6</t>
        </is>
      </c>
      <c r="C6" s="21" t="inlineStr">
        <is>
          <t>Membrane damage in critical area</t>
        </is>
      </c>
      <c r="D6" s="12">
        <f>SUM('Inspection Log'!Q5:Q430)</f>
        <v/>
      </c>
      <c r="E6" s="22">
        <f>D6/SUM('Inspection Log'!L5:U430)</f>
        <v/>
      </c>
      <c r="F6" s="22">
        <f>E6</f>
        <v/>
      </c>
    </row>
    <row r="7">
      <c r="A7" s="19" t="n">
        <v>2</v>
      </c>
      <c r="B7" s="20" t="inlineStr">
        <is>
          <t>D1</t>
        </is>
      </c>
      <c r="C7" s="21" t="inlineStr">
        <is>
          <t>Ureters not embedded</t>
        </is>
      </c>
      <c r="D7" s="12">
        <f>SUM('Inspection Log'!L5:L430)</f>
        <v/>
      </c>
      <c r="E7" s="22">
        <f>D7/SUM('Inspection Log'!L5:U430)</f>
        <v/>
      </c>
      <c r="F7" s="22">
        <f>F6+E7</f>
        <v/>
      </c>
    </row>
    <row r="8">
      <c r="A8" s="19" t="n">
        <v>3</v>
      </c>
      <c r="B8" s="20" t="inlineStr">
        <is>
          <t>D4</t>
        </is>
      </c>
      <c r="C8" s="21" t="inlineStr">
        <is>
          <t>Suspensory ligaments damaged</t>
        </is>
      </c>
      <c r="D8" s="12">
        <f>SUM('Inspection Log'!O5:O430)</f>
        <v/>
      </c>
      <c r="E8" s="22">
        <f>D8/SUM('Inspection Log'!L5:U430)</f>
        <v/>
      </c>
      <c r="F8" s="22">
        <f>F7+E8</f>
        <v/>
      </c>
    </row>
    <row r="9">
      <c r="A9" s="19" t="n">
        <v>4</v>
      </c>
      <c r="B9" s="20" t="inlineStr">
        <is>
          <t>D5</t>
        </is>
      </c>
      <c r="C9" s="21" t="inlineStr">
        <is>
          <t>Urethra cut</t>
        </is>
      </c>
      <c r="D9" s="12">
        <f>SUM('Inspection Log'!P5:P430)</f>
        <v/>
      </c>
      <c r="E9" s="22">
        <f>D9/SUM('Inspection Log'!L5:U430)</f>
        <v/>
      </c>
      <c r="F9" s="22">
        <f>F8+E9</f>
        <v/>
      </c>
    </row>
    <row r="10">
      <c r="A10" s="19" t="n">
        <v>5</v>
      </c>
      <c r="B10" s="20" t="inlineStr">
        <is>
          <t>D3</t>
        </is>
      </c>
      <c r="C10" s="23" t="inlineStr">
        <is>
          <t>Ureter missing</t>
        </is>
      </c>
      <c r="D10" s="12">
        <f>SUM('Inspection Log'!N5:N430)</f>
        <v/>
      </c>
      <c r="E10" s="22">
        <f>D10/SUM('Inspection Log'!L5:U430)</f>
        <v/>
      </c>
      <c r="F10" s="22">
        <f>F9+E10</f>
        <v/>
      </c>
    </row>
    <row r="11">
      <c r="A11" s="19" t="n">
        <v>6</v>
      </c>
      <c r="B11" s="20" t="inlineStr">
        <is>
          <t>D8</t>
        </is>
      </c>
      <c r="C11" s="23" t="inlineStr">
        <is>
          <t>Bowel cut / opened / separated</t>
        </is>
      </c>
      <c r="D11" s="12">
        <f>SUM('Inspection Log'!S5:S430)</f>
        <v/>
      </c>
      <c r="E11" s="22">
        <f>D11/SUM('Inspection Log'!L5:U430)</f>
        <v/>
      </c>
      <c r="F11" s="22">
        <f>F10+E11</f>
        <v/>
      </c>
    </row>
    <row r="12">
      <c r="A12" s="19" t="n">
        <v>7</v>
      </c>
      <c r="B12" s="20" t="inlineStr">
        <is>
          <t>D2</t>
        </is>
      </c>
      <c r="C12" s="23" t="inlineStr">
        <is>
          <t>Ureter cut / severed</t>
        </is>
      </c>
      <c r="D12" s="12">
        <f>SUM('Inspection Log'!M5:M430)</f>
        <v/>
      </c>
      <c r="E12" s="22">
        <f>D12/SUM('Inspection Log'!L5:U430)</f>
        <v/>
      </c>
      <c r="F12" s="22">
        <f>F11+E12</f>
        <v/>
      </c>
    </row>
    <row r="13">
      <c r="A13" s="19" t="n">
        <v>8</v>
      </c>
      <c r="B13" s="20" t="inlineStr">
        <is>
          <t>D7</t>
        </is>
      </c>
      <c r="C13" s="23" t="inlineStr">
        <is>
          <t>Bladder deformed / deformed attachment</t>
        </is>
      </c>
      <c r="D13" s="12">
        <f>SUM('Inspection Log'!R5:R430)</f>
        <v/>
      </c>
      <c r="E13" s="22">
        <f>D13/SUM('Inspection Log'!L5:U430)</f>
        <v/>
      </c>
      <c r="F13" s="22">
        <f>F12+E13</f>
        <v/>
      </c>
    </row>
    <row r="14">
      <c r="A14" s="19" t="n">
        <v>9</v>
      </c>
      <c r="B14" s="20" t="inlineStr">
        <is>
          <t>D9</t>
        </is>
      </c>
      <c r="C14" s="23" t="inlineStr">
        <is>
          <t>Blood clots</t>
        </is>
      </c>
      <c r="D14" s="12">
        <f>SUM('Inspection Log'!T5:T430)</f>
        <v/>
      </c>
      <c r="E14" s="22">
        <f>D14/SUM('Inspection Log'!L5:U430)</f>
        <v/>
      </c>
      <c r="F14" s="22">
        <f>F13+E14</f>
        <v/>
      </c>
    </row>
    <row r="15">
      <c r="A15" s="19" t="n">
        <v>10</v>
      </c>
      <c r="B15" s="20" t="inlineStr">
        <is>
          <t>D10</t>
        </is>
      </c>
      <c r="C15" s="23" t="inlineStr">
        <is>
          <t>Broad ligament hole / tear</t>
        </is>
      </c>
      <c r="D15" s="12">
        <f>SUM('Inspection Log'!U5:U430)</f>
        <v/>
      </c>
      <c r="E15" s="22">
        <f>D15/SUM('Inspection Log'!L5:U430)</f>
        <v/>
      </c>
      <c r="F15" s="22">
        <f>F14+E15</f>
        <v/>
      </c>
    </row>
    <row r="16">
      <c r="A16" s="24" t="n"/>
      <c r="B16" s="24" t="n"/>
      <c r="C16" s="25" t="inlineStr">
        <is>
          <t>TOTAL</t>
        </is>
      </c>
      <c r="D16" s="26">
        <f>SUM(D6:D15)</f>
        <v/>
      </c>
      <c r="E16" s="27">
        <f>D16/SUM('Inspection Log'!L5:U430)</f>
        <v/>
      </c>
      <c r="F16" s="24" t="n"/>
    </row>
    <row r="19">
      <c r="A19" s="18" t="inlineStr">
        <is>
          <t>B.  ROLLUP BY SUPPLIER STATION  (which station to fix first)</t>
        </is>
      </c>
    </row>
    <row r="20" ht="24" customHeight="1">
      <c r="A20" s="6" t="inlineStr">
        <is>
          <t>Station</t>
        </is>
      </c>
      <c r="B20" s="6" t="inlineStr">
        <is>
          <t>Station Name</t>
        </is>
      </c>
      <c r="C20" s="6" t="inlineStr">
        <is>
          <t>Defect Count</t>
        </is>
      </c>
      <c r="D20" s="6" t="inlineStr">
        <is>
          <t>% of Total</t>
        </is>
      </c>
      <c r="E20" s="6" t="inlineStr">
        <is>
          <t>Defect Codes</t>
        </is>
      </c>
    </row>
    <row r="21">
      <c r="A21" s="28" t="inlineStr">
        <is>
          <t>S3</t>
        </is>
      </c>
      <c r="B21" s="29" t="inlineStr">
        <is>
          <t>Evisceration</t>
        </is>
      </c>
      <c r="C21" s="30">
        <f>SUM('Inspection Log'!L5:L430)+SUM('Inspection Log'!M5:M430)+SUM('Inspection Log'!O5:O430)+SUM('Inspection Log'!Q5:Q430)+SUM('Inspection Log'!S5:S430)+SUM('Inspection Log'!U5:U430)</f>
        <v/>
      </c>
      <c r="D21" s="31">
        <f>C21/SUM('Inspection Log'!L5:U430)</f>
        <v/>
      </c>
      <c r="E21" s="29" t="inlineStr">
        <is>
          <t>D1, D2, D4, D6, D8, D10</t>
        </is>
      </c>
    </row>
    <row r="22">
      <c r="A22" s="20" t="inlineStr">
        <is>
          <t>S4</t>
        </is>
      </c>
      <c r="B22" s="23" t="inlineStr">
        <is>
          <t>Carcass splitting</t>
        </is>
      </c>
      <c r="C22" s="12">
        <f>SUM('Inspection Log'!P5:P430)</f>
        <v/>
      </c>
      <c r="D22" s="22">
        <f>C22/SUM('Inspection Log'!L5:U430)</f>
        <v/>
      </c>
      <c r="E22" s="23" t="inlineStr">
        <is>
          <t>D5</t>
        </is>
      </c>
    </row>
    <row r="23">
      <c r="A23" s="20" t="inlineStr">
        <is>
          <t>S2</t>
        </is>
      </c>
      <c r="B23" s="23" t="inlineStr">
        <is>
          <t>Bung dropping</t>
        </is>
      </c>
      <c r="C23" s="12">
        <f>SUM('Inspection Log'!N5:N430)</f>
        <v/>
      </c>
      <c r="D23" s="22">
        <f>C23/SUM('Inspection Log'!L5:U430)</f>
        <v/>
      </c>
      <c r="E23" s="23" t="inlineStr">
        <is>
          <t>D3</t>
        </is>
      </c>
    </row>
    <row r="24">
      <c r="A24" s="20" t="inlineStr">
        <is>
          <t>S6</t>
        </is>
      </c>
      <c r="B24" s="23" t="inlineStr">
        <is>
          <t>Live / physiology</t>
        </is>
      </c>
      <c r="C24" s="12">
        <f>SUM('Inspection Log'!R5:R430)</f>
        <v/>
      </c>
      <c r="D24" s="22">
        <f>C24/SUM('Inspection Log'!L5:U430)</f>
        <v/>
      </c>
      <c r="E24" s="23" t="inlineStr">
        <is>
          <t>D7</t>
        </is>
      </c>
    </row>
    <row r="25">
      <c r="A25" s="20" t="inlineStr">
        <is>
          <t>S1</t>
        </is>
      </c>
      <c r="B25" s="23" t="inlineStr">
        <is>
          <t>Sticking / Bleeding</t>
        </is>
      </c>
      <c r="C25" s="12">
        <f>SUM('Inspection Log'!T5:T430)</f>
        <v/>
      </c>
      <c r="D25" s="22">
        <f>C25/SUM('Inspection Log'!L5:U430)</f>
        <v/>
      </c>
      <c r="E25" s="23" t="inlineStr">
        <is>
          <t>D9</t>
        </is>
      </c>
    </row>
  </sheetData>
  <mergeCells count="4">
    <mergeCell ref="A19:F19"/>
    <mergeCell ref="A2:F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22" customWidth="1" min="7" max="7"/>
    <col width="30" customWidth="1" min="8" max="8"/>
    <col width="16" customWidth="1" min="9" max="9"/>
    <col width="12" customWidth="1" min="10" max="10"/>
    <col width="9" customWidth="1" min="11" max="11"/>
    <col width="26" customWidth="1" min="12" max="12"/>
  </cols>
  <sheetData>
    <row r="1" ht="30" customHeight="1">
      <c r="A1" s="1" t="inlineStr">
        <is>
          <t>ROOT CAUSE — 5-WHY WORKSHEET</t>
        </is>
      </c>
    </row>
    <row r="2" ht="18" customHeight="1">
      <c r="A2" s="2" t="inlineStr">
        <is>
          <t>Seeded with a starting hypothesis chain for the vital-few defects. Drive each chain to a true root cause with the supplier, then log the countermeasure &amp; lesson.</t>
        </is>
      </c>
    </row>
    <row r="4" ht="26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Why 1</t>
        </is>
      </c>
      <c r="D4" s="6" t="inlineStr">
        <is>
          <t>Why 2</t>
        </is>
      </c>
      <c r="E4" s="6" t="inlineStr">
        <is>
          <t>Why 3</t>
        </is>
      </c>
      <c r="F4" s="6" t="inlineStr">
        <is>
          <t>Why 4</t>
        </is>
      </c>
      <c r="G4" s="6" t="inlineStr">
        <is>
          <t>Why 5 (root cause)</t>
        </is>
      </c>
      <c r="H4" s="6" t="inlineStr">
        <is>
          <t>Countermeasure (at supplier)</t>
        </is>
      </c>
      <c r="I4" s="6" t="inlineStr">
        <is>
          <t>Owner</t>
        </is>
      </c>
      <c r="J4" s="6" t="inlineStr">
        <is>
          <t>Target Date</t>
        </is>
      </c>
      <c r="K4" s="6" t="inlineStr">
        <is>
          <t>Status</t>
        </is>
      </c>
      <c r="L4" s="6" t="inlineStr">
        <is>
          <t>Lessons Learned</t>
        </is>
      </c>
    </row>
    <row r="5" ht="60" customHeight="1">
      <c r="A5" s="14" t="inlineStr">
        <is>
          <t>D6</t>
        </is>
      </c>
      <c r="B5" s="32" t="inlineStr">
        <is>
          <t>Membrane damage in critical area</t>
        </is>
      </c>
      <c r="C5" s="33" t="inlineStr">
        <is>
          <t>Membrane torn/holed in critical area</t>
        </is>
      </c>
      <c r="D5" s="33" t="inlineStr">
        <is>
          <t>Knife path too deep / tensile tear during gut pull</t>
        </is>
      </c>
      <c r="E5" s="33" t="inlineStr">
        <is>
          <t>Evisceration technique not standardized for pelvic zone</t>
        </is>
      </c>
      <c r="F5" s="33" t="inlineStr">
        <is>
          <t>No defined knife depth/path SOP + line speed pressure</t>
        </is>
      </c>
      <c r="G5" s="34" t="inlineStr">
        <is>
          <t>(confirm w/ supplier) training + line-speed control gap</t>
        </is>
      </c>
      <c r="H5" s="35" t="inlineStr">
        <is>
          <t>Retrain knife depth &amp; path in pelvic zone; blunt-dissect; slow line through pelvic cut</t>
        </is>
      </c>
      <c r="I5" s="36" t="inlineStr">
        <is>
          <t>SH Martins - Evisceration lead</t>
        </is>
      </c>
      <c r="J5" s="36" t="inlineStr"/>
      <c r="K5" s="37" t="inlineStr">
        <is>
          <t>Open</t>
        </is>
      </c>
      <c r="L5" s="38" t="inlineStr"/>
    </row>
    <row r="6" ht="60" customHeight="1">
      <c r="A6" s="14" t="inlineStr">
        <is>
          <t>D1</t>
        </is>
      </c>
      <c r="B6" s="32" t="inlineStr">
        <is>
          <t>Ureters not embedded</t>
        </is>
      </c>
      <c r="C6" s="33" t="inlineStr">
        <is>
          <t>Ureters not embedded in tissue</t>
        </is>
      </c>
      <c r="D6" s="33" t="inlineStr">
        <is>
          <t>Fascia/perirenal fat stripped away from ureter</t>
        </is>
      </c>
      <c r="E6" s="33" t="inlineStr">
        <is>
          <t>Excessive pull force / over-trim during gut set removal</t>
        </is>
      </c>
      <c r="F6" s="33" t="inlineStr">
        <is>
          <t>Pull technique &amp; trim spec not controlled</t>
        </is>
      </c>
      <c r="G6" s="34" t="inlineStr">
        <is>
          <t>(confirm) handling standard missing</t>
        </is>
      </c>
      <c r="H6" s="35" t="inlineStr">
        <is>
          <t>Standardize pull-force &amp; angle; limit fat stripping; gentler pit drop</t>
        </is>
      </c>
      <c r="I6" s="36" t="inlineStr">
        <is>
          <t>SH Martins - Evisceration lead</t>
        </is>
      </c>
      <c r="J6" s="36" t="inlineStr"/>
      <c r="K6" s="37" t="inlineStr">
        <is>
          <t>Open</t>
        </is>
      </c>
      <c r="L6" s="38" t="inlineStr"/>
    </row>
    <row r="7" ht="60" customHeight="1">
      <c r="A7" s="14" t="inlineStr">
        <is>
          <t>D4</t>
        </is>
      </c>
      <c r="B7" s="32" t="inlineStr">
        <is>
          <t>Suspensory ligaments damaged</t>
        </is>
      </c>
      <c r="C7" s="33" t="inlineStr">
        <is>
          <t>Suspensory ligaments torn/frayed</t>
        </is>
      </c>
      <c r="D7" s="33" t="inlineStr">
        <is>
          <t>Block pulled/handled by the ligaments</t>
        </is>
      </c>
      <c r="E7" s="33" t="inlineStr">
        <is>
          <t>Rough handling + high traction on removal</t>
        </is>
      </c>
      <c r="F7" s="33" t="inlineStr">
        <is>
          <t>No 'support-surface' handling rule</t>
        </is>
      </c>
      <c r="G7" s="34" t="inlineStr">
        <is>
          <t>(confirm) handling standard missing</t>
        </is>
      </c>
      <c r="H7" s="35" t="inlineStr">
        <is>
          <t>Handle block by support surface, not ligaments; control pull force</t>
        </is>
      </c>
      <c r="I7" s="36" t="inlineStr">
        <is>
          <t>SH Martins - Evisceration lead</t>
        </is>
      </c>
      <c r="J7" s="36" t="inlineStr"/>
      <c r="K7" s="37" t="inlineStr">
        <is>
          <t>Open</t>
        </is>
      </c>
      <c r="L7" s="38" t="inlineStr"/>
    </row>
    <row r="8" ht="60" customHeight="1">
      <c r="A8" s="14" t="inlineStr">
        <is>
          <t>D5</t>
        </is>
      </c>
      <c r="B8" s="32" t="inlineStr">
        <is>
          <t>Urethra cut</t>
        </is>
      </c>
      <c r="C8" s="33" t="inlineStr">
        <is>
          <t>Urethra cut</t>
        </is>
      </c>
      <c r="D8" s="33" t="inlineStr">
        <is>
          <t>Sharp transection through pelvic zone</t>
        </is>
      </c>
      <c r="E8" s="33" t="inlineStr">
        <is>
          <t>Splitting saw off-center / bung-drop cut catches urethra</t>
        </is>
      </c>
      <c r="F8" s="33" t="inlineStr">
        <is>
          <t>Saw alignment &amp; pelvic-split centering not verified</t>
        </is>
      </c>
      <c r="G8" s="34" t="inlineStr">
        <is>
          <t>(confirm) saw calibration + technique gap</t>
        </is>
      </c>
      <c r="H8" s="35" t="inlineStr">
        <is>
          <t>Center split on symphysis; calibrate/align saw; slow through pelvic zone</t>
        </is>
      </c>
      <c r="I8" s="36" t="inlineStr">
        <is>
          <t>SH Martins - Splitting lead</t>
        </is>
      </c>
      <c r="J8" s="36" t="inlineStr"/>
      <c r="K8" s="37" t="inlineStr">
        <is>
          <t>Open</t>
        </is>
      </c>
      <c r="L8" s="38" t="inlineStr"/>
    </row>
    <row r="9" ht="60" customHeight="1">
      <c r="A9" s="14" t="inlineStr">
        <is>
          <t>D8</t>
        </is>
      </c>
      <c r="B9" s="32" t="inlineStr">
        <is>
          <t>Bowel cut / opened / separated</t>
        </is>
      </c>
      <c r="C9" s="33" t="inlineStr">
        <is>
          <t>Bowel cut open / separated (FOOD SAFETY)</t>
        </is>
      </c>
      <c r="D9" s="33" t="inlineStr">
        <is>
          <t>Knife slip or aggressive bung separation opens bowel</t>
        </is>
      </c>
      <c r="E9" s="33" t="inlineStr">
        <is>
          <t>Bung not adequately bagged/tied before cut</t>
        </is>
      </c>
      <c r="F9" s="33" t="inlineStr">
        <is>
          <t>Bung-dropping CCP not robust</t>
        </is>
      </c>
      <c r="G9" s="34" t="inlineStr">
        <is>
          <t>(confirm) contamination-control gap at bung station</t>
        </is>
      </c>
      <c r="H9" s="35" t="inlineStr">
        <is>
          <t>Reinforce bung bag/tie-off; retrain knife path; treat as contamination CCP</t>
        </is>
      </c>
      <c r="I9" s="36" t="inlineStr">
        <is>
          <t>SH Martins - Bung/Evisc. lead</t>
        </is>
      </c>
      <c r="J9" s="36" t="inlineStr"/>
      <c r="K9" s="37" t="inlineStr">
        <is>
          <t>Open</t>
        </is>
      </c>
      <c r="L9" s="38" t="inlineStr"/>
    </row>
    <row r="10" ht="40" customHeight="1">
      <c r="A10" s="39" t="n"/>
      <c r="B10" s="39" t="n"/>
      <c r="C10" s="39" t="n"/>
      <c r="D10" s="39" t="n"/>
      <c r="E10" s="39" t="n"/>
      <c r="F10" s="39" t="n"/>
      <c r="G10" s="40" t="n"/>
      <c r="H10" s="41" t="n"/>
      <c r="I10" s="39" t="n"/>
      <c r="J10" s="39" t="n"/>
      <c r="K10" s="39" t="n"/>
      <c r="L10" s="42" t="n"/>
    </row>
    <row r="11" ht="40" customHeight="1">
      <c r="A11" s="39" t="n"/>
      <c r="B11" s="39" t="n"/>
      <c r="C11" s="39" t="n"/>
      <c r="D11" s="39" t="n"/>
      <c r="E11" s="39" t="n"/>
      <c r="F11" s="39" t="n"/>
      <c r="G11" s="40" t="n"/>
      <c r="H11" s="41" t="n"/>
      <c r="I11" s="39" t="n"/>
      <c r="J11" s="39" t="n"/>
      <c r="K11" s="39" t="n"/>
      <c r="L11" s="42" t="n"/>
    </row>
  </sheetData>
  <mergeCells count="2">
    <mergeCell ref="A2:L2"/>
    <mergeCell ref="A1:L1"/>
  </mergeCells>
  <dataValidations count="1">
    <dataValidation sqref="K5:K44" showDropDown="0" showInputMessage="0" showErrorMessage="0" allowBlank="1" type="list">
      <formula1>"Open,In Progress,Verifying,Closed"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DASHBOARD — BATCH SUMMARY</t>
        </is>
      </c>
    </row>
    <row r="2" ht="18" customHeight="1">
      <c r="A2" s="2" t="inlineStr">
        <is>
          <t>SH: Martins  |  Kill/Harvest 2026-07-08  |  Batch 12:30–12:45 PM</t>
        </is>
      </c>
    </row>
    <row r="4">
      <c r="A4" s="43" t="inlineStr">
        <is>
          <t>KEY METRICS</t>
        </is>
      </c>
    </row>
    <row r="5" ht="22" customHeight="1">
      <c r="A5" s="44" t="inlineStr">
        <is>
          <t>Blocks Inspected</t>
        </is>
      </c>
      <c r="B5" s="45">
        <f>COUNTA('Inspection Log'!A5:A430)-COUNTBLANK('Inspection Log'!A5:A430)</f>
        <v/>
      </c>
    </row>
    <row r="6" ht="22" customHeight="1">
      <c r="A6" s="44" t="inlineStr">
        <is>
          <t>Pass</t>
        </is>
      </c>
      <c r="B6" s="45">
        <f>COUNTIF('Inspection Log'!J5:J430,"Pass")</f>
        <v/>
      </c>
    </row>
    <row r="7" ht="22" customHeight="1">
      <c r="A7" s="44" t="inlineStr">
        <is>
          <t>Fail</t>
        </is>
      </c>
      <c r="B7" s="45">
        <f>COUNTIF('Inspection Log'!J5:J430,"Fail")</f>
        <v/>
      </c>
    </row>
    <row r="8" ht="22" customHeight="1">
      <c r="A8" s="44" t="inlineStr">
        <is>
          <t>First Pass Yield</t>
        </is>
      </c>
      <c r="B8" s="46">
        <f>IFERROR(COUNTIF('Inspection Log'!J5:J430,"Pass")/(COUNTA('Inspection Log'!A5:A430)-COUNTBLANK('Inspection Log'!A5:A430)),0)</f>
        <v/>
      </c>
    </row>
    <row r="9" ht="22" customHeight="1">
      <c r="A9" s="44" t="inlineStr">
        <is>
          <t>Total Defect Occurrences</t>
        </is>
      </c>
      <c r="B9" s="45">
        <f>SUM('Inspection Log'!L5:U430)</f>
        <v/>
      </c>
    </row>
    <row r="10" ht="22" customHeight="1">
      <c r="A10" s="44" t="inlineStr">
        <is>
          <t>Defects per Failed Block</t>
        </is>
      </c>
      <c r="B10" s="47">
        <f>IFERROR(SUM('Inspection Log'!L5:U430)/COUNTIF('Inspection Log'!J5:J430,"Fail"),0)</f>
        <v/>
      </c>
    </row>
    <row r="12">
      <c r="A12" s="43" t="inlineStr">
        <is>
          <t>TOP DEFECT (this batch)</t>
        </is>
      </c>
    </row>
    <row r="13">
      <c r="A13" s="48" t="inlineStr">
        <is>
          <t>Membrane damage in critical area</t>
        </is>
      </c>
    </row>
    <row r="14">
      <c r="A14" s="49" t="inlineStr">
        <is>
          <t>Dominant supplier station</t>
        </is>
      </c>
    </row>
    <row r="15">
      <c r="A15" s="50" t="inlineStr">
        <is>
          <t>S3 Evisceration  -&gt;  primary target for corrective action</t>
        </is>
      </c>
    </row>
    <row r="17">
      <c r="A17" s="51" t="inlineStr">
        <is>
          <t>Critical / food-safety defect occurrences</t>
        </is>
      </c>
      <c r="B17" s="52">
        <f>SUM('Inspection Log'!Q5:Q430)+SUM('Inspection Log'!S5:S430)</f>
        <v/>
      </c>
    </row>
    <row r="18">
      <c r="A18" s="53" t="inlineStr">
        <is>
          <t xml:space="preserve">  (Critical codes: D6, D8 — membrane damage &amp; bowel breach)</t>
        </is>
      </c>
    </row>
  </sheetData>
  <mergeCells count="4">
    <mergeCell ref="A2:F2"/>
    <mergeCell ref="A13:C13"/>
    <mergeCell ref="A1:F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2026-07-16T18:08:03Z</dcterms:created>
  <dcterms:modified xsi:type="dcterms:W3CDTF">2026-07-16T18:08:03Z</dcterms:modified>
</cp:coreProperties>
</file>