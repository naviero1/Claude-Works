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spection Log" sheetId="2" state="visible" r:id="rId2"/>
    <sheet name="Defect Taxonomy" sheetId="3" state="visible" r:id="rId3"/>
    <sheet name="Pareto" sheetId="4" state="visible" r:id="rId4"/>
    <sheet name="Root Cause 5-Why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color rgb="00222222"/>
      <sz val="10"/>
    </font>
    <font>
      <name val="Calibri"/>
      <b val="1"/>
      <color rgb="001F3864"/>
      <sz val="11"/>
    </font>
    <font>
      <name val="Calibri"/>
      <b val="1"/>
      <color rgb="001F4E5F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833C00"/>
      <sz val="10"/>
    </font>
    <font>
      <name val="Calibri"/>
      <b val="1"/>
      <color rgb="00C00000"/>
      <sz val="10"/>
    </font>
    <font>
      <name val="Calibri"/>
      <b val="1"/>
      <color rgb="00000000"/>
      <sz val="10"/>
    </font>
    <font>
      <name val="Calibri"/>
      <color rgb="00000000"/>
      <sz val="9"/>
    </font>
    <font>
      <name val="Calibri"/>
      <b val="1"/>
      <color rgb="00375623"/>
      <sz val="10"/>
    </font>
    <font>
      <name val="Calibri"/>
      <i val="1"/>
      <color rgb="00000000"/>
      <sz val="9"/>
    </font>
    <font>
      <name val="Calibri"/>
      <b val="1"/>
      <color rgb="001F3864"/>
      <sz val="10"/>
    </font>
    <font>
      <name val="Calibri"/>
      <i val="1"/>
      <color rgb="00808080"/>
      <sz val="8"/>
    </font>
    <font>
      <name val="Calibri"/>
      <b val="1"/>
      <color rgb="00000000"/>
      <sz val="9"/>
    </font>
    <font>
      <name val="Calibri"/>
      <b val="1"/>
      <color rgb="00833C00"/>
      <sz val="9"/>
    </font>
    <font>
      <name val="Calibri"/>
      <b val="1"/>
      <color rgb="001F3864"/>
      <sz val="12"/>
    </font>
    <font>
      <name val="Calibri"/>
      <b val="1"/>
      <color rgb="00222222"/>
      <sz val="11"/>
    </font>
    <font>
      <name val="Calibri"/>
      <b val="1"/>
      <color rgb="001F3864"/>
      <sz val="13"/>
    </font>
    <font>
      <name val="Calibri"/>
      <b val="1"/>
      <color rgb="00833C00"/>
      <sz val="12"/>
    </font>
    <font>
      <name val="Calibri"/>
      <b val="1"/>
      <color rgb="00833C00"/>
      <sz val="11"/>
    </font>
    <font>
      <name val="Calibri"/>
      <b val="1"/>
      <color rgb="00C00000"/>
      <sz val="11"/>
    </font>
    <font>
      <name val="Calibri"/>
      <b val="1"/>
      <color rgb="00C00000"/>
      <sz val="13"/>
    </font>
    <font>
      <name val="Calibri"/>
      <i val="1"/>
      <color rgb="00808080"/>
      <sz val="9"/>
    </font>
    <font>
      <name val="Calibri"/>
      <i val="1"/>
      <color rgb="00833C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indent="1"/>
    </xf>
    <xf numFmtId="0" fontId="15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10" fillId="4" borderId="1" pivotButton="0" quotePrefix="0" xfId="0"/>
    <xf numFmtId="0" fontId="1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9" borderId="1" pivotButton="0" quotePrefix="0" xfId="0"/>
    <xf numFmtId="0" fontId="18" fillId="0" borderId="0" pivotButton="0" quotePrefix="0" xfId="0"/>
    <xf numFmtId="0" fontId="19" fillId="4" borderId="1" applyAlignment="1" pivotButton="0" quotePrefix="0" xfId="0">
      <alignment horizontal="left" indent="1"/>
    </xf>
    <xf numFmtId="1" fontId="20" fillId="9" borderId="1" applyAlignment="1" pivotButton="0" quotePrefix="0" xfId="0">
      <alignment horizontal="center" vertical="center" wrapText="1"/>
    </xf>
    <xf numFmtId="164" fontId="20" fillId="9" borderId="1" applyAlignment="1" pivotButton="0" quotePrefix="0" xfId="0">
      <alignment horizontal="center" vertical="center" wrapText="1"/>
    </xf>
    <xf numFmtId="2" fontId="20" fillId="9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left" indent="1"/>
    </xf>
    <xf numFmtId="0" fontId="4" fillId="0" borderId="0" pivotButton="0" quotePrefix="0" xfId="0"/>
    <xf numFmtId="0" fontId="22" fillId="5" borderId="1" applyAlignment="1" pivotButton="0" quotePrefix="0" xfId="0">
      <alignment horizontal="left" indent="1"/>
    </xf>
    <xf numFmtId="0" fontId="23" fillId="4" borderId="1" applyAlignment="1" pivotButton="0" quotePrefix="0" xfId="0">
      <alignment horizontal="left" indent="1"/>
    </xf>
    <xf numFmtId="0" fontId="24" fillId="0" borderId="1" applyAlignment="1" pivotButton="0" quotePrefix="0" xfId="0">
      <alignment horizontal="center" vertical="center" wrapText="1"/>
    </xf>
    <xf numFmtId="0" fontId="25" fillId="0" borderId="0" pivotButton="0" quotePrefix="0" xfId="0"/>
    <xf numFmtId="0" fontId="23" fillId="6" borderId="1" pivotButton="0" quotePrefix="0" xfId="0"/>
    <xf numFmtId="0" fontId="2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sz="1200" b="1">
                <a:solidFill>
                  <a:srgbClr val="1F3864"/>
                </a:solidFill>
                <a:latin typeface="Calibri"/>
              </a:rPr>
              <a:t>Defect Pareto — Rejected Pelvic Blocks   (SH: Martins · 3 kill dates)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'Pareto'!D5</f>
            </strRef>
          </tx>
          <spPr>
            <a:solidFill>
              <a:srgbClr val="2E5B8A"/>
            </a:solidFill>
            <a:ln>
              <a:prstDash val="solid"/>
            </a:ln>
          </spPr>
          <dPt>
            <idx val="0"/>
            <spPr>
              <a:solidFill>
                <a:srgbClr val="2E5B8A"/>
              </a:solidFill>
              <a:ln w="9525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2E5B8A"/>
              </a:solidFill>
              <a:ln w="9525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2E5B8A"/>
              </a:solidFill>
              <a:ln w="9525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2E5B8A"/>
              </a:solidFill>
              <a:ln w="9525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>
                <a:srgbClr val="2E5B8A"/>
              </a:solidFill>
              <a:ln w="9525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>
                <a:srgbClr val="AFC7E3"/>
              </a:solidFill>
              <a:ln w="9525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>
                <a:srgbClr val="AFC7E3"/>
              </a:solidFill>
              <a:ln w="9525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>
                <a:srgbClr val="AFC7E3"/>
              </a:solidFill>
              <a:ln w="9525">
                <a:solidFill>
                  <a:srgbClr val="FFFFFF"/>
                </a:solidFill>
                <a:prstDash val="solid"/>
              </a:ln>
            </spPr>
          </dPt>
          <dPt>
            <idx val="8"/>
            <spPr>
              <a:solidFill>
                <a:srgbClr val="AFC7E3"/>
              </a:solidFill>
              <a:ln w="9525">
                <a:solidFill>
                  <a:srgbClr val="FFFFFF"/>
                </a:solidFill>
                <a:prstDash val="solid"/>
              </a:ln>
            </spPr>
          </dPt>
          <dPt>
            <idx val="9"/>
            <spPr>
              <a:solidFill>
                <a:srgbClr val="AFC7E3"/>
              </a:solidFill>
              <a:ln w="9525">
                <a:solidFill>
                  <a:srgbClr val="FFFFFF"/>
                </a:solidFill>
                <a:prstDash val="solid"/>
              </a:ln>
            </spPr>
          </dPt>
          <dPt>
            <idx val="10"/>
            <spPr>
              <a:solidFill>
                <a:srgbClr val="AFC7E3"/>
              </a:solidFill>
              <a:ln w="9525">
                <a:solidFill>
                  <a:srgbClr val="FFFFFF"/>
                </a:solidFill>
                <a:prstDash val="solid"/>
              </a:ln>
            </spPr>
          </dPt>
          <dPt>
            <idx val="11"/>
            <spPr>
              <a:solidFill>
                <a:srgbClr val="AFC7E3"/>
              </a:solidFill>
              <a:ln w="9525">
                <a:solidFill>
                  <a:srgbClr val="FFFFFF"/>
                </a:solidFill>
                <a:prstDash val="solid"/>
              </a:ln>
            </spPr>
          </dPt>
          <dPt>
            <idx val="12"/>
            <spPr>
              <a:solidFill>
                <a:srgbClr val="AFC7E3"/>
              </a:solidFill>
              <a:ln w="9525">
                <a:solidFill>
                  <a:srgbClr val="FFFFFF"/>
                </a:solidFill>
                <a:prstDash val="solid"/>
              </a:ln>
            </spPr>
          </dPt>
          <dLbls>
            <numFmt formatCode="0"/>
            <txPr>
              <a:bodyPr/>
              <a:p>
                <a:pPr>
                  <a:defRPr sz="950" b="1">
                    <a:solidFill>
                      <a:srgbClr val="404040"/>
                    </a:solidFill>
                    <a:latin typeface="Calibri"/>
                  </a:defRPr>
                </a:pPr>
                <a:r>
                  <a:t/>
                </a:r>
                <a:endParaRPr sz="950" b="1">
                  <a:solidFill>
                    <a:srgbClr val="404040"/>
                  </a:solidFill>
                  <a:latin typeface="Calibri"/>
                </a:endParaRPr>
              </a:p>
            </txPr>
            <dLblPos val="outEnd"/>
            <showVal val="1"/>
          </dLbls>
          <cat>
            <numRef>
              <f>'Pareto'!$M$6:$M$18</f>
            </numRef>
          </cat>
          <val>
            <numRef>
              <f>'Pareto'!$D$6:$D$18</f>
            </numRef>
          </val>
        </ser>
        <gapWidth val="55"/>
        <axId val="10"/>
        <axId val="100"/>
      </barChart>
      <lineChart>
        <grouping val="standard"/>
        <ser>
          <idx val="1"/>
          <order val="1"/>
          <tx>
            <strRef>
              <f>'Pareto'!F5</f>
            </strRef>
          </tx>
          <spPr>
            <a:ln w="28575">
              <a:solidFill>
                <a:srgbClr val="C0504D"/>
              </a:solidFill>
              <a:prstDash val="solid"/>
            </a:ln>
          </spPr>
          <marker>
            <symbol val="circle"/>
            <size val="6"/>
            <spPr>
              <a:solidFill>
                <a:srgbClr val="C0504D"/>
              </a:solidFill>
              <a:ln w="9525">
                <a:solidFill>
                  <a:srgbClr val="FFFFFF"/>
                </a:solidFill>
                <a:prstDash val="solid"/>
              </a:ln>
            </spPr>
          </marker>
          <dLbls>
            <numFmt formatCode="0%"/>
            <txPr>
              <a:bodyPr/>
              <a:p>
                <a:pPr>
                  <a:defRPr sz="850" b="1">
                    <a:solidFill>
                      <a:srgbClr val="C0504D"/>
                    </a:solidFill>
                    <a:latin typeface="Calibri"/>
                  </a:defRPr>
                </a:pPr>
                <a:r>
                  <a:t/>
                </a:r>
                <a:endParaRPr sz="850" b="1">
                  <a:solidFill>
                    <a:srgbClr val="C0504D"/>
                  </a:solidFill>
                  <a:latin typeface="Calibri"/>
                </a:endParaRPr>
              </a:p>
            </txPr>
            <dLblPos val="t"/>
            <showVal val="1"/>
          </dLbls>
          <val>
            <numRef>
              <f>'Pareto'!$F$6:$F$18</f>
            </numRef>
          </val>
          <smooth val="0"/>
        </ser>
        <ser>
          <idx val="2"/>
          <order val="2"/>
          <tx>
            <strRef>
              <f>'Pareto'!N5</f>
            </strRef>
          </tx>
          <spPr>
            <a:ln w="9525">
              <a:solidFill>
                <a:srgbClr val="A6A6A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'Pareto'!$N$6:$N$18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w="9525">
            <a:solidFill>
              <a:srgbClr val="BFBFBF"/>
            </a:solidFill>
            <a:prstDash val="solid"/>
          </a:ln>
        </spPr>
        <txPr>
          <a:bodyPr rot="-2700000"/>
          <a:p>
            <a:pPr>
              <a:defRPr sz="85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850" b="0">
              <a:solidFill>
                <a:srgbClr val="595959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w="6350">
              <a:solidFill>
                <a:srgbClr val="E6E6E6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Defect count</a:t>
                </a:r>
              </a:p>
            </rich>
          </tx>
        </title>
        <numFmt formatCode="0" sourceLinked="0"/>
        <majorTickMark val="none"/>
        <minorTickMark val="none"/>
        <txPr>
          <a:bodyPr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Calibri"/>
            </a:endParaRPr>
          </a:p>
        </txPr>
        <crossAx val="10"/>
        <crosses val="autoZero"/>
      </valAx>
      <valAx>
        <axId val="200"/>
        <scaling>
          <orientation val="minMax"/>
          <max val="1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Cumulative %</a:t>
                </a:r>
              </a:p>
            </rich>
          </tx>
        </title>
        <numFmt formatCode="0%" sourceLinked="0"/>
        <majorTickMark val="none"/>
        <minorTickMark val="none"/>
        <txPr>
          <a:bodyPr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Calibri"/>
            </a:endParaRPr>
          </a:p>
        </txPr>
        <crossAx val="10"/>
        <crosses val="max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936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30</row>
      <rowOff>0</rowOff>
    </from>
    <ext cx="5724525" cy="2905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PELVIC BLOCK IQC — PARETO &amp; ROOT-CAUSE FRAMEWORK</t>
        </is>
      </c>
    </row>
    <row r="2" ht="18" customHeight="1">
      <c r="A2" s="2" t="inlineStr">
        <is>
          <t>Incoming Quality Control of rejected porcine femoral pelvic blocks  |  Purpose: pinpoint where defects originate at the supplier and drive corrective action upstream</t>
        </is>
      </c>
    </row>
    <row r="4">
      <c r="A4" s="3" t="inlineStr"/>
    </row>
    <row r="5" ht="18" customHeight="1">
      <c r="A5" s="4" t="inlineStr">
        <is>
          <t>PURPOSE</t>
        </is>
      </c>
    </row>
    <row r="6">
      <c r="A6" s="3" t="inlineStr">
        <is>
          <t>Ingest IQC results for rejected pelvic blocks, sort defects with a Pareto (the few defects causing most loss), and map every defect back to the</t>
        </is>
      </c>
    </row>
    <row r="7">
      <c r="A7" s="3" t="inlineStr">
        <is>
          <t>point in the SUPPLIER's process where it is created — so corrective action can be taken BEFORE the tissue block reaches us.</t>
        </is>
      </c>
    </row>
    <row r="8">
      <c r="A8" s="3" t="inlineStr"/>
    </row>
    <row r="9" ht="18" customHeight="1">
      <c r="A9" s="4" t="inlineStr">
        <is>
          <t>THE PROCESS (where a defect can be born)  —  everything up to 'Delivered to us' is the supplier's to control</t>
        </is>
      </c>
    </row>
    <row r="10">
      <c r="A10" s="5" t="inlineStr">
        <is>
          <t xml:space="preserve">  Live animal  -&gt;  S1 Sticking/Bleeding  -&gt;  S2 Bung dropping/Rodding  -&gt;  S3 Evisceration (knife + gut pull)  -&gt;  S4 Carcass splitting (saw)  -&gt;  S5 Handling &amp; Pit drop  -&gt;  Delivered to us</t>
        </is>
      </c>
    </row>
    <row r="11">
      <c r="A11" s="5" t="inlineStr">
        <is>
          <t xml:space="preserve">                                                                                    OUR side -&gt;  Harvest techs receive block from pit  -&gt;  spec-out / accept  -&gt;  IQC inspection (this data)</t>
        </is>
      </c>
    </row>
    <row r="12">
      <c r="A12" s="3" t="inlineStr"/>
    </row>
    <row r="13" ht="18" customHeight="1">
      <c r="A13" s="4" t="inlineStr">
        <is>
          <t>THE SHEETS</t>
        </is>
      </c>
    </row>
    <row r="14">
      <c r="A14" s="3" t="inlineStr">
        <is>
          <t xml:space="preserve">  1. Inspection Log   Master data — ONE ROW PER BLOCK. Each free-text scrap reason is normalized into 1/0 flags against the defect taxonomy. Append future batches here.</t>
        </is>
      </c>
    </row>
    <row r="15">
      <c r="A15" s="3" t="inlineStr">
        <is>
          <t xml:space="preserve">  2. Defect Taxonomy  Controlled vocabulary (D1–D11) + root-cause map: each defect -&gt; process step, supplier station, 6M cause, mechanism, corrective action.</t>
        </is>
      </c>
    </row>
    <row r="16">
      <c r="A16" s="3" t="inlineStr">
        <is>
          <t xml:space="preserve">  3. Pareto           Auto-calculating defect Pareto (bar + cumulative line) and a rollup by SUPPLIER STATION — the key view for the supplier conversation.</t>
        </is>
      </c>
    </row>
    <row r="17">
      <c r="A17" s="3" t="inlineStr">
        <is>
          <t xml:space="preserve">  4. Root Cause 5-Why  Structured RCA template, seeded for the vital-few defects, with a Lessons-Learned column to fill in over time.</t>
        </is>
      </c>
    </row>
    <row r="18">
      <c r="A18" s="3" t="inlineStr">
        <is>
          <t xml:space="preserve">  5. Dashboard        Combined KPIs + a per-batch breakdown so you can watch the trend batch over batch.</t>
        </is>
      </c>
    </row>
    <row r="19">
      <c r="A19" s="3" t="inlineStr"/>
    </row>
    <row r="20" ht="18" customHeight="1">
      <c r="A20" s="4" t="inlineStr">
        <is>
          <t>HOW TO ADD THE NEXT INSPECTION</t>
        </is>
      </c>
    </row>
    <row r="21">
      <c r="A21" s="3" t="inlineStr">
        <is>
          <t xml:space="preserve">  a. In 'Inspection Log', add one row per inspected block (metadata + Result = Pass/Fail + verbatim reason).</t>
        </is>
      </c>
    </row>
    <row r="22">
      <c r="A22" s="3" t="inlineStr">
        <is>
          <t xml:space="preserve">  b. Put a 1 in each defect column (D1–D11) that applies. Use the dropdown. If a NEW defect type appears, add it to 'Defect Taxonomy' first, then add its column.</t>
        </is>
      </c>
    </row>
    <row r="23">
      <c r="A23" s="3" t="inlineStr">
        <is>
          <t xml:space="preserve">  c. Pareto + Dashboard recalc automatically. Re-sort the Pareto table high-&gt;low if the ranking changes (counts are live; row order is not).</t>
        </is>
      </c>
    </row>
    <row r="24">
      <c r="A24" s="3" t="inlineStr"/>
    </row>
    <row r="25" ht="18" customHeight="1">
      <c r="A25" s="4" t="inlineStr">
        <is>
          <t>WHAT THE DATA SAYS SO FAR  (4 inspection sheets across 3 kill dates: 2026-05-27, 2026-07-08, 2026-07-28 — SH: Martins)</t>
        </is>
      </c>
    </row>
    <row r="26">
      <c r="A26" s="3" t="inlineStr">
        <is>
          <t xml:space="preserve">  99 blocks inspected · 10 pass · 89 fail · combined First Pass Yield 10.1% · 122 defect occurrences</t>
        </is>
      </c>
    </row>
    <row r="27">
      <c r="A27" s="3" t="inlineStr">
        <is>
          <t xml:space="preserve">  Vital few (~80%): membrane damage (critical area), ureters not embedded, urethra breach, bowel/colon/rectum breach, suspensory-ligament damage.  ~84% of ALL defects originate at ONE station: Evisceration.</t>
        </is>
      </c>
    </row>
    <row r="28">
      <c r="A28" s="3" t="inlineStr">
        <is>
          <t xml:space="preserve">  OPEN ITEMS: (1) 5 blocks (kill 2026-05-27), 8" hole in bladder suspensory ligament — recorded PASS pending ME/DE (flip to Fail + tag D4 if confirmed).  (2) Rasmin 07-28 sheet handwritten total said '22 fails' but per-row entries sum to 29 (used).</t>
        </is>
      </c>
    </row>
    <row r="29">
      <c r="A29" s="3" t="inlineStr"/>
    </row>
    <row r="30" ht="18" customHeight="1">
      <c r="A30" s="4" t="inlineStr">
        <is>
          <t>SEVERITY KEY</t>
        </is>
      </c>
    </row>
    <row r="31">
      <c r="A31" s="3" t="inlineStr">
        <is>
          <t xml:space="preserve">  Critical = function-destroying or food-safety (e.g. bowel/colon/rectum breach = contamination).   Major = block rejected.   Minor = cosmetic / recoverable.</t>
        </is>
      </c>
    </row>
    <row r="32">
      <c r="A32" s="3" t="inlineStr"/>
    </row>
    <row r="33" ht="18" customHeight="1">
      <c r="A33" s="4" t="inlineStr">
        <is>
          <t>SOURCE</t>
        </is>
      </c>
    </row>
    <row r="34">
      <c r="A34" s="3" t="inlineStr">
        <is>
          <t xml:space="preserve">  IQC Tally Sheets — SH: Martins. Originals kept as source_*.xlsx in this folder.</t>
        </is>
      </c>
    </row>
  </sheetData>
  <mergeCells count="33">
    <mergeCell ref="A9:H9"/>
    <mergeCell ref="A30:H30"/>
    <mergeCell ref="A15:H15"/>
    <mergeCell ref="A24:H24"/>
    <mergeCell ref="A11:H11"/>
    <mergeCell ref="A1:H1"/>
    <mergeCell ref="A6:H6"/>
    <mergeCell ref="A7:H7"/>
    <mergeCell ref="A25:H25"/>
    <mergeCell ref="A16:H16"/>
    <mergeCell ref="A27:H27"/>
    <mergeCell ref="A12:H12"/>
    <mergeCell ref="A18:H18"/>
    <mergeCell ref="A26:H26"/>
    <mergeCell ref="A21:H21"/>
    <mergeCell ref="A2:H2"/>
    <mergeCell ref="A33:H33"/>
    <mergeCell ref="A14:H14"/>
    <mergeCell ref="A5:H5"/>
    <mergeCell ref="A23:H23"/>
    <mergeCell ref="A32:H32"/>
    <mergeCell ref="A8:H8"/>
    <mergeCell ref="A22:H22"/>
    <mergeCell ref="A17:H17"/>
    <mergeCell ref="A4:H4"/>
    <mergeCell ref="A29:H29"/>
    <mergeCell ref="A20:H20"/>
    <mergeCell ref="A10:H10"/>
    <mergeCell ref="A28:H28"/>
    <mergeCell ref="A13:H13"/>
    <mergeCell ref="A19:H19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2" customWidth="1" min="4" max="4"/>
    <col width="13" customWidth="1" min="5" max="5"/>
    <col width="9" customWidth="1" min="6" max="6"/>
    <col width="10" customWidth="1" min="7" max="7"/>
    <col width="16" customWidth="1" min="8" max="8"/>
    <col width="22" customWidth="1" min="9" max="9"/>
    <col width="8" customWidth="1" min="10" max="10"/>
    <col width="42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9" customWidth="1" min="25" max="25"/>
    <col width="34" customWidth="1" min="26" max="26"/>
  </cols>
  <sheetData>
    <row r="1" ht="30" customHeight="1">
      <c r="A1" s="1" t="inlineStr">
        <is>
          <t>INSPECTION LOG  (master data — one row per inspected block)</t>
        </is>
      </c>
    </row>
    <row r="2" ht="18" customHeight="1">
      <c r="A2" s="2" t="inlineStr">
        <is>
          <t>Append future inspections below. Put 1 in each defect column that applies. Pareto/Dashboard update automatically.</t>
        </is>
      </c>
    </row>
    <row r="4" ht="28" customHeight="1">
      <c r="A4" s="6" t="inlineStr">
        <is>
          <t>Block ID</t>
        </is>
      </c>
      <c r="B4" s="6" t="inlineStr">
        <is>
          <t>Insp. Date</t>
        </is>
      </c>
      <c r="C4" s="6" t="inlineStr">
        <is>
          <t>Kill Date</t>
        </is>
      </c>
      <c r="D4" s="6" t="inlineStr">
        <is>
          <t>Harvest Date</t>
        </is>
      </c>
      <c r="E4" s="6" t="inlineStr">
        <is>
          <t>Slaughterhouse</t>
        </is>
      </c>
      <c r="F4" s="6" t="inlineStr">
        <is>
          <t>SH Tech</t>
        </is>
      </c>
      <c r="G4" s="6" t="inlineStr">
        <is>
          <t>Inspector</t>
        </is>
      </c>
      <c r="H4" s="6" t="inlineStr">
        <is>
          <t>Batch/Lot</t>
        </is>
      </c>
      <c r="I4" s="6" t="inlineStr">
        <is>
          <t>Part Name</t>
        </is>
      </c>
      <c r="J4" s="6" t="inlineStr">
        <is>
          <t>Result</t>
        </is>
      </c>
      <c r="K4" s="6" t="inlineStr">
        <is>
          <t>Verbatim Scrap Reason</t>
        </is>
      </c>
      <c r="L4" s="6" t="inlineStr">
        <is>
          <t>D1</t>
        </is>
      </c>
      <c r="M4" s="6" t="inlineStr">
        <is>
          <t>D2</t>
        </is>
      </c>
      <c r="N4" s="6" t="inlineStr">
        <is>
          <t>D3</t>
        </is>
      </c>
      <c r="O4" s="6" t="inlineStr">
        <is>
          <t>D4</t>
        </is>
      </c>
      <c r="P4" s="6" t="inlineStr">
        <is>
          <t>D5</t>
        </is>
      </c>
      <c r="Q4" s="6" t="inlineStr">
        <is>
          <t>D6</t>
        </is>
      </c>
      <c r="R4" s="6" t="inlineStr">
        <is>
          <t>D7</t>
        </is>
      </c>
      <c r="S4" s="6" t="inlineStr">
        <is>
          <t>D8</t>
        </is>
      </c>
      <c r="T4" s="6" t="inlineStr">
        <is>
          <t>D9</t>
        </is>
      </c>
      <c r="U4" s="6" t="inlineStr">
        <is>
          <t>D10</t>
        </is>
      </c>
      <c r="V4" s="6" t="inlineStr">
        <is>
          <t>D11</t>
        </is>
      </c>
      <c r="W4" s="6" t="inlineStr">
        <is>
          <t>D12</t>
        </is>
      </c>
      <c r="X4" s="6" t="inlineStr">
        <is>
          <t>D13</t>
        </is>
      </c>
      <c r="Y4" s="6" t="inlineStr">
        <is>
          <t># Defects</t>
        </is>
      </c>
      <c r="Z4" s="6" t="inlineStr">
        <is>
          <t>Notes / Disposition</t>
        </is>
      </c>
    </row>
    <row r="5" ht="30" customHeight="1">
      <c r="A5" s="7" t="inlineStr">
        <is>
          <t>B001</t>
        </is>
      </c>
      <c r="B5" s="7" t="inlineStr">
        <is>
          <t>2026-05-27</t>
        </is>
      </c>
      <c r="C5" s="7" t="inlineStr">
        <is>
          <t>2026-05-27</t>
        </is>
      </c>
      <c r="D5" s="7" t="inlineStr"/>
      <c r="E5" s="7" t="inlineStr">
        <is>
          <t>Martins</t>
        </is>
      </c>
      <c r="F5" s="7" t="inlineStr"/>
      <c r="G5" s="7" t="inlineStr"/>
      <c r="H5" s="7" t="inlineStr"/>
      <c r="I5" s="7" t="inlineStr">
        <is>
          <t>Pelvic block</t>
        </is>
      </c>
      <c r="J5" s="8" t="inlineStr">
        <is>
          <t>Fail</t>
        </is>
      </c>
      <c r="K5" s="9" t="inlineStr">
        <is>
          <t>hole in the distal end of the colon</t>
        </is>
      </c>
      <c r="L5" s="10" t="n"/>
      <c r="M5" s="10" t="n"/>
      <c r="N5" s="10" t="n"/>
      <c r="O5" s="10" t="n"/>
      <c r="P5" s="10" t="n"/>
      <c r="Q5" s="10" t="n"/>
      <c r="R5" s="10" t="n"/>
      <c r="S5" s="11" t="n">
        <v>1</v>
      </c>
      <c r="T5" s="10" t="n"/>
      <c r="U5" s="10" t="n"/>
      <c r="V5" s="10" t="n"/>
      <c r="W5" s="10" t="n"/>
      <c r="X5" s="10" t="n"/>
      <c r="Y5" s="12">
        <f>SUM(L5:X5)</f>
        <v/>
      </c>
      <c r="Z5" s="13" t="inlineStr"/>
    </row>
    <row r="6" ht="30" customHeight="1">
      <c r="A6" s="7" t="inlineStr">
        <is>
          <t>B002</t>
        </is>
      </c>
      <c r="B6" s="7" t="inlineStr">
        <is>
          <t>2026-05-27</t>
        </is>
      </c>
      <c r="C6" s="7" t="inlineStr">
        <is>
          <t>2026-05-27</t>
        </is>
      </c>
      <c r="D6" s="7" t="inlineStr"/>
      <c r="E6" s="7" t="inlineStr">
        <is>
          <t>Martins</t>
        </is>
      </c>
      <c r="F6" s="7" t="inlineStr"/>
      <c r="G6" s="7" t="inlineStr"/>
      <c r="H6" s="7" t="inlineStr"/>
      <c r="I6" s="7" t="inlineStr">
        <is>
          <t>Pelvic block</t>
        </is>
      </c>
      <c r="J6" s="8" t="inlineStr">
        <is>
          <t>Fail</t>
        </is>
      </c>
      <c r="K6" s="9" t="inlineStr">
        <is>
          <t>hole in the distal end of the colon</t>
        </is>
      </c>
      <c r="L6" s="10" t="n"/>
      <c r="M6" s="10" t="n"/>
      <c r="N6" s="10" t="n"/>
      <c r="O6" s="10" t="n"/>
      <c r="P6" s="10" t="n"/>
      <c r="Q6" s="10" t="n"/>
      <c r="R6" s="10" t="n"/>
      <c r="S6" s="11" t="n">
        <v>1</v>
      </c>
      <c r="T6" s="10" t="n"/>
      <c r="U6" s="10" t="n"/>
      <c r="V6" s="10" t="n"/>
      <c r="W6" s="10" t="n"/>
      <c r="X6" s="10" t="n"/>
      <c r="Y6" s="12">
        <f>SUM(L6:X6)</f>
        <v/>
      </c>
      <c r="Z6" s="13" t="inlineStr"/>
    </row>
    <row r="7" ht="30" customHeight="1">
      <c r="A7" s="7" t="inlineStr">
        <is>
          <t>B003</t>
        </is>
      </c>
      <c r="B7" s="7" t="inlineStr">
        <is>
          <t>2026-05-27</t>
        </is>
      </c>
      <c r="C7" s="7" t="inlineStr">
        <is>
          <t>2026-05-27</t>
        </is>
      </c>
      <c r="D7" s="7" t="inlineStr"/>
      <c r="E7" s="7" t="inlineStr">
        <is>
          <t>Martins</t>
        </is>
      </c>
      <c r="F7" s="7" t="inlineStr"/>
      <c r="G7" s="7" t="inlineStr"/>
      <c r="H7" s="7" t="inlineStr"/>
      <c r="I7" s="7" t="inlineStr">
        <is>
          <t>Pelvic block</t>
        </is>
      </c>
      <c r="J7" s="8" t="inlineStr">
        <is>
          <t>Fail</t>
        </is>
      </c>
      <c r="K7" s="9" t="inlineStr">
        <is>
          <t>hole in the distal end of the colon</t>
        </is>
      </c>
      <c r="L7" s="10" t="n"/>
      <c r="M7" s="10" t="n"/>
      <c r="N7" s="10" t="n"/>
      <c r="O7" s="10" t="n"/>
      <c r="P7" s="10" t="n"/>
      <c r="Q7" s="10" t="n"/>
      <c r="R7" s="10" t="n"/>
      <c r="S7" s="11" t="n">
        <v>1</v>
      </c>
      <c r="T7" s="10" t="n"/>
      <c r="U7" s="10" t="n"/>
      <c r="V7" s="10" t="n"/>
      <c r="W7" s="10" t="n"/>
      <c r="X7" s="10" t="n"/>
      <c r="Y7" s="12">
        <f>SUM(L7:X7)</f>
        <v/>
      </c>
      <c r="Z7" s="13" t="inlineStr"/>
    </row>
    <row r="8" ht="30" customHeight="1">
      <c r="A8" s="7" t="inlineStr">
        <is>
          <t>B004</t>
        </is>
      </c>
      <c r="B8" s="7" t="inlineStr">
        <is>
          <t>2026-05-27</t>
        </is>
      </c>
      <c r="C8" s="7" t="inlineStr">
        <is>
          <t>2026-05-27</t>
        </is>
      </c>
      <c r="D8" s="7" t="inlineStr"/>
      <c r="E8" s="7" t="inlineStr">
        <is>
          <t>Martins</t>
        </is>
      </c>
      <c r="F8" s="7" t="inlineStr"/>
      <c r="G8" s="7" t="inlineStr"/>
      <c r="H8" s="7" t="inlineStr"/>
      <c r="I8" s="7" t="inlineStr">
        <is>
          <t>Pelvic block</t>
        </is>
      </c>
      <c r="J8" s="8" t="inlineStr">
        <is>
          <t>Fail</t>
        </is>
      </c>
      <c r="K8" s="9" t="inlineStr">
        <is>
          <t>hole in the distal end of the urethra and bladder neck separation</t>
        </is>
      </c>
      <c r="L8" s="10" t="n"/>
      <c r="M8" s="10" t="n"/>
      <c r="N8" s="10" t="n"/>
      <c r="O8" s="10" t="n"/>
      <c r="P8" s="11" t="n">
        <v>1</v>
      </c>
      <c r="Q8" s="10" t="n"/>
      <c r="R8" s="10" t="n"/>
      <c r="S8" s="10" t="n"/>
      <c r="T8" s="10" t="n"/>
      <c r="U8" s="10" t="n"/>
      <c r="V8" s="11" t="n">
        <v>1</v>
      </c>
      <c r="W8" s="10" t="n"/>
      <c r="X8" s="10" t="n"/>
      <c r="Y8" s="12">
        <f>SUM(L8:X8)</f>
        <v/>
      </c>
      <c r="Z8" s="13" t="inlineStr"/>
    </row>
    <row r="9" ht="30" customHeight="1">
      <c r="A9" s="7" t="inlineStr">
        <is>
          <t>B005</t>
        </is>
      </c>
      <c r="B9" s="7" t="inlineStr">
        <is>
          <t>2026-05-27</t>
        </is>
      </c>
      <c r="C9" s="7" t="inlineStr">
        <is>
          <t>2026-05-27</t>
        </is>
      </c>
      <c r="D9" s="7" t="inlineStr"/>
      <c r="E9" s="7" t="inlineStr">
        <is>
          <t>Martins</t>
        </is>
      </c>
      <c r="F9" s="7" t="inlineStr"/>
      <c r="G9" s="7" t="inlineStr"/>
      <c r="H9" s="7" t="inlineStr"/>
      <c r="I9" s="7" t="inlineStr">
        <is>
          <t>Pelvic block</t>
        </is>
      </c>
      <c r="J9" s="14" t="inlineStr">
        <is>
          <t>Pass</t>
        </is>
      </c>
      <c r="K9" s="9" t="inlineStr">
        <is>
          <t>8" hole in the bladder suspencery ligamant. ureter still intact???</t>
        </is>
      </c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2">
        <f>SUM(L9:X9)</f>
        <v/>
      </c>
      <c r="Z9" s="15" t="inlineStr">
        <is>
          <t>QUESTIONABLE - pending ME/DE determination (per sheet note). If reclassified Fail -&gt; D4 (suspensory ligament).</t>
        </is>
      </c>
    </row>
    <row r="10" ht="30" customHeight="1">
      <c r="A10" s="7" t="inlineStr">
        <is>
          <t>B006</t>
        </is>
      </c>
      <c r="B10" s="7" t="inlineStr">
        <is>
          <t>2026-05-27</t>
        </is>
      </c>
      <c r="C10" s="7" t="inlineStr">
        <is>
          <t>2026-05-27</t>
        </is>
      </c>
      <c r="D10" s="7" t="inlineStr"/>
      <c r="E10" s="7" t="inlineStr">
        <is>
          <t>Martins</t>
        </is>
      </c>
      <c r="F10" s="7" t="inlineStr"/>
      <c r="G10" s="7" t="inlineStr"/>
      <c r="H10" s="7" t="inlineStr"/>
      <c r="I10" s="7" t="inlineStr">
        <is>
          <t>Pelvic block</t>
        </is>
      </c>
      <c r="J10" s="14" t="inlineStr">
        <is>
          <t>Pass</t>
        </is>
      </c>
      <c r="K10" s="9" t="inlineStr">
        <is>
          <t>8" hole in the bladder suspencery ligamant. ureter still intact???</t>
        </is>
      </c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2">
        <f>SUM(L10:X10)</f>
        <v/>
      </c>
      <c r="Z10" s="15" t="inlineStr">
        <is>
          <t>QUESTIONABLE - pending ME/DE determination (per sheet note). If reclassified Fail -&gt; D4 (suspensory ligament).</t>
        </is>
      </c>
    </row>
    <row r="11" ht="30" customHeight="1">
      <c r="A11" s="7" t="inlineStr">
        <is>
          <t>B007</t>
        </is>
      </c>
      <c r="B11" s="7" t="inlineStr">
        <is>
          <t>2026-05-27</t>
        </is>
      </c>
      <c r="C11" s="7" t="inlineStr">
        <is>
          <t>2026-05-27</t>
        </is>
      </c>
      <c r="D11" s="7" t="inlineStr"/>
      <c r="E11" s="7" t="inlineStr">
        <is>
          <t>Martins</t>
        </is>
      </c>
      <c r="F11" s="7" t="inlineStr"/>
      <c r="G11" s="7" t="inlineStr"/>
      <c r="H11" s="7" t="inlineStr"/>
      <c r="I11" s="7" t="inlineStr">
        <is>
          <t>Pelvic block</t>
        </is>
      </c>
      <c r="J11" s="14" t="inlineStr">
        <is>
          <t>Pass</t>
        </is>
      </c>
      <c r="K11" s="9" t="inlineStr">
        <is>
          <t>8" hole in the bladder suspencery ligamant. ureter still intact???</t>
        </is>
      </c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2">
        <f>SUM(L11:X11)</f>
        <v/>
      </c>
      <c r="Z11" s="15" t="inlineStr">
        <is>
          <t>QUESTIONABLE - pending ME/DE determination (per sheet note). If reclassified Fail -&gt; D4 (suspensory ligament).</t>
        </is>
      </c>
    </row>
    <row r="12" ht="30" customHeight="1">
      <c r="A12" s="7" t="inlineStr">
        <is>
          <t>B008</t>
        </is>
      </c>
      <c r="B12" s="7" t="inlineStr">
        <is>
          <t>2026-05-27</t>
        </is>
      </c>
      <c r="C12" s="7" t="inlineStr">
        <is>
          <t>2026-05-27</t>
        </is>
      </c>
      <c r="D12" s="7" t="inlineStr"/>
      <c r="E12" s="7" t="inlineStr">
        <is>
          <t>Martins</t>
        </is>
      </c>
      <c r="F12" s="7" t="inlineStr"/>
      <c r="G12" s="7" t="inlineStr"/>
      <c r="H12" s="7" t="inlineStr"/>
      <c r="I12" s="7" t="inlineStr">
        <is>
          <t>Pelvic block</t>
        </is>
      </c>
      <c r="J12" s="14" t="inlineStr">
        <is>
          <t>Pass</t>
        </is>
      </c>
      <c r="K12" s="9" t="inlineStr">
        <is>
          <t>8" hole in the bladder suspencery ligamant. ureter still intact???</t>
        </is>
      </c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2">
        <f>SUM(L12:X12)</f>
        <v/>
      </c>
      <c r="Z12" s="15" t="inlineStr">
        <is>
          <t>QUESTIONABLE - pending ME/DE determination (per sheet note). If reclassified Fail -&gt; D4 (suspensory ligament).</t>
        </is>
      </c>
    </row>
    <row r="13" ht="30" customHeight="1">
      <c r="A13" s="7" t="inlineStr">
        <is>
          <t>B009</t>
        </is>
      </c>
      <c r="B13" s="7" t="inlineStr">
        <is>
          <t>2026-05-27</t>
        </is>
      </c>
      <c r="C13" s="7" t="inlineStr">
        <is>
          <t>2026-05-27</t>
        </is>
      </c>
      <c r="D13" s="7" t="inlineStr"/>
      <c r="E13" s="7" t="inlineStr">
        <is>
          <t>Martins</t>
        </is>
      </c>
      <c r="F13" s="7" t="inlineStr"/>
      <c r="G13" s="7" t="inlineStr"/>
      <c r="H13" s="7" t="inlineStr"/>
      <c r="I13" s="7" t="inlineStr">
        <is>
          <t>Pelvic block</t>
        </is>
      </c>
      <c r="J13" s="14" t="inlineStr">
        <is>
          <t>Pass</t>
        </is>
      </c>
      <c r="K13" s="9" t="inlineStr">
        <is>
          <t>8" hole in the bladder suspencery ligamant. ureter still intact???</t>
        </is>
      </c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2">
        <f>SUM(L13:X13)</f>
        <v/>
      </c>
      <c r="Z13" s="15" t="inlineStr">
        <is>
          <t>QUESTIONABLE - pending ME/DE determination (per sheet note). If reclassified Fail -&gt; D4 (suspensory ligament).</t>
        </is>
      </c>
    </row>
    <row r="14" ht="16" customHeight="1">
      <c r="A14" s="7" t="inlineStr">
        <is>
          <t>B010</t>
        </is>
      </c>
      <c r="B14" s="7" t="inlineStr">
        <is>
          <t>2026-05-27</t>
        </is>
      </c>
      <c r="C14" s="7" t="inlineStr">
        <is>
          <t>2026-05-27</t>
        </is>
      </c>
      <c r="D14" s="7" t="inlineStr"/>
      <c r="E14" s="7" t="inlineStr">
        <is>
          <t>Martins</t>
        </is>
      </c>
      <c r="F14" s="7" t="inlineStr"/>
      <c r="G14" s="7" t="inlineStr"/>
      <c r="H14" s="7" t="inlineStr"/>
      <c r="I14" s="7" t="inlineStr">
        <is>
          <t>Pelvic block</t>
        </is>
      </c>
      <c r="J14" s="14" t="inlineStr">
        <is>
          <t>Pass</t>
        </is>
      </c>
      <c r="K14" s="9" t="inlineStr">
        <is>
          <t>no damage found</t>
        </is>
      </c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2">
        <f>SUM(L14:X14)</f>
        <v/>
      </c>
      <c r="Z14" s="13" t="inlineStr"/>
    </row>
    <row r="15" ht="16" customHeight="1">
      <c r="A15" s="7" t="inlineStr">
        <is>
          <t>B011</t>
        </is>
      </c>
      <c r="B15" s="7" t="inlineStr">
        <is>
          <t>2026-05-27</t>
        </is>
      </c>
      <c r="C15" s="7" t="inlineStr">
        <is>
          <t>2026-05-27</t>
        </is>
      </c>
      <c r="D15" s="7" t="inlineStr"/>
      <c r="E15" s="7" t="inlineStr">
        <is>
          <t>Martins</t>
        </is>
      </c>
      <c r="F15" s="7" t="inlineStr"/>
      <c r="G15" s="7" t="inlineStr"/>
      <c r="H15" s="7" t="inlineStr"/>
      <c r="I15" s="7" t="inlineStr">
        <is>
          <t>Pelvic block</t>
        </is>
      </c>
      <c r="J15" s="14" t="inlineStr">
        <is>
          <t>Pass</t>
        </is>
      </c>
      <c r="K15" s="9" t="inlineStr">
        <is>
          <t>no damage found</t>
        </is>
      </c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2">
        <f>SUM(L15:X15)</f>
        <v/>
      </c>
      <c r="Z15" s="13" t="inlineStr"/>
    </row>
    <row r="16" ht="30" customHeight="1">
      <c r="A16" s="7" t="inlineStr">
        <is>
          <t>B012</t>
        </is>
      </c>
      <c r="B16" s="7" t="inlineStr">
        <is>
          <t>2026-05-27</t>
        </is>
      </c>
      <c r="C16" s="7" t="inlineStr">
        <is>
          <t>2026-05-27</t>
        </is>
      </c>
      <c r="D16" s="7" t="inlineStr"/>
      <c r="E16" s="7" t="inlineStr">
        <is>
          <t>Martins</t>
        </is>
      </c>
      <c r="F16" s="7" t="inlineStr"/>
      <c r="G16" s="7" t="inlineStr"/>
      <c r="H16" s="7" t="inlineStr"/>
      <c r="I16" s="7" t="inlineStr">
        <is>
          <t>Pelvic block</t>
        </is>
      </c>
      <c r="J16" s="8" t="inlineStr">
        <is>
          <t>Fail</t>
        </is>
      </c>
      <c r="K16" s="9" t="inlineStr">
        <is>
          <t>ureter cut off</t>
        </is>
      </c>
      <c r="L16" s="10" t="n"/>
      <c r="M16" s="11" t="n">
        <v>1</v>
      </c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2">
        <f>SUM(L16:X16)</f>
        <v/>
      </c>
      <c r="Z16" s="13" t="inlineStr"/>
    </row>
    <row r="17" ht="30" customHeight="1">
      <c r="A17" s="7" t="inlineStr">
        <is>
          <t>B013</t>
        </is>
      </c>
      <c r="B17" s="7" t="inlineStr">
        <is>
          <t>2026-05-27</t>
        </is>
      </c>
      <c r="C17" s="7" t="inlineStr">
        <is>
          <t>2026-05-27</t>
        </is>
      </c>
      <c r="D17" s="7" t="inlineStr"/>
      <c r="E17" s="7" t="inlineStr">
        <is>
          <t>Martins</t>
        </is>
      </c>
      <c r="F17" s="7" t="inlineStr"/>
      <c r="G17" s="7" t="inlineStr"/>
      <c r="H17" s="7" t="inlineStr"/>
      <c r="I17" s="7" t="inlineStr">
        <is>
          <t>Pelvic block</t>
        </is>
      </c>
      <c r="J17" s="8" t="inlineStr">
        <is>
          <t>Fail</t>
        </is>
      </c>
      <c r="K17" s="9" t="inlineStr">
        <is>
          <t>hole in mesentary membrane in critical area greater than 1.5"</t>
        </is>
      </c>
      <c r="L17" s="10" t="n"/>
      <c r="M17" s="10" t="n"/>
      <c r="N17" s="10" t="n"/>
      <c r="O17" s="10" t="n"/>
      <c r="P17" s="10" t="n"/>
      <c r="Q17" s="11" t="n">
        <v>1</v>
      </c>
      <c r="R17" s="10" t="n"/>
      <c r="S17" s="10" t="n"/>
      <c r="T17" s="10" t="n"/>
      <c r="U17" s="10" t="n"/>
      <c r="V17" s="10" t="n"/>
      <c r="W17" s="10" t="n"/>
      <c r="X17" s="10" t="n"/>
      <c r="Y17" s="12">
        <f>SUM(L17:X17)</f>
        <v/>
      </c>
      <c r="Z17" s="13" t="inlineStr"/>
    </row>
    <row r="18" ht="30" customHeight="1">
      <c r="A18" s="7" t="inlineStr">
        <is>
          <t>B014</t>
        </is>
      </c>
      <c r="B18" s="7" t="inlineStr">
        <is>
          <t>2026-05-27</t>
        </is>
      </c>
      <c r="C18" s="7" t="inlineStr">
        <is>
          <t>2026-05-27</t>
        </is>
      </c>
      <c r="D18" s="7" t="inlineStr"/>
      <c r="E18" s="7" t="inlineStr">
        <is>
          <t>Martins</t>
        </is>
      </c>
      <c r="F18" s="7" t="inlineStr"/>
      <c r="G18" s="7" t="inlineStr"/>
      <c r="H18" s="7" t="inlineStr"/>
      <c r="I18" s="7" t="inlineStr">
        <is>
          <t>Pelvic block</t>
        </is>
      </c>
      <c r="J18" s="8" t="inlineStr">
        <is>
          <t>Fail</t>
        </is>
      </c>
      <c r="K18" s="9" t="inlineStr">
        <is>
          <t>hole in mesentary membrane in critical area greater than 1.5"</t>
        </is>
      </c>
      <c r="L18" s="10" t="n"/>
      <c r="M18" s="10" t="n"/>
      <c r="N18" s="10" t="n"/>
      <c r="O18" s="10" t="n"/>
      <c r="P18" s="10" t="n"/>
      <c r="Q18" s="11" t="n">
        <v>1</v>
      </c>
      <c r="R18" s="10" t="n"/>
      <c r="S18" s="10" t="n"/>
      <c r="T18" s="10" t="n"/>
      <c r="U18" s="10" t="n"/>
      <c r="V18" s="10" t="n"/>
      <c r="W18" s="10" t="n"/>
      <c r="X18" s="10" t="n"/>
      <c r="Y18" s="12">
        <f>SUM(L18:X18)</f>
        <v/>
      </c>
      <c r="Z18" s="13" t="inlineStr"/>
    </row>
    <row r="19" ht="30" customHeight="1">
      <c r="A19" s="7" t="inlineStr">
        <is>
          <t>B015</t>
        </is>
      </c>
      <c r="B19" s="7" t="inlineStr">
        <is>
          <t>2026-05-27</t>
        </is>
      </c>
      <c r="C19" s="7" t="inlineStr">
        <is>
          <t>2026-05-27</t>
        </is>
      </c>
      <c r="D19" s="7" t="inlineStr"/>
      <c r="E19" s="7" t="inlineStr">
        <is>
          <t>Martins</t>
        </is>
      </c>
      <c r="F19" s="7" t="inlineStr"/>
      <c r="G19" s="7" t="inlineStr"/>
      <c r="H19" s="7" t="inlineStr"/>
      <c r="I19" s="7" t="inlineStr">
        <is>
          <t>Pelvic block</t>
        </is>
      </c>
      <c r="J19" s="8" t="inlineStr">
        <is>
          <t>Fail</t>
        </is>
      </c>
      <c r="K19" s="9" t="inlineStr">
        <is>
          <t>hole in mesentary membrane in critical area greater than 1.5"</t>
        </is>
      </c>
      <c r="L19" s="10" t="n"/>
      <c r="M19" s="10" t="n"/>
      <c r="N19" s="10" t="n"/>
      <c r="O19" s="10" t="n"/>
      <c r="P19" s="10" t="n"/>
      <c r="Q19" s="11" t="n">
        <v>1</v>
      </c>
      <c r="R19" s="10" t="n"/>
      <c r="S19" s="10" t="n"/>
      <c r="T19" s="10" t="n"/>
      <c r="U19" s="10" t="n"/>
      <c r="V19" s="10" t="n"/>
      <c r="W19" s="10" t="n"/>
      <c r="X19" s="10" t="n"/>
      <c r="Y19" s="12">
        <f>SUM(L19:X19)</f>
        <v/>
      </c>
      <c r="Z19" s="13" t="inlineStr"/>
    </row>
    <row r="20" ht="30" customHeight="1">
      <c r="A20" s="7" t="inlineStr">
        <is>
          <t>B016</t>
        </is>
      </c>
      <c r="B20" s="7" t="inlineStr">
        <is>
          <t>2026-05-27</t>
        </is>
      </c>
      <c r="C20" s="7" t="inlineStr">
        <is>
          <t>2026-05-27</t>
        </is>
      </c>
      <c r="D20" s="7" t="inlineStr"/>
      <c r="E20" s="7" t="inlineStr">
        <is>
          <t>Martins</t>
        </is>
      </c>
      <c r="F20" s="7" t="inlineStr"/>
      <c r="G20" s="7" t="inlineStr"/>
      <c r="H20" s="7" t="inlineStr"/>
      <c r="I20" s="7" t="inlineStr">
        <is>
          <t>Pelvic block</t>
        </is>
      </c>
      <c r="J20" s="8" t="inlineStr">
        <is>
          <t>Fail</t>
        </is>
      </c>
      <c r="K20" s="9" t="inlineStr">
        <is>
          <t>hole in mesentary membrane in critical area greater than 1.5"</t>
        </is>
      </c>
      <c r="L20" s="10" t="n"/>
      <c r="M20" s="10" t="n"/>
      <c r="N20" s="10" t="n"/>
      <c r="O20" s="10" t="n"/>
      <c r="P20" s="10" t="n"/>
      <c r="Q20" s="11" t="n">
        <v>1</v>
      </c>
      <c r="R20" s="10" t="n"/>
      <c r="S20" s="10" t="n"/>
      <c r="T20" s="10" t="n"/>
      <c r="U20" s="10" t="n"/>
      <c r="V20" s="10" t="n"/>
      <c r="W20" s="10" t="n"/>
      <c r="X20" s="10" t="n"/>
      <c r="Y20" s="12">
        <f>SUM(L20:X20)</f>
        <v/>
      </c>
      <c r="Z20" s="13" t="inlineStr"/>
    </row>
    <row r="21" ht="30" customHeight="1">
      <c r="A21" s="7" t="inlineStr">
        <is>
          <t>B017</t>
        </is>
      </c>
      <c r="B21" s="7" t="inlineStr">
        <is>
          <t>2026-05-27</t>
        </is>
      </c>
      <c r="C21" s="7" t="inlineStr">
        <is>
          <t>2026-05-27</t>
        </is>
      </c>
      <c r="D21" s="7" t="inlineStr"/>
      <c r="E21" s="7" t="inlineStr">
        <is>
          <t>Martins</t>
        </is>
      </c>
      <c r="F21" s="7" t="inlineStr"/>
      <c r="G21" s="7" t="inlineStr"/>
      <c r="H21" s="7" t="inlineStr"/>
      <c r="I21" s="7" t="inlineStr">
        <is>
          <t>Pelvic block</t>
        </is>
      </c>
      <c r="J21" s="8" t="inlineStr">
        <is>
          <t>Fail</t>
        </is>
      </c>
      <c r="K21" s="9" t="inlineStr">
        <is>
          <t>hole in mesentary membrane in critical area greater than 1.5"</t>
        </is>
      </c>
      <c r="L21" s="10" t="n"/>
      <c r="M21" s="10" t="n"/>
      <c r="N21" s="10" t="n"/>
      <c r="O21" s="10" t="n"/>
      <c r="P21" s="10" t="n"/>
      <c r="Q21" s="11" t="n">
        <v>1</v>
      </c>
      <c r="R21" s="10" t="n"/>
      <c r="S21" s="10" t="n"/>
      <c r="T21" s="10" t="n"/>
      <c r="U21" s="10" t="n"/>
      <c r="V21" s="10" t="n"/>
      <c r="W21" s="10" t="n"/>
      <c r="X21" s="10" t="n"/>
      <c r="Y21" s="12">
        <f>SUM(L21:X21)</f>
        <v/>
      </c>
      <c r="Z21" s="13" t="inlineStr"/>
    </row>
    <row r="22" ht="30" customHeight="1">
      <c r="A22" s="7" t="inlineStr">
        <is>
          <t>B018</t>
        </is>
      </c>
      <c r="B22" s="7" t="inlineStr">
        <is>
          <t>2026-05-27</t>
        </is>
      </c>
      <c r="C22" s="7" t="inlineStr">
        <is>
          <t>2026-05-27</t>
        </is>
      </c>
      <c r="D22" s="7" t="inlineStr"/>
      <c r="E22" s="7" t="inlineStr">
        <is>
          <t>Martins</t>
        </is>
      </c>
      <c r="F22" s="7" t="inlineStr"/>
      <c r="G22" s="7" t="inlineStr"/>
      <c r="H22" s="7" t="inlineStr"/>
      <c r="I22" s="7" t="inlineStr">
        <is>
          <t>Pelvic block</t>
        </is>
      </c>
      <c r="J22" s="8" t="inlineStr">
        <is>
          <t>Fail</t>
        </is>
      </c>
      <c r="K22" s="9" t="inlineStr">
        <is>
          <t>hole in mesentary membrane in critical area greater than 1.5"</t>
        </is>
      </c>
      <c r="L22" s="10" t="n"/>
      <c r="M22" s="10" t="n"/>
      <c r="N22" s="10" t="n"/>
      <c r="O22" s="10" t="n"/>
      <c r="P22" s="10" t="n"/>
      <c r="Q22" s="11" t="n">
        <v>1</v>
      </c>
      <c r="R22" s="10" t="n"/>
      <c r="S22" s="10" t="n"/>
      <c r="T22" s="10" t="n"/>
      <c r="U22" s="10" t="n"/>
      <c r="V22" s="10" t="n"/>
      <c r="W22" s="10" t="n"/>
      <c r="X22" s="10" t="n"/>
      <c r="Y22" s="12">
        <f>SUM(L22:X22)</f>
        <v/>
      </c>
      <c r="Z22" s="13" t="inlineStr"/>
    </row>
    <row r="23" ht="30" customHeight="1">
      <c r="A23" s="7" t="inlineStr">
        <is>
          <t>B019</t>
        </is>
      </c>
      <c r="B23" s="7" t="inlineStr">
        <is>
          <t>2026-05-27</t>
        </is>
      </c>
      <c r="C23" s="7" t="inlineStr">
        <is>
          <t>2026-05-27</t>
        </is>
      </c>
      <c r="D23" s="7" t="inlineStr"/>
      <c r="E23" s="7" t="inlineStr">
        <is>
          <t>Martins</t>
        </is>
      </c>
      <c r="F23" s="7" t="inlineStr"/>
      <c r="G23" s="7" t="inlineStr"/>
      <c r="H23" s="7" t="inlineStr"/>
      <c r="I23" s="7" t="inlineStr">
        <is>
          <t>Pelvic block</t>
        </is>
      </c>
      <c r="J23" s="8" t="inlineStr">
        <is>
          <t>Fail</t>
        </is>
      </c>
      <c r="K23" s="9" t="inlineStr">
        <is>
          <t>hole in mesentary membrane in critical area greater than 1.5"</t>
        </is>
      </c>
      <c r="L23" s="10" t="n"/>
      <c r="M23" s="10" t="n"/>
      <c r="N23" s="10" t="n"/>
      <c r="O23" s="10" t="n"/>
      <c r="P23" s="10" t="n"/>
      <c r="Q23" s="11" t="n">
        <v>1</v>
      </c>
      <c r="R23" s="10" t="n"/>
      <c r="S23" s="10" t="n"/>
      <c r="T23" s="10" t="n"/>
      <c r="U23" s="10" t="n"/>
      <c r="V23" s="10" t="n"/>
      <c r="W23" s="10" t="n"/>
      <c r="X23" s="10" t="n"/>
      <c r="Y23" s="12">
        <f>SUM(L23:X23)</f>
        <v/>
      </c>
      <c r="Z23" s="13" t="inlineStr"/>
    </row>
    <row r="24" ht="30" customHeight="1">
      <c r="A24" s="7" t="inlineStr">
        <is>
          <t>B020</t>
        </is>
      </c>
      <c r="B24" s="7" t="inlineStr">
        <is>
          <t>2026-05-27</t>
        </is>
      </c>
      <c r="C24" s="7" t="inlineStr">
        <is>
          <t>2026-05-27</t>
        </is>
      </c>
      <c r="D24" s="7" t="inlineStr"/>
      <c r="E24" s="7" t="inlineStr">
        <is>
          <t>Martins</t>
        </is>
      </c>
      <c r="F24" s="7" t="inlineStr"/>
      <c r="G24" s="7" t="inlineStr"/>
      <c r="H24" s="7" t="inlineStr"/>
      <c r="I24" s="7" t="inlineStr">
        <is>
          <t>Pelvic block</t>
        </is>
      </c>
      <c r="J24" s="8" t="inlineStr">
        <is>
          <t>Fail</t>
        </is>
      </c>
      <c r="K24" s="9" t="inlineStr">
        <is>
          <t>hole in mesentary membrane in critical area greater than 1.5"</t>
        </is>
      </c>
      <c r="L24" s="10" t="n"/>
      <c r="M24" s="10" t="n"/>
      <c r="N24" s="10" t="n"/>
      <c r="O24" s="10" t="n"/>
      <c r="P24" s="10" t="n"/>
      <c r="Q24" s="11" t="n">
        <v>1</v>
      </c>
      <c r="R24" s="10" t="n"/>
      <c r="S24" s="10" t="n"/>
      <c r="T24" s="10" t="n"/>
      <c r="U24" s="10" t="n"/>
      <c r="V24" s="10" t="n"/>
      <c r="W24" s="10" t="n"/>
      <c r="X24" s="10" t="n"/>
      <c r="Y24" s="12">
        <f>SUM(L24:X24)</f>
        <v/>
      </c>
      <c r="Z24" s="13" t="inlineStr"/>
    </row>
    <row r="25" ht="30" customHeight="1">
      <c r="A25" s="7" t="inlineStr">
        <is>
          <t>B021</t>
        </is>
      </c>
      <c r="B25" s="7" t="inlineStr">
        <is>
          <t>2026-05-27</t>
        </is>
      </c>
      <c r="C25" s="7" t="inlineStr">
        <is>
          <t>2026-05-27</t>
        </is>
      </c>
      <c r="D25" s="7" t="inlineStr"/>
      <c r="E25" s="7" t="inlineStr">
        <is>
          <t>Martins</t>
        </is>
      </c>
      <c r="F25" s="7" t="inlineStr"/>
      <c r="G25" s="7" t="inlineStr"/>
      <c r="H25" s="7" t="inlineStr"/>
      <c r="I25" s="7" t="inlineStr">
        <is>
          <t>Pelvic block</t>
        </is>
      </c>
      <c r="J25" s="8" t="inlineStr">
        <is>
          <t>Fail</t>
        </is>
      </c>
      <c r="K25" s="9" t="inlineStr">
        <is>
          <t>hole in mesentary membrane in critical area greater than 1.5"</t>
        </is>
      </c>
      <c r="L25" s="10" t="n"/>
      <c r="M25" s="10" t="n"/>
      <c r="N25" s="10" t="n"/>
      <c r="O25" s="10" t="n"/>
      <c r="P25" s="10" t="n"/>
      <c r="Q25" s="11" t="n">
        <v>1</v>
      </c>
      <c r="R25" s="10" t="n"/>
      <c r="S25" s="10" t="n"/>
      <c r="T25" s="10" t="n"/>
      <c r="U25" s="10" t="n"/>
      <c r="V25" s="10" t="n"/>
      <c r="W25" s="10" t="n"/>
      <c r="X25" s="10" t="n"/>
      <c r="Y25" s="12">
        <f>SUM(L25:X25)</f>
        <v/>
      </c>
      <c r="Z25" s="13" t="inlineStr"/>
    </row>
    <row r="26" ht="30" customHeight="1">
      <c r="A26" s="7" t="inlineStr">
        <is>
          <t>B022</t>
        </is>
      </c>
      <c r="B26" s="7" t="inlineStr">
        <is>
          <t>2026-05-27</t>
        </is>
      </c>
      <c r="C26" s="7" t="inlineStr">
        <is>
          <t>2026-05-27</t>
        </is>
      </c>
      <c r="D26" s="7" t="inlineStr"/>
      <c r="E26" s="7" t="inlineStr">
        <is>
          <t>Martins</t>
        </is>
      </c>
      <c r="F26" s="7" t="inlineStr"/>
      <c r="G26" s="7" t="inlineStr"/>
      <c r="H26" s="7" t="inlineStr"/>
      <c r="I26" s="7" t="inlineStr">
        <is>
          <t>Pelvic block</t>
        </is>
      </c>
      <c r="J26" s="8" t="inlineStr">
        <is>
          <t>Fail</t>
        </is>
      </c>
      <c r="K26" s="9" t="inlineStr">
        <is>
          <t>hole in mesentary membrane in critical area greater than 1.5"</t>
        </is>
      </c>
      <c r="L26" s="10" t="n"/>
      <c r="M26" s="10" t="n"/>
      <c r="N26" s="10" t="n"/>
      <c r="O26" s="10" t="n"/>
      <c r="P26" s="10" t="n"/>
      <c r="Q26" s="11" t="n">
        <v>1</v>
      </c>
      <c r="R26" s="10" t="n"/>
      <c r="S26" s="10" t="n"/>
      <c r="T26" s="10" t="n"/>
      <c r="U26" s="10" t="n"/>
      <c r="V26" s="10" t="n"/>
      <c r="W26" s="10" t="n"/>
      <c r="X26" s="10" t="n"/>
      <c r="Y26" s="12">
        <f>SUM(L26:X26)</f>
        <v/>
      </c>
      <c r="Z26" s="13" t="inlineStr"/>
    </row>
    <row r="27" ht="30" customHeight="1">
      <c r="A27" s="7" t="inlineStr">
        <is>
          <t>B023</t>
        </is>
      </c>
      <c r="B27" s="7" t="inlineStr">
        <is>
          <t>2026-05-27</t>
        </is>
      </c>
      <c r="C27" s="7" t="inlineStr">
        <is>
          <t>2026-05-27</t>
        </is>
      </c>
      <c r="D27" s="7" t="inlineStr"/>
      <c r="E27" s="7" t="inlineStr">
        <is>
          <t>Martins</t>
        </is>
      </c>
      <c r="F27" s="7" t="inlineStr"/>
      <c r="G27" s="7" t="inlineStr"/>
      <c r="H27" s="7" t="inlineStr"/>
      <c r="I27" s="7" t="inlineStr">
        <is>
          <t>Pelvic block</t>
        </is>
      </c>
      <c r="J27" s="8" t="inlineStr">
        <is>
          <t>Fail</t>
        </is>
      </c>
      <c r="K27" s="9" t="inlineStr">
        <is>
          <t>hole in mesentary membrane in critical area greater than 1.5"</t>
        </is>
      </c>
      <c r="L27" s="10" t="n"/>
      <c r="M27" s="10" t="n"/>
      <c r="N27" s="10" t="n"/>
      <c r="O27" s="10" t="n"/>
      <c r="P27" s="10" t="n"/>
      <c r="Q27" s="11" t="n">
        <v>1</v>
      </c>
      <c r="R27" s="10" t="n"/>
      <c r="S27" s="10" t="n"/>
      <c r="T27" s="10" t="n"/>
      <c r="U27" s="10" t="n"/>
      <c r="V27" s="10" t="n"/>
      <c r="W27" s="10" t="n"/>
      <c r="X27" s="10" t="n"/>
      <c r="Y27" s="12">
        <f>SUM(L27:X27)</f>
        <v/>
      </c>
      <c r="Z27" s="13" t="inlineStr"/>
    </row>
    <row r="28" ht="30" customHeight="1">
      <c r="A28" s="7" t="inlineStr">
        <is>
          <t>B024</t>
        </is>
      </c>
      <c r="B28" s="7" t="inlineStr">
        <is>
          <t>2026-05-27</t>
        </is>
      </c>
      <c r="C28" s="7" t="inlineStr">
        <is>
          <t>2026-05-27</t>
        </is>
      </c>
      <c r="D28" s="7" t="inlineStr"/>
      <c r="E28" s="7" t="inlineStr">
        <is>
          <t>Martins</t>
        </is>
      </c>
      <c r="F28" s="7" t="inlineStr"/>
      <c r="G28" s="7" t="inlineStr"/>
      <c r="H28" s="7" t="inlineStr"/>
      <c r="I28" s="7" t="inlineStr">
        <is>
          <t>Pelvic block</t>
        </is>
      </c>
      <c r="J28" s="8" t="inlineStr">
        <is>
          <t>Fail</t>
        </is>
      </c>
      <c r="K28" s="9" t="inlineStr">
        <is>
          <t>hole in mesentary membrane in critical area greater than 1.5"</t>
        </is>
      </c>
      <c r="L28" s="10" t="n"/>
      <c r="M28" s="10" t="n"/>
      <c r="N28" s="10" t="n"/>
      <c r="O28" s="10" t="n"/>
      <c r="P28" s="10" t="n"/>
      <c r="Q28" s="11" t="n">
        <v>1</v>
      </c>
      <c r="R28" s="10" t="n"/>
      <c r="S28" s="10" t="n"/>
      <c r="T28" s="10" t="n"/>
      <c r="U28" s="10" t="n"/>
      <c r="V28" s="10" t="n"/>
      <c r="W28" s="10" t="n"/>
      <c r="X28" s="10" t="n"/>
      <c r="Y28" s="12">
        <f>SUM(L28:X28)</f>
        <v/>
      </c>
      <c r="Z28" s="13" t="inlineStr"/>
    </row>
    <row r="29" ht="30" customHeight="1">
      <c r="A29" s="7" t="inlineStr">
        <is>
          <t>B025</t>
        </is>
      </c>
      <c r="B29" s="7" t="inlineStr">
        <is>
          <t>2026-05-27</t>
        </is>
      </c>
      <c r="C29" s="7" t="inlineStr">
        <is>
          <t>2026-05-27</t>
        </is>
      </c>
      <c r="D29" s="7" t="inlineStr"/>
      <c r="E29" s="7" t="inlineStr">
        <is>
          <t>Martins</t>
        </is>
      </c>
      <c r="F29" s="7" t="inlineStr"/>
      <c r="G29" s="7" t="inlineStr"/>
      <c r="H29" s="7" t="inlineStr"/>
      <c r="I29" s="7" t="inlineStr">
        <is>
          <t>Pelvic block</t>
        </is>
      </c>
      <c r="J29" s="8" t="inlineStr">
        <is>
          <t>Fail</t>
        </is>
      </c>
      <c r="K29" s="9" t="inlineStr">
        <is>
          <t>hole in mesentary membrane in critical area greater than 1.5"</t>
        </is>
      </c>
      <c r="L29" s="10" t="n"/>
      <c r="M29" s="10" t="n"/>
      <c r="N29" s="10" t="n"/>
      <c r="O29" s="10" t="n"/>
      <c r="P29" s="10" t="n"/>
      <c r="Q29" s="11" t="n">
        <v>1</v>
      </c>
      <c r="R29" s="10" t="n"/>
      <c r="S29" s="10" t="n"/>
      <c r="T29" s="10" t="n"/>
      <c r="U29" s="10" t="n"/>
      <c r="V29" s="10" t="n"/>
      <c r="W29" s="10" t="n"/>
      <c r="X29" s="10" t="n"/>
      <c r="Y29" s="12">
        <f>SUM(L29:X29)</f>
        <v/>
      </c>
      <c r="Z29" s="13" t="inlineStr"/>
    </row>
    <row r="30" ht="30" customHeight="1">
      <c r="A30" s="7" t="inlineStr">
        <is>
          <t>B026</t>
        </is>
      </c>
      <c r="B30" s="7" t="inlineStr">
        <is>
          <t>2026-05-27</t>
        </is>
      </c>
      <c r="C30" s="7" t="inlineStr">
        <is>
          <t>2026-05-27</t>
        </is>
      </c>
      <c r="D30" s="7" t="inlineStr"/>
      <c r="E30" s="7" t="inlineStr">
        <is>
          <t>Martins</t>
        </is>
      </c>
      <c r="F30" s="7" t="inlineStr"/>
      <c r="G30" s="7" t="inlineStr"/>
      <c r="H30" s="7" t="inlineStr"/>
      <c r="I30" s="7" t="inlineStr">
        <is>
          <t>Pelvic block</t>
        </is>
      </c>
      <c r="J30" s="8" t="inlineStr">
        <is>
          <t>Fail</t>
        </is>
      </c>
      <c r="K30" s="9" t="inlineStr">
        <is>
          <t>hole in mesentary membrane in critical area greater than 1.5"</t>
        </is>
      </c>
      <c r="L30" s="10" t="n"/>
      <c r="M30" s="10" t="n"/>
      <c r="N30" s="10" t="n"/>
      <c r="O30" s="10" t="n"/>
      <c r="P30" s="10" t="n"/>
      <c r="Q30" s="11" t="n">
        <v>1</v>
      </c>
      <c r="R30" s="10" t="n"/>
      <c r="S30" s="10" t="n"/>
      <c r="T30" s="10" t="n"/>
      <c r="U30" s="10" t="n"/>
      <c r="V30" s="10" t="n"/>
      <c r="W30" s="10" t="n"/>
      <c r="X30" s="10" t="n"/>
      <c r="Y30" s="12">
        <f>SUM(L30:X30)</f>
        <v/>
      </c>
      <c r="Z30" s="13" t="inlineStr"/>
    </row>
    <row r="31" ht="30" customHeight="1">
      <c r="A31" s="7" t="inlineStr">
        <is>
          <t>B027</t>
        </is>
      </c>
      <c r="B31" s="7" t="inlineStr">
        <is>
          <t>2026-05-27</t>
        </is>
      </c>
      <c r="C31" s="7" t="inlineStr">
        <is>
          <t>2026-05-27</t>
        </is>
      </c>
      <c r="D31" s="7" t="inlineStr"/>
      <c r="E31" s="7" t="inlineStr">
        <is>
          <t>Martins</t>
        </is>
      </c>
      <c r="F31" s="7" t="inlineStr"/>
      <c r="G31" s="7" t="inlineStr"/>
      <c r="H31" s="7" t="inlineStr"/>
      <c r="I31" s="7" t="inlineStr">
        <is>
          <t>Pelvic block</t>
        </is>
      </c>
      <c r="J31" s="8" t="inlineStr">
        <is>
          <t>Fail</t>
        </is>
      </c>
      <c r="K31" s="9" t="inlineStr">
        <is>
          <t>rectum seperation</t>
        </is>
      </c>
      <c r="L31" s="10" t="n"/>
      <c r="M31" s="10" t="n"/>
      <c r="N31" s="10" t="n"/>
      <c r="O31" s="10" t="n"/>
      <c r="P31" s="10" t="n"/>
      <c r="Q31" s="10" t="n"/>
      <c r="R31" s="10" t="n"/>
      <c r="S31" s="11" t="n">
        <v>1</v>
      </c>
      <c r="T31" s="10" t="n"/>
      <c r="U31" s="10" t="n"/>
      <c r="V31" s="10" t="n"/>
      <c r="W31" s="10" t="n"/>
      <c r="X31" s="10" t="n"/>
      <c r="Y31" s="12">
        <f>SUM(L31:X31)</f>
        <v/>
      </c>
      <c r="Z31" s="13" t="inlineStr"/>
    </row>
    <row r="32" ht="30" customHeight="1">
      <c r="A32" s="7" t="inlineStr">
        <is>
          <t>B028</t>
        </is>
      </c>
      <c r="B32" s="7" t="inlineStr">
        <is>
          <t>2026-05-27</t>
        </is>
      </c>
      <c r="C32" s="7" t="inlineStr">
        <is>
          <t>2026-05-27</t>
        </is>
      </c>
      <c r="D32" s="7" t="inlineStr"/>
      <c r="E32" s="7" t="inlineStr">
        <is>
          <t>Martins</t>
        </is>
      </c>
      <c r="F32" s="7" t="inlineStr"/>
      <c r="G32" s="7" t="inlineStr"/>
      <c r="H32" s="7" t="inlineStr"/>
      <c r="I32" s="7" t="inlineStr">
        <is>
          <t>Pelvic block</t>
        </is>
      </c>
      <c r="J32" s="8" t="inlineStr">
        <is>
          <t>Fail</t>
        </is>
      </c>
      <c r="K32" s="9" t="inlineStr">
        <is>
          <t>laceration in urethra</t>
        </is>
      </c>
      <c r="L32" s="10" t="n"/>
      <c r="M32" s="10" t="n"/>
      <c r="N32" s="10" t="n"/>
      <c r="O32" s="10" t="n"/>
      <c r="P32" s="11" t="n">
        <v>1</v>
      </c>
      <c r="Q32" s="10" t="n"/>
      <c r="R32" s="10" t="n"/>
      <c r="S32" s="10" t="n"/>
      <c r="T32" s="10" t="n"/>
      <c r="U32" s="10" t="n"/>
      <c r="V32" s="10" t="n"/>
      <c r="W32" s="10" t="n"/>
      <c r="X32" s="10" t="n"/>
      <c r="Y32" s="12">
        <f>SUM(L32:X32)</f>
        <v/>
      </c>
      <c r="Z32" s="13" t="inlineStr"/>
    </row>
    <row r="33" ht="30" customHeight="1">
      <c r="A33" s="7" t="inlineStr">
        <is>
          <t>B029</t>
        </is>
      </c>
      <c r="B33" s="7" t="inlineStr">
        <is>
          <t>2026-05-27</t>
        </is>
      </c>
      <c r="C33" s="7" t="inlineStr">
        <is>
          <t>2026-05-27</t>
        </is>
      </c>
      <c r="D33" s="7" t="inlineStr"/>
      <c r="E33" s="7" t="inlineStr">
        <is>
          <t>Martins</t>
        </is>
      </c>
      <c r="F33" s="7" t="inlineStr"/>
      <c r="G33" s="7" t="inlineStr"/>
      <c r="H33" s="7" t="inlineStr"/>
      <c r="I33" s="7" t="inlineStr">
        <is>
          <t>Pelvic block</t>
        </is>
      </c>
      <c r="J33" s="8" t="inlineStr">
        <is>
          <t>Fail</t>
        </is>
      </c>
      <c r="K33" s="9" t="inlineStr">
        <is>
          <t>laceration in urethra</t>
        </is>
      </c>
      <c r="L33" s="10" t="n"/>
      <c r="M33" s="10" t="n"/>
      <c r="N33" s="10" t="n"/>
      <c r="O33" s="10" t="n"/>
      <c r="P33" s="11" t="n">
        <v>1</v>
      </c>
      <c r="Q33" s="10" t="n"/>
      <c r="R33" s="10" t="n"/>
      <c r="S33" s="10" t="n"/>
      <c r="T33" s="10" t="n"/>
      <c r="U33" s="10" t="n"/>
      <c r="V33" s="10" t="n"/>
      <c r="W33" s="10" t="n"/>
      <c r="X33" s="10" t="n"/>
      <c r="Y33" s="12">
        <f>SUM(L33:X33)</f>
        <v/>
      </c>
      <c r="Z33" s="13" t="inlineStr"/>
    </row>
    <row r="34" ht="30" customHeight="1">
      <c r="A34" s="7" t="inlineStr">
        <is>
          <t>B030</t>
        </is>
      </c>
      <c r="B34" s="7" t="inlineStr">
        <is>
          <t>2026-05-27</t>
        </is>
      </c>
      <c r="C34" s="7" t="inlineStr">
        <is>
          <t>2026-05-27</t>
        </is>
      </c>
      <c r="D34" s="7" t="inlineStr"/>
      <c r="E34" s="7" t="inlineStr">
        <is>
          <t>Martins</t>
        </is>
      </c>
      <c r="F34" s="7" t="inlineStr"/>
      <c r="G34" s="7" t="inlineStr"/>
      <c r="H34" s="7" t="inlineStr"/>
      <c r="I34" s="7" t="inlineStr">
        <is>
          <t>Pelvic block</t>
        </is>
      </c>
      <c r="J34" s="8" t="inlineStr">
        <is>
          <t>Fail</t>
        </is>
      </c>
      <c r="K34" s="9" t="inlineStr">
        <is>
          <t>hole in the distal end of the urethra and hole in mesentary membrane in critical area greater than 1.5"</t>
        </is>
      </c>
      <c r="L34" s="10" t="n"/>
      <c r="M34" s="10" t="n"/>
      <c r="N34" s="10" t="n"/>
      <c r="O34" s="10" t="n"/>
      <c r="P34" s="11" t="n">
        <v>1</v>
      </c>
      <c r="Q34" s="11" t="n">
        <v>1</v>
      </c>
      <c r="R34" s="10" t="n"/>
      <c r="S34" s="10" t="n"/>
      <c r="T34" s="10" t="n"/>
      <c r="U34" s="10" t="n"/>
      <c r="V34" s="10" t="n"/>
      <c r="W34" s="10" t="n"/>
      <c r="X34" s="10" t="n"/>
      <c r="Y34" s="12">
        <f>SUM(L34:X34)</f>
        <v/>
      </c>
      <c r="Z34" s="13" t="inlineStr"/>
    </row>
    <row r="35" ht="30" customHeight="1">
      <c r="A35" s="7" t="inlineStr">
        <is>
          <t>B031</t>
        </is>
      </c>
      <c r="B35" s="7" t="inlineStr">
        <is>
          <t>2026-05-27</t>
        </is>
      </c>
      <c r="C35" s="7" t="inlineStr">
        <is>
          <t>2026-05-27</t>
        </is>
      </c>
      <c r="D35" s="7" t="inlineStr"/>
      <c r="E35" s="7" t="inlineStr">
        <is>
          <t>Martins</t>
        </is>
      </c>
      <c r="F35" s="7" t="inlineStr"/>
      <c r="G35" s="7" t="inlineStr"/>
      <c r="H35" s="7" t="inlineStr"/>
      <c r="I35" s="7" t="inlineStr">
        <is>
          <t>Pelvic block</t>
        </is>
      </c>
      <c r="J35" s="14" t="inlineStr">
        <is>
          <t>Pass</t>
        </is>
      </c>
      <c r="K35" s="9" t="inlineStr">
        <is>
          <t>hole in the distal end of the colon passed the template</t>
        </is>
      </c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2">
        <f>SUM(L35:X35)</f>
        <v/>
      </c>
      <c r="Z35" s="15" t="inlineStr">
        <is>
          <t>Colon hole small enough to pass template.</t>
        </is>
      </c>
    </row>
    <row r="36" ht="30" customHeight="1">
      <c r="A36" s="7" t="inlineStr">
        <is>
          <t>B032</t>
        </is>
      </c>
      <c r="B36" s="7" t="inlineStr">
        <is>
          <t>2026-07-10</t>
        </is>
      </c>
      <c r="C36" s="7" t="inlineStr">
        <is>
          <t>2026-07-08</t>
        </is>
      </c>
      <c r="D36" s="7" t="inlineStr">
        <is>
          <t>2026-07-08</t>
        </is>
      </c>
      <c r="E36" s="7" t="inlineStr">
        <is>
          <t>Martins</t>
        </is>
      </c>
      <c r="F36" s="7" t="inlineStr"/>
      <c r="G36" s="7" t="inlineStr"/>
      <c r="H36" s="7" t="inlineStr">
        <is>
          <t>12:30 PM - 12:45 PM</t>
        </is>
      </c>
      <c r="I36" s="7" t="inlineStr">
        <is>
          <t>Tiss, porcine, fem, Pelvic block</t>
        </is>
      </c>
      <c r="J36" s="8" t="inlineStr">
        <is>
          <t>Fail</t>
        </is>
      </c>
      <c r="K36" s="9" t="inlineStr">
        <is>
          <t>Large hole near right broad ligament and membrane causing seperation of bowel and ureters.</t>
        </is>
      </c>
      <c r="L36" s="10" t="n"/>
      <c r="M36" s="10" t="n"/>
      <c r="N36" s="10" t="n"/>
      <c r="O36" s="10" t="n"/>
      <c r="P36" s="10" t="n"/>
      <c r="Q36" s="11" t="n">
        <v>1</v>
      </c>
      <c r="R36" s="10" t="n"/>
      <c r="S36" s="11" t="n">
        <v>1</v>
      </c>
      <c r="T36" s="10" t="n"/>
      <c r="U36" s="11" t="n">
        <v>1</v>
      </c>
      <c r="V36" s="10" t="n"/>
      <c r="W36" s="10" t="n"/>
      <c r="X36" s="10" t="n"/>
      <c r="Y36" s="12">
        <f>SUM(L36:X36)</f>
        <v/>
      </c>
      <c r="Z36" s="13" t="inlineStr"/>
    </row>
    <row r="37" ht="30" customHeight="1">
      <c r="A37" s="7" t="inlineStr">
        <is>
          <t>B033</t>
        </is>
      </c>
      <c r="B37" s="7" t="inlineStr">
        <is>
          <t>2026-07-10</t>
        </is>
      </c>
      <c r="C37" s="7" t="inlineStr">
        <is>
          <t>2026-07-08</t>
        </is>
      </c>
      <c r="D37" s="7" t="inlineStr">
        <is>
          <t>2026-07-08</t>
        </is>
      </c>
      <c r="E37" s="7" t="inlineStr">
        <is>
          <t>Martins</t>
        </is>
      </c>
      <c r="F37" s="7" t="inlineStr"/>
      <c r="G37" s="7" t="inlineStr"/>
      <c r="H37" s="7" t="inlineStr">
        <is>
          <t>12:30 PM - 12:45 PM</t>
        </is>
      </c>
      <c r="I37" s="7" t="inlineStr">
        <is>
          <t>Tiss, porcine, fem, Pelvic block</t>
        </is>
      </c>
      <c r="J37" s="8" t="inlineStr">
        <is>
          <t>Fail</t>
        </is>
      </c>
      <c r="K37" s="9" t="inlineStr">
        <is>
          <t>2 inch damage on membrane seperating bowel in critical area</t>
        </is>
      </c>
      <c r="L37" s="10" t="n"/>
      <c r="M37" s="10" t="n"/>
      <c r="N37" s="10" t="n"/>
      <c r="O37" s="10" t="n"/>
      <c r="P37" s="10" t="n"/>
      <c r="Q37" s="11" t="n">
        <v>1</v>
      </c>
      <c r="R37" s="10" t="n"/>
      <c r="S37" s="11" t="n">
        <v>1</v>
      </c>
      <c r="T37" s="10" t="n"/>
      <c r="U37" s="10" t="n"/>
      <c r="V37" s="10" t="n"/>
      <c r="W37" s="10" t="n"/>
      <c r="X37" s="10" t="n"/>
      <c r="Y37" s="12">
        <f>SUM(L37:X37)</f>
        <v/>
      </c>
      <c r="Z37" s="13" t="inlineStr"/>
    </row>
    <row r="38" ht="30" customHeight="1">
      <c r="A38" s="7" t="inlineStr">
        <is>
          <t>B034</t>
        </is>
      </c>
      <c r="B38" s="7" t="inlineStr">
        <is>
          <t>2026-07-10</t>
        </is>
      </c>
      <c r="C38" s="7" t="inlineStr">
        <is>
          <t>2026-07-08</t>
        </is>
      </c>
      <c r="D38" s="7" t="inlineStr">
        <is>
          <t>2026-07-08</t>
        </is>
      </c>
      <c r="E38" s="7" t="inlineStr">
        <is>
          <t>Martins</t>
        </is>
      </c>
      <c r="F38" s="7" t="inlineStr"/>
      <c r="G38" s="7" t="inlineStr"/>
      <c r="H38" s="7" t="inlineStr">
        <is>
          <t>12:30 PM - 12:45 PM</t>
        </is>
      </c>
      <c r="I38" s="7" t="inlineStr">
        <is>
          <t>Tiss, porcine, fem, Pelvic block</t>
        </is>
      </c>
      <c r="J38" s="8" t="inlineStr">
        <is>
          <t>Fail</t>
        </is>
      </c>
      <c r="K38" s="9" t="inlineStr">
        <is>
          <t>urethra is cut</t>
        </is>
      </c>
      <c r="L38" s="10" t="n"/>
      <c r="M38" s="10" t="n"/>
      <c r="N38" s="10" t="n"/>
      <c r="O38" s="10" t="n"/>
      <c r="P38" s="11" t="n">
        <v>1</v>
      </c>
      <c r="Q38" s="10" t="n"/>
      <c r="R38" s="10" t="n"/>
      <c r="S38" s="10" t="n"/>
      <c r="T38" s="10" t="n"/>
      <c r="U38" s="10" t="n"/>
      <c r="V38" s="10" t="n"/>
      <c r="W38" s="10" t="n"/>
      <c r="X38" s="10" t="n"/>
      <c r="Y38" s="12">
        <f>SUM(L38:X38)</f>
        <v/>
      </c>
      <c r="Z38" s="13" t="inlineStr"/>
    </row>
    <row r="39" ht="30" customHeight="1">
      <c r="A39" s="7" t="inlineStr">
        <is>
          <t>B035</t>
        </is>
      </c>
      <c r="B39" s="7" t="inlineStr">
        <is>
          <t>2026-07-10</t>
        </is>
      </c>
      <c r="C39" s="7" t="inlineStr">
        <is>
          <t>2026-07-08</t>
        </is>
      </c>
      <c r="D39" s="7" t="inlineStr">
        <is>
          <t>2026-07-08</t>
        </is>
      </c>
      <c r="E39" s="7" t="inlineStr">
        <is>
          <t>Martins</t>
        </is>
      </c>
      <c r="F39" s="7" t="inlineStr"/>
      <c r="G39" s="7" t="inlineStr"/>
      <c r="H39" s="7" t="inlineStr">
        <is>
          <t>12:30 PM - 12:45 PM</t>
        </is>
      </c>
      <c r="I39" s="7" t="inlineStr">
        <is>
          <t>Tiss, porcine, fem, Pelvic block</t>
        </is>
      </c>
      <c r="J39" s="8" t="inlineStr">
        <is>
          <t>Fail</t>
        </is>
      </c>
      <c r="K39" s="9" t="inlineStr">
        <is>
          <t>bladder deformed 12 inch deformed attachment</t>
        </is>
      </c>
      <c r="L39" s="10" t="n"/>
      <c r="M39" s="10" t="n"/>
      <c r="N39" s="10" t="n"/>
      <c r="O39" s="10" t="n"/>
      <c r="P39" s="10" t="n"/>
      <c r="Q39" s="10" t="n"/>
      <c r="R39" s="11" t="n">
        <v>1</v>
      </c>
      <c r="S39" s="10" t="n"/>
      <c r="T39" s="10" t="n"/>
      <c r="U39" s="10" t="n"/>
      <c r="V39" s="10" t="n"/>
      <c r="W39" s="10" t="n"/>
      <c r="X39" s="10" t="n"/>
      <c r="Y39" s="12">
        <f>SUM(L39:X39)</f>
        <v/>
      </c>
      <c r="Z39" s="13" t="inlineStr"/>
    </row>
    <row r="40" ht="30" customHeight="1">
      <c r="A40" s="7" t="inlineStr">
        <is>
          <t>B036</t>
        </is>
      </c>
      <c r="B40" s="7" t="inlineStr">
        <is>
          <t>2026-07-10</t>
        </is>
      </c>
      <c r="C40" s="7" t="inlineStr">
        <is>
          <t>2026-07-08</t>
        </is>
      </c>
      <c r="D40" s="7" t="inlineStr">
        <is>
          <t>2026-07-08</t>
        </is>
      </c>
      <c r="E40" s="7" t="inlineStr">
        <is>
          <t>Martins</t>
        </is>
      </c>
      <c r="F40" s="7" t="inlineStr"/>
      <c r="G40" s="7" t="inlineStr"/>
      <c r="H40" s="7" t="inlineStr">
        <is>
          <t>12:30 PM - 12:45 PM</t>
        </is>
      </c>
      <c r="I40" s="7" t="inlineStr">
        <is>
          <t>Tiss, porcine, fem, Pelvic block</t>
        </is>
      </c>
      <c r="J40" s="8" t="inlineStr">
        <is>
          <t>Fail</t>
        </is>
      </c>
      <c r="K40" s="9" t="inlineStr">
        <is>
          <t>suspensory ligaments damaged, ureters not embedded</t>
        </is>
      </c>
      <c r="L40" s="11" t="n">
        <v>1</v>
      </c>
      <c r="M40" s="10" t="n"/>
      <c r="N40" s="10" t="n"/>
      <c r="O40" s="11" t="n">
        <v>1</v>
      </c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2">
        <f>SUM(L40:X40)</f>
        <v/>
      </c>
      <c r="Z40" s="13" t="inlineStr"/>
    </row>
    <row r="41" ht="30" customHeight="1">
      <c r="A41" s="7" t="inlineStr">
        <is>
          <t>B037</t>
        </is>
      </c>
      <c r="B41" s="7" t="inlineStr">
        <is>
          <t>2026-07-10</t>
        </is>
      </c>
      <c r="C41" s="7" t="inlineStr">
        <is>
          <t>2026-07-08</t>
        </is>
      </c>
      <c r="D41" s="7" t="inlineStr">
        <is>
          <t>2026-07-08</t>
        </is>
      </c>
      <c r="E41" s="7" t="inlineStr">
        <is>
          <t>Martins</t>
        </is>
      </c>
      <c r="F41" s="7" t="inlineStr"/>
      <c r="G41" s="7" t="inlineStr"/>
      <c r="H41" s="7" t="inlineStr">
        <is>
          <t>12:30 PM - 12:45 PM</t>
        </is>
      </c>
      <c r="I41" s="7" t="inlineStr">
        <is>
          <t>Tiss, porcine, fem, Pelvic block</t>
        </is>
      </c>
      <c r="J41" s="8" t="inlineStr">
        <is>
          <t>Fail</t>
        </is>
      </c>
      <c r="K41" s="9" t="inlineStr">
        <is>
          <t>ureters not embedded, suspensory ligaments damaged, cut urethra</t>
        </is>
      </c>
      <c r="L41" s="11" t="n">
        <v>1</v>
      </c>
      <c r="M41" s="10" t="n"/>
      <c r="N41" s="10" t="n"/>
      <c r="O41" s="11" t="n">
        <v>1</v>
      </c>
      <c r="P41" s="11" t="n">
        <v>1</v>
      </c>
      <c r="Q41" s="10" t="n"/>
      <c r="R41" s="10" t="n"/>
      <c r="S41" s="10" t="n"/>
      <c r="T41" s="10" t="n"/>
      <c r="U41" s="10" t="n"/>
      <c r="V41" s="10" t="n"/>
      <c r="W41" s="10" t="n"/>
      <c r="X41" s="10" t="n"/>
      <c r="Y41" s="12">
        <f>SUM(L41:X41)</f>
        <v/>
      </c>
      <c r="Z41" s="13" t="inlineStr"/>
    </row>
    <row r="42" ht="30" customHeight="1">
      <c r="A42" s="7" t="inlineStr">
        <is>
          <t>B038</t>
        </is>
      </c>
      <c r="B42" s="7" t="inlineStr">
        <is>
          <t>2026-07-10</t>
        </is>
      </c>
      <c r="C42" s="7" t="inlineStr">
        <is>
          <t>2026-07-08</t>
        </is>
      </c>
      <c r="D42" s="7" t="inlineStr">
        <is>
          <t>2026-07-08</t>
        </is>
      </c>
      <c r="E42" s="7" t="inlineStr">
        <is>
          <t>Martins</t>
        </is>
      </c>
      <c r="F42" s="7" t="inlineStr"/>
      <c r="G42" s="7" t="inlineStr"/>
      <c r="H42" s="7" t="inlineStr">
        <is>
          <t>12:30 PM - 12:45 PM</t>
        </is>
      </c>
      <c r="I42" s="7" t="inlineStr">
        <is>
          <t>Tiss, porcine, fem, Pelvic block</t>
        </is>
      </c>
      <c r="J42" s="8" t="inlineStr">
        <is>
          <t>Fail</t>
        </is>
      </c>
      <c r="K42" s="9" t="inlineStr">
        <is>
          <t>ureters not embedded and cut, suspensory ligaments damaged, cut urethra</t>
        </is>
      </c>
      <c r="L42" s="11" t="n">
        <v>1</v>
      </c>
      <c r="M42" s="11" t="n">
        <v>1</v>
      </c>
      <c r="N42" s="10" t="n"/>
      <c r="O42" s="11" t="n">
        <v>1</v>
      </c>
      <c r="P42" s="11" t="n">
        <v>1</v>
      </c>
      <c r="Q42" s="10" t="n"/>
      <c r="R42" s="10" t="n"/>
      <c r="S42" s="10" t="n"/>
      <c r="T42" s="10" t="n"/>
      <c r="U42" s="10" t="n"/>
      <c r="V42" s="10" t="n"/>
      <c r="W42" s="10" t="n"/>
      <c r="X42" s="10" t="n"/>
      <c r="Y42" s="12">
        <f>SUM(L42:X42)</f>
        <v/>
      </c>
      <c r="Z42" s="13" t="inlineStr"/>
    </row>
    <row r="43" ht="30" customHeight="1">
      <c r="A43" s="7" t="inlineStr">
        <is>
          <t>B039</t>
        </is>
      </c>
      <c r="B43" s="7" t="inlineStr">
        <is>
          <t>2026-07-10</t>
        </is>
      </c>
      <c r="C43" s="7" t="inlineStr">
        <is>
          <t>2026-07-08</t>
        </is>
      </c>
      <c r="D43" s="7" t="inlineStr">
        <is>
          <t>2026-07-08</t>
        </is>
      </c>
      <c r="E43" s="7" t="inlineStr">
        <is>
          <t>Martins</t>
        </is>
      </c>
      <c r="F43" s="7" t="inlineStr"/>
      <c r="G43" s="7" t="inlineStr"/>
      <c r="H43" s="7" t="inlineStr">
        <is>
          <t>12:30 PM - 12:45 PM</t>
        </is>
      </c>
      <c r="I43" s="7" t="inlineStr">
        <is>
          <t>Tiss, porcine, fem, Pelvic block</t>
        </is>
      </c>
      <c r="J43" s="8" t="inlineStr">
        <is>
          <t>Fail</t>
        </is>
      </c>
      <c r="K43" s="9" t="inlineStr">
        <is>
          <t>ureters not embedded, suspensory ligaments damaged, cut urethra, membrane damaged in critical area</t>
        </is>
      </c>
      <c r="L43" s="11" t="n">
        <v>1</v>
      </c>
      <c r="M43" s="10" t="n"/>
      <c r="N43" s="10" t="n"/>
      <c r="O43" s="11" t="n">
        <v>1</v>
      </c>
      <c r="P43" s="11" t="n">
        <v>1</v>
      </c>
      <c r="Q43" s="11" t="n">
        <v>1</v>
      </c>
      <c r="R43" s="10" t="n"/>
      <c r="S43" s="10" t="n"/>
      <c r="T43" s="10" t="n"/>
      <c r="U43" s="10" t="n"/>
      <c r="V43" s="10" t="n"/>
      <c r="W43" s="10" t="n"/>
      <c r="X43" s="10" t="n"/>
      <c r="Y43" s="12">
        <f>SUM(L43:X43)</f>
        <v/>
      </c>
      <c r="Z43" s="13" t="inlineStr"/>
    </row>
    <row r="44" ht="30" customHeight="1">
      <c r="A44" s="7" t="inlineStr">
        <is>
          <t>B040</t>
        </is>
      </c>
      <c r="B44" s="7" t="inlineStr">
        <is>
          <t>2026-07-10</t>
        </is>
      </c>
      <c r="C44" s="7" t="inlineStr">
        <is>
          <t>2026-07-08</t>
        </is>
      </c>
      <c r="D44" s="7" t="inlineStr">
        <is>
          <t>2026-07-08</t>
        </is>
      </c>
      <c r="E44" s="7" t="inlineStr">
        <is>
          <t>Martins</t>
        </is>
      </c>
      <c r="F44" s="7" t="inlineStr"/>
      <c r="G44" s="7" t="inlineStr"/>
      <c r="H44" s="7" t="inlineStr">
        <is>
          <t>12:30 PM - 12:45 PM</t>
        </is>
      </c>
      <c r="I44" s="7" t="inlineStr">
        <is>
          <t>Tiss, porcine, fem, Pelvic block</t>
        </is>
      </c>
      <c r="J44" s="8" t="inlineStr">
        <is>
          <t>Fail</t>
        </is>
      </c>
      <c r="K44" s="9" t="inlineStr">
        <is>
          <t>suspensory ligaments damaged, ureters not embedded</t>
        </is>
      </c>
      <c r="L44" s="11" t="n">
        <v>1</v>
      </c>
      <c r="M44" s="10" t="n"/>
      <c r="N44" s="10" t="n"/>
      <c r="O44" s="11" t="n">
        <v>1</v>
      </c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2">
        <f>SUM(L44:X44)</f>
        <v/>
      </c>
      <c r="Z44" s="13" t="inlineStr"/>
    </row>
    <row r="45" ht="30" customHeight="1">
      <c r="A45" s="7" t="inlineStr">
        <is>
          <t>B041</t>
        </is>
      </c>
      <c r="B45" s="7" t="inlineStr">
        <is>
          <t>2026-07-10</t>
        </is>
      </c>
      <c r="C45" s="7" t="inlineStr">
        <is>
          <t>2026-07-08</t>
        </is>
      </c>
      <c r="D45" s="7" t="inlineStr">
        <is>
          <t>2026-07-08</t>
        </is>
      </c>
      <c r="E45" s="7" t="inlineStr">
        <is>
          <t>Martins</t>
        </is>
      </c>
      <c r="F45" s="7" t="inlineStr"/>
      <c r="G45" s="7" t="inlineStr"/>
      <c r="H45" s="7" t="inlineStr">
        <is>
          <t>12:30 PM - 12:45 PM</t>
        </is>
      </c>
      <c r="I45" s="7" t="inlineStr">
        <is>
          <t>Tiss, porcine, fem, Pelvic block</t>
        </is>
      </c>
      <c r="J45" s="8" t="inlineStr">
        <is>
          <t>Fail</t>
        </is>
      </c>
      <c r="K45" s="9" t="inlineStr">
        <is>
          <t>ureters not embedded, suspensory ligaments damaged, cut urethra, membrane damaged in critical area</t>
        </is>
      </c>
      <c r="L45" s="11" t="n">
        <v>1</v>
      </c>
      <c r="M45" s="10" t="n"/>
      <c r="N45" s="10" t="n"/>
      <c r="O45" s="11" t="n">
        <v>1</v>
      </c>
      <c r="P45" s="11" t="n">
        <v>1</v>
      </c>
      <c r="Q45" s="11" t="n">
        <v>1</v>
      </c>
      <c r="R45" s="10" t="n"/>
      <c r="S45" s="10" t="n"/>
      <c r="T45" s="10" t="n"/>
      <c r="U45" s="10" t="n"/>
      <c r="V45" s="10" t="n"/>
      <c r="W45" s="10" t="n"/>
      <c r="X45" s="10" t="n"/>
      <c r="Y45" s="12">
        <f>SUM(L45:X45)</f>
        <v/>
      </c>
      <c r="Z45" s="13" t="inlineStr"/>
    </row>
    <row r="46" ht="30" customHeight="1">
      <c r="A46" s="7" t="inlineStr">
        <is>
          <t>B042</t>
        </is>
      </c>
      <c r="B46" s="7" t="inlineStr">
        <is>
          <t>2026-07-10</t>
        </is>
      </c>
      <c r="C46" s="7" t="inlineStr">
        <is>
          <t>2026-07-08</t>
        </is>
      </c>
      <c r="D46" s="7" t="inlineStr">
        <is>
          <t>2026-07-08</t>
        </is>
      </c>
      <c r="E46" s="7" t="inlineStr">
        <is>
          <t>Martins</t>
        </is>
      </c>
      <c r="F46" s="7" t="inlineStr"/>
      <c r="G46" s="7" t="inlineStr"/>
      <c r="H46" s="7" t="inlineStr">
        <is>
          <t>12:30 PM - 12:45 PM</t>
        </is>
      </c>
      <c r="I46" s="7" t="inlineStr">
        <is>
          <t>Tiss, porcine, fem, Pelvic block</t>
        </is>
      </c>
      <c r="J46" s="8" t="inlineStr">
        <is>
          <t>Fail</t>
        </is>
      </c>
      <c r="K46" s="9" t="inlineStr">
        <is>
          <t>left ureter is missing</t>
        </is>
      </c>
      <c r="L46" s="10" t="n"/>
      <c r="M46" s="10" t="n"/>
      <c r="N46" s="11" t="n">
        <v>1</v>
      </c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2">
        <f>SUM(L46:X46)</f>
        <v/>
      </c>
      <c r="Z46" s="13" t="inlineStr"/>
    </row>
    <row r="47" ht="30" customHeight="1">
      <c r="A47" s="7" t="inlineStr">
        <is>
          <t>B043</t>
        </is>
      </c>
      <c r="B47" s="7" t="inlineStr">
        <is>
          <t>2026-07-10</t>
        </is>
      </c>
      <c r="C47" s="7" t="inlineStr">
        <is>
          <t>2026-07-08</t>
        </is>
      </c>
      <c r="D47" s="7" t="inlineStr">
        <is>
          <t>2026-07-08</t>
        </is>
      </c>
      <c r="E47" s="7" t="inlineStr">
        <is>
          <t>Martins</t>
        </is>
      </c>
      <c r="F47" s="7" t="inlineStr"/>
      <c r="G47" s="7" t="inlineStr"/>
      <c r="H47" s="7" t="inlineStr">
        <is>
          <t>12:30 PM - 12:45 PM</t>
        </is>
      </c>
      <c r="I47" s="7" t="inlineStr">
        <is>
          <t>Tiss, porcine, fem, Pelvic block</t>
        </is>
      </c>
      <c r="J47" s="8" t="inlineStr">
        <is>
          <t>Fail</t>
        </is>
      </c>
      <c r="K47" s="9" t="inlineStr">
        <is>
          <t>ureters not embedded, suspensory ligaments damaged, membrane damaged in critical area</t>
        </is>
      </c>
      <c r="L47" s="11" t="n">
        <v>1</v>
      </c>
      <c r="M47" s="10" t="n"/>
      <c r="N47" s="10" t="n"/>
      <c r="O47" s="11" t="n">
        <v>1</v>
      </c>
      <c r="P47" s="10" t="n"/>
      <c r="Q47" s="11" t="n">
        <v>1</v>
      </c>
      <c r="R47" s="10" t="n"/>
      <c r="S47" s="10" t="n"/>
      <c r="T47" s="10" t="n"/>
      <c r="U47" s="10" t="n"/>
      <c r="V47" s="10" t="n"/>
      <c r="W47" s="10" t="n"/>
      <c r="X47" s="10" t="n"/>
      <c r="Y47" s="12">
        <f>SUM(L47:X47)</f>
        <v/>
      </c>
      <c r="Z47" s="13" t="inlineStr"/>
    </row>
    <row r="48" ht="30" customHeight="1">
      <c r="A48" s="7" t="inlineStr">
        <is>
          <t>B044</t>
        </is>
      </c>
      <c r="B48" s="7" t="inlineStr">
        <is>
          <t>2026-07-10</t>
        </is>
      </c>
      <c r="C48" s="7" t="inlineStr">
        <is>
          <t>2026-07-08</t>
        </is>
      </c>
      <c r="D48" s="7" t="inlineStr">
        <is>
          <t>2026-07-08</t>
        </is>
      </c>
      <c r="E48" s="7" t="inlineStr">
        <is>
          <t>Martins</t>
        </is>
      </c>
      <c r="F48" s="7" t="inlineStr"/>
      <c r="G48" s="7" t="inlineStr"/>
      <c r="H48" s="7" t="inlineStr">
        <is>
          <t>12:30 PM - 12:45 PM</t>
        </is>
      </c>
      <c r="I48" s="7" t="inlineStr">
        <is>
          <t>Tiss, porcine, fem, Pelvic block</t>
        </is>
      </c>
      <c r="J48" s="8" t="inlineStr">
        <is>
          <t>Fail</t>
        </is>
      </c>
      <c r="K48" s="9" t="inlineStr">
        <is>
          <t>ureters not embedded, suspensory ligaments damaged, membrane damaged in critical area</t>
        </is>
      </c>
      <c r="L48" s="11" t="n">
        <v>1</v>
      </c>
      <c r="M48" s="10" t="n"/>
      <c r="N48" s="10" t="n"/>
      <c r="O48" s="11" t="n">
        <v>1</v>
      </c>
      <c r="P48" s="10" t="n"/>
      <c r="Q48" s="11" t="n">
        <v>1</v>
      </c>
      <c r="R48" s="10" t="n"/>
      <c r="S48" s="10" t="n"/>
      <c r="T48" s="10" t="n"/>
      <c r="U48" s="10" t="n"/>
      <c r="V48" s="10" t="n"/>
      <c r="W48" s="10" t="n"/>
      <c r="X48" s="10" t="n"/>
      <c r="Y48" s="12">
        <f>SUM(L48:X48)</f>
        <v/>
      </c>
      <c r="Z48" s="13" t="inlineStr"/>
    </row>
    <row r="49" ht="30" customHeight="1">
      <c r="A49" s="7" t="inlineStr">
        <is>
          <t>B045</t>
        </is>
      </c>
      <c r="B49" s="7" t="inlineStr">
        <is>
          <t>2026-07-10</t>
        </is>
      </c>
      <c r="C49" s="7" t="inlineStr">
        <is>
          <t>2026-07-08</t>
        </is>
      </c>
      <c r="D49" s="7" t="inlineStr">
        <is>
          <t>2026-07-08</t>
        </is>
      </c>
      <c r="E49" s="7" t="inlineStr">
        <is>
          <t>Martins</t>
        </is>
      </c>
      <c r="F49" s="7" t="inlineStr"/>
      <c r="G49" s="7" t="inlineStr"/>
      <c r="H49" s="7" t="inlineStr">
        <is>
          <t>12:30 PM - 12:45 PM</t>
        </is>
      </c>
      <c r="I49" s="7" t="inlineStr">
        <is>
          <t>Tiss, porcine, fem, Pelvic block</t>
        </is>
      </c>
      <c r="J49" s="8" t="inlineStr">
        <is>
          <t>Fail</t>
        </is>
      </c>
      <c r="K49" s="9" t="inlineStr">
        <is>
          <t>left ureter missing, blood clots</t>
        </is>
      </c>
      <c r="L49" s="10" t="n"/>
      <c r="M49" s="10" t="n"/>
      <c r="N49" s="11" t="n">
        <v>1</v>
      </c>
      <c r="O49" s="10" t="n"/>
      <c r="P49" s="10" t="n"/>
      <c r="Q49" s="10" t="n"/>
      <c r="R49" s="10" t="n"/>
      <c r="S49" s="10" t="n"/>
      <c r="T49" s="11" t="n">
        <v>1</v>
      </c>
      <c r="U49" s="10" t="n"/>
      <c r="V49" s="10" t="n"/>
      <c r="W49" s="10" t="n"/>
      <c r="X49" s="10" t="n"/>
      <c r="Y49" s="12">
        <f>SUM(L49:X49)</f>
        <v/>
      </c>
      <c r="Z49" s="13" t="inlineStr"/>
    </row>
    <row r="50" ht="30" customHeight="1">
      <c r="A50" s="7" t="inlineStr">
        <is>
          <t>B046</t>
        </is>
      </c>
      <c r="B50" s="7" t="inlineStr">
        <is>
          <t>2026-07-10</t>
        </is>
      </c>
      <c r="C50" s="7" t="inlineStr">
        <is>
          <t>2026-07-08</t>
        </is>
      </c>
      <c r="D50" s="7" t="inlineStr">
        <is>
          <t>2026-07-08</t>
        </is>
      </c>
      <c r="E50" s="7" t="inlineStr">
        <is>
          <t>Martins</t>
        </is>
      </c>
      <c r="F50" s="7" t="inlineStr"/>
      <c r="G50" s="7" t="inlineStr"/>
      <c r="H50" s="7" t="inlineStr">
        <is>
          <t>12:30 PM - 12:45 PM</t>
        </is>
      </c>
      <c r="I50" s="7" t="inlineStr">
        <is>
          <t>Tiss, porcine, fem, Pelvic block</t>
        </is>
      </c>
      <c r="J50" s="8" t="inlineStr">
        <is>
          <t>Fail</t>
        </is>
      </c>
      <c r="K50" s="9" t="inlineStr">
        <is>
          <t>right ureter missing, membrane damage in critical area</t>
        </is>
      </c>
      <c r="L50" s="10" t="n"/>
      <c r="M50" s="10" t="n"/>
      <c r="N50" s="11" t="n">
        <v>1</v>
      </c>
      <c r="O50" s="10" t="n"/>
      <c r="P50" s="10" t="n"/>
      <c r="Q50" s="11" t="n">
        <v>1</v>
      </c>
      <c r="R50" s="10" t="n"/>
      <c r="S50" s="10" t="n"/>
      <c r="T50" s="10" t="n"/>
      <c r="U50" s="10" t="n"/>
      <c r="V50" s="10" t="n"/>
      <c r="W50" s="10" t="n"/>
      <c r="X50" s="10" t="n"/>
      <c r="Y50" s="12">
        <f>SUM(L50:X50)</f>
        <v/>
      </c>
      <c r="Z50" s="13" t="inlineStr"/>
    </row>
    <row r="51" ht="30" customHeight="1">
      <c r="A51" s="7" t="inlineStr">
        <is>
          <t>B047</t>
        </is>
      </c>
      <c r="B51" s="7" t="inlineStr">
        <is>
          <t>2026-07-10</t>
        </is>
      </c>
      <c r="C51" s="7" t="inlineStr">
        <is>
          <t>2026-07-08</t>
        </is>
      </c>
      <c r="D51" s="7" t="inlineStr">
        <is>
          <t>2026-07-08</t>
        </is>
      </c>
      <c r="E51" s="7" t="inlineStr">
        <is>
          <t>Martins</t>
        </is>
      </c>
      <c r="F51" s="7" t="inlineStr"/>
      <c r="G51" s="7" t="inlineStr"/>
      <c r="H51" s="7" t="inlineStr">
        <is>
          <t>12:30 PM - 12:45 PM</t>
        </is>
      </c>
      <c r="I51" s="7" t="inlineStr">
        <is>
          <t>Tiss, porcine, fem, Pelvic block</t>
        </is>
      </c>
      <c r="J51" s="8" t="inlineStr">
        <is>
          <t>Fail</t>
        </is>
      </c>
      <c r="K51" s="9" t="inlineStr">
        <is>
          <t>membrane damage in critical area, ureters not embedded</t>
        </is>
      </c>
      <c r="L51" s="11" t="n">
        <v>1</v>
      </c>
      <c r="M51" s="10" t="n"/>
      <c r="N51" s="10" t="n"/>
      <c r="O51" s="10" t="n"/>
      <c r="P51" s="10" t="n"/>
      <c r="Q51" s="11" t="n">
        <v>1</v>
      </c>
      <c r="R51" s="10" t="n"/>
      <c r="S51" s="10" t="n"/>
      <c r="T51" s="10" t="n"/>
      <c r="U51" s="10" t="n"/>
      <c r="V51" s="10" t="n"/>
      <c r="W51" s="10" t="n"/>
      <c r="X51" s="10" t="n"/>
      <c r="Y51" s="12">
        <f>SUM(L51:X51)</f>
        <v/>
      </c>
      <c r="Z51" s="13" t="inlineStr"/>
    </row>
    <row r="52" ht="30" customHeight="1">
      <c r="A52" s="7" t="inlineStr">
        <is>
          <t>B048</t>
        </is>
      </c>
      <c r="B52" s="7" t="inlineStr">
        <is>
          <t>2026-07-10</t>
        </is>
      </c>
      <c r="C52" s="7" t="inlineStr">
        <is>
          <t>2026-07-08</t>
        </is>
      </c>
      <c r="D52" s="7" t="inlineStr">
        <is>
          <t>2026-07-08</t>
        </is>
      </c>
      <c r="E52" s="7" t="inlineStr">
        <is>
          <t>Martins</t>
        </is>
      </c>
      <c r="F52" s="7" t="inlineStr"/>
      <c r="G52" s="7" t="inlineStr"/>
      <c r="H52" s="7" t="inlineStr">
        <is>
          <t>12:30 PM - 12:45 PM</t>
        </is>
      </c>
      <c r="I52" s="7" t="inlineStr">
        <is>
          <t>Tiss, porcine, fem, Pelvic block</t>
        </is>
      </c>
      <c r="J52" s="8" t="inlineStr">
        <is>
          <t>Fail</t>
        </is>
      </c>
      <c r="K52" s="9" t="inlineStr">
        <is>
          <t>membrane damage in critical area, ureters not embedded</t>
        </is>
      </c>
      <c r="L52" s="11" t="n">
        <v>1</v>
      </c>
      <c r="M52" s="10" t="n"/>
      <c r="N52" s="10" t="n"/>
      <c r="O52" s="10" t="n"/>
      <c r="P52" s="10" t="n"/>
      <c r="Q52" s="11" t="n">
        <v>1</v>
      </c>
      <c r="R52" s="10" t="n"/>
      <c r="S52" s="10" t="n"/>
      <c r="T52" s="10" t="n"/>
      <c r="U52" s="10" t="n"/>
      <c r="V52" s="10" t="n"/>
      <c r="W52" s="10" t="n"/>
      <c r="X52" s="10" t="n"/>
      <c r="Y52" s="12">
        <f>SUM(L52:X52)</f>
        <v/>
      </c>
      <c r="Z52" s="13" t="inlineStr"/>
    </row>
    <row r="53" ht="30" customHeight="1">
      <c r="A53" s="7" t="inlineStr">
        <is>
          <t>B049</t>
        </is>
      </c>
      <c r="B53" s="7" t="inlineStr">
        <is>
          <t>2026-07-10</t>
        </is>
      </c>
      <c r="C53" s="7" t="inlineStr">
        <is>
          <t>2026-07-08</t>
        </is>
      </c>
      <c r="D53" s="7" t="inlineStr">
        <is>
          <t>2026-07-08</t>
        </is>
      </c>
      <c r="E53" s="7" t="inlineStr">
        <is>
          <t>Martins</t>
        </is>
      </c>
      <c r="F53" s="7" t="inlineStr"/>
      <c r="G53" s="7" t="inlineStr"/>
      <c r="H53" s="7" t="inlineStr">
        <is>
          <t>12:30 PM - 12:45 PM</t>
        </is>
      </c>
      <c r="I53" s="7" t="inlineStr">
        <is>
          <t>Tiss, porcine, fem, Pelvic block</t>
        </is>
      </c>
      <c r="J53" s="8" t="inlineStr">
        <is>
          <t>Fail</t>
        </is>
      </c>
      <c r="K53" s="9" t="inlineStr">
        <is>
          <t>ureter cut, membrane damage in critital area, right ureter not embedded</t>
        </is>
      </c>
      <c r="L53" s="11" t="n">
        <v>1</v>
      </c>
      <c r="M53" s="11" t="n">
        <v>1</v>
      </c>
      <c r="N53" s="10" t="n"/>
      <c r="O53" s="10" t="n"/>
      <c r="P53" s="10" t="n"/>
      <c r="Q53" s="11" t="n">
        <v>1</v>
      </c>
      <c r="R53" s="10" t="n"/>
      <c r="S53" s="10" t="n"/>
      <c r="T53" s="10" t="n"/>
      <c r="U53" s="10" t="n"/>
      <c r="V53" s="10" t="n"/>
      <c r="W53" s="10" t="n"/>
      <c r="X53" s="10" t="n"/>
      <c r="Y53" s="12">
        <f>SUM(L53:X53)</f>
        <v/>
      </c>
      <c r="Z53" s="13" t="inlineStr"/>
    </row>
    <row r="54" ht="30" customHeight="1">
      <c r="A54" s="7" t="inlineStr">
        <is>
          <t>B050</t>
        </is>
      </c>
      <c r="B54" s="7" t="inlineStr">
        <is>
          <t>2026-07-10</t>
        </is>
      </c>
      <c r="C54" s="7" t="inlineStr">
        <is>
          <t>2026-07-08</t>
        </is>
      </c>
      <c r="D54" s="7" t="inlineStr">
        <is>
          <t>2026-07-08</t>
        </is>
      </c>
      <c r="E54" s="7" t="inlineStr">
        <is>
          <t>Martins</t>
        </is>
      </c>
      <c r="F54" s="7" t="inlineStr"/>
      <c r="G54" s="7" t="inlineStr"/>
      <c r="H54" s="7" t="inlineStr">
        <is>
          <t>12:30 PM - 12:45 PM</t>
        </is>
      </c>
      <c r="I54" s="7" t="inlineStr">
        <is>
          <t>Tiss, porcine, fem, Pelvic block</t>
        </is>
      </c>
      <c r="J54" s="8" t="inlineStr">
        <is>
          <t>Fail</t>
        </is>
      </c>
      <c r="K54" s="9" t="inlineStr">
        <is>
          <t>urethra cut, membrnae damage in critial area</t>
        </is>
      </c>
      <c r="L54" s="10" t="n"/>
      <c r="M54" s="10" t="n"/>
      <c r="N54" s="10" t="n"/>
      <c r="O54" s="10" t="n"/>
      <c r="P54" s="11" t="n">
        <v>1</v>
      </c>
      <c r="Q54" s="11" t="n">
        <v>1</v>
      </c>
      <c r="R54" s="10" t="n"/>
      <c r="S54" s="10" t="n"/>
      <c r="T54" s="10" t="n"/>
      <c r="U54" s="10" t="n"/>
      <c r="V54" s="10" t="n"/>
      <c r="W54" s="10" t="n"/>
      <c r="X54" s="10" t="n"/>
      <c r="Y54" s="12">
        <f>SUM(L54:X54)</f>
        <v/>
      </c>
      <c r="Z54" s="13" t="inlineStr"/>
    </row>
    <row r="55" ht="30" customHeight="1">
      <c r="A55" s="7" t="inlineStr">
        <is>
          <t>B051</t>
        </is>
      </c>
      <c r="B55" s="7" t="inlineStr">
        <is>
          <t>2026-07-10</t>
        </is>
      </c>
      <c r="C55" s="7" t="inlineStr">
        <is>
          <t>2026-07-08</t>
        </is>
      </c>
      <c r="D55" s="7" t="inlineStr">
        <is>
          <t>2026-07-08</t>
        </is>
      </c>
      <c r="E55" s="7" t="inlineStr">
        <is>
          <t>Martins</t>
        </is>
      </c>
      <c r="F55" s="7" t="inlineStr"/>
      <c r="G55" s="7" t="inlineStr"/>
      <c r="H55" s="7" t="inlineStr">
        <is>
          <t>12:30 PM - 12:45 PM</t>
        </is>
      </c>
      <c r="I55" s="7" t="inlineStr">
        <is>
          <t>Tiss, porcine, fem, Pelvic block</t>
        </is>
      </c>
      <c r="J55" s="8" t="inlineStr">
        <is>
          <t>Fail</t>
        </is>
      </c>
      <c r="K55" s="9" t="inlineStr">
        <is>
          <t>bowel is cut open</t>
        </is>
      </c>
      <c r="L55" s="10" t="n"/>
      <c r="M55" s="10" t="n"/>
      <c r="N55" s="10" t="n"/>
      <c r="O55" s="10" t="n"/>
      <c r="P55" s="10" t="n"/>
      <c r="Q55" s="10" t="n"/>
      <c r="R55" s="10" t="n"/>
      <c r="S55" s="11" t="n">
        <v>1</v>
      </c>
      <c r="T55" s="10" t="n"/>
      <c r="U55" s="10" t="n"/>
      <c r="V55" s="10" t="n"/>
      <c r="W55" s="10" t="n"/>
      <c r="X55" s="10" t="n"/>
      <c r="Y55" s="12">
        <f>SUM(L55:X55)</f>
        <v/>
      </c>
      <c r="Z55" s="13" t="inlineStr"/>
    </row>
    <row r="56" ht="30" customHeight="1">
      <c r="A56" s="7" t="inlineStr">
        <is>
          <t>B052</t>
        </is>
      </c>
      <c r="B56" s="7" t="inlineStr">
        <is>
          <t>2026-07-10</t>
        </is>
      </c>
      <c r="C56" s="7" t="inlineStr">
        <is>
          <t>2026-07-08</t>
        </is>
      </c>
      <c r="D56" s="7" t="inlineStr">
        <is>
          <t>2026-07-08</t>
        </is>
      </c>
      <c r="E56" s="7" t="inlineStr">
        <is>
          <t>Martins</t>
        </is>
      </c>
      <c r="F56" s="7" t="inlineStr"/>
      <c r="G56" s="7" t="inlineStr"/>
      <c r="H56" s="7" t="inlineStr">
        <is>
          <t>12:30 PM - 12:45 PM</t>
        </is>
      </c>
      <c r="I56" s="7" t="inlineStr">
        <is>
          <t>Tiss, porcine, fem, Pelvic block</t>
        </is>
      </c>
      <c r="J56" s="8" t="inlineStr">
        <is>
          <t>Fail</t>
        </is>
      </c>
      <c r="K56" s="9" t="inlineStr">
        <is>
          <t>urethra is cut, membrane damage in critical area</t>
        </is>
      </c>
      <c r="L56" s="10" t="n"/>
      <c r="M56" s="10" t="n"/>
      <c r="N56" s="10" t="n"/>
      <c r="O56" s="10" t="n"/>
      <c r="P56" s="11" t="n">
        <v>1</v>
      </c>
      <c r="Q56" s="11" t="n">
        <v>1</v>
      </c>
      <c r="R56" s="10" t="n"/>
      <c r="S56" s="10" t="n"/>
      <c r="T56" s="10" t="n"/>
      <c r="U56" s="10" t="n"/>
      <c r="V56" s="10" t="n"/>
      <c r="W56" s="10" t="n"/>
      <c r="X56" s="10" t="n"/>
      <c r="Y56" s="12">
        <f>SUM(L56:X56)</f>
        <v/>
      </c>
      <c r="Z56" s="13" t="inlineStr"/>
    </row>
    <row r="57" ht="30" customHeight="1">
      <c r="A57" s="7" t="inlineStr">
        <is>
          <t>B053</t>
        </is>
      </c>
      <c r="B57" s="7" t="inlineStr">
        <is>
          <t>2026-07-10</t>
        </is>
      </c>
      <c r="C57" s="7" t="inlineStr">
        <is>
          <t>2026-07-08</t>
        </is>
      </c>
      <c r="D57" s="7" t="inlineStr">
        <is>
          <t>2026-07-08</t>
        </is>
      </c>
      <c r="E57" s="7" t="inlineStr">
        <is>
          <t>Martins</t>
        </is>
      </c>
      <c r="F57" s="7" t="inlineStr"/>
      <c r="G57" s="7" t="inlineStr"/>
      <c r="H57" s="7" t="inlineStr">
        <is>
          <t>12:30 PM - 12:45 PM</t>
        </is>
      </c>
      <c r="I57" s="7" t="inlineStr">
        <is>
          <t>Tiss, porcine, fem, Pelvic block</t>
        </is>
      </c>
      <c r="J57" s="8" t="inlineStr">
        <is>
          <t>Fail</t>
        </is>
      </c>
      <c r="K57" s="9" t="inlineStr">
        <is>
          <t>membrane damage in critical area</t>
        </is>
      </c>
      <c r="L57" s="10" t="n"/>
      <c r="M57" s="10" t="n"/>
      <c r="N57" s="10" t="n"/>
      <c r="O57" s="10" t="n"/>
      <c r="P57" s="10" t="n"/>
      <c r="Q57" s="11" t="n">
        <v>1</v>
      </c>
      <c r="R57" s="10" t="n"/>
      <c r="S57" s="10" t="n"/>
      <c r="T57" s="10" t="n"/>
      <c r="U57" s="10" t="n"/>
      <c r="V57" s="10" t="n"/>
      <c r="W57" s="10" t="n"/>
      <c r="X57" s="10" t="n"/>
      <c r="Y57" s="12">
        <f>SUM(L57:X57)</f>
        <v/>
      </c>
      <c r="Z57" s="13" t="inlineStr"/>
    </row>
    <row r="58" ht="30" customHeight="1">
      <c r="A58" s="7" t="inlineStr">
        <is>
          <t>B054</t>
        </is>
      </c>
      <c r="B58" s="7" t="inlineStr">
        <is>
          <t>2026-07-10</t>
        </is>
      </c>
      <c r="C58" s="7" t="inlineStr">
        <is>
          <t>2026-07-08</t>
        </is>
      </c>
      <c r="D58" s="7" t="inlineStr">
        <is>
          <t>2026-07-08</t>
        </is>
      </c>
      <c r="E58" s="7" t="inlineStr">
        <is>
          <t>Martins</t>
        </is>
      </c>
      <c r="F58" s="7" t="inlineStr"/>
      <c r="G58" s="7" t="inlineStr"/>
      <c r="H58" s="7" t="inlineStr">
        <is>
          <t>12:30 PM - 12:45 PM</t>
        </is>
      </c>
      <c r="I58" s="7" t="inlineStr">
        <is>
          <t>Tiss, porcine, fem, Pelvic block</t>
        </is>
      </c>
      <c r="J58" s="8" t="inlineStr">
        <is>
          <t>Fail</t>
        </is>
      </c>
      <c r="K58" s="9" t="inlineStr">
        <is>
          <t>membrane damage in critical area</t>
        </is>
      </c>
      <c r="L58" s="10" t="n"/>
      <c r="M58" s="10" t="n"/>
      <c r="N58" s="10" t="n"/>
      <c r="O58" s="10" t="n"/>
      <c r="P58" s="10" t="n"/>
      <c r="Q58" s="11" t="n">
        <v>1</v>
      </c>
      <c r="R58" s="10" t="n"/>
      <c r="S58" s="10" t="n"/>
      <c r="T58" s="10" t="n"/>
      <c r="U58" s="10" t="n"/>
      <c r="V58" s="10" t="n"/>
      <c r="W58" s="10" t="n"/>
      <c r="X58" s="10" t="n"/>
      <c r="Y58" s="12">
        <f>SUM(L58:X58)</f>
        <v/>
      </c>
      <c r="Z58" s="13" t="inlineStr"/>
    </row>
    <row r="59" ht="30" customHeight="1">
      <c r="A59" s="7" t="inlineStr">
        <is>
          <t>B055</t>
        </is>
      </c>
      <c r="B59" s="7" t="inlineStr">
        <is>
          <t>2026-07-10</t>
        </is>
      </c>
      <c r="C59" s="7" t="inlineStr">
        <is>
          <t>2026-07-08</t>
        </is>
      </c>
      <c r="D59" s="7" t="inlineStr">
        <is>
          <t>2026-07-08</t>
        </is>
      </c>
      <c r="E59" s="7" t="inlineStr">
        <is>
          <t>Martins</t>
        </is>
      </c>
      <c r="F59" s="7" t="inlineStr"/>
      <c r="G59" s="7" t="inlineStr"/>
      <c r="H59" s="7" t="inlineStr">
        <is>
          <t>12:30 PM - 12:45 PM</t>
        </is>
      </c>
      <c r="I59" s="7" t="inlineStr">
        <is>
          <t>Tiss, porcine, fem, Pelvic block</t>
        </is>
      </c>
      <c r="J59" s="8" t="inlineStr">
        <is>
          <t>Fail</t>
        </is>
      </c>
      <c r="K59" s="9" t="inlineStr">
        <is>
          <t>membrane damage in critical area</t>
        </is>
      </c>
      <c r="L59" s="10" t="n"/>
      <c r="M59" s="10" t="n"/>
      <c r="N59" s="10" t="n"/>
      <c r="O59" s="10" t="n"/>
      <c r="P59" s="10" t="n"/>
      <c r="Q59" s="11" t="n">
        <v>1</v>
      </c>
      <c r="R59" s="10" t="n"/>
      <c r="S59" s="10" t="n"/>
      <c r="T59" s="10" t="n"/>
      <c r="U59" s="10" t="n"/>
      <c r="V59" s="10" t="n"/>
      <c r="W59" s="10" t="n"/>
      <c r="X59" s="10" t="n"/>
      <c r="Y59" s="12">
        <f>SUM(L59:X59)</f>
        <v/>
      </c>
      <c r="Z59" s="13" t="inlineStr"/>
    </row>
    <row r="60" ht="30" customHeight="1">
      <c r="A60" s="7" t="inlineStr">
        <is>
          <t>B056</t>
        </is>
      </c>
      <c r="B60" s="7" t="inlineStr">
        <is>
          <t>2026-07-10</t>
        </is>
      </c>
      <c r="C60" s="7" t="inlineStr">
        <is>
          <t>2026-07-08</t>
        </is>
      </c>
      <c r="D60" s="7" t="inlineStr">
        <is>
          <t>2026-07-08</t>
        </is>
      </c>
      <c r="E60" s="7" t="inlineStr">
        <is>
          <t>Martins</t>
        </is>
      </c>
      <c r="F60" s="7" t="inlineStr"/>
      <c r="G60" s="7" t="inlineStr"/>
      <c r="H60" s="7" t="inlineStr">
        <is>
          <t>12:30 PM - 12:45 PM</t>
        </is>
      </c>
      <c r="I60" s="7" t="inlineStr">
        <is>
          <t>Tiss, porcine, fem, Pelvic block</t>
        </is>
      </c>
      <c r="J60" s="8" t="inlineStr">
        <is>
          <t>Fail</t>
        </is>
      </c>
      <c r="K60" s="9" t="inlineStr">
        <is>
          <t>membrane damage in critical area</t>
        </is>
      </c>
      <c r="L60" s="10" t="n"/>
      <c r="M60" s="10" t="n"/>
      <c r="N60" s="10" t="n"/>
      <c r="O60" s="10" t="n"/>
      <c r="P60" s="10" t="n"/>
      <c r="Q60" s="11" t="n">
        <v>1</v>
      </c>
      <c r="R60" s="10" t="n"/>
      <c r="S60" s="10" t="n"/>
      <c r="T60" s="10" t="n"/>
      <c r="U60" s="10" t="n"/>
      <c r="V60" s="10" t="n"/>
      <c r="W60" s="10" t="n"/>
      <c r="X60" s="10" t="n"/>
      <c r="Y60" s="12">
        <f>SUM(L60:X60)</f>
        <v/>
      </c>
      <c r="Z60" s="13" t="inlineStr"/>
    </row>
    <row r="61" ht="16" customHeight="1">
      <c r="A61" s="7" t="inlineStr">
        <is>
          <t>B057</t>
        </is>
      </c>
      <c r="B61" s="7" t="inlineStr">
        <is>
          <t>2026-07-10</t>
        </is>
      </c>
      <c r="C61" s="7" t="inlineStr">
        <is>
          <t>2026-07-08</t>
        </is>
      </c>
      <c r="D61" s="7" t="inlineStr">
        <is>
          <t>2026-07-08</t>
        </is>
      </c>
      <c r="E61" s="7" t="inlineStr">
        <is>
          <t>Martins</t>
        </is>
      </c>
      <c r="F61" s="7" t="inlineStr"/>
      <c r="G61" s="7" t="inlineStr"/>
      <c r="H61" s="7" t="inlineStr">
        <is>
          <t>12:30 PM - 12:45 PM</t>
        </is>
      </c>
      <c r="I61" s="7" t="inlineStr">
        <is>
          <t>Tiss, porcine, fem, Pelvic block</t>
        </is>
      </c>
      <c r="J61" s="14" t="inlineStr">
        <is>
          <t>Pass</t>
        </is>
      </c>
      <c r="K61" s="9" t="inlineStr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2">
        <f>SUM(L61:X61)</f>
        <v/>
      </c>
      <c r="Z61" s="13" t="inlineStr"/>
    </row>
    <row r="62" ht="30" customHeight="1">
      <c r="A62" s="7" t="inlineStr">
        <is>
          <t>B058</t>
        </is>
      </c>
      <c r="B62" s="7" t="inlineStr">
        <is>
          <t>2026-07-29</t>
        </is>
      </c>
      <c r="C62" s="7" t="inlineStr">
        <is>
          <t>2026-07-28</t>
        </is>
      </c>
      <c r="D62" s="7" t="inlineStr">
        <is>
          <t>2026-07-28</t>
        </is>
      </c>
      <c r="E62" s="7" t="inlineStr">
        <is>
          <t>Martins</t>
        </is>
      </c>
      <c r="F62" s="7" t="inlineStr"/>
      <c r="G62" s="7" t="inlineStr">
        <is>
          <t>Rasmin</t>
        </is>
      </c>
      <c r="H62" s="7" t="inlineStr"/>
      <c r="I62" s="7" t="inlineStr">
        <is>
          <t>Pelvic block</t>
        </is>
      </c>
      <c r="J62" s="8" t="inlineStr">
        <is>
          <t>Fail</t>
        </is>
      </c>
      <c r="K62" s="9" t="inlineStr">
        <is>
          <t>large hole in bladder</t>
        </is>
      </c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1" t="n">
        <v>1</v>
      </c>
      <c r="X62" s="10" t="n"/>
      <c r="Y62" s="12">
        <f>SUM(L62:X62)</f>
        <v/>
      </c>
      <c r="Z62" s="13" t="inlineStr"/>
    </row>
    <row r="63" ht="30" customHeight="1">
      <c r="A63" s="7" t="inlineStr">
        <is>
          <t>B059</t>
        </is>
      </c>
      <c r="B63" s="7" t="inlineStr">
        <is>
          <t>2026-07-29</t>
        </is>
      </c>
      <c r="C63" s="7" t="inlineStr">
        <is>
          <t>2026-07-28</t>
        </is>
      </c>
      <c r="D63" s="7" t="inlineStr">
        <is>
          <t>2026-07-28</t>
        </is>
      </c>
      <c r="E63" s="7" t="inlineStr">
        <is>
          <t>Martins</t>
        </is>
      </c>
      <c r="F63" s="7" t="inlineStr"/>
      <c r="G63" s="7" t="inlineStr">
        <is>
          <t>Rasmin</t>
        </is>
      </c>
      <c r="H63" s="7" t="inlineStr"/>
      <c r="I63" s="7" t="inlineStr">
        <is>
          <t>Pelvic block</t>
        </is>
      </c>
      <c r="J63" s="8" t="inlineStr">
        <is>
          <t>Fail</t>
        </is>
      </c>
      <c r="K63" s="9" t="inlineStr">
        <is>
          <t>large hole in bladder</t>
        </is>
      </c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1" t="n">
        <v>1</v>
      </c>
      <c r="X63" s="10" t="n"/>
      <c r="Y63" s="12">
        <f>SUM(L63:X63)</f>
        <v/>
      </c>
      <c r="Z63" s="13" t="inlineStr"/>
    </row>
    <row r="64" ht="30" customHeight="1">
      <c r="A64" s="7" t="inlineStr">
        <is>
          <t>B060</t>
        </is>
      </c>
      <c r="B64" s="7" t="inlineStr">
        <is>
          <t>2026-07-29</t>
        </is>
      </c>
      <c r="C64" s="7" t="inlineStr">
        <is>
          <t>2026-07-28</t>
        </is>
      </c>
      <c r="D64" s="7" t="inlineStr">
        <is>
          <t>2026-07-28</t>
        </is>
      </c>
      <c r="E64" s="7" t="inlineStr">
        <is>
          <t>Martins</t>
        </is>
      </c>
      <c r="F64" s="7" t="inlineStr"/>
      <c r="G64" s="7" t="inlineStr">
        <is>
          <t>Rasmin</t>
        </is>
      </c>
      <c r="H64" s="7" t="inlineStr"/>
      <c r="I64" s="7" t="inlineStr">
        <is>
          <t>Pelvic block</t>
        </is>
      </c>
      <c r="J64" s="8" t="inlineStr">
        <is>
          <t>Fail</t>
        </is>
      </c>
      <c r="K64" s="9" t="inlineStr">
        <is>
          <t>Ureter lac</t>
        </is>
      </c>
      <c r="L64" s="10" t="n"/>
      <c r="M64" s="11" t="n">
        <v>1</v>
      </c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2">
        <f>SUM(L64:X64)</f>
        <v/>
      </c>
      <c r="Z64" s="13" t="inlineStr"/>
    </row>
    <row r="65" ht="30" customHeight="1">
      <c r="A65" s="7" t="inlineStr">
        <is>
          <t>B061</t>
        </is>
      </c>
      <c r="B65" s="7" t="inlineStr">
        <is>
          <t>2026-07-29</t>
        </is>
      </c>
      <c r="C65" s="7" t="inlineStr">
        <is>
          <t>2026-07-28</t>
        </is>
      </c>
      <c r="D65" s="7" t="inlineStr">
        <is>
          <t>2026-07-28</t>
        </is>
      </c>
      <c r="E65" s="7" t="inlineStr">
        <is>
          <t>Martins</t>
        </is>
      </c>
      <c r="F65" s="7" t="inlineStr"/>
      <c r="G65" s="7" t="inlineStr">
        <is>
          <t>Rasmin</t>
        </is>
      </c>
      <c r="H65" s="7" t="inlineStr"/>
      <c r="I65" s="7" t="inlineStr">
        <is>
          <t>Pelvic block</t>
        </is>
      </c>
      <c r="J65" s="8" t="inlineStr">
        <is>
          <t>Fail</t>
        </is>
      </c>
      <c r="K65" s="9" t="inlineStr">
        <is>
          <t>Ureter lac</t>
        </is>
      </c>
      <c r="L65" s="10" t="n"/>
      <c r="M65" s="11" t="n">
        <v>1</v>
      </c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2">
        <f>SUM(L65:X65)</f>
        <v/>
      </c>
      <c r="Z65" s="13" t="inlineStr"/>
    </row>
    <row r="66" ht="16" customHeight="1">
      <c r="A66" s="7" t="inlineStr">
        <is>
          <t>B062</t>
        </is>
      </c>
      <c r="B66" s="7" t="inlineStr">
        <is>
          <t>2026-07-29</t>
        </is>
      </c>
      <c r="C66" s="7" t="inlineStr">
        <is>
          <t>2026-07-28</t>
        </is>
      </c>
      <c r="D66" s="7" t="inlineStr">
        <is>
          <t>2026-07-28</t>
        </is>
      </c>
      <c r="E66" s="7" t="inlineStr">
        <is>
          <t>Martins</t>
        </is>
      </c>
      <c r="F66" s="7" t="inlineStr"/>
      <c r="G66" s="7" t="inlineStr">
        <is>
          <t>Rasmin</t>
        </is>
      </c>
      <c r="H66" s="7" t="inlineStr"/>
      <c r="I66" s="7" t="inlineStr">
        <is>
          <t>Pelvic block</t>
        </is>
      </c>
      <c r="J66" s="14" t="inlineStr">
        <is>
          <t>Pass</t>
        </is>
      </c>
      <c r="K66" s="9" t="inlineStr">
        <is>
          <t>no damage found</t>
        </is>
      </c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2">
        <f>SUM(L66:X66)</f>
        <v/>
      </c>
      <c r="Z66" s="13" t="inlineStr"/>
    </row>
    <row r="67" ht="30" customHeight="1">
      <c r="A67" s="7" t="inlineStr">
        <is>
          <t>B063</t>
        </is>
      </c>
      <c r="B67" s="7" t="inlineStr">
        <is>
          <t>2026-07-29</t>
        </is>
      </c>
      <c r="C67" s="7" t="inlineStr">
        <is>
          <t>2026-07-28</t>
        </is>
      </c>
      <c r="D67" s="7" t="inlineStr">
        <is>
          <t>2026-07-28</t>
        </is>
      </c>
      <c r="E67" s="7" t="inlineStr">
        <is>
          <t>Martins</t>
        </is>
      </c>
      <c r="F67" s="7" t="inlineStr"/>
      <c r="G67" s="7" t="inlineStr">
        <is>
          <t>Rasmin</t>
        </is>
      </c>
      <c r="H67" s="7" t="inlineStr"/>
      <c r="I67" s="7" t="inlineStr">
        <is>
          <t>Pelvic block</t>
        </is>
      </c>
      <c r="J67" s="8" t="inlineStr">
        <is>
          <t>Fail</t>
        </is>
      </c>
      <c r="K67" s="9" t="inlineStr">
        <is>
          <t>ureter not imbedded</t>
        </is>
      </c>
      <c r="L67" s="11" t="n">
        <v>1</v>
      </c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2">
        <f>SUM(L67:X67)</f>
        <v/>
      </c>
      <c r="Z67" s="13" t="inlineStr"/>
    </row>
    <row r="68" ht="30" customHeight="1">
      <c r="A68" s="7" t="inlineStr">
        <is>
          <t>B064</t>
        </is>
      </c>
      <c r="B68" s="7" t="inlineStr">
        <is>
          <t>2026-07-29</t>
        </is>
      </c>
      <c r="C68" s="7" t="inlineStr">
        <is>
          <t>2026-07-28</t>
        </is>
      </c>
      <c r="D68" s="7" t="inlineStr">
        <is>
          <t>2026-07-28</t>
        </is>
      </c>
      <c r="E68" s="7" t="inlineStr">
        <is>
          <t>Martins</t>
        </is>
      </c>
      <c r="F68" s="7" t="inlineStr"/>
      <c r="G68" s="7" t="inlineStr">
        <is>
          <t>Rasmin</t>
        </is>
      </c>
      <c r="H68" s="7" t="inlineStr"/>
      <c r="I68" s="7" t="inlineStr">
        <is>
          <t>Pelvic block</t>
        </is>
      </c>
      <c r="J68" s="8" t="inlineStr">
        <is>
          <t>Fail</t>
        </is>
      </c>
      <c r="K68" s="9" t="inlineStr">
        <is>
          <t>ureter not imbedded</t>
        </is>
      </c>
      <c r="L68" s="11" t="n">
        <v>1</v>
      </c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2">
        <f>SUM(L68:X68)</f>
        <v/>
      </c>
      <c r="Z68" s="13" t="inlineStr"/>
    </row>
    <row r="69" ht="30" customHeight="1">
      <c r="A69" s="7" t="inlineStr">
        <is>
          <t>B065</t>
        </is>
      </c>
      <c r="B69" s="7" t="inlineStr">
        <is>
          <t>2026-07-29</t>
        </is>
      </c>
      <c r="C69" s="7" t="inlineStr">
        <is>
          <t>2026-07-28</t>
        </is>
      </c>
      <c r="D69" s="7" t="inlineStr">
        <is>
          <t>2026-07-28</t>
        </is>
      </c>
      <c r="E69" s="7" t="inlineStr">
        <is>
          <t>Martins</t>
        </is>
      </c>
      <c r="F69" s="7" t="inlineStr"/>
      <c r="G69" s="7" t="inlineStr">
        <is>
          <t>Rasmin</t>
        </is>
      </c>
      <c r="H69" s="7" t="inlineStr"/>
      <c r="I69" s="7" t="inlineStr">
        <is>
          <t>Pelvic block</t>
        </is>
      </c>
      <c r="J69" s="8" t="inlineStr">
        <is>
          <t>Fail</t>
        </is>
      </c>
      <c r="K69" s="9" t="inlineStr">
        <is>
          <t>ureter not imbedded</t>
        </is>
      </c>
      <c r="L69" s="11" t="n">
        <v>1</v>
      </c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2">
        <f>SUM(L69:X69)</f>
        <v/>
      </c>
      <c r="Z69" s="13" t="inlineStr"/>
    </row>
    <row r="70" ht="30" customHeight="1">
      <c r="A70" s="7" t="inlineStr">
        <is>
          <t>B066</t>
        </is>
      </c>
      <c r="B70" s="7" t="inlineStr">
        <is>
          <t>2026-07-29</t>
        </is>
      </c>
      <c r="C70" s="7" t="inlineStr">
        <is>
          <t>2026-07-28</t>
        </is>
      </c>
      <c r="D70" s="7" t="inlineStr">
        <is>
          <t>2026-07-28</t>
        </is>
      </c>
      <c r="E70" s="7" t="inlineStr">
        <is>
          <t>Martins</t>
        </is>
      </c>
      <c r="F70" s="7" t="inlineStr"/>
      <c r="G70" s="7" t="inlineStr">
        <is>
          <t>Rasmin</t>
        </is>
      </c>
      <c r="H70" s="7" t="inlineStr"/>
      <c r="I70" s="7" t="inlineStr">
        <is>
          <t>Pelvic block</t>
        </is>
      </c>
      <c r="J70" s="8" t="inlineStr">
        <is>
          <t>Fail</t>
        </is>
      </c>
      <c r="K70" s="9" t="inlineStr">
        <is>
          <t>ureter not imbedded</t>
        </is>
      </c>
      <c r="L70" s="11" t="n">
        <v>1</v>
      </c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2">
        <f>SUM(L70:X70)</f>
        <v/>
      </c>
      <c r="Z70" s="13" t="inlineStr"/>
    </row>
    <row r="71" ht="30" customHeight="1">
      <c r="A71" s="7" t="inlineStr">
        <is>
          <t>B067</t>
        </is>
      </c>
      <c r="B71" s="7" t="inlineStr">
        <is>
          <t>2026-07-29</t>
        </is>
      </c>
      <c r="C71" s="7" t="inlineStr">
        <is>
          <t>2026-07-28</t>
        </is>
      </c>
      <c r="D71" s="7" t="inlineStr">
        <is>
          <t>2026-07-28</t>
        </is>
      </c>
      <c r="E71" s="7" t="inlineStr">
        <is>
          <t>Martins</t>
        </is>
      </c>
      <c r="F71" s="7" t="inlineStr"/>
      <c r="G71" s="7" t="inlineStr">
        <is>
          <t>Rasmin</t>
        </is>
      </c>
      <c r="H71" s="7" t="inlineStr"/>
      <c r="I71" s="7" t="inlineStr">
        <is>
          <t>Pelvic block</t>
        </is>
      </c>
      <c r="J71" s="8" t="inlineStr">
        <is>
          <t>Fail</t>
        </is>
      </c>
      <c r="K71" s="9" t="inlineStr">
        <is>
          <t>ureter not imbedded</t>
        </is>
      </c>
      <c r="L71" s="11" t="n">
        <v>1</v>
      </c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2">
        <f>SUM(L71:X71)</f>
        <v/>
      </c>
      <c r="Z71" s="13" t="inlineStr"/>
    </row>
    <row r="72" ht="30" customHeight="1">
      <c r="A72" s="7" t="inlineStr">
        <is>
          <t>B068</t>
        </is>
      </c>
      <c r="B72" s="7" t="inlineStr">
        <is>
          <t>2026-07-29</t>
        </is>
      </c>
      <c r="C72" s="7" t="inlineStr">
        <is>
          <t>2026-07-28</t>
        </is>
      </c>
      <c r="D72" s="7" t="inlineStr">
        <is>
          <t>2026-07-28</t>
        </is>
      </c>
      <c r="E72" s="7" t="inlineStr">
        <is>
          <t>Martins</t>
        </is>
      </c>
      <c r="F72" s="7" t="inlineStr"/>
      <c r="G72" s="7" t="inlineStr">
        <is>
          <t>Rasmin</t>
        </is>
      </c>
      <c r="H72" s="7" t="inlineStr"/>
      <c r="I72" s="7" t="inlineStr">
        <is>
          <t>Pelvic block</t>
        </is>
      </c>
      <c r="J72" s="8" t="inlineStr">
        <is>
          <t>Fail</t>
        </is>
      </c>
      <c r="K72" s="9" t="inlineStr">
        <is>
          <t>ureter not imbedded</t>
        </is>
      </c>
      <c r="L72" s="11" t="n">
        <v>1</v>
      </c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2">
        <f>SUM(L72:X72)</f>
        <v/>
      </c>
      <c r="Z72" s="13" t="inlineStr"/>
    </row>
    <row r="73" ht="30" customHeight="1">
      <c r="A73" s="7" t="inlineStr">
        <is>
          <t>B069</t>
        </is>
      </c>
      <c r="B73" s="7" t="inlineStr">
        <is>
          <t>2026-07-29</t>
        </is>
      </c>
      <c r="C73" s="7" t="inlineStr">
        <is>
          <t>2026-07-28</t>
        </is>
      </c>
      <c r="D73" s="7" t="inlineStr">
        <is>
          <t>2026-07-28</t>
        </is>
      </c>
      <c r="E73" s="7" t="inlineStr">
        <is>
          <t>Martins</t>
        </is>
      </c>
      <c r="F73" s="7" t="inlineStr"/>
      <c r="G73" s="7" t="inlineStr">
        <is>
          <t>Rasmin</t>
        </is>
      </c>
      <c r="H73" s="7" t="inlineStr"/>
      <c r="I73" s="7" t="inlineStr">
        <is>
          <t>Pelvic block</t>
        </is>
      </c>
      <c r="J73" s="8" t="inlineStr">
        <is>
          <t>Fail</t>
        </is>
      </c>
      <c r="K73" s="9" t="inlineStr">
        <is>
          <t>hole in mesentary membrane in critical area greater than 1.5"</t>
        </is>
      </c>
      <c r="L73" s="10" t="n"/>
      <c r="M73" s="10" t="n"/>
      <c r="N73" s="10" t="n"/>
      <c r="O73" s="10" t="n"/>
      <c r="P73" s="10" t="n"/>
      <c r="Q73" s="11" t="n">
        <v>1</v>
      </c>
      <c r="R73" s="10" t="n"/>
      <c r="S73" s="10" t="n"/>
      <c r="T73" s="10" t="n"/>
      <c r="U73" s="10" t="n"/>
      <c r="V73" s="10" t="n"/>
      <c r="W73" s="10" t="n"/>
      <c r="X73" s="10" t="n"/>
      <c r="Y73" s="12">
        <f>SUM(L73:X73)</f>
        <v/>
      </c>
      <c r="Z73" s="13" t="inlineStr"/>
    </row>
    <row r="74" ht="30" customHeight="1">
      <c r="A74" s="7" t="inlineStr">
        <is>
          <t>B070</t>
        </is>
      </c>
      <c r="B74" s="7" t="inlineStr">
        <is>
          <t>2026-07-29</t>
        </is>
      </c>
      <c r="C74" s="7" t="inlineStr">
        <is>
          <t>2026-07-28</t>
        </is>
      </c>
      <c r="D74" s="7" t="inlineStr">
        <is>
          <t>2026-07-28</t>
        </is>
      </c>
      <c r="E74" s="7" t="inlineStr">
        <is>
          <t>Martins</t>
        </is>
      </c>
      <c r="F74" s="7" t="inlineStr"/>
      <c r="G74" s="7" t="inlineStr">
        <is>
          <t>Rasmin</t>
        </is>
      </c>
      <c r="H74" s="7" t="inlineStr"/>
      <c r="I74" s="7" t="inlineStr">
        <is>
          <t>Pelvic block</t>
        </is>
      </c>
      <c r="J74" s="8" t="inlineStr">
        <is>
          <t>Fail</t>
        </is>
      </c>
      <c r="K74" s="9" t="inlineStr">
        <is>
          <t>hole in mesentary membrane in critical area greater than 1.5"</t>
        </is>
      </c>
      <c r="L74" s="10" t="n"/>
      <c r="M74" s="10" t="n"/>
      <c r="N74" s="10" t="n"/>
      <c r="O74" s="10" t="n"/>
      <c r="P74" s="10" t="n"/>
      <c r="Q74" s="11" t="n">
        <v>1</v>
      </c>
      <c r="R74" s="10" t="n"/>
      <c r="S74" s="10" t="n"/>
      <c r="T74" s="10" t="n"/>
      <c r="U74" s="10" t="n"/>
      <c r="V74" s="10" t="n"/>
      <c r="W74" s="10" t="n"/>
      <c r="X74" s="10" t="n"/>
      <c r="Y74" s="12">
        <f>SUM(L74:X74)</f>
        <v/>
      </c>
      <c r="Z74" s="13" t="inlineStr"/>
    </row>
    <row r="75" ht="30" customHeight="1">
      <c r="A75" s="7" t="inlineStr">
        <is>
          <t>B071</t>
        </is>
      </c>
      <c r="B75" s="7" t="inlineStr">
        <is>
          <t>2026-07-29</t>
        </is>
      </c>
      <c r="C75" s="7" t="inlineStr">
        <is>
          <t>2026-07-28</t>
        </is>
      </c>
      <c r="D75" s="7" t="inlineStr">
        <is>
          <t>2026-07-28</t>
        </is>
      </c>
      <c r="E75" s="7" t="inlineStr">
        <is>
          <t>Martins</t>
        </is>
      </c>
      <c r="F75" s="7" t="inlineStr"/>
      <c r="G75" s="7" t="inlineStr">
        <is>
          <t>Rasmin</t>
        </is>
      </c>
      <c r="H75" s="7" t="inlineStr"/>
      <c r="I75" s="7" t="inlineStr">
        <is>
          <t>Pelvic block</t>
        </is>
      </c>
      <c r="J75" s="8" t="inlineStr">
        <is>
          <t>Fail</t>
        </is>
      </c>
      <c r="K75" s="9" t="inlineStr">
        <is>
          <t>hole in mesentary membrane in critical area greater than 1.5"</t>
        </is>
      </c>
      <c r="L75" s="10" t="n"/>
      <c r="M75" s="10" t="n"/>
      <c r="N75" s="10" t="n"/>
      <c r="O75" s="10" t="n"/>
      <c r="P75" s="10" t="n"/>
      <c r="Q75" s="11" t="n">
        <v>1</v>
      </c>
      <c r="R75" s="10" t="n"/>
      <c r="S75" s="10" t="n"/>
      <c r="T75" s="10" t="n"/>
      <c r="U75" s="10" t="n"/>
      <c r="V75" s="10" t="n"/>
      <c r="W75" s="10" t="n"/>
      <c r="X75" s="10" t="n"/>
      <c r="Y75" s="12">
        <f>SUM(L75:X75)</f>
        <v/>
      </c>
      <c r="Z75" s="13" t="inlineStr"/>
    </row>
    <row r="76" ht="30" customHeight="1">
      <c r="A76" s="7" t="inlineStr">
        <is>
          <t>B072</t>
        </is>
      </c>
      <c r="B76" s="7" t="inlineStr">
        <is>
          <t>2026-07-29</t>
        </is>
      </c>
      <c r="C76" s="7" t="inlineStr">
        <is>
          <t>2026-07-28</t>
        </is>
      </c>
      <c r="D76" s="7" t="inlineStr">
        <is>
          <t>2026-07-28</t>
        </is>
      </c>
      <c r="E76" s="7" t="inlineStr">
        <is>
          <t>Martins</t>
        </is>
      </c>
      <c r="F76" s="7" t="inlineStr"/>
      <c r="G76" s="7" t="inlineStr">
        <is>
          <t>Rasmin</t>
        </is>
      </c>
      <c r="H76" s="7" t="inlineStr"/>
      <c r="I76" s="7" t="inlineStr">
        <is>
          <t>Pelvic block</t>
        </is>
      </c>
      <c r="J76" s="8" t="inlineStr">
        <is>
          <t>Fail</t>
        </is>
      </c>
      <c r="K76" s="9" t="inlineStr">
        <is>
          <t>hole in mesentary membrane in critical area greater than 1.5"</t>
        </is>
      </c>
      <c r="L76" s="10" t="n"/>
      <c r="M76" s="10" t="n"/>
      <c r="N76" s="10" t="n"/>
      <c r="O76" s="10" t="n"/>
      <c r="P76" s="10" t="n"/>
      <c r="Q76" s="11" t="n">
        <v>1</v>
      </c>
      <c r="R76" s="10" t="n"/>
      <c r="S76" s="10" t="n"/>
      <c r="T76" s="10" t="n"/>
      <c r="U76" s="10" t="n"/>
      <c r="V76" s="10" t="n"/>
      <c r="W76" s="10" t="n"/>
      <c r="X76" s="10" t="n"/>
      <c r="Y76" s="12">
        <f>SUM(L76:X76)</f>
        <v/>
      </c>
      <c r="Z76" s="13" t="inlineStr"/>
    </row>
    <row r="77" ht="30" customHeight="1">
      <c r="A77" s="7" t="inlineStr">
        <is>
          <t>B073</t>
        </is>
      </c>
      <c r="B77" s="7" t="inlineStr">
        <is>
          <t>2026-07-29</t>
        </is>
      </c>
      <c r="C77" s="7" t="inlineStr">
        <is>
          <t>2026-07-28</t>
        </is>
      </c>
      <c r="D77" s="7" t="inlineStr">
        <is>
          <t>2026-07-28</t>
        </is>
      </c>
      <c r="E77" s="7" t="inlineStr">
        <is>
          <t>Martins</t>
        </is>
      </c>
      <c r="F77" s="7" t="inlineStr"/>
      <c r="G77" s="7" t="inlineStr">
        <is>
          <t>Rasmin</t>
        </is>
      </c>
      <c r="H77" s="7" t="inlineStr"/>
      <c r="I77" s="7" t="inlineStr">
        <is>
          <t>Pelvic block</t>
        </is>
      </c>
      <c r="J77" s="8" t="inlineStr">
        <is>
          <t>Fail</t>
        </is>
      </c>
      <c r="K77" s="9" t="inlineStr">
        <is>
          <t>hole in mesentary membrane in critical area greater than 1.5"</t>
        </is>
      </c>
      <c r="L77" s="10" t="n"/>
      <c r="M77" s="10" t="n"/>
      <c r="N77" s="10" t="n"/>
      <c r="O77" s="10" t="n"/>
      <c r="P77" s="10" t="n"/>
      <c r="Q77" s="11" t="n">
        <v>1</v>
      </c>
      <c r="R77" s="10" t="n"/>
      <c r="S77" s="10" t="n"/>
      <c r="T77" s="10" t="n"/>
      <c r="U77" s="10" t="n"/>
      <c r="V77" s="10" t="n"/>
      <c r="W77" s="10" t="n"/>
      <c r="X77" s="10" t="n"/>
      <c r="Y77" s="12">
        <f>SUM(L77:X77)</f>
        <v/>
      </c>
      <c r="Z77" s="13" t="inlineStr"/>
    </row>
    <row r="78" ht="30" customHeight="1">
      <c r="A78" s="7" t="inlineStr">
        <is>
          <t>B074</t>
        </is>
      </c>
      <c r="B78" s="7" t="inlineStr">
        <is>
          <t>2026-07-29</t>
        </is>
      </c>
      <c r="C78" s="7" t="inlineStr">
        <is>
          <t>2026-07-28</t>
        </is>
      </c>
      <c r="D78" s="7" t="inlineStr">
        <is>
          <t>2026-07-28</t>
        </is>
      </c>
      <c r="E78" s="7" t="inlineStr">
        <is>
          <t>Martins</t>
        </is>
      </c>
      <c r="F78" s="7" t="inlineStr"/>
      <c r="G78" s="7" t="inlineStr">
        <is>
          <t>Rasmin</t>
        </is>
      </c>
      <c r="H78" s="7" t="inlineStr"/>
      <c r="I78" s="7" t="inlineStr">
        <is>
          <t>Pelvic block</t>
        </is>
      </c>
      <c r="J78" s="8" t="inlineStr">
        <is>
          <t>Fail</t>
        </is>
      </c>
      <c r="K78" s="9" t="inlineStr">
        <is>
          <t>hole in mesentary membrane in critical area greater than 1.5"</t>
        </is>
      </c>
      <c r="L78" s="10" t="n"/>
      <c r="M78" s="10" t="n"/>
      <c r="N78" s="10" t="n"/>
      <c r="O78" s="10" t="n"/>
      <c r="P78" s="10" t="n"/>
      <c r="Q78" s="11" t="n">
        <v>1</v>
      </c>
      <c r="R78" s="10" t="n"/>
      <c r="S78" s="10" t="n"/>
      <c r="T78" s="10" t="n"/>
      <c r="U78" s="10" t="n"/>
      <c r="V78" s="10" t="n"/>
      <c r="W78" s="10" t="n"/>
      <c r="X78" s="10" t="n"/>
      <c r="Y78" s="12">
        <f>SUM(L78:X78)</f>
        <v/>
      </c>
      <c r="Z78" s="13" t="inlineStr"/>
    </row>
    <row r="79" ht="30" customHeight="1">
      <c r="A79" s="7" t="inlineStr">
        <is>
          <t>B075</t>
        </is>
      </c>
      <c r="B79" s="7" t="inlineStr">
        <is>
          <t>2026-07-29</t>
        </is>
      </c>
      <c r="C79" s="7" t="inlineStr">
        <is>
          <t>2026-07-28</t>
        </is>
      </c>
      <c r="D79" s="7" t="inlineStr">
        <is>
          <t>2026-07-28</t>
        </is>
      </c>
      <c r="E79" s="7" t="inlineStr">
        <is>
          <t>Martins</t>
        </is>
      </c>
      <c r="F79" s="7" t="inlineStr"/>
      <c r="G79" s="7" t="inlineStr">
        <is>
          <t>Rasmin</t>
        </is>
      </c>
      <c r="H79" s="7" t="inlineStr"/>
      <c r="I79" s="7" t="inlineStr">
        <is>
          <t>Pelvic block</t>
        </is>
      </c>
      <c r="J79" s="8" t="inlineStr">
        <is>
          <t>Fail</t>
        </is>
      </c>
      <c r="K79" s="9" t="inlineStr">
        <is>
          <t>hole in mesentary membrane in critical area greater than 1.5"</t>
        </is>
      </c>
      <c r="L79" s="10" t="n"/>
      <c r="M79" s="10" t="n"/>
      <c r="N79" s="10" t="n"/>
      <c r="O79" s="10" t="n"/>
      <c r="P79" s="10" t="n"/>
      <c r="Q79" s="11" t="n">
        <v>1</v>
      </c>
      <c r="R79" s="10" t="n"/>
      <c r="S79" s="10" t="n"/>
      <c r="T79" s="10" t="n"/>
      <c r="U79" s="10" t="n"/>
      <c r="V79" s="10" t="n"/>
      <c r="W79" s="10" t="n"/>
      <c r="X79" s="10" t="n"/>
      <c r="Y79" s="12">
        <f>SUM(L79:X79)</f>
        <v/>
      </c>
      <c r="Z79" s="13" t="inlineStr"/>
    </row>
    <row r="80" ht="30" customHeight="1">
      <c r="A80" s="7" t="inlineStr">
        <is>
          <t>B076</t>
        </is>
      </c>
      <c r="B80" s="7" t="inlineStr">
        <is>
          <t>2026-07-29</t>
        </is>
      </c>
      <c r="C80" s="7" t="inlineStr">
        <is>
          <t>2026-07-28</t>
        </is>
      </c>
      <c r="D80" s="7" t="inlineStr">
        <is>
          <t>2026-07-28</t>
        </is>
      </c>
      <c r="E80" s="7" t="inlineStr">
        <is>
          <t>Martins</t>
        </is>
      </c>
      <c r="F80" s="7" t="inlineStr"/>
      <c r="G80" s="7" t="inlineStr">
        <is>
          <t>Rasmin</t>
        </is>
      </c>
      <c r="H80" s="7" t="inlineStr"/>
      <c r="I80" s="7" t="inlineStr">
        <is>
          <t>Pelvic block</t>
        </is>
      </c>
      <c r="J80" s="8" t="inlineStr">
        <is>
          <t>Fail</t>
        </is>
      </c>
      <c r="K80" s="9" t="inlineStr">
        <is>
          <t>hole in mesentary membrane in critical area greater than 1.5"</t>
        </is>
      </c>
      <c r="L80" s="10" t="n"/>
      <c r="M80" s="10" t="n"/>
      <c r="N80" s="10" t="n"/>
      <c r="O80" s="10" t="n"/>
      <c r="P80" s="10" t="n"/>
      <c r="Q80" s="11" t="n">
        <v>1</v>
      </c>
      <c r="R80" s="10" t="n"/>
      <c r="S80" s="10" t="n"/>
      <c r="T80" s="10" t="n"/>
      <c r="U80" s="10" t="n"/>
      <c r="V80" s="10" t="n"/>
      <c r="W80" s="10" t="n"/>
      <c r="X80" s="10" t="n"/>
      <c r="Y80" s="12">
        <f>SUM(L80:X80)</f>
        <v/>
      </c>
      <c r="Z80" s="13" t="inlineStr"/>
    </row>
    <row r="81" ht="30" customHeight="1">
      <c r="A81" s="7" t="inlineStr">
        <is>
          <t>B077</t>
        </is>
      </c>
      <c r="B81" s="7" t="inlineStr">
        <is>
          <t>2026-07-29</t>
        </is>
      </c>
      <c r="C81" s="7" t="inlineStr">
        <is>
          <t>2026-07-28</t>
        </is>
      </c>
      <c r="D81" s="7" t="inlineStr">
        <is>
          <t>2026-07-28</t>
        </is>
      </c>
      <c r="E81" s="7" t="inlineStr">
        <is>
          <t>Martins</t>
        </is>
      </c>
      <c r="F81" s="7" t="inlineStr"/>
      <c r="G81" s="7" t="inlineStr">
        <is>
          <t>Rasmin</t>
        </is>
      </c>
      <c r="H81" s="7" t="inlineStr"/>
      <c r="I81" s="7" t="inlineStr">
        <is>
          <t>Pelvic block</t>
        </is>
      </c>
      <c r="J81" s="8" t="inlineStr">
        <is>
          <t>Fail</t>
        </is>
      </c>
      <c r="K81" s="9" t="inlineStr">
        <is>
          <t>hole in mesentary membrane in critical area greater than 1.5"</t>
        </is>
      </c>
      <c r="L81" s="10" t="n"/>
      <c r="M81" s="10" t="n"/>
      <c r="N81" s="10" t="n"/>
      <c r="O81" s="10" t="n"/>
      <c r="P81" s="10" t="n"/>
      <c r="Q81" s="11" t="n">
        <v>1</v>
      </c>
      <c r="R81" s="10" t="n"/>
      <c r="S81" s="10" t="n"/>
      <c r="T81" s="10" t="n"/>
      <c r="U81" s="10" t="n"/>
      <c r="V81" s="10" t="n"/>
      <c r="W81" s="10" t="n"/>
      <c r="X81" s="10" t="n"/>
      <c r="Y81" s="12">
        <f>SUM(L81:X81)</f>
        <v/>
      </c>
      <c r="Z81" s="13" t="inlineStr"/>
    </row>
    <row r="82" ht="30" customHeight="1">
      <c r="A82" s="7" t="inlineStr">
        <is>
          <t>B078</t>
        </is>
      </c>
      <c r="B82" s="7" t="inlineStr">
        <is>
          <t>2026-07-29</t>
        </is>
      </c>
      <c r="C82" s="7" t="inlineStr">
        <is>
          <t>2026-07-28</t>
        </is>
      </c>
      <c r="D82" s="7" t="inlineStr">
        <is>
          <t>2026-07-28</t>
        </is>
      </c>
      <c r="E82" s="7" t="inlineStr">
        <is>
          <t>Martins</t>
        </is>
      </c>
      <c r="F82" s="7" t="inlineStr"/>
      <c r="G82" s="7" t="inlineStr">
        <is>
          <t>Rasmin</t>
        </is>
      </c>
      <c r="H82" s="7" t="inlineStr"/>
      <c r="I82" s="7" t="inlineStr">
        <is>
          <t>Pelvic block</t>
        </is>
      </c>
      <c r="J82" s="8" t="inlineStr">
        <is>
          <t>Fail</t>
        </is>
      </c>
      <c r="K82" s="9" t="inlineStr">
        <is>
          <t>hole in mesentary membrane in critical area greater than 1.5"</t>
        </is>
      </c>
      <c r="L82" s="10" t="n"/>
      <c r="M82" s="10" t="n"/>
      <c r="N82" s="10" t="n"/>
      <c r="O82" s="10" t="n"/>
      <c r="P82" s="10" t="n"/>
      <c r="Q82" s="11" t="n">
        <v>1</v>
      </c>
      <c r="R82" s="10" t="n"/>
      <c r="S82" s="10" t="n"/>
      <c r="T82" s="10" t="n"/>
      <c r="U82" s="10" t="n"/>
      <c r="V82" s="10" t="n"/>
      <c r="W82" s="10" t="n"/>
      <c r="X82" s="10" t="n"/>
      <c r="Y82" s="12">
        <f>SUM(L82:X82)</f>
        <v/>
      </c>
      <c r="Z82" s="13" t="inlineStr"/>
    </row>
    <row r="83" ht="30" customHeight="1">
      <c r="A83" s="7" t="inlineStr">
        <is>
          <t>B079</t>
        </is>
      </c>
      <c r="B83" s="7" t="inlineStr">
        <is>
          <t>2026-07-29</t>
        </is>
      </c>
      <c r="C83" s="7" t="inlineStr">
        <is>
          <t>2026-07-28</t>
        </is>
      </c>
      <c r="D83" s="7" t="inlineStr">
        <is>
          <t>2026-07-28</t>
        </is>
      </c>
      <c r="E83" s="7" t="inlineStr">
        <is>
          <t>Martins</t>
        </is>
      </c>
      <c r="F83" s="7" t="inlineStr"/>
      <c r="G83" s="7" t="inlineStr">
        <is>
          <t>Rasmin</t>
        </is>
      </c>
      <c r="H83" s="7" t="inlineStr"/>
      <c r="I83" s="7" t="inlineStr">
        <is>
          <t>Pelvic block</t>
        </is>
      </c>
      <c r="J83" s="8" t="inlineStr">
        <is>
          <t>Fail</t>
        </is>
      </c>
      <c r="K83" s="9" t="inlineStr">
        <is>
          <t>hole in mesentary membrane in critical area greater than 1.5"</t>
        </is>
      </c>
      <c r="L83" s="10" t="n"/>
      <c r="M83" s="10" t="n"/>
      <c r="N83" s="10" t="n"/>
      <c r="O83" s="10" t="n"/>
      <c r="P83" s="10" t="n"/>
      <c r="Q83" s="11" t="n">
        <v>1</v>
      </c>
      <c r="R83" s="10" t="n"/>
      <c r="S83" s="10" t="n"/>
      <c r="T83" s="10" t="n"/>
      <c r="U83" s="10" t="n"/>
      <c r="V83" s="10" t="n"/>
      <c r="W83" s="10" t="n"/>
      <c r="X83" s="10" t="n"/>
      <c r="Y83" s="12">
        <f>SUM(L83:X83)</f>
        <v/>
      </c>
      <c r="Z83" s="13" t="inlineStr"/>
    </row>
    <row r="84" ht="30" customHeight="1">
      <c r="A84" s="7" t="inlineStr">
        <is>
          <t>B080</t>
        </is>
      </c>
      <c r="B84" s="7" t="inlineStr">
        <is>
          <t>2026-07-29</t>
        </is>
      </c>
      <c r="C84" s="7" t="inlineStr">
        <is>
          <t>2026-07-28</t>
        </is>
      </c>
      <c r="D84" s="7" t="inlineStr">
        <is>
          <t>2026-07-28</t>
        </is>
      </c>
      <c r="E84" s="7" t="inlineStr">
        <is>
          <t>Martins</t>
        </is>
      </c>
      <c r="F84" s="7" t="inlineStr"/>
      <c r="G84" s="7" t="inlineStr">
        <is>
          <t>Rasmin</t>
        </is>
      </c>
      <c r="H84" s="7" t="inlineStr"/>
      <c r="I84" s="7" t="inlineStr">
        <is>
          <t>Pelvic block</t>
        </is>
      </c>
      <c r="J84" s="8" t="inlineStr">
        <is>
          <t>Fail</t>
        </is>
      </c>
      <c r="K84" s="9" t="inlineStr">
        <is>
          <t>hole in mesentary membrane in critical area greater than 1.5"</t>
        </is>
      </c>
      <c r="L84" s="10" t="n"/>
      <c r="M84" s="10" t="n"/>
      <c r="N84" s="10" t="n"/>
      <c r="O84" s="10" t="n"/>
      <c r="P84" s="10" t="n"/>
      <c r="Q84" s="11" t="n">
        <v>1</v>
      </c>
      <c r="R84" s="10" t="n"/>
      <c r="S84" s="10" t="n"/>
      <c r="T84" s="10" t="n"/>
      <c r="U84" s="10" t="n"/>
      <c r="V84" s="10" t="n"/>
      <c r="W84" s="10" t="n"/>
      <c r="X84" s="10" t="n"/>
      <c r="Y84" s="12">
        <f>SUM(L84:X84)</f>
        <v/>
      </c>
      <c r="Z84" s="13" t="inlineStr"/>
    </row>
    <row r="85" ht="30" customHeight="1">
      <c r="A85" s="7" t="inlineStr">
        <is>
          <t>B081</t>
        </is>
      </c>
      <c r="B85" s="7" t="inlineStr">
        <is>
          <t>2026-07-29</t>
        </is>
      </c>
      <c r="C85" s="7" t="inlineStr">
        <is>
          <t>2026-07-28</t>
        </is>
      </c>
      <c r="D85" s="7" t="inlineStr">
        <is>
          <t>2026-07-28</t>
        </is>
      </c>
      <c r="E85" s="7" t="inlineStr">
        <is>
          <t>Martins</t>
        </is>
      </c>
      <c r="F85" s="7" t="inlineStr"/>
      <c r="G85" s="7" t="inlineStr">
        <is>
          <t>Rasmin</t>
        </is>
      </c>
      <c r="H85" s="7" t="inlineStr"/>
      <c r="I85" s="7" t="inlineStr">
        <is>
          <t>Pelvic block</t>
        </is>
      </c>
      <c r="J85" s="8" t="inlineStr">
        <is>
          <t>Fail</t>
        </is>
      </c>
      <c r="K85" s="9" t="inlineStr">
        <is>
          <t>Block too short</t>
        </is>
      </c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1" t="n">
        <v>1</v>
      </c>
      <c r="Y85" s="12">
        <f>SUM(L85:X85)</f>
        <v/>
      </c>
      <c r="Z85" s="13" t="inlineStr"/>
    </row>
    <row r="86" ht="30" customHeight="1">
      <c r="A86" s="7" t="inlineStr">
        <is>
          <t>B082</t>
        </is>
      </c>
      <c r="B86" s="7" t="inlineStr">
        <is>
          <t>2026-07-29</t>
        </is>
      </c>
      <c r="C86" s="7" t="inlineStr">
        <is>
          <t>2026-07-28</t>
        </is>
      </c>
      <c r="D86" s="7" t="inlineStr">
        <is>
          <t>2026-07-28</t>
        </is>
      </c>
      <c r="E86" s="7" t="inlineStr">
        <is>
          <t>Martins</t>
        </is>
      </c>
      <c r="F86" s="7" t="inlineStr"/>
      <c r="G86" s="7" t="inlineStr">
        <is>
          <t>Rasmin</t>
        </is>
      </c>
      <c r="H86" s="7" t="inlineStr"/>
      <c r="I86" s="7" t="inlineStr">
        <is>
          <t>Pelvic block</t>
        </is>
      </c>
      <c r="J86" s="8" t="inlineStr">
        <is>
          <t>Fail</t>
        </is>
      </c>
      <c r="K86" s="9" t="inlineStr">
        <is>
          <t>Block too short</t>
        </is>
      </c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1" t="n">
        <v>1</v>
      </c>
      <c r="Y86" s="12">
        <f>SUM(L86:X86)</f>
        <v/>
      </c>
      <c r="Z86" s="13" t="inlineStr"/>
    </row>
    <row r="87" ht="30" customHeight="1">
      <c r="A87" s="7" t="inlineStr">
        <is>
          <t>B083</t>
        </is>
      </c>
      <c r="B87" s="7" t="inlineStr">
        <is>
          <t>2026-07-29</t>
        </is>
      </c>
      <c r="C87" s="7" t="inlineStr">
        <is>
          <t>2026-07-28</t>
        </is>
      </c>
      <c r="D87" s="7" t="inlineStr">
        <is>
          <t>2026-07-28</t>
        </is>
      </c>
      <c r="E87" s="7" t="inlineStr">
        <is>
          <t>Martins</t>
        </is>
      </c>
      <c r="F87" s="7" t="inlineStr"/>
      <c r="G87" s="7" t="inlineStr">
        <is>
          <t>Rasmin</t>
        </is>
      </c>
      <c r="H87" s="7" t="inlineStr"/>
      <c r="I87" s="7" t="inlineStr">
        <is>
          <t>Pelvic block</t>
        </is>
      </c>
      <c r="J87" s="8" t="inlineStr">
        <is>
          <t>Fail</t>
        </is>
      </c>
      <c r="K87" s="9" t="inlineStr">
        <is>
          <t>Block too short</t>
        </is>
      </c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1" t="n">
        <v>1</v>
      </c>
      <c r="Y87" s="12">
        <f>SUM(L87:X87)</f>
        <v/>
      </c>
      <c r="Z87" s="13" t="inlineStr"/>
    </row>
    <row r="88" ht="30" customHeight="1">
      <c r="A88" s="7" t="inlineStr">
        <is>
          <t>B084</t>
        </is>
      </c>
      <c r="B88" s="7" t="inlineStr">
        <is>
          <t>2026-07-29</t>
        </is>
      </c>
      <c r="C88" s="7" t="inlineStr">
        <is>
          <t>2026-07-28</t>
        </is>
      </c>
      <c r="D88" s="7" t="inlineStr">
        <is>
          <t>2026-07-28</t>
        </is>
      </c>
      <c r="E88" s="7" t="inlineStr">
        <is>
          <t>Martins</t>
        </is>
      </c>
      <c r="F88" s="7" t="inlineStr"/>
      <c r="G88" s="7" t="inlineStr">
        <is>
          <t>Rasmin</t>
        </is>
      </c>
      <c r="H88" s="7" t="inlineStr"/>
      <c r="I88" s="7" t="inlineStr">
        <is>
          <t>Pelvic block</t>
        </is>
      </c>
      <c r="J88" s="8" t="inlineStr">
        <is>
          <t>Fail</t>
        </is>
      </c>
      <c r="K88" s="9" t="inlineStr">
        <is>
          <t>Block too short</t>
        </is>
      </c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1" t="n">
        <v>1</v>
      </c>
      <c r="Y88" s="12">
        <f>SUM(L88:X88)</f>
        <v/>
      </c>
      <c r="Z88" s="13" t="inlineStr"/>
    </row>
    <row r="89" ht="30" customHeight="1">
      <c r="A89" s="7" t="inlineStr">
        <is>
          <t>B085</t>
        </is>
      </c>
      <c r="B89" s="7" t="inlineStr">
        <is>
          <t>2026-07-29</t>
        </is>
      </c>
      <c r="C89" s="7" t="inlineStr">
        <is>
          <t>2026-07-28</t>
        </is>
      </c>
      <c r="D89" s="7" t="inlineStr">
        <is>
          <t>2026-07-28</t>
        </is>
      </c>
      <c r="E89" s="7" t="inlineStr">
        <is>
          <t>Martins</t>
        </is>
      </c>
      <c r="F89" s="7" t="inlineStr"/>
      <c r="G89" s="7" t="inlineStr">
        <is>
          <t>Rasmin</t>
        </is>
      </c>
      <c r="H89" s="7" t="inlineStr"/>
      <c r="I89" s="7" t="inlineStr">
        <is>
          <t>Pelvic block</t>
        </is>
      </c>
      <c r="J89" s="8" t="inlineStr">
        <is>
          <t>Fail</t>
        </is>
      </c>
      <c r="K89" s="9" t="inlineStr">
        <is>
          <t>Block too short</t>
        </is>
      </c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1" t="n">
        <v>1</v>
      </c>
      <c r="Y89" s="12">
        <f>SUM(L89:X89)</f>
        <v/>
      </c>
      <c r="Z89" s="13" t="inlineStr"/>
    </row>
    <row r="90" ht="30" customHeight="1">
      <c r="A90" s="7" t="inlineStr">
        <is>
          <t>B086</t>
        </is>
      </c>
      <c r="B90" s="7" t="inlineStr">
        <is>
          <t>2026-07-29</t>
        </is>
      </c>
      <c r="C90" s="7" t="inlineStr">
        <is>
          <t>2026-07-28</t>
        </is>
      </c>
      <c r="D90" s="7" t="inlineStr">
        <is>
          <t>2026-07-28</t>
        </is>
      </c>
      <c r="E90" s="7" t="inlineStr">
        <is>
          <t>Martins</t>
        </is>
      </c>
      <c r="F90" s="7" t="inlineStr"/>
      <c r="G90" s="7" t="inlineStr">
        <is>
          <t>Rasmin</t>
        </is>
      </c>
      <c r="H90" s="7" t="inlineStr"/>
      <c r="I90" s="7" t="inlineStr">
        <is>
          <t>Pelvic block</t>
        </is>
      </c>
      <c r="J90" s="8" t="inlineStr">
        <is>
          <t>Fail</t>
        </is>
      </c>
      <c r="K90" s="9" t="inlineStr">
        <is>
          <t>Block too short</t>
        </is>
      </c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1" t="n">
        <v>1</v>
      </c>
      <c r="Y90" s="12">
        <f>SUM(L90:X90)</f>
        <v/>
      </c>
      <c r="Z90" s="13" t="inlineStr"/>
    </row>
    <row r="91" ht="30" customHeight="1">
      <c r="A91" s="7" t="inlineStr">
        <is>
          <t>B087</t>
        </is>
      </c>
      <c r="B91" s="7" t="inlineStr">
        <is>
          <t>2026-07-29</t>
        </is>
      </c>
      <c r="C91" s="7" t="inlineStr">
        <is>
          <t>2026-07-28</t>
        </is>
      </c>
      <c r="D91" s="7" t="inlineStr">
        <is>
          <t>2026-07-28</t>
        </is>
      </c>
      <c r="E91" s="7" t="inlineStr">
        <is>
          <t>Martins</t>
        </is>
      </c>
      <c r="F91" s="7" t="inlineStr"/>
      <c r="G91" s="7" t="inlineStr">
        <is>
          <t>Rasmin</t>
        </is>
      </c>
      <c r="H91" s="7" t="inlineStr"/>
      <c r="I91" s="7" t="inlineStr">
        <is>
          <t>Pelvic block</t>
        </is>
      </c>
      <c r="J91" s="8" t="inlineStr">
        <is>
          <t>Fail</t>
        </is>
      </c>
      <c r="K91" s="9" t="inlineStr">
        <is>
          <t>laceration in urethra</t>
        </is>
      </c>
      <c r="L91" s="10" t="n"/>
      <c r="M91" s="10" t="n"/>
      <c r="N91" s="10" t="n"/>
      <c r="O91" s="10" t="n"/>
      <c r="P91" s="11" t="n">
        <v>1</v>
      </c>
      <c r="Q91" s="10" t="n"/>
      <c r="R91" s="10" t="n"/>
      <c r="S91" s="10" t="n"/>
      <c r="T91" s="10" t="n"/>
      <c r="U91" s="10" t="n"/>
      <c r="V91" s="10" t="n"/>
      <c r="W91" s="10" t="n"/>
      <c r="X91" s="10" t="n"/>
      <c r="Y91" s="12">
        <f>SUM(L91:X91)</f>
        <v/>
      </c>
      <c r="Z91" s="15" t="inlineStr">
        <is>
          <t>Sheet's handwritten total read '1 Pass / 22 failures'; per-row entries sum to 29 fails (used here).</t>
        </is>
      </c>
    </row>
    <row r="92" ht="30" customHeight="1">
      <c r="A92" s="7" t="inlineStr">
        <is>
          <t>B088</t>
        </is>
      </c>
      <c r="B92" s="7" t="inlineStr">
        <is>
          <t>2026-07-29</t>
        </is>
      </c>
      <c r="C92" s="7" t="inlineStr">
        <is>
          <t>2026-07-28</t>
        </is>
      </c>
      <c r="D92" s="7" t="inlineStr">
        <is>
          <t>2026-07-28</t>
        </is>
      </c>
      <c r="E92" s="7" t="inlineStr">
        <is>
          <t>Martins</t>
        </is>
      </c>
      <c r="F92" s="7" t="inlineStr"/>
      <c r="G92" s="7" t="inlineStr">
        <is>
          <t>Toni</t>
        </is>
      </c>
      <c r="H92" s="7" t="inlineStr"/>
      <c r="I92" s="7" t="inlineStr">
        <is>
          <t>Tiss, porcine, fem, Pelvic block</t>
        </is>
      </c>
      <c r="J92" s="8" t="inlineStr">
        <is>
          <t>Fail</t>
        </is>
      </c>
      <c r="K92" s="9" t="inlineStr">
        <is>
          <t>bowel is cut open</t>
        </is>
      </c>
      <c r="L92" s="10" t="n"/>
      <c r="M92" s="10" t="n"/>
      <c r="N92" s="10" t="n"/>
      <c r="O92" s="10" t="n"/>
      <c r="P92" s="10" t="n"/>
      <c r="Q92" s="10" t="n"/>
      <c r="R92" s="10" t="n"/>
      <c r="S92" s="11" t="n">
        <v>1</v>
      </c>
      <c r="T92" s="10" t="n"/>
      <c r="U92" s="10" t="n"/>
      <c r="V92" s="10" t="n"/>
      <c r="W92" s="10" t="n"/>
      <c r="X92" s="10" t="n"/>
      <c r="Y92" s="12">
        <f>SUM(L92:X92)</f>
        <v/>
      </c>
      <c r="Z92" s="13" t="inlineStr"/>
    </row>
    <row r="93" ht="30" customHeight="1">
      <c r="A93" s="7" t="inlineStr">
        <is>
          <t>B089</t>
        </is>
      </c>
      <c r="B93" s="7" t="inlineStr">
        <is>
          <t>2026-07-29</t>
        </is>
      </c>
      <c r="C93" s="7" t="inlineStr">
        <is>
          <t>2026-07-28</t>
        </is>
      </c>
      <c r="D93" s="7" t="inlineStr">
        <is>
          <t>2026-07-28</t>
        </is>
      </c>
      <c r="E93" s="7" t="inlineStr">
        <is>
          <t>Martins</t>
        </is>
      </c>
      <c r="F93" s="7" t="inlineStr"/>
      <c r="G93" s="7" t="inlineStr">
        <is>
          <t>Toni</t>
        </is>
      </c>
      <c r="H93" s="7" t="inlineStr"/>
      <c r="I93" s="7" t="inlineStr">
        <is>
          <t>Tiss, porcine, fem, Pelvic block</t>
        </is>
      </c>
      <c r="J93" s="8" t="inlineStr">
        <is>
          <t>Fail</t>
        </is>
      </c>
      <c r="K93" s="9" t="inlineStr">
        <is>
          <t>membrane damage greater than .5" in critical area</t>
        </is>
      </c>
      <c r="L93" s="10" t="n"/>
      <c r="M93" s="10" t="n"/>
      <c r="N93" s="10" t="n"/>
      <c r="O93" s="10" t="n"/>
      <c r="P93" s="10" t="n"/>
      <c r="Q93" s="11" t="n">
        <v>1</v>
      </c>
      <c r="R93" s="10" t="n"/>
      <c r="S93" s="10" t="n"/>
      <c r="T93" s="10" t="n"/>
      <c r="U93" s="10" t="n"/>
      <c r="V93" s="10" t="n"/>
      <c r="W93" s="10" t="n"/>
      <c r="X93" s="10" t="n"/>
      <c r="Y93" s="12">
        <f>SUM(L93:X93)</f>
        <v/>
      </c>
      <c r="Z93" s="13" t="inlineStr"/>
    </row>
    <row r="94" ht="30" customHeight="1">
      <c r="A94" s="7" t="inlineStr">
        <is>
          <t>B090</t>
        </is>
      </c>
      <c r="B94" s="7" t="inlineStr">
        <is>
          <t>2026-07-29</t>
        </is>
      </c>
      <c r="C94" s="7" t="inlineStr">
        <is>
          <t>2026-07-28</t>
        </is>
      </c>
      <c r="D94" s="7" t="inlineStr">
        <is>
          <t>2026-07-28</t>
        </is>
      </c>
      <c r="E94" s="7" t="inlineStr">
        <is>
          <t>Martins</t>
        </is>
      </c>
      <c r="F94" s="7" t="inlineStr"/>
      <c r="G94" s="7" t="inlineStr">
        <is>
          <t>Toni</t>
        </is>
      </c>
      <c r="H94" s="7" t="inlineStr"/>
      <c r="I94" s="7" t="inlineStr">
        <is>
          <t>Tiss, porcine, fem, Pelvic block</t>
        </is>
      </c>
      <c r="J94" s="8" t="inlineStr">
        <is>
          <t>Fail</t>
        </is>
      </c>
      <c r="K94" s="9" t="inlineStr">
        <is>
          <t>membrane damage greater than .5" in critical area</t>
        </is>
      </c>
      <c r="L94" s="10" t="n"/>
      <c r="M94" s="10" t="n"/>
      <c r="N94" s="10" t="n"/>
      <c r="O94" s="10" t="n"/>
      <c r="P94" s="10" t="n"/>
      <c r="Q94" s="11" t="n">
        <v>1</v>
      </c>
      <c r="R94" s="10" t="n"/>
      <c r="S94" s="10" t="n"/>
      <c r="T94" s="10" t="n"/>
      <c r="U94" s="10" t="n"/>
      <c r="V94" s="10" t="n"/>
      <c r="W94" s="10" t="n"/>
      <c r="X94" s="10" t="n"/>
      <c r="Y94" s="12">
        <f>SUM(L94:X94)</f>
        <v/>
      </c>
      <c r="Z94" s="13" t="inlineStr"/>
    </row>
    <row r="95" ht="30" customHeight="1">
      <c r="A95" s="7" t="inlineStr">
        <is>
          <t>B091</t>
        </is>
      </c>
      <c r="B95" s="7" t="inlineStr">
        <is>
          <t>2026-07-29</t>
        </is>
      </c>
      <c r="C95" s="7" t="inlineStr">
        <is>
          <t>2026-07-28</t>
        </is>
      </c>
      <c r="D95" s="7" t="inlineStr">
        <is>
          <t>2026-07-28</t>
        </is>
      </c>
      <c r="E95" s="7" t="inlineStr">
        <is>
          <t>Martins</t>
        </is>
      </c>
      <c r="F95" s="7" t="inlineStr"/>
      <c r="G95" s="7" t="inlineStr">
        <is>
          <t>Toni</t>
        </is>
      </c>
      <c r="H95" s="7" t="inlineStr"/>
      <c r="I95" s="7" t="inlineStr">
        <is>
          <t>Tiss, porcine, fem, Pelvic block</t>
        </is>
      </c>
      <c r="J95" s="8" t="inlineStr">
        <is>
          <t>Fail</t>
        </is>
      </c>
      <c r="K95" s="9" t="inlineStr">
        <is>
          <t>membrane damage greater than .5" in critical area</t>
        </is>
      </c>
      <c r="L95" s="10" t="n"/>
      <c r="M95" s="10" t="n"/>
      <c r="N95" s="10" t="n"/>
      <c r="O95" s="10" t="n"/>
      <c r="P95" s="10" t="n"/>
      <c r="Q95" s="11" t="n">
        <v>1</v>
      </c>
      <c r="R95" s="10" t="n"/>
      <c r="S95" s="10" t="n"/>
      <c r="T95" s="10" t="n"/>
      <c r="U95" s="10" t="n"/>
      <c r="V95" s="10" t="n"/>
      <c r="W95" s="10" t="n"/>
      <c r="X95" s="10" t="n"/>
      <c r="Y95" s="12">
        <f>SUM(L95:X95)</f>
        <v/>
      </c>
      <c r="Z95" s="13" t="inlineStr"/>
    </row>
    <row r="96" ht="30" customHeight="1">
      <c r="A96" s="7" t="inlineStr">
        <is>
          <t>B092</t>
        </is>
      </c>
      <c r="B96" s="7" t="inlineStr">
        <is>
          <t>2026-07-29</t>
        </is>
      </c>
      <c r="C96" s="7" t="inlineStr">
        <is>
          <t>2026-07-28</t>
        </is>
      </c>
      <c r="D96" s="7" t="inlineStr">
        <is>
          <t>2026-07-28</t>
        </is>
      </c>
      <c r="E96" s="7" t="inlineStr">
        <is>
          <t>Martins</t>
        </is>
      </c>
      <c r="F96" s="7" t="inlineStr"/>
      <c r="G96" s="7" t="inlineStr">
        <is>
          <t>Toni</t>
        </is>
      </c>
      <c r="H96" s="7" t="inlineStr"/>
      <c r="I96" s="7" t="inlineStr">
        <is>
          <t>Tiss, porcine, fem, Pelvic block</t>
        </is>
      </c>
      <c r="J96" s="8" t="inlineStr">
        <is>
          <t>Fail</t>
        </is>
      </c>
      <c r="K96" s="9" t="inlineStr">
        <is>
          <t>membrane damage greater than .5" in critical area</t>
        </is>
      </c>
      <c r="L96" s="10" t="n"/>
      <c r="M96" s="10" t="n"/>
      <c r="N96" s="10" t="n"/>
      <c r="O96" s="10" t="n"/>
      <c r="P96" s="10" t="n"/>
      <c r="Q96" s="11" t="n">
        <v>1</v>
      </c>
      <c r="R96" s="10" t="n"/>
      <c r="S96" s="10" t="n"/>
      <c r="T96" s="10" t="n"/>
      <c r="U96" s="10" t="n"/>
      <c r="V96" s="10" t="n"/>
      <c r="W96" s="10" t="n"/>
      <c r="X96" s="10" t="n"/>
      <c r="Y96" s="12">
        <f>SUM(L96:X96)</f>
        <v/>
      </c>
      <c r="Z96" s="13" t="inlineStr"/>
    </row>
    <row r="97" ht="30" customHeight="1">
      <c r="A97" s="7" t="inlineStr">
        <is>
          <t>B093</t>
        </is>
      </c>
      <c r="B97" s="7" t="inlineStr">
        <is>
          <t>2026-07-29</t>
        </is>
      </c>
      <c r="C97" s="7" t="inlineStr">
        <is>
          <t>2026-07-28</t>
        </is>
      </c>
      <c r="D97" s="7" t="inlineStr">
        <is>
          <t>2026-07-28</t>
        </is>
      </c>
      <c r="E97" s="7" t="inlineStr">
        <is>
          <t>Martins</t>
        </is>
      </c>
      <c r="F97" s="7" t="inlineStr"/>
      <c r="G97" s="7" t="inlineStr">
        <is>
          <t>Toni</t>
        </is>
      </c>
      <c r="H97" s="7" t="inlineStr"/>
      <c r="I97" s="7" t="inlineStr">
        <is>
          <t>Tiss, porcine, fem, Pelvic block</t>
        </is>
      </c>
      <c r="J97" s="8" t="inlineStr">
        <is>
          <t>Fail</t>
        </is>
      </c>
      <c r="K97" s="9" t="inlineStr">
        <is>
          <t>membrane damage greater than .5" in critical area</t>
        </is>
      </c>
      <c r="L97" s="10" t="n"/>
      <c r="M97" s="10" t="n"/>
      <c r="N97" s="10" t="n"/>
      <c r="O97" s="10" t="n"/>
      <c r="P97" s="10" t="n"/>
      <c r="Q97" s="11" t="n">
        <v>1</v>
      </c>
      <c r="R97" s="10" t="n"/>
      <c r="S97" s="10" t="n"/>
      <c r="T97" s="10" t="n"/>
      <c r="U97" s="10" t="n"/>
      <c r="V97" s="10" t="n"/>
      <c r="W97" s="10" t="n"/>
      <c r="X97" s="10" t="n"/>
      <c r="Y97" s="12">
        <f>SUM(L97:X97)</f>
        <v/>
      </c>
      <c r="Z97" s="13" t="inlineStr"/>
    </row>
    <row r="98" ht="30" customHeight="1">
      <c r="A98" s="7" t="inlineStr">
        <is>
          <t>B094</t>
        </is>
      </c>
      <c r="B98" s="7" t="inlineStr">
        <is>
          <t>2026-07-29</t>
        </is>
      </c>
      <c r="C98" s="7" t="inlineStr">
        <is>
          <t>2026-07-28</t>
        </is>
      </c>
      <c r="D98" s="7" t="inlineStr">
        <is>
          <t>2026-07-28</t>
        </is>
      </c>
      <c r="E98" s="7" t="inlineStr">
        <is>
          <t>Martins</t>
        </is>
      </c>
      <c r="F98" s="7" t="inlineStr"/>
      <c r="G98" s="7" t="inlineStr">
        <is>
          <t>Toni</t>
        </is>
      </c>
      <c r="H98" s="7" t="inlineStr"/>
      <c r="I98" s="7" t="inlineStr">
        <is>
          <t>Tiss, porcine, fem, Pelvic block</t>
        </is>
      </c>
      <c r="J98" s="8" t="inlineStr">
        <is>
          <t>Fail</t>
        </is>
      </c>
      <c r="K98" s="9" t="inlineStr">
        <is>
          <t>urethra cut, bowel damaged</t>
        </is>
      </c>
      <c r="L98" s="10" t="n"/>
      <c r="M98" s="10" t="n"/>
      <c r="N98" s="10" t="n"/>
      <c r="O98" s="10" t="n"/>
      <c r="P98" s="11" t="n">
        <v>1</v>
      </c>
      <c r="Q98" s="10" t="n"/>
      <c r="R98" s="10" t="n"/>
      <c r="S98" s="11" t="n">
        <v>1</v>
      </c>
      <c r="T98" s="10" t="n"/>
      <c r="U98" s="10" t="n"/>
      <c r="V98" s="10" t="n"/>
      <c r="W98" s="10" t="n"/>
      <c r="X98" s="10" t="n"/>
      <c r="Y98" s="12">
        <f>SUM(L98:X98)</f>
        <v/>
      </c>
      <c r="Z98" s="13" t="inlineStr"/>
    </row>
    <row r="99" ht="30" customHeight="1">
      <c r="A99" s="7" t="inlineStr">
        <is>
          <t>B095</t>
        </is>
      </c>
      <c r="B99" s="7" t="inlineStr">
        <is>
          <t>2026-07-29</t>
        </is>
      </c>
      <c r="C99" s="7" t="inlineStr">
        <is>
          <t>2026-07-28</t>
        </is>
      </c>
      <c r="D99" s="7" t="inlineStr">
        <is>
          <t>2026-07-28</t>
        </is>
      </c>
      <c r="E99" s="7" t="inlineStr">
        <is>
          <t>Martins</t>
        </is>
      </c>
      <c r="F99" s="7" t="inlineStr"/>
      <c r="G99" s="7" t="inlineStr">
        <is>
          <t>Toni</t>
        </is>
      </c>
      <c r="H99" s="7" t="inlineStr"/>
      <c r="I99" s="7" t="inlineStr">
        <is>
          <t>Tiss, porcine, fem, Pelvic block</t>
        </is>
      </c>
      <c r="J99" s="8" t="inlineStr">
        <is>
          <t>Fail</t>
        </is>
      </c>
      <c r="K99" s="9" t="inlineStr">
        <is>
          <t>ureter is damaged and cut off</t>
        </is>
      </c>
      <c r="L99" s="10" t="n"/>
      <c r="M99" s="11" t="n">
        <v>1</v>
      </c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2">
        <f>SUM(L99:X99)</f>
        <v/>
      </c>
      <c r="Z99" s="13" t="inlineStr"/>
    </row>
    <row r="100" ht="30" customHeight="1">
      <c r="A100" s="7" t="inlineStr">
        <is>
          <t>B096</t>
        </is>
      </c>
      <c r="B100" s="7" t="inlineStr">
        <is>
          <t>2026-07-29</t>
        </is>
      </c>
      <c r="C100" s="7" t="inlineStr">
        <is>
          <t>2026-07-28</t>
        </is>
      </c>
      <c r="D100" s="7" t="inlineStr">
        <is>
          <t>2026-07-28</t>
        </is>
      </c>
      <c r="E100" s="7" t="inlineStr">
        <is>
          <t>Martins</t>
        </is>
      </c>
      <c r="F100" s="7" t="inlineStr"/>
      <c r="G100" s="7" t="inlineStr">
        <is>
          <t>Toni</t>
        </is>
      </c>
      <c r="H100" s="7" t="inlineStr"/>
      <c r="I100" s="7" t="inlineStr">
        <is>
          <t>Tiss, porcine, fem, Pelvic block</t>
        </is>
      </c>
      <c r="J100" s="8" t="inlineStr">
        <is>
          <t>Fail</t>
        </is>
      </c>
      <c r="K100" s="9" t="inlineStr">
        <is>
          <t>ureter is damaged and cut off</t>
        </is>
      </c>
      <c r="L100" s="10" t="n"/>
      <c r="M100" s="11" t="n">
        <v>1</v>
      </c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2">
        <f>SUM(L100:X100)</f>
        <v/>
      </c>
      <c r="Z100" s="13" t="inlineStr"/>
    </row>
    <row r="101" ht="30" customHeight="1">
      <c r="A101" s="7" t="inlineStr">
        <is>
          <t>B097</t>
        </is>
      </c>
      <c r="B101" s="7" t="inlineStr">
        <is>
          <t>2026-07-29</t>
        </is>
      </c>
      <c r="C101" s="7" t="inlineStr">
        <is>
          <t>2026-07-28</t>
        </is>
      </c>
      <c r="D101" s="7" t="inlineStr">
        <is>
          <t>2026-07-28</t>
        </is>
      </c>
      <c r="E101" s="7" t="inlineStr">
        <is>
          <t>Martins</t>
        </is>
      </c>
      <c r="F101" s="7" t="inlineStr"/>
      <c r="G101" s="7" t="inlineStr">
        <is>
          <t>Toni</t>
        </is>
      </c>
      <c r="H101" s="7" t="inlineStr"/>
      <c r="I101" s="7" t="inlineStr">
        <is>
          <t>Tiss, porcine, fem, Pelvic block</t>
        </is>
      </c>
      <c r="J101" s="8" t="inlineStr">
        <is>
          <t>Fail</t>
        </is>
      </c>
      <c r="K101" s="9" t="inlineStr">
        <is>
          <t>bladder is cut open</t>
        </is>
      </c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1" t="n">
        <v>1</v>
      </c>
      <c r="X101" s="10" t="n"/>
      <c r="Y101" s="12">
        <f>SUM(L101:X101)</f>
        <v/>
      </c>
      <c r="Z101" s="13" t="inlineStr"/>
    </row>
    <row r="102" ht="30" customHeight="1">
      <c r="A102" s="7" t="inlineStr">
        <is>
          <t>B098</t>
        </is>
      </c>
      <c r="B102" s="7" t="inlineStr">
        <is>
          <t>2026-07-29</t>
        </is>
      </c>
      <c r="C102" s="7" t="inlineStr">
        <is>
          <t>2026-07-28</t>
        </is>
      </c>
      <c r="D102" s="7" t="inlineStr">
        <is>
          <t>2026-07-28</t>
        </is>
      </c>
      <c r="E102" s="7" t="inlineStr">
        <is>
          <t>Martins</t>
        </is>
      </c>
      <c r="F102" s="7" t="inlineStr"/>
      <c r="G102" s="7" t="inlineStr">
        <is>
          <t>Toni</t>
        </is>
      </c>
      <c r="H102" s="7" t="inlineStr"/>
      <c r="I102" s="7" t="inlineStr">
        <is>
          <t>Tiss, porcine, fem, Pelvic block</t>
        </is>
      </c>
      <c r="J102" s="8" t="inlineStr">
        <is>
          <t>Fail</t>
        </is>
      </c>
      <c r="K102" s="9" t="inlineStr">
        <is>
          <t>bladder is cut open, urethra seperated, membrane damage greater than .5"</t>
        </is>
      </c>
      <c r="L102" s="10" t="n"/>
      <c r="M102" s="10" t="n"/>
      <c r="N102" s="10" t="n"/>
      <c r="O102" s="10" t="n"/>
      <c r="P102" s="11" t="n">
        <v>1</v>
      </c>
      <c r="Q102" s="11" t="n">
        <v>1</v>
      </c>
      <c r="R102" s="10" t="n"/>
      <c r="S102" s="10" t="n"/>
      <c r="T102" s="10" t="n"/>
      <c r="U102" s="10" t="n"/>
      <c r="V102" s="10" t="n"/>
      <c r="W102" s="11" t="n">
        <v>1</v>
      </c>
      <c r="X102" s="10" t="n"/>
      <c r="Y102" s="12">
        <f>SUM(L102:X102)</f>
        <v/>
      </c>
      <c r="Z102" s="13" t="inlineStr"/>
    </row>
    <row r="103" ht="30" customHeight="1">
      <c r="A103" s="7" t="inlineStr">
        <is>
          <t>B099</t>
        </is>
      </c>
      <c r="B103" s="7" t="inlineStr">
        <is>
          <t>2026-07-29</t>
        </is>
      </c>
      <c r="C103" s="7" t="inlineStr">
        <is>
          <t>2026-07-28</t>
        </is>
      </c>
      <c r="D103" s="7" t="inlineStr">
        <is>
          <t>2026-07-28</t>
        </is>
      </c>
      <c r="E103" s="7" t="inlineStr">
        <is>
          <t>Martins</t>
        </is>
      </c>
      <c r="F103" s="7" t="inlineStr"/>
      <c r="G103" s="7" t="inlineStr">
        <is>
          <t>Toni</t>
        </is>
      </c>
      <c r="H103" s="7" t="inlineStr"/>
      <c r="I103" s="7" t="inlineStr">
        <is>
          <t>Tiss, porcine, fem, Pelvic block</t>
        </is>
      </c>
      <c r="J103" s="8" t="inlineStr">
        <is>
          <t>Fail</t>
        </is>
      </c>
      <c r="K103" s="9" t="inlineStr">
        <is>
          <t>short block</t>
        </is>
      </c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1" t="n">
        <v>1</v>
      </c>
      <c r="Y103" s="12">
        <f>SUM(L103:X103)</f>
        <v/>
      </c>
      <c r="Z103" s="13" t="inlineStr"/>
    </row>
  </sheetData>
  <mergeCells count="2">
    <mergeCell ref="A1:Z1"/>
    <mergeCell ref="A2:Z2"/>
  </mergeCells>
  <dataValidations count="2">
    <dataValidation sqref="J5:J405" showDropDown="0" showInputMessage="0" showErrorMessage="0" allowBlank="1" type="list">
      <formula1>"Pass,Fail"</formula1>
    </dataValidation>
    <dataValidation sqref="L5:X405" showDropDown="0" showInputMessage="0" showErrorMessage="0" allowBlank="1" type="list">
      <formula1>"1"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2" customWidth="1" min="3" max="3"/>
    <col width="9" customWidth="1" min="4" max="4"/>
    <col width="30" customWidth="1" min="5" max="5"/>
    <col width="18" customWidth="1" min="6" max="6"/>
    <col width="16" customWidth="1" min="7" max="7"/>
    <col width="38" customWidth="1" min="8" max="8"/>
    <col width="42" customWidth="1" min="9" max="9"/>
    <col width="30" customWidth="1" min="10" max="10"/>
  </cols>
  <sheetData>
    <row r="1" ht="30" customHeight="1">
      <c r="A1" s="1" t="inlineStr">
        <is>
          <t>DEFECT TAXONOMY &amp; ROOT-CAUSE MAP</t>
        </is>
      </c>
    </row>
    <row r="2" ht="18" customHeight="1">
      <c r="A2" s="2" t="inlineStr">
        <is>
          <t>The controlled vocabulary. Every scrap reason maps to a code here — the point where a defect is traced back to the supplier's process.</t>
        </is>
      </c>
    </row>
    <row r="4" ht="30" customHeight="1">
      <c r="A4" s="6" t="inlineStr">
        <is>
          <t>Code</t>
        </is>
      </c>
      <c r="B4" s="6" t="inlineStr">
        <is>
          <t>Defect Mode</t>
        </is>
      </c>
      <c r="C4" s="6" t="inlineStr">
        <is>
          <t>Definition</t>
        </is>
      </c>
      <c r="D4" s="6" t="inlineStr">
        <is>
          <t>Severity</t>
        </is>
      </c>
      <c r="E4" s="6" t="inlineStr">
        <is>
          <t>Likely Process Step (where it's born)</t>
        </is>
      </c>
      <c r="F4" s="6" t="inlineStr">
        <is>
          <t>Supplier Station</t>
        </is>
      </c>
      <c r="G4" s="6" t="inlineStr">
        <is>
          <t>Root-Cause Category (6M)</t>
        </is>
      </c>
      <c r="H4" s="6" t="inlineStr">
        <is>
          <t>Likely Mechanism</t>
        </is>
      </c>
      <c r="I4" s="6" t="inlineStr">
        <is>
          <t>Recommended Corrective Action (to supplier)</t>
        </is>
      </c>
      <c r="J4" s="6" t="inlineStr">
        <is>
          <t>Lessons Learned  (fill in over time)</t>
        </is>
      </c>
    </row>
    <row r="5" ht="46" customHeight="1">
      <c r="A5" s="16" t="inlineStr">
        <is>
          <t>D1</t>
        </is>
      </c>
      <c r="B5" s="9" t="inlineStr">
        <is>
          <t>Ureters not embedded</t>
        </is>
      </c>
      <c r="C5" s="9" t="inlineStr">
        <is>
          <t>Ureter(s) dislodged/stripped from the surrounding pelvic fat &amp; fascia; no longer seated in tissue.</t>
        </is>
      </c>
      <c r="D5" s="17" t="inlineStr">
        <is>
          <t>Major</t>
        </is>
      </c>
      <c r="E5" s="9" t="inlineStr">
        <is>
          <t>Gut/pluck removal (traction) + pit handling</t>
        </is>
      </c>
      <c r="F5" s="7" t="inlineStr">
        <is>
          <t>S3 Evisceration</t>
        </is>
      </c>
      <c r="G5" s="9" t="inlineStr">
        <is>
          <t>Method / Handling</t>
        </is>
      </c>
      <c r="H5" s="9" t="inlineStr">
        <is>
          <t>Tensile traction: block pulled/stripped so fascia separates from ureter; over-trim.</t>
        </is>
      </c>
      <c r="I5" s="9" t="inlineStr">
        <is>
          <t>Standardize gut-pull technique &amp; pull-force; reduce stripping of perirenal fat; gentler drop to pit.</t>
        </is>
      </c>
      <c r="J5" s="18" t="inlineStr"/>
    </row>
    <row r="6" ht="46" customHeight="1">
      <c r="A6" s="16" t="inlineStr">
        <is>
          <t>D2</t>
        </is>
      </c>
      <c r="B6" s="9" t="inlineStr">
        <is>
          <t>Ureter cut / severed</t>
        </is>
      </c>
      <c r="C6" s="9" t="inlineStr">
        <is>
          <t>Ureter partially or fully transected / cut off (sharp cut edge).</t>
        </is>
      </c>
      <c r="D6" s="17" t="inlineStr">
        <is>
          <t>Major</t>
        </is>
      </c>
      <c r="E6" s="9" t="inlineStr">
        <is>
          <t>Evisceration knife / splitting saw</t>
        </is>
      </c>
      <c r="F6" s="7" t="inlineStr">
        <is>
          <t>S3 Evisceration</t>
        </is>
      </c>
      <c r="G6" s="9" t="inlineStr">
        <is>
          <t>Machine / Method</t>
        </is>
      </c>
      <c r="H6" s="9" t="inlineStr">
        <is>
          <t>Sharp laceration by evisceration knife or off-line pelvic saw path.</t>
        </is>
      </c>
      <c r="I6" s="9" t="inlineStr">
        <is>
          <t>Retrain knife path around pelvic organs; verify saw alignment through symphysis.</t>
        </is>
      </c>
      <c r="J6" s="18" t="inlineStr"/>
    </row>
    <row r="7" ht="46" customHeight="1">
      <c r="A7" s="16" t="inlineStr">
        <is>
          <t>D3</t>
        </is>
      </c>
      <c r="B7" s="9" t="inlineStr">
        <is>
          <t>Ureter missing</t>
        </is>
      </c>
      <c r="C7" s="9" t="inlineStr">
        <is>
          <t>One ureter (left or right) absent from the block.</t>
        </is>
      </c>
      <c r="D7" s="17" t="inlineStr">
        <is>
          <t>Major</t>
        </is>
      </c>
      <c r="E7" s="9" t="inlineStr">
        <is>
          <t>Bung dropping / splitting (over-cut) or lost in handling</t>
        </is>
      </c>
      <c r="F7" s="7" t="inlineStr">
        <is>
          <t>S2 Bung dropping</t>
        </is>
      </c>
      <c r="G7" s="9" t="inlineStr">
        <is>
          <t>Method / Handling</t>
        </is>
      </c>
      <c r="H7" s="9" t="inlineStr">
        <is>
          <t>Over-aggressive bung/pelvic cut removes ureter, or ureter lost during drop/collection.</t>
        </is>
      </c>
      <c r="I7" s="9" t="inlineStr">
        <is>
          <t>Tighten bung-dropping cut boundary; audit pit collection for detached tissue.</t>
        </is>
      </c>
      <c r="J7" s="18" t="inlineStr"/>
    </row>
    <row r="8" ht="46" customHeight="1">
      <c r="A8" s="16" t="inlineStr">
        <is>
          <t>D4</t>
        </is>
      </c>
      <c r="B8" s="9" t="inlineStr">
        <is>
          <t>Suspensory ligaments damaged</t>
        </is>
      </c>
      <c r="C8" s="9" t="inlineStr">
        <is>
          <t>Suspensory ligament(s) torn/frayed or holed (incl. bladder suspensory ligament).</t>
        </is>
      </c>
      <c r="D8" s="17" t="inlineStr">
        <is>
          <t>Major</t>
        </is>
      </c>
      <c r="E8" s="9" t="inlineStr">
        <is>
          <t>Gut pull (traction) + handling</t>
        </is>
      </c>
      <c r="F8" s="7" t="inlineStr">
        <is>
          <t>S3 Evisceration</t>
        </is>
      </c>
      <c r="G8" s="9" t="inlineStr">
        <is>
          <t>Method / Handling</t>
        </is>
      </c>
      <c r="H8" s="9" t="inlineStr">
        <is>
          <t>Excessive pull force / rough handling tears ligament attachments.</t>
        </is>
      </c>
      <c r="I8" s="9" t="inlineStr">
        <is>
          <t>Control pull-force &amp; angle on gut set removal; handle block by support surface, not by ligaments.</t>
        </is>
      </c>
      <c r="J8" s="18" t="inlineStr"/>
    </row>
    <row r="9" ht="46" customHeight="1">
      <c r="A9" s="16" t="inlineStr">
        <is>
          <t>D5</t>
        </is>
      </c>
      <c r="B9" s="9" t="inlineStr">
        <is>
          <t>Urethra breach (cut / laceration / hole / separation)</t>
        </is>
      </c>
      <c r="C9" s="9" t="inlineStr">
        <is>
          <t>Urethra transected, lacerated, perforated or separated (incl. hole in distal urethra).</t>
        </is>
      </c>
      <c r="D9" s="17" t="inlineStr">
        <is>
          <t>Major</t>
        </is>
      </c>
      <c r="E9" s="9" t="inlineStr">
        <is>
          <t>Carcass splitting saw / bung dropping</t>
        </is>
      </c>
      <c r="F9" s="7" t="inlineStr">
        <is>
          <t>S4 Carcass splitting</t>
        </is>
      </c>
      <c r="G9" s="9" t="inlineStr">
        <is>
          <t>Machine / Method</t>
        </is>
      </c>
      <c r="H9" s="9" t="inlineStr">
        <is>
          <t>Splitting saw off-center through pelvis, or bung-drop cut catches/perforates urethra.</t>
        </is>
      </c>
      <c r="I9" s="9" t="inlineStr">
        <is>
          <t>Center pelvic split on symphysis; calibrate/align splitting saw; slow through pelvic zone.</t>
        </is>
      </c>
      <c r="J9" s="18" t="inlineStr"/>
    </row>
    <row r="10" ht="46" customHeight="1">
      <c r="A10" s="16" t="inlineStr">
        <is>
          <t>D6</t>
        </is>
      </c>
      <c r="B10" s="9" t="inlineStr">
        <is>
          <t>Membrane damage in critical area</t>
        </is>
      </c>
      <c r="C10" s="9" t="inlineStr">
        <is>
          <t>Hole/tear in the mesentery membrane separating bowel from pelvic organs, in the critical zone (&gt;1.5").</t>
        </is>
      </c>
      <c r="D10" s="8" t="inlineStr">
        <is>
          <t>Critical</t>
        </is>
      </c>
      <c r="E10" s="9" t="inlineStr">
        <is>
          <t>Evisceration knife technique / bung dropping</t>
        </is>
      </c>
      <c r="F10" s="7" t="inlineStr">
        <is>
          <t>S3 Evisceration</t>
        </is>
      </c>
      <c r="G10" s="9" t="inlineStr">
        <is>
          <t>Method / Man</t>
        </is>
      </c>
      <c r="H10" s="9" t="inlineStr">
        <is>
          <t>Knife nick or tensile tear of membrane during gut removal / bung loosening.</t>
        </is>
      </c>
      <c r="I10" s="9" t="inlineStr">
        <is>
          <t>Retrain evisceration knife depth &amp; path; slow line in pelvic zone; blunt-dissect where possible.</t>
        </is>
      </c>
      <c r="J10" s="18" t="inlineStr"/>
    </row>
    <row r="11" ht="46" customHeight="1">
      <c r="A11" s="16" t="inlineStr">
        <is>
          <t>D7</t>
        </is>
      </c>
      <c r="B11" s="9" t="inlineStr">
        <is>
          <t>Bladder deformed / deformed attachment</t>
        </is>
      </c>
      <c r="C11" s="9" t="inlineStr">
        <is>
          <t>Bladder misshapen or attachment distorted.</t>
        </is>
      </c>
      <c r="D11" s="19" t="inlineStr">
        <is>
          <t>Minor</t>
        </is>
      </c>
      <c r="E11" s="9" t="inlineStr">
        <is>
          <t>Live-animal fill state / handling pressure</t>
        </is>
      </c>
      <c r="F11" s="7" t="inlineStr">
        <is>
          <t>S6 Live / physiology</t>
        </is>
      </c>
      <c r="G11" s="9" t="inlineStr">
        <is>
          <t>Material / Handling</t>
        </is>
      </c>
      <c r="H11" s="9" t="inlineStr">
        <is>
          <t>Distended (full) bladder at slaughter, or compression during handling.</t>
        </is>
      </c>
      <c r="I11" s="9" t="inlineStr">
        <is>
          <t>Manage lairage/feed-water timing to reduce bladder fill; avoid compressing block.</t>
        </is>
      </c>
      <c r="J11" s="18" t="inlineStr"/>
    </row>
    <row r="12" ht="46" customHeight="1">
      <c r="A12" s="16" t="inlineStr">
        <is>
          <t>D8</t>
        </is>
      </c>
      <c r="B12" s="9" t="inlineStr">
        <is>
          <t>Bowel / colon / rectum breach</t>
        </is>
      </c>
      <c r="C12" s="9" t="inlineStr">
        <is>
          <t>Bowel integrity breached - cut, hole, or separation of colon/rectum. FOOD-SAFETY / contamination risk.</t>
        </is>
      </c>
      <c r="D12" s="8" t="inlineStr">
        <is>
          <t>Critical</t>
        </is>
      </c>
      <c r="E12" s="9" t="inlineStr">
        <is>
          <t>Evisceration / bung dropping</t>
        </is>
      </c>
      <c r="F12" s="7" t="inlineStr">
        <is>
          <t>S3 Evisceration</t>
        </is>
      </c>
      <c r="G12" s="9" t="inlineStr">
        <is>
          <t>Method / Man</t>
        </is>
      </c>
      <c r="H12" s="9" t="inlineStr">
        <is>
          <t>Knife slip or aggressive bung separation opens/severs colon or rectum.</t>
        </is>
      </c>
      <c r="I12" s="9" t="inlineStr">
        <is>
          <t>Reinforce bung-bagging/tie-off; retrain knife path; treat as contamination CCP at supplier.</t>
        </is>
      </c>
      <c r="J12" s="18" t="inlineStr"/>
    </row>
    <row r="13" ht="46" customHeight="1">
      <c r="A13" s="16" t="inlineStr">
        <is>
          <t>D9</t>
        </is>
      </c>
      <c r="B13" s="9" t="inlineStr">
        <is>
          <t>Blood clots</t>
        </is>
      </c>
      <c r="C13" s="9" t="inlineStr">
        <is>
          <t>Retained blood clots in the tissue block.</t>
        </is>
      </c>
      <c r="D13" s="19" t="inlineStr">
        <is>
          <t>Minor</t>
        </is>
      </c>
      <c r="E13" s="9" t="inlineStr">
        <is>
          <t>Sticking / bleeding efficiency</t>
        </is>
      </c>
      <c r="F13" s="7" t="inlineStr">
        <is>
          <t>S1 Sticking / Bleeding</t>
        </is>
      </c>
      <c r="G13" s="9" t="inlineStr">
        <is>
          <t>Method</t>
        </is>
      </c>
      <c r="H13" s="9" t="inlineStr">
        <is>
          <t>Incomplete exsanguination (stick placement / stun-to-stick interval / bleed time).</t>
        </is>
      </c>
      <c r="I13" s="9" t="inlineStr">
        <is>
          <t>Verify stick placement &amp; bleed-out time; check stun-to-stick interval.</t>
        </is>
      </c>
      <c r="J13" s="18" t="inlineStr"/>
    </row>
    <row r="14" ht="46" customHeight="1">
      <c r="A14" s="16" t="inlineStr">
        <is>
          <t>D10</t>
        </is>
      </c>
      <c r="B14" s="9" t="inlineStr">
        <is>
          <t>Broad ligament hole / tear</t>
        </is>
      </c>
      <c r="C14" s="9" t="inlineStr">
        <is>
          <t>Large hole/tear in the broad ligament.</t>
        </is>
      </c>
      <c r="D14" s="17" t="inlineStr">
        <is>
          <t>Major</t>
        </is>
      </c>
      <c r="E14" s="9" t="inlineStr">
        <is>
          <t>Evisceration / bung dropping</t>
        </is>
      </c>
      <c r="F14" s="7" t="inlineStr">
        <is>
          <t>S3 Evisceration</t>
        </is>
      </c>
      <c r="G14" s="9" t="inlineStr">
        <is>
          <t>Method / Handling</t>
        </is>
      </c>
      <c r="H14" s="9" t="inlineStr">
        <is>
          <t>Traction tear or knife nick near broad ligament during gut removal.</t>
        </is>
      </c>
      <c r="I14" s="9" t="inlineStr">
        <is>
          <t>Control pull-force; retrain knife path near broad ligament.</t>
        </is>
      </c>
      <c r="J14" s="18" t="inlineStr"/>
    </row>
    <row r="15" ht="46" customHeight="1">
      <c r="A15" s="16" t="inlineStr">
        <is>
          <t>D11</t>
        </is>
      </c>
      <c r="B15" s="9" t="inlineStr">
        <is>
          <t>Bladder neck separation</t>
        </is>
      </c>
      <c r="C15" s="9" t="inlineStr">
        <is>
          <t>Bladder detached/separated at the neck (bladder-urethra junction at the pelvic floor).</t>
        </is>
      </c>
      <c r="D15" s="17" t="inlineStr">
        <is>
          <t>Major</t>
        </is>
      </c>
      <c r="E15" s="9" t="inlineStr">
        <is>
          <t>Carcass splitting saw / pelvic outlet cut</t>
        </is>
      </c>
      <c r="F15" s="7" t="inlineStr">
        <is>
          <t>S4 Carcass splitting</t>
        </is>
      </c>
      <c r="G15" s="9" t="inlineStr">
        <is>
          <t>Machine / Method</t>
        </is>
      </c>
      <c r="H15" s="9" t="inlineStr">
        <is>
          <t>Saw path or traction at the pelvic floor separates the bladder neck from the urethra.</t>
        </is>
      </c>
      <c r="I15" s="9" t="inlineStr">
        <is>
          <t>Center pelvic split; protect bladder neck at the pelvic outlet; control traction.</t>
        </is>
      </c>
      <c r="J15" s="18" t="inlineStr"/>
    </row>
    <row r="16" ht="46" customHeight="1">
      <c r="A16" s="16" t="inlineStr">
        <is>
          <t>D12</t>
        </is>
      </c>
      <c r="B16" s="9" t="inlineStr">
        <is>
          <t>Bladder cut / hole (breach)</t>
        </is>
      </c>
      <c r="C16" s="9" t="inlineStr">
        <is>
          <t>Bladder wall cut open or holed. Urine-contamination risk. Distinct from D7 (deformed) &amp; D11 (neck separation).</t>
        </is>
      </c>
      <c r="D16" s="17" t="inlineStr">
        <is>
          <t>Major</t>
        </is>
      </c>
      <c r="E16" s="9" t="inlineStr">
        <is>
          <t>Evisceration knife / splitting saw</t>
        </is>
      </c>
      <c r="F16" s="7" t="inlineStr">
        <is>
          <t>S3 Evisceration</t>
        </is>
      </c>
      <c r="G16" s="9" t="inlineStr">
        <is>
          <t>Machine / Method</t>
        </is>
      </c>
      <c r="H16" s="9" t="inlineStr">
        <is>
          <t>Knife nick or saw path opens the bladder; or over-distended bladder ruptures under handling.</t>
        </is>
      </c>
      <c r="I16" s="9" t="inlineStr">
        <is>
          <t>Protect bladder during gut removal; verify saw path; manage bladder fill (lairage/water timing).</t>
        </is>
      </c>
      <c r="J16" s="18" t="inlineStr"/>
    </row>
    <row r="17" ht="46" customHeight="1">
      <c r="A17" s="16" t="inlineStr">
        <is>
          <t>D13</t>
        </is>
      </c>
      <c r="B17" s="9" t="inlineStr">
        <is>
          <t>Block too short / undersized</t>
        </is>
      </c>
      <c r="C17" s="9" t="inlineStr">
        <is>
          <t>Harvested pelvic block dimensionally too short / fails the length template (insufficient tissue retained).</t>
        </is>
      </c>
      <c r="D17" s="17" t="inlineStr">
        <is>
          <t>Major</t>
        </is>
      </c>
      <c r="E17" s="9" t="inlineStr">
        <is>
          <t>Pelvic-block separation cut (cut-boundary placement)</t>
        </is>
      </c>
      <c r="F17" s="7" t="inlineStr">
        <is>
          <t>S3 Evisceration</t>
        </is>
      </c>
      <c r="G17" s="9" t="inlineStr">
        <is>
          <t>Method / Man</t>
        </is>
      </c>
      <c r="H17" s="9" t="inlineStr">
        <is>
          <t>Separation cut placed too close; insufficient block length retained vs template/spec.</t>
        </is>
      </c>
      <c r="I17" s="9" t="inlineStr">
        <is>
          <t>Define &amp; train pelvic-block cut boundaries / minimum length; cut to template; provide a length gauge.</t>
        </is>
      </c>
      <c r="J17" s="18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13" customWidth="1" min="4" max="4"/>
    <col width="26" customWidth="1" min="5" max="5"/>
    <col width="10" customWidth="1" min="6" max="6"/>
  </cols>
  <sheetData>
    <row r="1" ht="30" customHeight="1">
      <c r="A1" s="1" t="inlineStr">
        <is>
          <t>PARETO — DEFECT FREQUENCY &amp; SUPPLIER-STATION ROLLUP</t>
        </is>
      </c>
    </row>
    <row r="2" ht="18" customHeight="1">
      <c r="A2" s="2" t="inlineStr">
        <is>
          <t>Counts pull live from the Inspection Log (all batches). Fix the 'vital few' (cumulative line to ~80%) first. Re-sort high-&gt;low if ranking changes.</t>
        </is>
      </c>
    </row>
    <row r="4">
      <c r="A4" s="20" t="inlineStr">
        <is>
          <t>A.  DEFECT PARETO  (by occurrence across all inspected blocks, all batches)</t>
        </is>
      </c>
    </row>
    <row r="5" ht="24" customHeight="1">
      <c r="A5" s="6" t="inlineStr">
        <is>
          <t>Rank</t>
        </is>
      </c>
      <c r="B5" s="6" t="inlineStr">
        <is>
          <t>Code</t>
        </is>
      </c>
      <c r="C5" s="6" t="inlineStr">
        <is>
          <t>Defect Mode</t>
        </is>
      </c>
      <c r="D5" s="6" t="inlineStr">
        <is>
          <t>Count</t>
        </is>
      </c>
      <c r="E5" s="6" t="inlineStr">
        <is>
          <t>% of Total</t>
        </is>
      </c>
      <c r="F5" s="6" t="inlineStr">
        <is>
          <t>Cumulative %</t>
        </is>
      </c>
      <c r="M5" s="21" t="n"/>
      <c r="N5" t="inlineStr">
        <is>
          <t>80% target</t>
        </is>
      </c>
    </row>
    <row r="6">
      <c r="A6" s="22" t="n">
        <v>1</v>
      </c>
      <c r="B6" s="23" t="inlineStr">
        <is>
          <t>D6</t>
        </is>
      </c>
      <c r="C6" s="24" t="inlineStr">
        <is>
          <t>Membrane damage in critical area</t>
        </is>
      </c>
      <c r="D6" s="12">
        <f>SUM('Inspection Log'!Q5:Q503)</f>
        <v/>
      </c>
      <c r="E6" s="25">
        <f>D6/SUM('Inspection Log'!L5:X503)</f>
        <v/>
      </c>
      <c r="F6" s="25">
        <f>E6</f>
        <v/>
      </c>
      <c r="M6" t="inlineStr">
        <is>
          <t>D6 · Membrane dmg</t>
        </is>
      </c>
      <c r="N6" t="n">
        <v>0.8</v>
      </c>
    </row>
    <row r="7">
      <c r="A7" s="22" t="n">
        <v>2</v>
      </c>
      <c r="B7" s="23" t="inlineStr">
        <is>
          <t>D1</t>
        </is>
      </c>
      <c r="C7" s="24" t="inlineStr">
        <is>
          <t>Ureters not embedded</t>
        </is>
      </c>
      <c r="D7" s="12">
        <f>SUM('Inspection Log'!L5:L503)</f>
        <v/>
      </c>
      <c r="E7" s="25">
        <f>D7/SUM('Inspection Log'!L5:X503)</f>
        <v/>
      </c>
      <c r="F7" s="25">
        <f>F6+E7</f>
        <v/>
      </c>
      <c r="M7" t="inlineStr">
        <is>
          <t>D1 · Ureters n/e</t>
        </is>
      </c>
      <c r="N7" t="n">
        <v>0.8</v>
      </c>
    </row>
    <row r="8">
      <c r="A8" s="22" t="n">
        <v>3</v>
      </c>
      <c r="B8" s="23" t="inlineStr">
        <is>
          <t>D5</t>
        </is>
      </c>
      <c r="C8" s="24" t="inlineStr">
        <is>
          <t>Urethra breach (cut / laceration / hole / separation)</t>
        </is>
      </c>
      <c r="D8" s="12">
        <f>SUM('Inspection Log'!P5:P503)</f>
        <v/>
      </c>
      <c r="E8" s="25">
        <f>D8/SUM('Inspection Log'!L5:X503)</f>
        <v/>
      </c>
      <c r="F8" s="25">
        <f>F7+E8</f>
        <v/>
      </c>
      <c r="M8" t="inlineStr">
        <is>
          <t>D5 · Urethra breach</t>
        </is>
      </c>
      <c r="N8" t="n">
        <v>0.8</v>
      </c>
    </row>
    <row r="9">
      <c r="A9" s="22" t="n">
        <v>4</v>
      </c>
      <c r="B9" s="23" t="inlineStr">
        <is>
          <t>D8</t>
        </is>
      </c>
      <c r="C9" s="24" t="inlineStr">
        <is>
          <t>Bowel / colon / rectum breach</t>
        </is>
      </c>
      <c r="D9" s="12">
        <f>SUM('Inspection Log'!S5:S503)</f>
        <v/>
      </c>
      <c r="E9" s="25">
        <f>D9/SUM('Inspection Log'!L5:X503)</f>
        <v/>
      </c>
      <c r="F9" s="25">
        <f>F8+E9</f>
        <v/>
      </c>
      <c r="M9" t="inlineStr">
        <is>
          <t>D8 · Bowel/colon</t>
        </is>
      </c>
      <c r="N9" t="n">
        <v>0.8</v>
      </c>
    </row>
    <row r="10">
      <c r="A10" s="22" t="n">
        <v>5</v>
      </c>
      <c r="B10" s="23" t="inlineStr">
        <is>
          <t>D4</t>
        </is>
      </c>
      <c r="C10" s="24" t="inlineStr">
        <is>
          <t>Suspensory ligaments damaged</t>
        </is>
      </c>
      <c r="D10" s="12">
        <f>SUM('Inspection Log'!O5:O503)</f>
        <v/>
      </c>
      <c r="E10" s="25">
        <f>D10/SUM('Inspection Log'!L5:X503)</f>
        <v/>
      </c>
      <c r="F10" s="25">
        <f>F9+E10</f>
        <v/>
      </c>
      <c r="M10" t="inlineStr">
        <is>
          <t>D4 · Susp. ligament</t>
        </is>
      </c>
      <c r="N10" t="n">
        <v>0.8</v>
      </c>
    </row>
    <row r="11">
      <c r="A11" s="22" t="n">
        <v>6</v>
      </c>
      <c r="B11" s="23" t="inlineStr">
        <is>
          <t>D2</t>
        </is>
      </c>
      <c r="C11" s="26" t="inlineStr">
        <is>
          <t>Ureter cut / severed</t>
        </is>
      </c>
      <c r="D11" s="12">
        <f>SUM('Inspection Log'!M5:M503)</f>
        <v/>
      </c>
      <c r="E11" s="25">
        <f>D11/SUM('Inspection Log'!L5:X503)</f>
        <v/>
      </c>
      <c r="F11" s="25">
        <f>F10+E11</f>
        <v/>
      </c>
      <c r="M11" t="inlineStr">
        <is>
          <t>D2 · Ureter cut</t>
        </is>
      </c>
      <c r="N11" t="n">
        <v>0.8</v>
      </c>
    </row>
    <row r="12">
      <c r="A12" s="22" t="n">
        <v>7</v>
      </c>
      <c r="B12" s="23" t="inlineStr">
        <is>
          <t>D13</t>
        </is>
      </c>
      <c r="C12" s="26" t="inlineStr">
        <is>
          <t>Block too short / undersized</t>
        </is>
      </c>
      <c r="D12" s="12">
        <f>SUM('Inspection Log'!X5:X503)</f>
        <v/>
      </c>
      <c r="E12" s="25">
        <f>D12/SUM('Inspection Log'!L5:X503)</f>
        <v/>
      </c>
      <c r="F12" s="25">
        <f>F11+E12</f>
        <v/>
      </c>
      <c r="M12" t="inlineStr">
        <is>
          <t>D13 · Block too short</t>
        </is>
      </c>
      <c r="N12" t="n">
        <v>0.8</v>
      </c>
    </row>
    <row r="13">
      <c r="A13" s="22" t="n">
        <v>8</v>
      </c>
      <c r="B13" s="23" t="inlineStr">
        <is>
          <t>D12</t>
        </is>
      </c>
      <c r="C13" s="26" t="inlineStr">
        <is>
          <t>Bladder cut / hole (breach)</t>
        </is>
      </c>
      <c r="D13" s="12">
        <f>SUM('Inspection Log'!W5:W503)</f>
        <v/>
      </c>
      <c r="E13" s="25">
        <f>D13/SUM('Inspection Log'!L5:X503)</f>
        <v/>
      </c>
      <c r="F13" s="25">
        <f>F12+E13</f>
        <v/>
      </c>
      <c r="M13" t="inlineStr">
        <is>
          <t>D12 · Bladder breach</t>
        </is>
      </c>
      <c r="N13" t="n">
        <v>0.8</v>
      </c>
    </row>
    <row r="14">
      <c r="A14" s="22" t="n">
        <v>9</v>
      </c>
      <c r="B14" s="23" t="inlineStr">
        <is>
          <t>D3</t>
        </is>
      </c>
      <c r="C14" s="26" t="inlineStr">
        <is>
          <t>Ureter missing</t>
        </is>
      </c>
      <c r="D14" s="12">
        <f>SUM('Inspection Log'!N5:N503)</f>
        <v/>
      </c>
      <c r="E14" s="25">
        <f>D14/SUM('Inspection Log'!L5:X503)</f>
        <v/>
      </c>
      <c r="F14" s="25">
        <f>F13+E14</f>
        <v/>
      </c>
      <c r="M14" t="inlineStr">
        <is>
          <t>D3 · Ureter missing</t>
        </is>
      </c>
      <c r="N14" t="n">
        <v>0.8</v>
      </c>
    </row>
    <row r="15">
      <c r="A15" s="22" t="n">
        <v>10</v>
      </c>
      <c r="B15" s="23" t="inlineStr">
        <is>
          <t>D7</t>
        </is>
      </c>
      <c r="C15" s="26" t="inlineStr">
        <is>
          <t>Bladder deformed / deformed attachment</t>
        </is>
      </c>
      <c r="D15" s="12">
        <f>SUM('Inspection Log'!R5:R503)</f>
        <v/>
      </c>
      <c r="E15" s="25">
        <f>D15/SUM('Inspection Log'!L5:X503)</f>
        <v/>
      </c>
      <c r="F15" s="25">
        <f>F14+E15</f>
        <v/>
      </c>
      <c r="M15" t="inlineStr">
        <is>
          <t>D7 · Bladder def.</t>
        </is>
      </c>
      <c r="N15" t="n">
        <v>0.8</v>
      </c>
    </row>
    <row r="16">
      <c r="A16" s="22" t="n">
        <v>11</v>
      </c>
      <c r="B16" s="23" t="inlineStr">
        <is>
          <t>D9</t>
        </is>
      </c>
      <c r="C16" s="26" t="inlineStr">
        <is>
          <t>Blood clots</t>
        </is>
      </c>
      <c r="D16" s="12">
        <f>SUM('Inspection Log'!T5:T503)</f>
        <v/>
      </c>
      <c r="E16" s="25">
        <f>D16/SUM('Inspection Log'!L5:X503)</f>
        <v/>
      </c>
      <c r="F16" s="25">
        <f>F15+E16</f>
        <v/>
      </c>
      <c r="M16" t="inlineStr">
        <is>
          <t>D9 · Blood clots</t>
        </is>
      </c>
      <c r="N16" t="n">
        <v>0.8</v>
      </c>
    </row>
    <row r="17">
      <c r="A17" s="22" t="n">
        <v>12</v>
      </c>
      <c r="B17" s="23" t="inlineStr">
        <is>
          <t>D10</t>
        </is>
      </c>
      <c r="C17" s="26" t="inlineStr">
        <is>
          <t>Broad ligament hole / tear</t>
        </is>
      </c>
      <c r="D17" s="12">
        <f>SUM('Inspection Log'!U5:U503)</f>
        <v/>
      </c>
      <c r="E17" s="25">
        <f>D17/SUM('Inspection Log'!L5:X503)</f>
        <v/>
      </c>
      <c r="F17" s="25">
        <f>F16+E17</f>
        <v/>
      </c>
      <c r="M17" t="inlineStr">
        <is>
          <t>D10 · Broad ligament</t>
        </is>
      </c>
      <c r="N17" t="n">
        <v>0.8</v>
      </c>
    </row>
    <row r="18">
      <c r="A18" s="22" t="n">
        <v>13</v>
      </c>
      <c r="B18" s="23" t="inlineStr">
        <is>
          <t>D11</t>
        </is>
      </c>
      <c r="C18" s="26" t="inlineStr">
        <is>
          <t>Bladder neck separation</t>
        </is>
      </c>
      <c r="D18" s="12">
        <f>SUM('Inspection Log'!V5:V503)</f>
        <v/>
      </c>
      <c r="E18" s="25">
        <f>D18/SUM('Inspection Log'!L5:X503)</f>
        <v/>
      </c>
      <c r="F18" s="25">
        <f>F17+E18</f>
        <v/>
      </c>
      <c r="M18" t="inlineStr">
        <is>
          <t>D11 · Bladder neck sep.</t>
        </is>
      </c>
      <c r="N18" t="n">
        <v>0.8</v>
      </c>
    </row>
    <row r="19">
      <c r="A19" s="27" t="n"/>
      <c r="B19" s="27" t="n"/>
      <c r="C19" s="28" t="inlineStr">
        <is>
          <t>TOTAL</t>
        </is>
      </c>
      <c r="D19" s="29">
        <f>SUM(D6:D18)</f>
        <v/>
      </c>
      <c r="E19" s="30">
        <f>D19/SUM('Inspection Log'!L5:X503)</f>
        <v/>
      </c>
      <c r="F19" s="27" t="n"/>
    </row>
    <row r="22">
      <c r="A22" s="20" t="inlineStr">
        <is>
          <t>B.  ROLLUP BY SUPPLIER STATION  (which station to fix first)</t>
        </is>
      </c>
    </row>
    <row r="23" ht="24" customHeight="1">
      <c r="A23" s="6" t="inlineStr">
        <is>
          <t>Station</t>
        </is>
      </c>
      <c r="B23" s="6" t="inlineStr">
        <is>
          <t>Station Name</t>
        </is>
      </c>
      <c r="C23" s="6" t="inlineStr">
        <is>
          <t>Defect Count</t>
        </is>
      </c>
      <c r="D23" s="6" t="inlineStr">
        <is>
          <t>% of Total</t>
        </is>
      </c>
      <c r="E23" s="6" t="inlineStr">
        <is>
          <t>Defect Codes</t>
        </is>
      </c>
    </row>
    <row r="24">
      <c r="A24" s="31" t="inlineStr">
        <is>
          <t>S3</t>
        </is>
      </c>
      <c r="B24" s="32" t="inlineStr">
        <is>
          <t>Evisceration</t>
        </is>
      </c>
      <c r="C24" s="33">
        <f>SUM('Inspection Log'!L5:L503)+SUM('Inspection Log'!M5:M503)+SUM('Inspection Log'!O5:O503)+SUM('Inspection Log'!Q5:Q503)+SUM('Inspection Log'!S5:S503)+SUM('Inspection Log'!U5:U503)+SUM('Inspection Log'!W5:W503)+SUM('Inspection Log'!X5:X503)</f>
        <v/>
      </c>
      <c r="D24" s="34">
        <f>C24/SUM('Inspection Log'!L5:X503)</f>
        <v/>
      </c>
      <c r="E24" s="32" t="inlineStr">
        <is>
          <t>D1, D2, D4, D6, D8, D10, D12, D13</t>
        </is>
      </c>
    </row>
    <row r="25">
      <c r="A25" s="23" t="inlineStr">
        <is>
          <t>S4</t>
        </is>
      </c>
      <c r="B25" s="26" t="inlineStr">
        <is>
          <t>Carcass splitting</t>
        </is>
      </c>
      <c r="C25" s="12">
        <f>SUM('Inspection Log'!P5:P503)+SUM('Inspection Log'!V5:V503)</f>
        <v/>
      </c>
      <c r="D25" s="25">
        <f>C25/SUM('Inspection Log'!L5:X503)</f>
        <v/>
      </c>
      <c r="E25" s="26" t="inlineStr">
        <is>
          <t>D5, D11</t>
        </is>
      </c>
    </row>
    <row r="26">
      <c r="A26" s="23" t="inlineStr">
        <is>
          <t>S2</t>
        </is>
      </c>
      <c r="B26" s="26" t="inlineStr">
        <is>
          <t>Bung dropping</t>
        </is>
      </c>
      <c r="C26" s="12">
        <f>SUM('Inspection Log'!N5:N503)</f>
        <v/>
      </c>
      <c r="D26" s="25">
        <f>C26/SUM('Inspection Log'!L5:X503)</f>
        <v/>
      </c>
      <c r="E26" s="26" t="inlineStr">
        <is>
          <t>D3</t>
        </is>
      </c>
    </row>
    <row r="27">
      <c r="A27" s="23" t="inlineStr">
        <is>
          <t>S6</t>
        </is>
      </c>
      <c r="B27" s="26" t="inlineStr">
        <is>
          <t>Live / physiology</t>
        </is>
      </c>
      <c r="C27" s="12">
        <f>SUM('Inspection Log'!R5:R503)</f>
        <v/>
      </c>
      <c r="D27" s="25">
        <f>C27/SUM('Inspection Log'!L5:X503)</f>
        <v/>
      </c>
      <c r="E27" s="26" t="inlineStr">
        <is>
          <t>D7</t>
        </is>
      </c>
    </row>
    <row r="28">
      <c r="A28" s="23" t="inlineStr">
        <is>
          <t>S1</t>
        </is>
      </c>
      <c r="B28" s="26" t="inlineStr">
        <is>
          <t>Sticking / Bleeding</t>
        </is>
      </c>
      <c r="C28" s="12">
        <f>SUM('Inspection Log'!T5:T503)</f>
        <v/>
      </c>
      <c r="D28" s="25">
        <f>C28/SUM('Inspection Log'!L5:X503)</f>
        <v/>
      </c>
      <c r="E28" s="26" t="inlineStr">
        <is>
          <t>D9</t>
        </is>
      </c>
    </row>
  </sheetData>
  <mergeCells count="4">
    <mergeCell ref="A2:F2"/>
    <mergeCell ref="A22:F22"/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22" customWidth="1" min="3" max="3"/>
    <col width="22" customWidth="1" min="4" max="4"/>
    <col width="22" customWidth="1" min="5" max="5"/>
    <col width="20" customWidth="1" min="6" max="6"/>
    <col width="22" customWidth="1" min="7" max="7"/>
    <col width="30" customWidth="1" min="8" max="8"/>
    <col width="16" customWidth="1" min="9" max="9"/>
    <col width="12" customWidth="1" min="10" max="10"/>
    <col width="9" customWidth="1" min="11" max="11"/>
    <col width="26" customWidth="1" min="12" max="12"/>
  </cols>
  <sheetData>
    <row r="1" ht="30" customHeight="1">
      <c r="A1" s="1" t="inlineStr">
        <is>
          <t>ROOT CAUSE — 5-WHY WORKSHEET</t>
        </is>
      </c>
    </row>
    <row r="2" ht="18" customHeight="1">
      <c r="A2" s="2" t="inlineStr">
        <is>
          <t>Seeded with a starting hypothesis chain for the vital-few defects. Drive each to a true root cause with the supplier, then log the countermeasure &amp; lesson.</t>
        </is>
      </c>
    </row>
    <row r="4" ht="26" customHeight="1">
      <c r="A4" s="6" t="inlineStr">
        <is>
          <t>Code</t>
        </is>
      </c>
      <c r="B4" s="6" t="inlineStr">
        <is>
          <t>Defect Mode</t>
        </is>
      </c>
      <c r="C4" s="6" t="inlineStr">
        <is>
          <t>Why 1</t>
        </is>
      </c>
      <c r="D4" s="6" t="inlineStr">
        <is>
          <t>Why 2</t>
        </is>
      </c>
      <c r="E4" s="6" t="inlineStr">
        <is>
          <t>Why 3</t>
        </is>
      </c>
      <c r="F4" s="6" t="inlineStr">
        <is>
          <t>Why 4</t>
        </is>
      </c>
      <c r="G4" s="6" t="inlineStr">
        <is>
          <t>Why 5 (root cause)</t>
        </is>
      </c>
      <c r="H4" s="6" t="inlineStr">
        <is>
          <t>Countermeasure (at supplier)</t>
        </is>
      </c>
      <c r="I4" s="6" t="inlineStr">
        <is>
          <t>Owner</t>
        </is>
      </c>
      <c r="J4" s="6" t="inlineStr">
        <is>
          <t>Target Date</t>
        </is>
      </c>
      <c r="K4" s="6" t="inlineStr">
        <is>
          <t>Status</t>
        </is>
      </c>
      <c r="L4" s="6" t="inlineStr">
        <is>
          <t>Lessons Learned</t>
        </is>
      </c>
    </row>
    <row r="5" ht="60" customHeight="1">
      <c r="A5" s="16" t="inlineStr">
        <is>
          <t>D6</t>
        </is>
      </c>
      <c r="B5" s="35" t="inlineStr">
        <is>
          <t>Membrane damage in critical area</t>
        </is>
      </c>
      <c r="C5" s="13" t="inlineStr">
        <is>
          <t>Membrane torn/holed in critical area (&gt;1.5")</t>
        </is>
      </c>
      <c r="D5" s="13" t="inlineStr">
        <is>
          <t>Knife path too deep / tensile tear during gut pull</t>
        </is>
      </c>
      <c r="E5" s="13" t="inlineStr">
        <is>
          <t>Evisceration technique not standardized for pelvic zone</t>
        </is>
      </c>
      <c r="F5" s="13" t="inlineStr">
        <is>
          <t>No defined knife depth/path SOP + line-speed pressure</t>
        </is>
      </c>
      <c r="G5" s="36" t="inlineStr">
        <is>
          <t>(confirm w/ supplier) training + line-speed control gap</t>
        </is>
      </c>
      <c r="H5" s="37" t="inlineStr">
        <is>
          <t>Retrain knife depth &amp; path in pelvic zone; blunt-dissect; slow line through pelvic cut</t>
        </is>
      </c>
      <c r="I5" s="38" t="inlineStr">
        <is>
          <t>SH Martins - Evisceration lead</t>
        </is>
      </c>
      <c r="J5" s="38" t="inlineStr"/>
      <c r="K5" s="39" t="inlineStr">
        <is>
          <t>Open</t>
        </is>
      </c>
      <c r="L5" s="40" t="inlineStr"/>
    </row>
    <row r="6" ht="60" customHeight="1">
      <c r="A6" s="16" t="inlineStr">
        <is>
          <t>D1</t>
        </is>
      </c>
      <c r="B6" s="35" t="inlineStr">
        <is>
          <t>Ureters not embedded</t>
        </is>
      </c>
      <c r="C6" s="13" t="inlineStr">
        <is>
          <t>Ureters not embedded in tissue</t>
        </is>
      </c>
      <c r="D6" s="13" t="inlineStr">
        <is>
          <t>Fascia/perirenal fat stripped away from ureter</t>
        </is>
      </c>
      <c r="E6" s="13" t="inlineStr">
        <is>
          <t>Excessive pull force / over-trim during gut set removal</t>
        </is>
      </c>
      <c r="F6" s="13" t="inlineStr">
        <is>
          <t>Pull technique &amp; trim spec not controlled</t>
        </is>
      </c>
      <c r="G6" s="36" t="inlineStr">
        <is>
          <t>(confirm) handling standard missing</t>
        </is>
      </c>
      <c r="H6" s="37" t="inlineStr">
        <is>
          <t>Standardize pull-force &amp; angle; limit fat stripping; gentler pit drop</t>
        </is>
      </c>
      <c r="I6" s="38" t="inlineStr">
        <is>
          <t>SH Martins - Evisceration lead</t>
        </is>
      </c>
      <c r="J6" s="38" t="inlineStr"/>
      <c r="K6" s="39" t="inlineStr">
        <is>
          <t>Open</t>
        </is>
      </c>
      <c r="L6" s="40" t="inlineStr"/>
    </row>
    <row r="7" ht="60" customHeight="1">
      <c r="A7" s="16" t="inlineStr">
        <is>
          <t>D5</t>
        </is>
      </c>
      <c r="B7" s="35" t="inlineStr">
        <is>
          <t>Urethra breach (cut / laceration / hole / separation)</t>
        </is>
      </c>
      <c r="C7" s="13" t="inlineStr">
        <is>
          <t>Urethra cut / laceration / hole</t>
        </is>
      </c>
      <c r="D7" s="13" t="inlineStr">
        <is>
          <t>Sharp transection or perforation through pelvic zone</t>
        </is>
      </c>
      <c r="E7" s="13" t="inlineStr">
        <is>
          <t>Splitting saw off-center / bung-drop cut catches urethra</t>
        </is>
      </c>
      <c r="F7" s="13" t="inlineStr">
        <is>
          <t>Saw alignment &amp; pelvic-split centering not verified</t>
        </is>
      </c>
      <c r="G7" s="36" t="inlineStr">
        <is>
          <t>(confirm) saw calibration + technique gap</t>
        </is>
      </c>
      <c r="H7" s="37" t="inlineStr">
        <is>
          <t>Center split on symphysis; calibrate/align saw; slow through pelvic zone</t>
        </is>
      </c>
      <c r="I7" s="38" t="inlineStr">
        <is>
          <t>SH Martins - Splitting lead</t>
        </is>
      </c>
      <c r="J7" s="38" t="inlineStr"/>
      <c r="K7" s="39" t="inlineStr">
        <is>
          <t>Open</t>
        </is>
      </c>
      <c r="L7" s="40" t="inlineStr"/>
    </row>
    <row r="8" ht="60" customHeight="1">
      <c r="A8" s="16" t="inlineStr">
        <is>
          <t>D4</t>
        </is>
      </c>
      <c r="B8" s="35" t="inlineStr">
        <is>
          <t>Suspensory ligaments damaged</t>
        </is>
      </c>
      <c r="C8" s="13" t="inlineStr">
        <is>
          <t>Suspensory ligaments torn/frayed/holed</t>
        </is>
      </c>
      <c r="D8" s="13" t="inlineStr">
        <is>
          <t>Block pulled/handled by the ligaments</t>
        </is>
      </c>
      <c r="E8" s="13" t="inlineStr">
        <is>
          <t>Rough handling + high traction on removal</t>
        </is>
      </c>
      <c r="F8" s="13" t="inlineStr">
        <is>
          <t>No 'support-surface' handling rule</t>
        </is>
      </c>
      <c r="G8" s="36" t="inlineStr">
        <is>
          <t>(confirm) handling standard missing</t>
        </is>
      </c>
      <c r="H8" s="37" t="inlineStr">
        <is>
          <t>Handle block by support surface, not ligaments; control pull force</t>
        </is>
      </c>
      <c r="I8" s="38" t="inlineStr">
        <is>
          <t>SH Martins - Evisceration lead</t>
        </is>
      </c>
      <c r="J8" s="38" t="inlineStr"/>
      <c r="K8" s="39" t="inlineStr">
        <is>
          <t>Open</t>
        </is>
      </c>
      <c r="L8" s="40" t="inlineStr"/>
    </row>
    <row r="9" ht="60" customHeight="1">
      <c r="A9" s="16" t="inlineStr">
        <is>
          <t>D8</t>
        </is>
      </c>
      <c r="B9" s="35" t="inlineStr">
        <is>
          <t>Bowel / colon / rectum breach</t>
        </is>
      </c>
      <c r="C9" s="13" t="inlineStr">
        <is>
          <t>Bowel/colon/rectum breached (FOOD SAFETY)</t>
        </is>
      </c>
      <c r="D9" s="13" t="inlineStr">
        <is>
          <t>Knife slip or aggressive bung separation opens colon/rectum</t>
        </is>
      </c>
      <c r="E9" s="13" t="inlineStr">
        <is>
          <t>Bung not adequately bagged/tied before cut</t>
        </is>
      </c>
      <c r="F9" s="13" t="inlineStr">
        <is>
          <t>Bung-dropping CCP not robust</t>
        </is>
      </c>
      <c r="G9" s="36" t="inlineStr">
        <is>
          <t>(confirm) contamination-control gap at bung station</t>
        </is>
      </c>
      <c r="H9" s="37" t="inlineStr">
        <is>
          <t>Reinforce bung bag/tie-off; retrain knife path; treat as contamination CCP</t>
        </is>
      </c>
      <c r="I9" s="38" t="inlineStr">
        <is>
          <t>SH Martins - Bung/Evisc. lead</t>
        </is>
      </c>
      <c r="J9" s="38" t="inlineStr"/>
      <c r="K9" s="39" t="inlineStr">
        <is>
          <t>Open</t>
        </is>
      </c>
      <c r="L9" s="40" t="inlineStr"/>
    </row>
    <row r="10" ht="40" customHeight="1">
      <c r="A10" s="41" t="n"/>
      <c r="B10" s="41" t="n"/>
      <c r="C10" s="41" t="n"/>
      <c r="D10" s="41" t="n"/>
      <c r="E10" s="41" t="n"/>
      <c r="F10" s="41" t="n"/>
      <c r="G10" s="42" t="n"/>
      <c r="H10" s="43" t="n"/>
      <c r="I10" s="41" t="n"/>
      <c r="J10" s="41" t="n"/>
      <c r="K10" s="41" t="n"/>
      <c r="L10" s="44" t="n"/>
    </row>
    <row r="11" ht="40" customHeight="1">
      <c r="A11" s="41" t="n"/>
      <c r="B11" s="41" t="n"/>
      <c r="C11" s="41" t="n"/>
      <c r="D11" s="41" t="n"/>
      <c r="E11" s="41" t="n"/>
      <c r="F11" s="41" t="n"/>
      <c r="G11" s="42" t="n"/>
      <c r="H11" s="43" t="n"/>
      <c r="I11" s="41" t="n"/>
      <c r="J11" s="41" t="n"/>
      <c r="K11" s="41" t="n"/>
      <c r="L11" s="44" t="n"/>
    </row>
    <row r="12" ht="40" customHeight="1">
      <c r="A12" s="41" t="n"/>
      <c r="B12" s="41" t="n"/>
      <c r="C12" s="41" t="n"/>
      <c r="D12" s="41" t="n"/>
      <c r="E12" s="41" t="n"/>
      <c r="F12" s="41" t="n"/>
      <c r="G12" s="42" t="n"/>
      <c r="H12" s="43" t="n"/>
      <c r="I12" s="41" t="n"/>
      <c r="J12" s="41" t="n"/>
      <c r="K12" s="41" t="n"/>
      <c r="L12" s="44" t="n"/>
    </row>
  </sheetData>
  <mergeCells count="2">
    <mergeCell ref="A2:L2"/>
    <mergeCell ref="A1:L1"/>
  </mergeCells>
  <dataValidations count="1">
    <dataValidation sqref="K5:K44" showDropDown="0" showInputMessage="0" showErrorMessage="0" allowBlank="1" type="list">
      <formula1>"Open,In Progress,Verifying,Closed"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2" customWidth="1" min="5" max="5"/>
    <col width="30" customWidth="1" min="6" max="6"/>
    <col width="12" customWidth="1" min="7" max="7"/>
  </cols>
  <sheetData>
    <row r="1" ht="30" customHeight="1">
      <c r="A1" s="1" t="inlineStr">
        <is>
          <t>DASHBOARD — SUMMARY</t>
        </is>
      </c>
    </row>
    <row r="2" ht="18" customHeight="1">
      <c r="A2" s="2" t="inlineStr">
        <is>
          <t>SH: Martins  |  4 inspection sheets across 3 kill dates (2026-05-27, 2026-07-08, 2026-07-28)</t>
        </is>
      </c>
    </row>
    <row r="4">
      <c r="A4" s="45" t="inlineStr">
        <is>
          <t>KEY METRICS (all batches)</t>
        </is>
      </c>
    </row>
    <row r="5" ht="22" customHeight="1">
      <c r="A5" s="46" t="inlineStr">
        <is>
          <t>Blocks Inspected</t>
        </is>
      </c>
      <c r="B5" s="47">
        <f>COUNTIF('Inspection Log'!J5:J503,"Pass")+COUNTIF('Inspection Log'!J5:J503,"Fail")</f>
        <v/>
      </c>
    </row>
    <row r="6" ht="22" customHeight="1">
      <c r="A6" s="46" t="inlineStr">
        <is>
          <t>Pass</t>
        </is>
      </c>
      <c r="B6" s="47">
        <f>COUNTIF('Inspection Log'!J5:J503,"Pass")</f>
        <v/>
      </c>
    </row>
    <row r="7" ht="22" customHeight="1">
      <c r="A7" s="46" t="inlineStr">
        <is>
          <t>Fail</t>
        </is>
      </c>
      <c r="B7" s="47">
        <f>COUNTIF('Inspection Log'!J5:J503,"Fail")</f>
        <v/>
      </c>
    </row>
    <row r="8" ht="22" customHeight="1">
      <c r="A8" s="46" t="inlineStr">
        <is>
          <t>First Pass Yield</t>
        </is>
      </c>
      <c r="B8" s="48">
        <f>IFERROR(COUNTIF('Inspection Log'!J5:J503,"Pass")/(COUNTIF('Inspection Log'!J5:J503,"Pass")+COUNTIF('Inspection Log'!J5:J503,"Fail")),0)</f>
        <v/>
      </c>
    </row>
    <row r="9" ht="22" customHeight="1">
      <c r="A9" s="46" t="inlineStr">
        <is>
          <t>Total Defect Occurrences</t>
        </is>
      </c>
      <c r="B9" s="47">
        <f>SUM('Inspection Log'!L5:X503)</f>
        <v/>
      </c>
    </row>
    <row r="10" ht="22" customHeight="1">
      <c r="A10" s="46" t="inlineStr">
        <is>
          <t>Defects per Failed Block</t>
        </is>
      </c>
      <c r="B10" s="49">
        <f>IFERROR(SUM('Inspection Log'!L5:X503)/COUNTIF('Inspection Log'!J5:J503,"Fail"),0)</f>
        <v/>
      </c>
    </row>
    <row r="12">
      <c r="A12" s="45" t="inlineStr">
        <is>
          <t>PER-BATCH BREAKDOWN (watch the trend)</t>
        </is>
      </c>
    </row>
    <row r="13">
      <c r="A13" s="6" t="inlineStr">
        <is>
          <t>Kill Date</t>
        </is>
      </c>
      <c r="B13" s="6" t="inlineStr">
        <is>
          <t>Inspected</t>
        </is>
      </c>
      <c r="C13" s="6" t="inlineStr">
        <is>
          <t>Pass</t>
        </is>
      </c>
      <c r="D13" s="6" t="inlineStr">
        <is>
          <t>Fail</t>
        </is>
      </c>
      <c r="E13" s="6" t="inlineStr">
        <is>
          <t>First Pass Yield</t>
        </is>
      </c>
      <c r="F13" s="6" t="inlineStr">
        <is>
          <t>Top Defect (this batch)</t>
        </is>
      </c>
    </row>
    <row r="14">
      <c r="A14" s="22" t="inlineStr">
        <is>
          <t>2026-05-27</t>
        </is>
      </c>
      <c r="B14" s="22">
        <f>COUNTIF('Inspection Log'!C5:C503,"2026-05-27")</f>
        <v/>
      </c>
      <c r="C14" s="22">
        <f>COUNTIFS('Inspection Log'!C5:C503,"2026-05-27",'Inspection Log'!J5:J503,"Pass")</f>
        <v/>
      </c>
      <c r="D14" s="22">
        <f>COUNTIFS('Inspection Log'!C5:C503,"2026-05-27",'Inspection Log'!J5:J503,"Fail")</f>
        <v/>
      </c>
      <c r="E14" s="25">
        <f>IFERROR(C14/B14,0)</f>
        <v/>
      </c>
      <c r="F14" s="26" t="inlineStr">
        <is>
          <t>D6 Membrane damage in critical area (15)</t>
        </is>
      </c>
    </row>
    <row r="15">
      <c r="A15" s="22" t="inlineStr">
        <is>
          <t>2026-07-08</t>
        </is>
      </c>
      <c r="B15" s="22">
        <f>COUNTIF('Inspection Log'!C5:C503,"2026-07-08")</f>
        <v/>
      </c>
      <c r="C15" s="22">
        <f>COUNTIFS('Inspection Log'!C5:C503,"2026-07-08",'Inspection Log'!J5:J503,"Pass")</f>
        <v/>
      </c>
      <c r="D15" s="22">
        <f>COUNTIFS('Inspection Log'!C5:C503,"2026-07-08",'Inspection Log'!J5:J503,"Fail")</f>
        <v/>
      </c>
      <c r="E15" s="34">
        <f>IFERROR(C15/B15,0)</f>
        <v/>
      </c>
      <c r="F15" s="26" t="inlineStr">
        <is>
          <t>D6 Membrane damage in critical area (16)</t>
        </is>
      </c>
    </row>
    <row r="16">
      <c r="A16" s="22" t="inlineStr">
        <is>
          <t>2026-07-28</t>
        </is>
      </c>
      <c r="B16" s="22">
        <f>COUNTIF('Inspection Log'!C5:C503,"2026-07-28")</f>
        <v/>
      </c>
      <c r="C16" s="22">
        <f>COUNTIFS('Inspection Log'!C5:C503,"2026-07-28",'Inspection Log'!J5:J503,"Pass")</f>
        <v/>
      </c>
      <c r="D16" s="22">
        <f>COUNTIFS('Inspection Log'!C5:C503,"2026-07-28",'Inspection Log'!J5:J503,"Fail")</f>
        <v/>
      </c>
      <c r="E16" s="34">
        <f>IFERROR(C16/B16,0)</f>
        <v/>
      </c>
      <c r="F16" s="26" t="inlineStr">
        <is>
          <t>D6 Membrane damage in critical area (18)</t>
        </is>
      </c>
    </row>
    <row r="18">
      <c r="A18" s="45" t="inlineStr">
        <is>
          <t>Top defect (all batches)</t>
        </is>
      </c>
    </row>
    <row r="19">
      <c r="A19" s="50" t="inlineStr">
        <is>
          <t>D6 Membrane damage in critical area</t>
        </is>
      </c>
    </row>
    <row r="20">
      <c r="A20" s="51" t="inlineStr">
        <is>
          <t>Dominant supplier station</t>
        </is>
      </c>
    </row>
    <row r="21">
      <c r="A21" s="52" t="inlineStr">
        <is>
          <t>S3 Evisceration  -&gt;  primary target for corrective action</t>
        </is>
      </c>
    </row>
    <row r="23">
      <c r="A23" s="53" t="inlineStr">
        <is>
          <t>Critical / food-safety defect occurrences</t>
        </is>
      </c>
      <c r="B23" s="54">
        <f>SUM('Inspection Log'!Q5:Q503)+SUM('Inspection Log'!S5:S503)</f>
        <v/>
      </c>
    </row>
    <row r="24">
      <c r="A24" s="55" t="inlineStr">
        <is>
          <t xml:space="preserve">  (Critical codes: D6, D8 — membrane damage &amp; bowel/colon/rectum breach)</t>
        </is>
      </c>
    </row>
    <row r="26">
      <c r="A26" s="56" t="inlineStr">
        <is>
          <t>OPEN ITEMS</t>
        </is>
      </c>
    </row>
    <row r="27">
      <c r="A27" s="57" t="inlineStr">
        <is>
          <t>1)  5 blocks (kill 2026-05-27), 8" hole in bladder suspensory ligament, recorded as PASS pending ME/DE determination. If confirmed Fail -&gt; tag D4.</t>
        </is>
      </c>
    </row>
    <row r="28">
      <c r="A28" s="57" t="inlineStr">
        <is>
          <t>2)  Rasmin 07-28 sheet: handwritten total read '1 Pass / 22 failures', but the per-row entries sum to 29 fails — the granular rows were used. Confirm with inspector.</t>
        </is>
      </c>
    </row>
  </sheetData>
  <mergeCells count="6">
    <mergeCell ref="A21:E21"/>
    <mergeCell ref="A1:G1"/>
    <mergeCell ref="A27:G27"/>
    <mergeCell ref="A2:G2"/>
    <mergeCell ref="A19:D19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2026-07-30T13:01:10Z</dcterms:created>
  <dcterms:modified xsi:type="dcterms:W3CDTF">2026-07-30T13:01:10Z</dcterms:modified>
</cp:coreProperties>
</file>