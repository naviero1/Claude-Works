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 Cause 5-Wh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b val="1"/>
      <color rgb="00375623"/>
      <sz val="10"/>
    </font>
    <font>
      <name val="Calibri"/>
      <i val="1"/>
      <color rgb="00000000"/>
      <sz val="9"/>
    </font>
    <font>
      <name val="Calibri"/>
      <b val="1"/>
      <color rgb="001F3864"/>
      <sz val="10"/>
    </font>
    <font>
      <name val="Calibri"/>
      <i val="1"/>
      <color rgb="00808080"/>
      <sz val="8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  <font>
      <name val="Calibri"/>
      <i val="1"/>
      <color rgb="00833C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15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18" fillId="0" borderId="0" pivotButton="0" quotePrefix="0" xfId="0"/>
    <xf numFmtId="0" fontId="19" fillId="4" borderId="1" applyAlignment="1" pivotButton="0" quotePrefix="0" xfId="0">
      <alignment horizontal="left" indent="1"/>
    </xf>
    <xf numFmtId="1" fontId="20" fillId="9" borderId="1" applyAlignment="1" pivotButton="0" quotePrefix="0" xfId="0">
      <alignment horizontal="center" vertical="center" wrapText="1"/>
    </xf>
    <xf numFmtId="164" fontId="20" fillId="9" borderId="1" applyAlignment="1" pivotButton="0" quotePrefix="0" xfId="0">
      <alignment horizontal="center" vertical="center" wrapText="1"/>
    </xf>
    <xf numFmtId="2" fontId="20" fillId="9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left" indent="1"/>
    </xf>
    <xf numFmtId="0" fontId="4" fillId="0" borderId="0" pivotButton="0" quotePrefix="0" xfId="0"/>
    <xf numFmtId="0" fontId="22" fillId="5" borderId="1" applyAlignment="1" pivotButton="0" quotePrefix="0" xfId="0">
      <alignment horizontal="left" indent="1"/>
    </xf>
    <xf numFmtId="0" fontId="23" fillId="4" borderId="1" applyAlignment="1" pivotButton="0" quotePrefix="0" xfId="0">
      <alignment horizontal="left" indent="1"/>
    </xf>
    <xf numFmtId="0" fontId="24" fillId="0" borderId="1" applyAlignment="1" pivotButton="0" quotePrefix="0" xfId="0">
      <alignment horizontal="center" vertical="center" wrapText="1"/>
    </xf>
    <xf numFmtId="0" fontId="25" fillId="0" borderId="0" pivotButton="0" quotePrefix="0" xfId="0"/>
    <xf numFmtId="0" fontId="23" fillId="6" borderId="1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Defect Pareto — Rejected Pelvic Blocks   (SH: Martins, 2 batches)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solidFill>
              <a:srgbClr val="2E5B8A"/>
            </a:solidFill>
            <a:ln>
              <a:prstDash val="solid"/>
            </a:ln>
          </spPr>
          <dPt>
            <idx val="0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Lbls>
            <numFmt formatCode="0"/>
            <txPr>
              <a:bodyPr/>
              <a:p>
                <a:pPr>
                  <a:defRPr sz="95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95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Val val="1"/>
          </dLbls>
          <cat>
            <numRef>
              <f>'Pareto'!$M$6:$M$16</f>
            </numRef>
          </cat>
          <val>
            <numRef>
              <f>'Pareto'!$D$6:$D$16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 w="28575">
              <a:solidFill>
                <a:srgbClr val="C0504D"/>
              </a:solidFill>
              <a:prstDash val="solid"/>
            </a:ln>
          </spPr>
          <marker>
            <symbol val="circle"/>
            <size val="6"/>
            <spPr>
              <a:solidFill>
                <a:srgbClr val="C0504D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dLbls>
            <numFmt formatCode="0%"/>
            <txPr>
              <a:bodyPr/>
              <a:p>
                <a:pPr>
                  <a:defRPr sz="850" b="1">
                    <a:solidFill>
                      <a:srgbClr val="C0504D"/>
                    </a:solidFill>
                    <a:latin typeface="Calibri"/>
                  </a:defRPr>
                </a:pPr>
                <a:r>
                  <a:t/>
                </a:r>
                <a:endParaRPr sz="850" b="1">
                  <a:solidFill>
                    <a:srgbClr val="C0504D"/>
                  </a:solidFill>
                  <a:latin typeface="Calibri"/>
                </a:endParaRPr>
              </a:p>
            </txPr>
            <dLblPos val="t"/>
            <showVal val="1"/>
          </dLbls>
          <val>
            <numRef>
              <f>'Pareto'!$F$6:$F$16</f>
            </numRef>
          </val>
          <smooth val="0"/>
        </ser>
        <ser>
          <idx val="2"/>
          <order val="2"/>
          <tx>
            <strRef>
              <f>'Pareto'!N5</f>
            </strRef>
          </tx>
          <spPr>
            <a:ln w="9525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'Pareto'!$N$6:$N$16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F"/>
            </a:solidFill>
            <a:prstDash val="solid"/>
          </a:ln>
        </spPr>
        <txPr>
          <a:bodyPr rot="-2700000"/>
          <a:p>
            <a:pPr>
              <a:defRPr sz="8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w="6350">
              <a:solidFill>
                <a:srgbClr val="E6E6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numFmt formatCode="0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autoZero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5667375" cy="2905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Ingest IQC results for rejected pelvic blocks, sort defects with a Pareto (the few defects causing most loss), and map every defect back to the</t>
        </is>
      </c>
    </row>
    <row r="7">
      <c r="A7" s="3" t="inlineStr">
        <is>
          <t>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OUR side -&gt;  Harvest techs receive block from pit  -&gt;  spec-out / accept  -&gt;  IQC inspection (this data)</t>
        </is>
      </c>
    </row>
    <row r="12">
      <c r="A12" s="3" t="inlineStr"/>
    </row>
    <row r="13" ht="18" customHeight="1">
      <c r="A13" s="4" t="inlineStr">
        <is>
          <t>THE SHEETS</t>
        </is>
      </c>
    </row>
    <row r="14">
      <c r="A14" s="3" t="inlineStr">
        <is>
          <t xml:space="preserve">  1. Inspection Log   Master data — ONE ROW PER BLOCK. Each free-text scrap reason is normalized into 1/0 flags against the defect taxonomy. Append future batches here.</t>
        </is>
      </c>
    </row>
    <row r="15">
      <c r="A15" s="3" t="inlineStr">
        <is>
          <t xml:space="preserve">  2. Defect Taxonomy  Controlled vocabulary (D1–D11) + root-cause map: each defect -&gt; process step, supplier station, 6M cause, mechanism, corrective action.</t>
        </is>
      </c>
    </row>
    <row r="16">
      <c r="A16" s="3" t="inlineStr">
        <is>
          <t xml:space="preserve">  3. Pareto           Auto-calculating defect Pareto (bar + cumulative line) and a rollup by SUPPLIER STATION — the key view for the supplier conversation.</t>
        </is>
      </c>
    </row>
    <row r="17">
      <c r="A17" s="3" t="inlineStr">
        <is>
          <t xml:space="preserve">  4. Root Cause 5-Why  Structured RCA template, seeded for the vital-few defects, with a Lessons-Learned column to fill in over time.</t>
        </is>
      </c>
    </row>
    <row r="18">
      <c r="A18" s="3" t="inlineStr">
        <is>
          <t xml:space="preserve">  5. Dashboard        Combined KPIs + a per-batch breakdown so you can watch the trend batch over batch.</t>
        </is>
      </c>
    </row>
    <row r="19">
      <c r="A19" s="3" t="inlineStr"/>
    </row>
    <row r="20" ht="18" customHeight="1">
      <c r="A20" s="4" t="inlineStr">
        <is>
          <t>HOW TO ADD THE NEXT INSPECTION</t>
        </is>
      </c>
    </row>
    <row r="21">
      <c r="A21" s="3" t="inlineStr">
        <is>
          <t xml:space="preserve">  a. In 'Inspection Log', add one row per inspected block (metadata + Result = Pass/Fail + verbatim reason).</t>
        </is>
      </c>
    </row>
    <row r="22">
      <c r="A22" s="3" t="inlineStr">
        <is>
          <t xml:space="preserve">  b. Put a 1 in each defect column (D1–D11) that applies. Use the dropdown. If a NEW defect type appears, add it to 'Defect Taxonomy' first, then add its column.</t>
        </is>
      </c>
    </row>
    <row r="23">
      <c r="A23" s="3" t="inlineStr">
        <is>
          <t xml:space="preserve">  c. Pareto + Dashboard recalc automatically. Re-sort the Pareto table high-&gt;low if the ranking changes (counts are live; row order is not).</t>
        </is>
      </c>
    </row>
    <row r="24">
      <c r="A24" s="3" t="inlineStr"/>
    </row>
    <row r="25" ht="18" customHeight="1">
      <c r="A25" s="4" t="inlineStr">
        <is>
          <t>WHAT THE DATA SAYS SO FAR  (2 batches, SH: Martins — kills 2026-05-27 &amp; 2026-07-08)</t>
        </is>
      </c>
    </row>
    <row r="26">
      <c r="A26" s="3" t="inlineStr">
        <is>
          <t xml:space="preserve">  57 blocks inspected · 9 pass · 48 fail · combined First Pass Yield 15.8% · 78 defect occurrences</t>
        </is>
      </c>
    </row>
    <row r="27">
      <c r="A27" s="3" t="inlineStr">
        <is>
          <t xml:space="preserve">  Vital few (~78%): membrane damage (critical area), ureters not embedded, urethra breach, suspensory-ligament damage.  ~78% of ALL defects originate at ONE station: Evisceration.</t>
        </is>
      </c>
    </row>
    <row r="28">
      <c r="A28" s="3" t="inlineStr">
        <is>
          <t xml:space="preserve">  OPEN ITEM: 5 blocks (kill 2026-05-27) with an 8" hole in the bladder suspensory ligament are recorded as PASS pending ME/DE determination — flip to Fail + tag D4 if confirmed.</t>
        </is>
      </c>
    </row>
    <row r="29">
      <c r="A29" s="3" t="inlineStr"/>
    </row>
    <row r="30" ht="18" customHeight="1">
      <c r="A30" s="4" t="inlineStr">
        <is>
          <t>SEVERITY KEY</t>
        </is>
      </c>
    </row>
    <row r="31">
      <c r="A31" s="3" t="inlineStr">
        <is>
          <t xml:space="preserve">  Critical = function-destroying or food-safety (e.g. bowel/colon/rectum breach = contamination).   Major = block rejected.   Minor = cosmetic / recoverable.</t>
        </is>
      </c>
    </row>
    <row r="32">
      <c r="A32" s="3" t="inlineStr"/>
    </row>
    <row r="33" ht="18" customHeight="1">
      <c r="A33" s="4" t="inlineStr">
        <is>
          <t>SOURCE</t>
        </is>
      </c>
    </row>
    <row r="34">
      <c r="A34" s="3" t="inlineStr">
        <is>
          <t xml:space="preserve">  IQC Tally Sheets — SH: Martins. Originals kept as source_*.xlsx in this folder.</t>
        </is>
      </c>
    </row>
  </sheetData>
  <mergeCells count="33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2" customWidth="1" min="9" max="9"/>
    <col width="8" customWidth="1" min="10" max="10"/>
    <col width="42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9" customWidth="1" min="23" max="23"/>
    <col width="34" customWidth="1" min="24" max="24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D11</t>
        </is>
      </c>
      <c r="W4" s="6" t="inlineStr">
        <is>
          <t># Defects</t>
        </is>
      </c>
      <c r="X4" s="6" t="inlineStr">
        <is>
          <t>Notes / Disposition</t>
        </is>
      </c>
    </row>
    <row r="5" ht="30" customHeight="1">
      <c r="A5" s="7" t="inlineStr">
        <is>
          <t>B001</t>
        </is>
      </c>
      <c r="B5" s="7" t="inlineStr">
        <is>
          <t>2026-05-27</t>
        </is>
      </c>
      <c r="C5" s="7" t="inlineStr">
        <is>
          <t>2026-05-27</t>
        </is>
      </c>
      <c r="D5" s="7" t="inlineStr"/>
      <c r="E5" s="7" t="inlineStr">
        <is>
          <t>Martins</t>
        </is>
      </c>
      <c r="F5" s="7" t="inlineStr"/>
      <c r="G5" s="7" t="inlineStr"/>
      <c r="H5" s="7" t="inlineStr"/>
      <c r="I5" s="7" t="inlineStr">
        <is>
          <t>Pelvic block</t>
        </is>
      </c>
      <c r="J5" s="8" t="inlineStr">
        <is>
          <t>Fail</t>
        </is>
      </c>
      <c r="K5" s="9" t="inlineStr">
        <is>
          <t>hole in the distal end of the colon</t>
        </is>
      </c>
      <c r="L5" s="10" t="n"/>
      <c r="M5" s="10" t="n"/>
      <c r="N5" s="10" t="n"/>
      <c r="O5" s="10" t="n"/>
      <c r="P5" s="10" t="n"/>
      <c r="Q5" s="10" t="n"/>
      <c r="R5" s="10" t="n"/>
      <c r="S5" s="11" t="n">
        <v>1</v>
      </c>
      <c r="T5" s="10" t="n"/>
      <c r="U5" s="10" t="n"/>
      <c r="V5" s="10" t="n"/>
      <c r="W5" s="12">
        <f>SUM(L5:V5)</f>
        <v/>
      </c>
      <c r="X5" s="13" t="inlineStr"/>
    </row>
    <row r="6" ht="30" customHeight="1">
      <c r="A6" s="7" t="inlineStr">
        <is>
          <t>B002</t>
        </is>
      </c>
      <c r="B6" s="7" t="inlineStr">
        <is>
          <t>2026-05-27</t>
        </is>
      </c>
      <c r="C6" s="7" t="inlineStr">
        <is>
          <t>2026-05-27</t>
        </is>
      </c>
      <c r="D6" s="7" t="inlineStr"/>
      <c r="E6" s="7" t="inlineStr">
        <is>
          <t>Martins</t>
        </is>
      </c>
      <c r="F6" s="7" t="inlineStr"/>
      <c r="G6" s="7" t="inlineStr"/>
      <c r="H6" s="7" t="inlineStr"/>
      <c r="I6" s="7" t="inlineStr">
        <is>
          <t>Pelvic block</t>
        </is>
      </c>
      <c r="J6" s="8" t="inlineStr">
        <is>
          <t>Fail</t>
        </is>
      </c>
      <c r="K6" s="9" t="inlineStr">
        <is>
          <t>hole in the distal end of the colon</t>
        </is>
      </c>
      <c r="L6" s="10" t="n"/>
      <c r="M6" s="10" t="n"/>
      <c r="N6" s="10" t="n"/>
      <c r="O6" s="10" t="n"/>
      <c r="P6" s="10" t="n"/>
      <c r="Q6" s="10" t="n"/>
      <c r="R6" s="10" t="n"/>
      <c r="S6" s="11" t="n">
        <v>1</v>
      </c>
      <c r="T6" s="10" t="n"/>
      <c r="U6" s="10" t="n"/>
      <c r="V6" s="10" t="n"/>
      <c r="W6" s="12">
        <f>SUM(L6:V6)</f>
        <v/>
      </c>
      <c r="X6" s="13" t="inlineStr"/>
    </row>
    <row r="7" ht="30" customHeight="1">
      <c r="A7" s="7" t="inlineStr">
        <is>
          <t>B003</t>
        </is>
      </c>
      <c r="B7" s="7" t="inlineStr">
        <is>
          <t>2026-05-27</t>
        </is>
      </c>
      <c r="C7" s="7" t="inlineStr">
        <is>
          <t>2026-05-27</t>
        </is>
      </c>
      <c r="D7" s="7" t="inlineStr"/>
      <c r="E7" s="7" t="inlineStr">
        <is>
          <t>Martins</t>
        </is>
      </c>
      <c r="F7" s="7" t="inlineStr"/>
      <c r="G7" s="7" t="inlineStr"/>
      <c r="H7" s="7" t="inlineStr"/>
      <c r="I7" s="7" t="inlineStr">
        <is>
          <t>Pelvic block</t>
        </is>
      </c>
      <c r="J7" s="8" t="inlineStr">
        <is>
          <t>Fail</t>
        </is>
      </c>
      <c r="K7" s="9" t="inlineStr">
        <is>
          <t>hole in the distal end of the colon</t>
        </is>
      </c>
      <c r="L7" s="10" t="n"/>
      <c r="M7" s="10" t="n"/>
      <c r="N7" s="10" t="n"/>
      <c r="O7" s="10" t="n"/>
      <c r="P7" s="10" t="n"/>
      <c r="Q7" s="10" t="n"/>
      <c r="R7" s="10" t="n"/>
      <c r="S7" s="11" t="n">
        <v>1</v>
      </c>
      <c r="T7" s="10" t="n"/>
      <c r="U7" s="10" t="n"/>
      <c r="V7" s="10" t="n"/>
      <c r="W7" s="12">
        <f>SUM(L7:V7)</f>
        <v/>
      </c>
      <c r="X7" s="13" t="inlineStr"/>
    </row>
    <row r="8" ht="30" customHeight="1">
      <c r="A8" s="7" t="inlineStr">
        <is>
          <t>B004</t>
        </is>
      </c>
      <c r="B8" s="7" t="inlineStr">
        <is>
          <t>2026-05-27</t>
        </is>
      </c>
      <c r="C8" s="7" t="inlineStr">
        <is>
          <t>2026-05-27</t>
        </is>
      </c>
      <c r="D8" s="7" t="inlineStr"/>
      <c r="E8" s="7" t="inlineStr">
        <is>
          <t>Martins</t>
        </is>
      </c>
      <c r="F8" s="7" t="inlineStr"/>
      <c r="G8" s="7" t="inlineStr"/>
      <c r="H8" s="7" t="inlineStr"/>
      <c r="I8" s="7" t="inlineStr">
        <is>
          <t>Pelvic block</t>
        </is>
      </c>
      <c r="J8" s="8" t="inlineStr">
        <is>
          <t>Fail</t>
        </is>
      </c>
      <c r="K8" s="9" t="inlineStr">
        <is>
          <t>hole in the distal end of the urethra and bladder neck separation</t>
        </is>
      </c>
      <c r="L8" s="10" t="n"/>
      <c r="M8" s="10" t="n"/>
      <c r="N8" s="10" t="n"/>
      <c r="O8" s="10" t="n"/>
      <c r="P8" s="11" t="n">
        <v>1</v>
      </c>
      <c r="Q8" s="10" t="n"/>
      <c r="R8" s="10" t="n"/>
      <c r="S8" s="10" t="n"/>
      <c r="T8" s="10" t="n"/>
      <c r="U8" s="10" t="n"/>
      <c r="V8" s="11" t="n">
        <v>1</v>
      </c>
      <c r="W8" s="12">
        <f>SUM(L8:V8)</f>
        <v/>
      </c>
      <c r="X8" s="13" t="inlineStr"/>
    </row>
    <row r="9" ht="30" customHeight="1">
      <c r="A9" s="7" t="inlineStr">
        <is>
          <t>B005</t>
        </is>
      </c>
      <c r="B9" s="7" t="inlineStr">
        <is>
          <t>2026-05-27</t>
        </is>
      </c>
      <c r="C9" s="7" t="inlineStr">
        <is>
          <t>2026-05-27</t>
        </is>
      </c>
      <c r="D9" s="7" t="inlineStr"/>
      <c r="E9" s="7" t="inlineStr">
        <is>
          <t>Martins</t>
        </is>
      </c>
      <c r="F9" s="7" t="inlineStr"/>
      <c r="G9" s="7" t="inlineStr"/>
      <c r="H9" s="7" t="inlineStr"/>
      <c r="I9" s="7" t="inlineStr">
        <is>
          <t>Pelvic block</t>
        </is>
      </c>
      <c r="J9" s="14" t="inlineStr">
        <is>
          <t>Pass</t>
        </is>
      </c>
      <c r="K9" s="9" t="inlineStr">
        <is>
          <t>8" hole in the bladder suspencery ligamant. ureter still intact???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2">
        <f>SUM(L9:V9)</f>
        <v/>
      </c>
      <c r="X9" s="15" t="inlineStr">
        <is>
          <t>QUESTIONABLE - pending ME/DE determination (per sheet note). If reclassified Fail -&gt; D4 (suspensory ligament).</t>
        </is>
      </c>
    </row>
    <row r="10" ht="30" customHeight="1">
      <c r="A10" s="7" t="inlineStr">
        <is>
          <t>B006</t>
        </is>
      </c>
      <c r="B10" s="7" t="inlineStr">
        <is>
          <t>2026-05-27</t>
        </is>
      </c>
      <c r="C10" s="7" t="inlineStr">
        <is>
          <t>2026-05-27</t>
        </is>
      </c>
      <c r="D10" s="7" t="inlineStr"/>
      <c r="E10" s="7" t="inlineStr">
        <is>
          <t>Martins</t>
        </is>
      </c>
      <c r="F10" s="7" t="inlineStr"/>
      <c r="G10" s="7" t="inlineStr"/>
      <c r="H10" s="7" t="inlineStr"/>
      <c r="I10" s="7" t="inlineStr">
        <is>
          <t>Pelvic block</t>
        </is>
      </c>
      <c r="J10" s="14" t="inlineStr">
        <is>
          <t>Pass</t>
        </is>
      </c>
      <c r="K10" s="9" t="inlineStr">
        <is>
          <t>8" hole in the bladder suspencery ligamant. ureter still intact???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2">
        <f>SUM(L10:V10)</f>
        <v/>
      </c>
      <c r="X10" s="15" t="inlineStr">
        <is>
          <t>QUESTIONABLE - pending ME/DE determination (per sheet note). If reclassified Fail -&gt; D4 (suspensory ligament).</t>
        </is>
      </c>
    </row>
    <row r="11" ht="30" customHeight="1">
      <c r="A11" s="7" t="inlineStr">
        <is>
          <t>B007</t>
        </is>
      </c>
      <c r="B11" s="7" t="inlineStr">
        <is>
          <t>2026-05-27</t>
        </is>
      </c>
      <c r="C11" s="7" t="inlineStr">
        <is>
          <t>2026-05-27</t>
        </is>
      </c>
      <c r="D11" s="7" t="inlineStr"/>
      <c r="E11" s="7" t="inlineStr">
        <is>
          <t>Martins</t>
        </is>
      </c>
      <c r="F11" s="7" t="inlineStr"/>
      <c r="G11" s="7" t="inlineStr"/>
      <c r="H11" s="7" t="inlineStr"/>
      <c r="I11" s="7" t="inlineStr">
        <is>
          <t>Pelvic block</t>
        </is>
      </c>
      <c r="J11" s="14" t="inlineStr">
        <is>
          <t>Pass</t>
        </is>
      </c>
      <c r="K11" s="9" t="inlineStr">
        <is>
          <t>8" hole in the bladder suspencery ligamant. ureter still intact???</t>
        </is>
      </c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2">
        <f>SUM(L11:V11)</f>
        <v/>
      </c>
      <c r="X11" s="15" t="inlineStr">
        <is>
          <t>QUESTIONABLE - pending ME/DE determination (per sheet note). If reclassified Fail -&gt; D4 (suspensory ligament).</t>
        </is>
      </c>
    </row>
    <row r="12" ht="30" customHeight="1">
      <c r="A12" s="7" t="inlineStr">
        <is>
          <t>B008</t>
        </is>
      </c>
      <c r="B12" s="7" t="inlineStr">
        <is>
          <t>2026-05-27</t>
        </is>
      </c>
      <c r="C12" s="7" t="inlineStr">
        <is>
          <t>2026-05-27</t>
        </is>
      </c>
      <c r="D12" s="7" t="inlineStr"/>
      <c r="E12" s="7" t="inlineStr">
        <is>
          <t>Martins</t>
        </is>
      </c>
      <c r="F12" s="7" t="inlineStr"/>
      <c r="G12" s="7" t="inlineStr"/>
      <c r="H12" s="7" t="inlineStr"/>
      <c r="I12" s="7" t="inlineStr">
        <is>
          <t>Pelvic block</t>
        </is>
      </c>
      <c r="J12" s="14" t="inlineStr">
        <is>
          <t>Pass</t>
        </is>
      </c>
      <c r="K12" s="9" t="inlineStr">
        <is>
          <t>8" hole in the bladder suspencery ligamant. ureter still intact???</t>
        </is>
      </c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2">
        <f>SUM(L12:V12)</f>
        <v/>
      </c>
      <c r="X12" s="15" t="inlineStr">
        <is>
          <t>QUESTIONABLE - pending ME/DE determination (per sheet note). If reclassified Fail -&gt; D4 (suspensory ligament).</t>
        </is>
      </c>
    </row>
    <row r="13" ht="30" customHeight="1">
      <c r="A13" s="7" t="inlineStr">
        <is>
          <t>B009</t>
        </is>
      </c>
      <c r="B13" s="7" t="inlineStr">
        <is>
          <t>2026-05-27</t>
        </is>
      </c>
      <c r="C13" s="7" t="inlineStr">
        <is>
          <t>2026-05-27</t>
        </is>
      </c>
      <c r="D13" s="7" t="inlineStr"/>
      <c r="E13" s="7" t="inlineStr">
        <is>
          <t>Martins</t>
        </is>
      </c>
      <c r="F13" s="7" t="inlineStr"/>
      <c r="G13" s="7" t="inlineStr"/>
      <c r="H13" s="7" t="inlineStr"/>
      <c r="I13" s="7" t="inlineStr">
        <is>
          <t>Pelvic block</t>
        </is>
      </c>
      <c r="J13" s="14" t="inlineStr">
        <is>
          <t>Pass</t>
        </is>
      </c>
      <c r="K13" s="9" t="inlineStr">
        <is>
          <t>8" hole in the bladder suspencery ligamant. ureter still intact???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2">
        <f>SUM(L13:V13)</f>
        <v/>
      </c>
      <c r="X13" s="15" t="inlineStr">
        <is>
          <t>QUESTIONABLE - pending ME/DE determination (per sheet note). If reclassified Fail -&gt; D4 (suspensory ligament).</t>
        </is>
      </c>
    </row>
    <row r="14" ht="16" customHeight="1">
      <c r="A14" s="7" t="inlineStr">
        <is>
          <t>B010</t>
        </is>
      </c>
      <c r="B14" s="7" t="inlineStr">
        <is>
          <t>2026-05-27</t>
        </is>
      </c>
      <c r="C14" s="7" t="inlineStr">
        <is>
          <t>2026-05-27</t>
        </is>
      </c>
      <c r="D14" s="7" t="inlineStr"/>
      <c r="E14" s="7" t="inlineStr">
        <is>
          <t>Martins</t>
        </is>
      </c>
      <c r="F14" s="7" t="inlineStr"/>
      <c r="G14" s="7" t="inlineStr"/>
      <c r="H14" s="7" t="inlineStr"/>
      <c r="I14" s="7" t="inlineStr">
        <is>
          <t>Pelvic block</t>
        </is>
      </c>
      <c r="J14" s="14" t="inlineStr">
        <is>
          <t>Pass</t>
        </is>
      </c>
      <c r="K14" s="9" t="inlineStr">
        <is>
          <t>no damage found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2">
        <f>SUM(L14:V14)</f>
        <v/>
      </c>
      <c r="X14" s="13" t="inlineStr"/>
    </row>
    <row r="15" ht="16" customHeight="1">
      <c r="A15" s="7" t="inlineStr">
        <is>
          <t>B011</t>
        </is>
      </c>
      <c r="B15" s="7" t="inlineStr">
        <is>
          <t>2026-05-27</t>
        </is>
      </c>
      <c r="C15" s="7" t="inlineStr">
        <is>
          <t>2026-05-27</t>
        </is>
      </c>
      <c r="D15" s="7" t="inlineStr"/>
      <c r="E15" s="7" t="inlineStr">
        <is>
          <t>Martins</t>
        </is>
      </c>
      <c r="F15" s="7" t="inlineStr"/>
      <c r="G15" s="7" t="inlineStr"/>
      <c r="H15" s="7" t="inlineStr"/>
      <c r="I15" s="7" t="inlineStr">
        <is>
          <t>Pelvic block</t>
        </is>
      </c>
      <c r="J15" s="14" t="inlineStr">
        <is>
          <t>Pass</t>
        </is>
      </c>
      <c r="K15" s="9" t="inlineStr">
        <is>
          <t>no damage found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2">
        <f>SUM(L15:V15)</f>
        <v/>
      </c>
      <c r="X15" s="13" t="inlineStr"/>
    </row>
    <row r="16" ht="30" customHeight="1">
      <c r="A16" s="7" t="inlineStr">
        <is>
          <t>B012</t>
        </is>
      </c>
      <c r="B16" s="7" t="inlineStr">
        <is>
          <t>2026-05-27</t>
        </is>
      </c>
      <c r="C16" s="7" t="inlineStr">
        <is>
          <t>2026-05-27</t>
        </is>
      </c>
      <c r="D16" s="7" t="inlineStr"/>
      <c r="E16" s="7" t="inlineStr">
        <is>
          <t>Martins</t>
        </is>
      </c>
      <c r="F16" s="7" t="inlineStr"/>
      <c r="G16" s="7" t="inlineStr"/>
      <c r="H16" s="7" t="inlineStr"/>
      <c r="I16" s="7" t="inlineStr">
        <is>
          <t>Pelvic block</t>
        </is>
      </c>
      <c r="J16" s="8" t="inlineStr">
        <is>
          <t>Fail</t>
        </is>
      </c>
      <c r="K16" s="9" t="inlineStr">
        <is>
          <t>ureter cut off</t>
        </is>
      </c>
      <c r="L16" s="10" t="n"/>
      <c r="M16" s="11" t="n">
        <v>1</v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2">
        <f>SUM(L16:V16)</f>
        <v/>
      </c>
      <c r="X16" s="13" t="inlineStr"/>
    </row>
    <row r="17" ht="30" customHeight="1">
      <c r="A17" s="7" t="inlineStr">
        <is>
          <t>B013</t>
        </is>
      </c>
      <c r="B17" s="7" t="inlineStr">
        <is>
          <t>2026-05-27</t>
        </is>
      </c>
      <c r="C17" s="7" t="inlineStr">
        <is>
          <t>2026-05-27</t>
        </is>
      </c>
      <c r="D17" s="7" t="inlineStr"/>
      <c r="E17" s="7" t="inlineStr">
        <is>
          <t>Martins</t>
        </is>
      </c>
      <c r="F17" s="7" t="inlineStr"/>
      <c r="G17" s="7" t="inlineStr"/>
      <c r="H17" s="7" t="inlineStr"/>
      <c r="I17" s="7" t="inlineStr">
        <is>
          <t>Pelvic block</t>
        </is>
      </c>
      <c r="J17" s="8" t="inlineStr">
        <is>
          <t>Fail</t>
        </is>
      </c>
      <c r="K17" s="9" t="inlineStr">
        <is>
          <t>hole in mesentary membrane in critical area greater than 1.5"</t>
        </is>
      </c>
      <c r="L17" s="10" t="n"/>
      <c r="M17" s="10" t="n"/>
      <c r="N17" s="10" t="n"/>
      <c r="O17" s="10" t="n"/>
      <c r="P17" s="10" t="n"/>
      <c r="Q17" s="11" t="n">
        <v>1</v>
      </c>
      <c r="R17" s="10" t="n"/>
      <c r="S17" s="10" t="n"/>
      <c r="T17" s="10" t="n"/>
      <c r="U17" s="10" t="n"/>
      <c r="V17" s="10" t="n"/>
      <c r="W17" s="12">
        <f>SUM(L17:V17)</f>
        <v/>
      </c>
      <c r="X17" s="13" t="inlineStr"/>
    </row>
    <row r="18" ht="30" customHeight="1">
      <c r="A18" s="7" t="inlineStr">
        <is>
          <t>B014</t>
        </is>
      </c>
      <c r="B18" s="7" t="inlineStr">
        <is>
          <t>2026-05-27</t>
        </is>
      </c>
      <c r="C18" s="7" t="inlineStr">
        <is>
          <t>2026-05-27</t>
        </is>
      </c>
      <c r="D18" s="7" t="inlineStr"/>
      <c r="E18" s="7" t="inlineStr">
        <is>
          <t>Martins</t>
        </is>
      </c>
      <c r="F18" s="7" t="inlineStr"/>
      <c r="G18" s="7" t="inlineStr"/>
      <c r="H18" s="7" t="inlineStr"/>
      <c r="I18" s="7" t="inlineStr">
        <is>
          <t>Pelvic block</t>
        </is>
      </c>
      <c r="J18" s="8" t="inlineStr">
        <is>
          <t>Fail</t>
        </is>
      </c>
      <c r="K18" s="9" t="inlineStr">
        <is>
          <t>hole in mesentary membrane in critical area greater than 1.5"</t>
        </is>
      </c>
      <c r="L18" s="10" t="n"/>
      <c r="M18" s="10" t="n"/>
      <c r="N18" s="10" t="n"/>
      <c r="O18" s="10" t="n"/>
      <c r="P18" s="10" t="n"/>
      <c r="Q18" s="11" t="n">
        <v>1</v>
      </c>
      <c r="R18" s="10" t="n"/>
      <c r="S18" s="10" t="n"/>
      <c r="T18" s="10" t="n"/>
      <c r="U18" s="10" t="n"/>
      <c r="V18" s="10" t="n"/>
      <c r="W18" s="12">
        <f>SUM(L18:V18)</f>
        <v/>
      </c>
      <c r="X18" s="13" t="inlineStr"/>
    </row>
    <row r="19" ht="30" customHeight="1">
      <c r="A19" s="7" t="inlineStr">
        <is>
          <t>B015</t>
        </is>
      </c>
      <c r="B19" s="7" t="inlineStr">
        <is>
          <t>2026-05-27</t>
        </is>
      </c>
      <c r="C19" s="7" t="inlineStr">
        <is>
          <t>2026-05-27</t>
        </is>
      </c>
      <c r="D19" s="7" t="inlineStr"/>
      <c r="E19" s="7" t="inlineStr">
        <is>
          <t>Martins</t>
        </is>
      </c>
      <c r="F19" s="7" t="inlineStr"/>
      <c r="G19" s="7" t="inlineStr"/>
      <c r="H19" s="7" t="inlineStr"/>
      <c r="I19" s="7" t="inlineStr">
        <is>
          <t>Pelvic block</t>
        </is>
      </c>
      <c r="J19" s="8" t="inlineStr">
        <is>
          <t>Fail</t>
        </is>
      </c>
      <c r="K19" s="9" t="inlineStr">
        <is>
          <t>hole in mesentary membrane in critical area greater than 1.5"</t>
        </is>
      </c>
      <c r="L19" s="10" t="n"/>
      <c r="M19" s="10" t="n"/>
      <c r="N19" s="10" t="n"/>
      <c r="O19" s="10" t="n"/>
      <c r="P19" s="10" t="n"/>
      <c r="Q19" s="11" t="n">
        <v>1</v>
      </c>
      <c r="R19" s="10" t="n"/>
      <c r="S19" s="10" t="n"/>
      <c r="T19" s="10" t="n"/>
      <c r="U19" s="10" t="n"/>
      <c r="V19" s="10" t="n"/>
      <c r="W19" s="12">
        <f>SUM(L19:V19)</f>
        <v/>
      </c>
      <c r="X19" s="13" t="inlineStr"/>
    </row>
    <row r="20" ht="30" customHeight="1">
      <c r="A20" s="7" t="inlineStr">
        <is>
          <t>B016</t>
        </is>
      </c>
      <c r="B20" s="7" t="inlineStr">
        <is>
          <t>2026-05-27</t>
        </is>
      </c>
      <c r="C20" s="7" t="inlineStr">
        <is>
          <t>2026-05-27</t>
        </is>
      </c>
      <c r="D20" s="7" t="inlineStr"/>
      <c r="E20" s="7" t="inlineStr">
        <is>
          <t>Martins</t>
        </is>
      </c>
      <c r="F20" s="7" t="inlineStr"/>
      <c r="G20" s="7" t="inlineStr"/>
      <c r="H20" s="7" t="inlineStr"/>
      <c r="I20" s="7" t="inlineStr">
        <is>
          <t>Pelvic block</t>
        </is>
      </c>
      <c r="J20" s="8" t="inlineStr">
        <is>
          <t>Fail</t>
        </is>
      </c>
      <c r="K20" s="9" t="inlineStr">
        <is>
          <t>hole in mesentary membrane in critical area greater than 1.5"</t>
        </is>
      </c>
      <c r="L20" s="10" t="n"/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0" t="n"/>
      <c r="W20" s="12">
        <f>SUM(L20:V20)</f>
        <v/>
      </c>
      <c r="X20" s="13" t="inlineStr"/>
    </row>
    <row r="21" ht="30" customHeight="1">
      <c r="A21" s="7" t="inlineStr">
        <is>
          <t>B017</t>
        </is>
      </c>
      <c r="B21" s="7" t="inlineStr">
        <is>
          <t>2026-05-27</t>
        </is>
      </c>
      <c r="C21" s="7" t="inlineStr">
        <is>
          <t>2026-05-27</t>
        </is>
      </c>
      <c r="D21" s="7" t="inlineStr"/>
      <c r="E21" s="7" t="inlineStr">
        <is>
          <t>Martins</t>
        </is>
      </c>
      <c r="F21" s="7" t="inlineStr"/>
      <c r="G21" s="7" t="inlineStr"/>
      <c r="H21" s="7" t="inlineStr"/>
      <c r="I21" s="7" t="inlineStr">
        <is>
          <t>Pelvic block</t>
        </is>
      </c>
      <c r="J21" s="8" t="inlineStr">
        <is>
          <t>Fail</t>
        </is>
      </c>
      <c r="K21" s="9" t="inlineStr">
        <is>
          <t>hole in mesentary membrane in critical area greater than 1.5"</t>
        </is>
      </c>
      <c r="L21" s="10" t="n"/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0" t="n"/>
      <c r="W21" s="12">
        <f>SUM(L21:V21)</f>
        <v/>
      </c>
      <c r="X21" s="13" t="inlineStr"/>
    </row>
    <row r="22" ht="30" customHeight="1">
      <c r="A22" s="7" t="inlineStr">
        <is>
          <t>B018</t>
        </is>
      </c>
      <c r="B22" s="7" t="inlineStr">
        <is>
          <t>2026-05-27</t>
        </is>
      </c>
      <c r="C22" s="7" t="inlineStr">
        <is>
          <t>2026-05-27</t>
        </is>
      </c>
      <c r="D22" s="7" t="inlineStr"/>
      <c r="E22" s="7" t="inlineStr">
        <is>
          <t>Martins</t>
        </is>
      </c>
      <c r="F22" s="7" t="inlineStr"/>
      <c r="G22" s="7" t="inlineStr"/>
      <c r="H22" s="7" t="inlineStr"/>
      <c r="I22" s="7" t="inlineStr">
        <is>
          <t>Pelvic block</t>
        </is>
      </c>
      <c r="J22" s="8" t="inlineStr">
        <is>
          <t>Fail</t>
        </is>
      </c>
      <c r="K22" s="9" t="inlineStr">
        <is>
          <t>hole in mesentary membrane in critical area greater than 1.5"</t>
        </is>
      </c>
      <c r="L22" s="10" t="n"/>
      <c r="M22" s="10" t="n"/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0" t="n"/>
      <c r="W22" s="12">
        <f>SUM(L22:V22)</f>
        <v/>
      </c>
      <c r="X22" s="13" t="inlineStr"/>
    </row>
    <row r="23" ht="30" customHeight="1">
      <c r="A23" s="7" t="inlineStr">
        <is>
          <t>B019</t>
        </is>
      </c>
      <c r="B23" s="7" t="inlineStr">
        <is>
          <t>2026-05-27</t>
        </is>
      </c>
      <c r="C23" s="7" t="inlineStr">
        <is>
          <t>2026-05-27</t>
        </is>
      </c>
      <c r="D23" s="7" t="inlineStr"/>
      <c r="E23" s="7" t="inlineStr">
        <is>
          <t>Martins</t>
        </is>
      </c>
      <c r="F23" s="7" t="inlineStr"/>
      <c r="G23" s="7" t="inlineStr"/>
      <c r="H23" s="7" t="inlineStr"/>
      <c r="I23" s="7" t="inlineStr">
        <is>
          <t>Pelvic block</t>
        </is>
      </c>
      <c r="J23" s="8" t="inlineStr">
        <is>
          <t>Fail</t>
        </is>
      </c>
      <c r="K23" s="9" t="inlineStr">
        <is>
          <t>hole in mesentary membrane in critical area greater than 1.5"</t>
        </is>
      </c>
      <c r="L23" s="10" t="n"/>
      <c r="M23" s="10" t="n"/>
      <c r="N23" s="10" t="n"/>
      <c r="O23" s="10" t="n"/>
      <c r="P23" s="10" t="n"/>
      <c r="Q23" s="11" t="n">
        <v>1</v>
      </c>
      <c r="R23" s="10" t="n"/>
      <c r="S23" s="10" t="n"/>
      <c r="T23" s="10" t="n"/>
      <c r="U23" s="10" t="n"/>
      <c r="V23" s="10" t="n"/>
      <c r="W23" s="12">
        <f>SUM(L23:V23)</f>
        <v/>
      </c>
      <c r="X23" s="13" t="inlineStr"/>
    </row>
    <row r="24" ht="30" customHeight="1">
      <c r="A24" s="7" t="inlineStr">
        <is>
          <t>B020</t>
        </is>
      </c>
      <c r="B24" s="7" t="inlineStr">
        <is>
          <t>2026-05-27</t>
        </is>
      </c>
      <c r="C24" s="7" t="inlineStr">
        <is>
          <t>2026-05-27</t>
        </is>
      </c>
      <c r="D24" s="7" t="inlineStr"/>
      <c r="E24" s="7" t="inlineStr">
        <is>
          <t>Martins</t>
        </is>
      </c>
      <c r="F24" s="7" t="inlineStr"/>
      <c r="G24" s="7" t="inlineStr"/>
      <c r="H24" s="7" t="inlineStr"/>
      <c r="I24" s="7" t="inlineStr">
        <is>
          <t>Pelvic block</t>
        </is>
      </c>
      <c r="J24" s="8" t="inlineStr">
        <is>
          <t>Fail</t>
        </is>
      </c>
      <c r="K24" s="9" t="inlineStr">
        <is>
          <t>hole in mesentary membrane in critical area greater than 1.5"</t>
        </is>
      </c>
      <c r="L24" s="10" t="n"/>
      <c r="M24" s="10" t="n"/>
      <c r="N24" s="10" t="n"/>
      <c r="O24" s="10" t="n"/>
      <c r="P24" s="10" t="n"/>
      <c r="Q24" s="11" t="n">
        <v>1</v>
      </c>
      <c r="R24" s="10" t="n"/>
      <c r="S24" s="10" t="n"/>
      <c r="T24" s="10" t="n"/>
      <c r="U24" s="10" t="n"/>
      <c r="V24" s="10" t="n"/>
      <c r="W24" s="12">
        <f>SUM(L24:V24)</f>
        <v/>
      </c>
      <c r="X24" s="13" t="inlineStr"/>
    </row>
    <row r="25" ht="30" customHeight="1">
      <c r="A25" s="7" t="inlineStr">
        <is>
          <t>B021</t>
        </is>
      </c>
      <c r="B25" s="7" t="inlineStr">
        <is>
          <t>2026-05-27</t>
        </is>
      </c>
      <c r="C25" s="7" t="inlineStr">
        <is>
          <t>2026-05-27</t>
        </is>
      </c>
      <c r="D25" s="7" t="inlineStr"/>
      <c r="E25" s="7" t="inlineStr">
        <is>
          <t>Martins</t>
        </is>
      </c>
      <c r="F25" s="7" t="inlineStr"/>
      <c r="G25" s="7" t="inlineStr"/>
      <c r="H25" s="7" t="inlineStr"/>
      <c r="I25" s="7" t="inlineStr">
        <is>
          <t>Pelvic block</t>
        </is>
      </c>
      <c r="J25" s="8" t="inlineStr">
        <is>
          <t>Fail</t>
        </is>
      </c>
      <c r="K25" s="9" t="inlineStr">
        <is>
          <t>hole in mesentary membrane in critical area greater than 1.5"</t>
        </is>
      </c>
      <c r="L25" s="10" t="n"/>
      <c r="M25" s="10" t="n"/>
      <c r="N25" s="10" t="n"/>
      <c r="O25" s="10" t="n"/>
      <c r="P25" s="10" t="n"/>
      <c r="Q25" s="11" t="n">
        <v>1</v>
      </c>
      <c r="R25" s="10" t="n"/>
      <c r="S25" s="10" t="n"/>
      <c r="T25" s="10" t="n"/>
      <c r="U25" s="10" t="n"/>
      <c r="V25" s="10" t="n"/>
      <c r="W25" s="12">
        <f>SUM(L25:V25)</f>
        <v/>
      </c>
      <c r="X25" s="13" t="inlineStr"/>
    </row>
    <row r="26" ht="30" customHeight="1">
      <c r="A26" s="7" t="inlineStr">
        <is>
          <t>B022</t>
        </is>
      </c>
      <c r="B26" s="7" t="inlineStr">
        <is>
          <t>2026-05-27</t>
        </is>
      </c>
      <c r="C26" s="7" t="inlineStr">
        <is>
          <t>2026-05-27</t>
        </is>
      </c>
      <c r="D26" s="7" t="inlineStr"/>
      <c r="E26" s="7" t="inlineStr">
        <is>
          <t>Martins</t>
        </is>
      </c>
      <c r="F26" s="7" t="inlineStr"/>
      <c r="G26" s="7" t="inlineStr"/>
      <c r="H26" s="7" t="inlineStr"/>
      <c r="I26" s="7" t="inlineStr">
        <is>
          <t>Pelvic block</t>
        </is>
      </c>
      <c r="J26" s="8" t="inlineStr">
        <is>
          <t>Fail</t>
        </is>
      </c>
      <c r="K26" s="9" t="inlineStr">
        <is>
          <t>hole in mesentary membrane in critical area greater than 1.5"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0" t="n"/>
      <c r="W26" s="12">
        <f>SUM(L26:V26)</f>
        <v/>
      </c>
      <c r="X26" s="13" t="inlineStr"/>
    </row>
    <row r="27" ht="30" customHeight="1">
      <c r="A27" s="7" t="inlineStr">
        <is>
          <t>B023</t>
        </is>
      </c>
      <c r="B27" s="7" t="inlineStr">
        <is>
          <t>2026-05-27</t>
        </is>
      </c>
      <c r="C27" s="7" t="inlineStr">
        <is>
          <t>2026-05-27</t>
        </is>
      </c>
      <c r="D27" s="7" t="inlineStr"/>
      <c r="E27" s="7" t="inlineStr">
        <is>
          <t>Martins</t>
        </is>
      </c>
      <c r="F27" s="7" t="inlineStr"/>
      <c r="G27" s="7" t="inlineStr"/>
      <c r="H27" s="7" t="inlineStr"/>
      <c r="I27" s="7" t="inlineStr">
        <is>
          <t>Pelvic block</t>
        </is>
      </c>
      <c r="J27" s="8" t="inlineStr">
        <is>
          <t>Fail</t>
        </is>
      </c>
      <c r="K27" s="9" t="inlineStr">
        <is>
          <t>hole in mesentary membrane in critical area greater than 1.5"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0" t="n"/>
      <c r="W27" s="12">
        <f>SUM(L27:V27)</f>
        <v/>
      </c>
      <c r="X27" s="13" t="inlineStr"/>
    </row>
    <row r="28" ht="30" customHeight="1">
      <c r="A28" s="7" t="inlineStr">
        <is>
          <t>B024</t>
        </is>
      </c>
      <c r="B28" s="7" t="inlineStr">
        <is>
          <t>2026-05-27</t>
        </is>
      </c>
      <c r="C28" s="7" t="inlineStr">
        <is>
          <t>2026-05-27</t>
        </is>
      </c>
      <c r="D28" s="7" t="inlineStr"/>
      <c r="E28" s="7" t="inlineStr">
        <is>
          <t>Martins</t>
        </is>
      </c>
      <c r="F28" s="7" t="inlineStr"/>
      <c r="G28" s="7" t="inlineStr"/>
      <c r="H28" s="7" t="inlineStr"/>
      <c r="I28" s="7" t="inlineStr">
        <is>
          <t>Pelvic block</t>
        </is>
      </c>
      <c r="J28" s="8" t="inlineStr">
        <is>
          <t>Fail</t>
        </is>
      </c>
      <c r="K28" s="9" t="inlineStr">
        <is>
          <t>hole in mesentary membrane in critical area greater than 1.5"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0" t="n"/>
      <c r="W28" s="12">
        <f>SUM(L28:V28)</f>
        <v/>
      </c>
      <c r="X28" s="13" t="inlineStr"/>
    </row>
    <row r="29" ht="30" customHeight="1">
      <c r="A29" s="7" t="inlineStr">
        <is>
          <t>B025</t>
        </is>
      </c>
      <c r="B29" s="7" t="inlineStr">
        <is>
          <t>2026-05-27</t>
        </is>
      </c>
      <c r="C29" s="7" t="inlineStr">
        <is>
          <t>2026-05-27</t>
        </is>
      </c>
      <c r="D29" s="7" t="inlineStr"/>
      <c r="E29" s="7" t="inlineStr">
        <is>
          <t>Martins</t>
        </is>
      </c>
      <c r="F29" s="7" t="inlineStr"/>
      <c r="G29" s="7" t="inlineStr"/>
      <c r="H29" s="7" t="inlineStr"/>
      <c r="I29" s="7" t="inlineStr">
        <is>
          <t>Pelvic block</t>
        </is>
      </c>
      <c r="J29" s="8" t="inlineStr">
        <is>
          <t>Fail</t>
        </is>
      </c>
      <c r="K29" s="9" t="inlineStr">
        <is>
          <t>hole in mesentary membrane in critical area greater than 1.5"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0" t="n"/>
      <c r="W29" s="12">
        <f>SUM(L29:V29)</f>
        <v/>
      </c>
      <c r="X29" s="13" t="inlineStr"/>
    </row>
    <row r="30" ht="30" customHeight="1">
      <c r="A30" s="7" t="inlineStr">
        <is>
          <t>B026</t>
        </is>
      </c>
      <c r="B30" s="7" t="inlineStr">
        <is>
          <t>2026-05-27</t>
        </is>
      </c>
      <c r="C30" s="7" t="inlineStr">
        <is>
          <t>2026-05-27</t>
        </is>
      </c>
      <c r="D30" s="7" t="inlineStr"/>
      <c r="E30" s="7" t="inlineStr">
        <is>
          <t>Martins</t>
        </is>
      </c>
      <c r="F30" s="7" t="inlineStr"/>
      <c r="G30" s="7" t="inlineStr"/>
      <c r="H30" s="7" t="inlineStr"/>
      <c r="I30" s="7" t="inlineStr">
        <is>
          <t>Pelvic block</t>
        </is>
      </c>
      <c r="J30" s="8" t="inlineStr">
        <is>
          <t>Fail</t>
        </is>
      </c>
      <c r="K30" s="9" t="inlineStr">
        <is>
          <t>hole in mesentary membrane in critical area greater than 1.5"</t>
        </is>
      </c>
      <c r="L30" s="10" t="n"/>
      <c r="M30" s="10" t="n"/>
      <c r="N30" s="10" t="n"/>
      <c r="O30" s="10" t="n"/>
      <c r="P30" s="10" t="n"/>
      <c r="Q30" s="11" t="n">
        <v>1</v>
      </c>
      <c r="R30" s="10" t="n"/>
      <c r="S30" s="10" t="n"/>
      <c r="T30" s="10" t="n"/>
      <c r="U30" s="10" t="n"/>
      <c r="V30" s="10" t="n"/>
      <c r="W30" s="12">
        <f>SUM(L30:V30)</f>
        <v/>
      </c>
      <c r="X30" s="13" t="inlineStr"/>
    </row>
    <row r="31" ht="30" customHeight="1">
      <c r="A31" s="7" t="inlineStr">
        <is>
          <t>B027</t>
        </is>
      </c>
      <c r="B31" s="7" t="inlineStr">
        <is>
          <t>2026-05-27</t>
        </is>
      </c>
      <c r="C31" s="7" t="inlineStr">
        <is>
          <t>2026-05-27</t>
        </is>
      </c>
      <c r="D31" s="7" t="inlineStr"/>
      <c r="E31" s="7" t="inlineStr">
        <is>
          <t>Martins</t>
        </is>
      </c>
      <c r="F31" s="7" t="inlineStr"/>
      <c r="G31" s="7" t="inlineStr"/>
      <c r="H31" s="7" t="inlineStr"/>
      <c r="I31" s="7" t="inlineStr">
        <is>
          <t>Pelvic block</t>
        </is>
      </c>
      <c r="J31" s="8" t="inlineStr">
        <is>
          <t>Fail</t>
        </is>
      </c>
      <c r="K31" s="9" t="inlineStr">
        <is>
          <t>rectum seperation</t>
        </is>
      </c>
      <c r="L31" s="10" t="n"/>
      <c r="M31" s="10" t="n"/>
      <c r="N31" s="10" t="n"/>
      <c r="O31" s="10" t="n"/>
      <c r="P31" s="10" t="n"/>
      <c r="Q31" s="10" t="n"/>
      <c r="R31" s="10" t="n"/>
      <c r="S31" s="11" t="n">
        <v>1</v>
      </c>
      <c r="T31" s="10" t="n"/>
      <c r="U31" s="10" t="n"/>
      <c r="V31" s="10" t="n"/>
      <c r="W31" s="12">
        <f>SUM(L31:V31)</f>
        <v/>
      </c>
      <c r="X31" s="13" t="inlineStr"/>
    </row>
    <row r="32" ht="30" customHeight="1">
      <c r="A32" s="7" t="inlineStr">
        <is>
          <t>B028</t>
        </is>
      </c>
      <c r="B32" s="7" t="inlineStr">
        <is>
          <t>2026-05-27</t>
        </is>
      </c>
      <c r="C32" s="7" t="inlineStr">
        <is>
          <t>2026-05-27</t>
        </is>
      </c>
      <c r="D32" s="7" t="inlineStr"/>
      <c r="E32" s="7" t="inlineStr">
        <is>
          <t>Martins</t>
        </is>
      </c>
      <c r="F32" s="7" t="inlineStr"/>
      <c r="G32" s="7" t="inlineStr"/>
      <c r="H32" s="7" t="inlineStr"/>
      <c r="I32" s="7" t="inlineStr">
        <is>
          <t>Pelvic block</t>
        </is>
      </c>
      <c r="J32" s="8" t="inlineStr">
        <is>
          <t>Fail</t>
        </is>
      </c>
      <c r="K32" s="9" t="inlineStr">
        <is>
          <t>laceration in urethra</t>
        </is>
      </c>
      <c r="L32" s="10" t="n"/>
      <c r="M32" s="10" t="n"/>
      <c r="N32" s="10" t="n"/>
      <c r="O32" s="10" t="n"/>
      <c r="P32" s="11" t="n">
        <v>1</v>
      </c>
      <c r="Q32" s="10" t="n"/>
      <c r="R32" s="10" t="n"/>
      <c r="S32" s="10" t="n"/>
      <c r="T32" s="10" t="n"/>
      <c r="U32" s="10" t="n"/>
      <c r="V32" s="10" t="n"/>
      <c r="W32" s="12">
        <f>SUM(L32:V32)</f>
        <v/>
      </c>
      <c r="X32" s="13" t="inlineStr"/>
    </row>
    <row r="33" ht="30" customHeight="1">
      <c r="A33" s="7" t="inlineStr">
        <is>
          <t>B029</t>
        </is>
      </c>
      <c r="B33" s="7" t="inlineStr">
        <is>
          <t>2026-05-27</t>
        </is>
      </c>
      <c r="C33" s="7" t="inlineStr">
        <is>
          <t>2026-05-27</t>
        </is>
      </c>
      <c r="D33" s="7" t="inlineStr"/>
      <c r="E33" s="7" t="inlineStr">
        <is>
          <t>Martins</t>
        </is>
      </c>
      <c r="F33" s="7" t="inlineStr"/>
      <c r="G33" s="7" t="inlineStr"/>
      <c r="H33" s="7" t="inlineStr"/>
      <c r="I33" s="7" t="inlineStr">
        <is>
          <t>Pelvic block</t>
        </is>
      </c>
      <c r="J33" s="8" t="inlineStr">
        <is>
          <t>Fail</t>
        </is>
      </c>
      <c r="K33" s="9" t="inlineStr">
        <is>
          <t>laceration in urethra</t>
        </is>
      </c>
      <c r="L33" s="10" t="n"/>
      <c r="M33" s="10" t="n"/>
      <c r="N33" s="10" t="n"/>
      <c r="O33" s="10" t="n"/>
      <c r="P33" s="11" t="n">
        <v>1</v>
      </c>
      <c r="Q33" s="10" t="n"/>
      <c r="R33" s="10" t="n"/>
      <c r="S33" s="10" t="n"/>
      <c r="T33" s="10" t="n"/>
      <c r="U33" s="10" t="n"/>
      <c r="V33" s="10" t="n"/>
      <c r="W33" s="12">
        <f>SUM(L33:V33)</f>
        <v/>
      </c>
      <c r="X33" s="13" t="inlineStr"/>
    </row>
    <row r="34" ht="30" customHeight="1">
      <c r="A34" s="7" t="inlineStr">
        <is>
          <t>B030</t>
        </is>
      </c>
      <c r="B34" s="7" t="inlineStr">
        <is>
          <t>2026-05-27</t>
        </is>
      </c>
      <c r="C34" s="7" t="inlineStr">
        <is>
          <t>2026-05-27</t>
        </is>
      </c>
      <c r="D34" s="7" t="inlineStr"/>
      <c r="E34" s="7" t="inlineStr">
        <is>
          <t>Martins</t>
        </is>
      </c>
      <c r="F34" s="7" t="inlineStr"/>
      <c r="G34" s="7" t="inlineStr"/>
      <c r="H34" s="7" t="inlineStr"/>
      <c r="I34" s="7" t="inlineStr">
        <is>
          <t>Pelvic block</t>
        </is>
      </c>
      <c r="J34" s="8" t="inlineStr">
        <is>
          <t>Fail</t>
        </is>
      </c>
      <c r="K34" s="9" t="inlineStr">
        <is>
          <t>hole in the distal end of the urethra and hole in mesentary membrane in critical area greater than 1.5"</t>
        </is>
      </c>
      <c r="L34" s="10" t="n"/>
      <c r="M34" s="10" t="n"/>
      <c r="N34" s="10" t="n"/>
      <c r="O34" s="10" t="n"/>
      <c r="P34" s="11" t="n">
        <v>1</v>
      </c>
      <c r="Q34" s="11" t="n">
        <v>1</v>
      </c>
      <c r="R34" s="10" t="n"/>
      <c r="S34" s="10" t="n"/>
      <c r="T34" s="10" t="n"/>
      <c r="U34" s="10" t="n"/>
      <c r="V34" s="10" t="n"/>
      <c r="W34" s="12">
        <f>SUM(L34:V34)</f>
        <v/>
      </c>
      <c r="X34" s="13" t="inlineStr"/>
    </row>
    <row r="35" ht="30" customHeight="1">
      <c r="A35" s="7" t="inlineStr">
        <is>
          <t>B031</t>
        </is>
      </c>
      <c r="B35" s="7" t="inlineStr">
        <is>
          <t>2026-05-27</t>
        </is>
      </c>
      <c r="C35" s="7" t="inlineStr">
        <is>
          <t>2026-05-27</t>
        </is>
      </c>
      <c r="D35" s="7" t="inlineStr"/>
      <c r="E35" s="7" t="inlineStr">
        <is>
          <t>Martins</t>
        </is>
      </c>
      <c r="F35" s="7" t="inlineStr"/>
      <c r="G35" s="7" t="inlineStr"/>
      <c r="H35" s="7" t="inlineStr"/>
      <c r="I35" s="7" t="inlineStr">
        <is>
          <t>Pelvic block</t>
        </is>
      </c>
      <c r="J35" s="14" t="inlineStr">
        <is>
          <t>Pass</t>
        </is>
      </c>
      <c r="K35" s="9" t="inlineStr">
        <is>
          <t>hole in the distal end of the colon passed the template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2">
        <f>SUM(L35:V35)</f>
        <v/>
      </c>
      <c r="X35" s="15" t="inlineStr">
        <is>
          <t>Colon hole small enough to pass template.</t>
        </is>
      </c>
    </row>
    <row r="36" ht="30" customHeight="1">
      <c r="A36" s="7" t="inlineStr">
        <is>
          <t>B032</t>
        </is>
      </c>
      <c r="B36" s="7" t="inlineStr">
        <is>
          <t>2026-07-10</t>
        </is>
      </c>
      <c r="C36" s="7" t="inlineStr">
        <is>
          <t>2026-07-08</t>
        </is>
      </c>
      <c r="D36" s="7" t="inlineStr">
        <is>
          <t>2026-07-08</t>
        </is>
      </c>
      <c r="E36" s="7" t="inlineStr">
        <is>
          <t>Martins</t>
        </is>
      </c>
      <c r="F36" s="7" t="inlineStr"/>
      <c r="G36" s="7" t="inlineStr"/>
      <c r="H36" s="7" t="inlineStr">
        <is>
          <t>12:30 PM - 12:45 PM</t>
        </is>
      </c>
      <c r="I36" s="7" t="inlineStr">
        <is>
          <t>Tiss, porcine, fem, Pelvic block</t>
        </is>
      </c>
      <c r="J36" s="8" t="inlineStr">
        <is>
          <t>Fail</t>
        </is>
      </c>
      <c r="K36" s="9" t="inlineStr">
        <is>
          <t>Large hole near right broad ligament and membrane causing seperation of bowel and ureters.</t>
        </is>
      </c>
      <c r="L36" s="10" t="n"/>
      <c r="M36" s="10" t="n"/>
      <c r="N36" s="10" t="n"/>
      <c r="O36" s="10" t="n"/>
      <c r="P36" s="10" t="n"/>
      <c r="Q36" s="11" t="n">
        <v>1</v>
      </c>
      <c r="R36" s="10" t="n"/>
      <c r="S36" s="11" t="n">
        <v>1</v>
      </c>
      <c r="T36" s="10" t="n"/>
      <c r="U36" s="11" t="n">
        <v>1</v>
      </c>
      <c r="V36" s="10" t="n"/>
      <c r="W36" s="12">
        <f>SUM(L36:V36)</f>
        <v/>
      </c>
      <c r="X36" s="13" t="inlineStr"/>
    </row>
    <row r="37" ht="30" customHeight="1">
      <c r="A37" s="7" t="inlineStr">
        <is>
          <t>B033</t>
        </is>
      </c>
      <c r="B37" s="7" t="inlineStr">
        <is>
          <t>2026-07-10</t>
        </is>
      </c>
      <c r="C37" s="7" t="inlineStr">
        <is>
          <t>2026-07-08</t>
        </is>
      </c>
      <c r="D37" s="7" t="inlineStr">
        <is>
          <t>2026-07-08</t>
        </is>
      </c>
      <c r="E37" s="7" t="inlineStr">
        <is>
          <t>Martins</t>
        </is>
      </c>
      <c r="F37" s="7" t="inlineStr"/>
      <c r="G37" s="7" t="inlineStr"/>
      <c r="H37" s="7" t="inlineStr">
        <is>
          <t>12:30 PM - 12:45 PM</t>
        </is>
      </c>
      <c r="I37" s="7" t="inlineStr">
        <is>
          <t>Tiss, porcine, fem, Pelvic block</t>
        </is>
      </c>
      <c r="J37" s="8" t="inlineStr">
        <is>
          <t>Fail</t>
        </is>
      </c>
      <c r="K37" s="9" t="inlineStr">
        <is>
          <t>2 inch damage on membrane seperating bowel in critical area</t>
        </is>
      </c>
      <c r="L37" s="10" t="n"/>
      <c r="M37" s="10" t="n"/>
      <c r="N37" s="10" t="n"/>
      <c r="O37" s="10" t="n"/>
      <c r="P37" s="10" t="n"/>
      <c r="Q37" s="11" t="n">
        <v>1</v>
      </c>
      <c r="R37" s="10" t="n"/>
      <c r="S37" s="11" t="n">
        <v>1</v>
      </c>
      <c r="T37" s="10" t="n"/>
      <c r="U37" s="10" t="n"/>
      <c r="V37" s="10" t="n"/>
      <c r="W37" s="12">
        <f>SUM(L37:V37)</f>
        <v/>
      </c>
      <c r="X37" s="13" t="inlineStr"/>
    </row>
    <row r="38" ht="30" customHeight="1">
      <c r="A38" s="7" t="inlineStr">
        <is>
          <t>B034</t>
        </is>
      </c>
      <c r="B38" s="7" t="inlineStr">
        <is>
          <t>2026-07-10</t>
        </is>
      </c>
      <c r="C38" s="7" t="inlineStr">
        <is>
          <t>2026-07-08</t>
        </is>
      </c>
      <c r="D38" s="7" t="inlineStr">
        <is>
          <t>2026-07-08</t>
        </is>
      </c>
      <c r="E38" s="7" t="inlineStr">
        <is>
          <t>Martins</t>
        </is>
      </c>
      <c r="F38" s="7" t="inlineStr"/>
      <c r="G38" s="7" t="inlineStr"/>
      <c r="H38" s="7" t="inlineStr">
        <is>
          <t>12:30 PM - 12:45 PM</t>
        </is>
      </c>
      <c r="I38" s="7" t="inlineStr">
        <is>
          <t>Tiss, porcine, fem, Pelvic block</t>
        </is>
      </c>
      <c r="J38" s="8" t="inlineStr">
        <is>
          <t>Fail</t>
        </is>
      </c>
      <c r="K38" s="9" t="inlineStr">
        <is>
          <t>urethra is cut</t>
        </is>
      </c>
      <c r="L38" s="10" t="n"/>
      <c r="M38" s="10" t="n"/>
      <c r="N38" s="10" t="n"/>
      <c r="O38" s="10" t="n"/>
      <c r="P38" s="11" t="n">
        <v>1</v>
      </c>
      <c r="Q38" s="10" t="n"/>
      <c r="R38" s="10" t="n"/>
      <c r="S38" s="10" t="n"/>
      <c r="T38" s="10" t="n"/>
      <c r="U38" s="10" t="n"/>
      <c r="V38" s="10" t="n"/>
      <c r="W38" s="12">
        <f>SUM(L38:V38)</f>
        <v/>
      </c>
      <c r="X38" s="13" t="inlineStr"/>
    </row>
    <row r="39" ht="30" customHeight="1">
      <c r="A39" s="7" t="inlineStr">
        <is>
          <t>B035</t>
        </is>
      </c>
      <c r="B39" s="7" t="inlineStr">
        <is>
          <t>2026-07-10</t>
        </is>
      </c>
      <c r="C39" s="7" t="inlineStr">
        <is>
          <t>2026-07-08</t>
        </is>
      </c>
      <c r="D39" s="7" t="inlineStr">
        <is>
          <t>2026-07-08</t>
        </is>
      </c>
      <c r="E39" s="7" t="inlineStr">
        <is>
          <t>Martins</t>
        </is>
      </c>
      <c r="F39" s="7" t="inlineStr"/>
      <c r="G39" s="7" t="inlineStr"/>
      <c r="H39" s="7" t="inlineStr">
        <is>
          <t>12:30 PM - 12:45 PM</t>
        </is>
      </c>
      <c r="I39" s="7" t="inlineStr">
        <is>
          <t>Tiss, porcine, fem, Pelvic block</t>
        </is>
      </c>
      <c r="J39" s="8" t="inlineStr">
        <is>
          <t>Fail</t>
        </is>
      </c>
      <c r="K39" s="9" t="inlineStr">
        <is>
          <t>bladder deformed 12 inch deformed attachment</t>
        </is>
      </c>
      <c r="L39" s="10" t="n"/>
      <c r="M39" s="10" t="n"/>
      <c r="N39" s="10" t="n"/>
      <c r="O39" s="10" t="n"/>
      <c r="P39" s="10" t="n"/>
      <c r="Q39" s="10" t="n"/>
      <c r="R39" s="11" t="n">
        <v>1</v>
      </c>
      <c r="S39" s="10" t="n"/>
      <c r="T39" s="10" t="n"/>
      <c r="U39" s="10" t="n"/>
      <c r="V39" s="10" t="n"/>
      <c r="W39" s="12">
        <f>SUM(L39:V39)</f>
        <v/>
      </c>
      <c r="X39" s="13" t="inlineStr"/>
    </row>
    <row r="40" ht="30" customHeight="1">
      <c r="A40" s="7" t="inlineStr">
        <is>
          <t>B036</t>
        </is>
      </c>
      <c r="B40" s="7" t="inlineStr">
        <is>
          <t>2026-07-10</t>
        </is>
      </c>
      <c r="C40" s="7" t="inlineStr">
        <is>
          <t>2026-07-08</t>
        </is>
      </c>
      <c r="D40" s="7" t="inlineStr">
        <is>
          <t>2026-07-08</t>
        </is>
      </c>
      <c r="E40" s="7" t="inlineStr">
        <is>
          <t>Martins</t>
        </is>
      </c>
      <c r="F40" s="7" t="inlineStr"/>
      <c r="G40" s="7" t="inlineStr"/>
      <c r="H40" s="7" t="inlineStr">
        <is>
          <t>12:30 PM - 12:45 PM</t>
        </is>
      </c>
      <c r="I40" s="7" t="inlineStr">
        <is>
          <t>Tiss, porcine, fem, Pelvic block</t>
        </is>
      </c>
      <c r="J40" s="8" t="inlineStr">
        <is>
          <t>Fail</t>
        </is>
      </c>
      <c r="K40" s="9" t="inlineStr">
        <is>
          <t>suspensory ligaments damaged, ureters not embedded</t>
        </is>
      </c>
      <c r="L40" s="11" t="n">
        <v>1</v>
      </c>
      <c r="M40" s="10" t="n"/>
      <c r="N40" s="10" t="n"/>
      <c r="O40" s="11" t="n">
        <v>1</v>
      </c>
      <c r="P40" s="10" t="n"/>
      <c r="Q40" s="10" t="n"/>
      <c r="R40" s="10" t="n"/>
      <c r="S40" s="10" t="n"/>
      <c r="T40" s="10" t="n"/>
      <c r="U40" s="10" t="n"/>
      <c r="V40" s="10" t="n"/>
      <c r="W40" s="12">
        <f>SUM(L40:V40)</f>
        <v/>
      </c>
      <c r="X40" s="13" t="inlineStr"/>
    </row>
    <row r="41" ht="30" customHeight="1">
      <c r="A41" s="7" t="inlineStr">
        <is>
          <t>B037</t>
        </is>
      </c>
      <c r="B41" s="7" t="inlineStr">
        <is>
          <t>2026-07-10</t>
        </is>
      </c>
      <c r="C41" s="7" t="inlineStr">
        <is>
          <t>2026-07-08</t>
        </is>
      </c>
      <c r="D41" s="7" t="inlineStr">
        <is>
          <t>2026-07-08</t>
        </is>
      </c>
      <c r="E41" s="7" t="inlineStr">
        <is>
          <t>Martins</t>
        </is>
      </c>
      <c r="F41" s="7" t="inlineStr"/>
      <c r="G41" s="7" t="inlineStr"/>
      <c r="H41" s="7" t="inlineStr">
        <is>
          <t>12:30 PM - 12:45 PM</t>
        </is>
      </c>
      <c r="I41" s="7" t="inlineStr">
        <is>
          <t>Tiss, porcine, fem, Pelvic block</t>
        </is>
      </c>
      <c r="J41" s="8" t="inlineStr">
        <is>
          <t>Fail</t>
        </is>
      </c>
      <c r="K41" s="9" t="inlineStr">
        <is>
          <t>ureters not embedded, suspensory ligaments damaged, cut urethra</t>
        </is>
      </c>
      <c r="L41" s="11" t="n">
        <v>1</v>
      </c>
      <c r="M41" s="10" t="n"/>
      <c r="N41" s="10" t="n"/>
      <c r="O41" s="11" t="n">
        <v>1</v>
      </c>
      <c r="P41" s="11" t="n">
        <v>1</v>
      </c>
      <c r="Q41" s="10" t="n"/>
      <c r="R41" s="10" t="n"/>
      <c r="S41" s="10" t="n"/>
      <c r="T41" s="10" t="n"/>
      <c r="U41" s="10" t="n"/>
      <c r="V41" s="10" t="n"/>
      <c r="W41" s="12">
        <f>SUM(L41:V41)</f>
        <v/>
      </c>
      <c r="X41" s="13" t="inlineStr"/>
    </row>
    <row r="42" ht="30" customHeight="1">
      <c r="A42" s="7" t="inlineStr">
        <is>
          <t>B038</t>
        </is>
      </c>
      <c r="B42" s="7" t="inlineStr">
        <is>
          <t>2026-07-10</t>
        </is>
      </c>
      <c r="C42" s="7" t="inlineStr">
        <is>
          <t>2026-07-08</t>
        </is>
      </c>
      <c r="D42" s="7" t="inlineStr">
        <is>
          <t>2026-07-08</t>
        </is>
      </c>
      <c r="E42" s="7" t="inlineStr">
        <is>
          <t>Martins</t>
        </is>
      </c>
      <c r="F42" s="7" t="inlineStr"/>
      <c r="G42" s="7" t="inlineStr"/>
      <c r="H42" s="7" t="inlineStr">
        <is>
          <t>12:30 PM - 12:45 PM</t>
        </is>
      </c>
      <c r="I42" s="7" t="inlineStr">
        <is>
          <t>Tiss, porcine, fem, Pelvic block</t>
        </is>
      </c>
      <c r="J42" s="8" t="inlineStr">
        <is>
          <t>Fail</t>
        </is>
      </c>
      <c r="K42" s="9" t="inlineStr">
        <is>
          <t>ureters not embedded and cut, suspensory ligaments damaged, cut urethra</t>
        </is>
      </c>
      <c r="L42" s="11" t="n">
        <v>1</v>
      </c>
      <c r="M42" s="11" t="n">
        <v>1</v>
      </c>
      <c r="N42" s="10" t="n"/>
      <c r="O42" s="11" t="n">
        <v>1</v>
      </c>
      <c r="P42" s="11" t="n">
        <v>1</v>
      </c>
      <c r="Q42" s="10" t="n"/>
      <c r="R42" s="10" t="n"/>
      <c r="S42" s="10" t="n"/>
      <c r="T42" s="10" t="n"/>
      <c r="U42" s="10" t="n"/>
      <c r="V42" s="10" t="n"/>
      <c r="W42" s="12">
        <f>SUM(L42:V42)</f>
        <v/>
      </c>
      <c r="X42" s="13" t="inlineStr"/>
    </row>
    <row r="43" ht="30" customHeight="1">
      <c r="A43" s="7" t="inlineStr">
        <is>
          <t>B039</t>
        </is>
      </c>
      <c r="B43" s="7" t="inlineStr">
        <is>
          <t>2026-07-10</t>
        </is>
      </c>
      <c r="C43" s="7" t="inlineStr">
        <is>
          <t>2026-07-08</t>
        </is>
      </c>
      <c r="D43" s="7" t="inlineStr">
        <is>
          <t>2026-07-08</t>
        </is>
      </c>
      <c r="E43" s="7" t="inlineStr">
        <is>
          <t>Martins</t>
        </is>
      </c>
      <c r="F43" s="7" t="inlineStr"/>
      <c r="G43" s="7" t="inlineStr"/>
      <c r="H43" s="7" t="inlineStr">
        <is>
          <t>12:30 PM - 12:45 PM</t>
        </is>
      </c>
      <c r="I43" s="7" t="inlineStr">
        <is>
          <t>Tiss, porcine, fem, Pelvic block</t>
        </is>
      </c>
      <c r="J43" s="8" t="inlineStr">
        <is>
          <t>Fail</t>
        </is>
      </c>
      <c r="K43" s="9" t="inlineStr">
        <is>
          <t>ureters not embedded, suspensory ligaments damaged, cut urethra, membrane damaged in critical area</t>
        </is>
      </c>
      <c r="L43" s="11" t="n">
        <v>1</v>
      </c>
      <c r="M43" s="10" t="n"/>
      <c r="N43" s="10" t="n"/>
      <c r="O43" s="11" t="n">
        <v>1</v>
      </c>
      <c r="P43" s="11" t="n">
        <v>1</v>
      </c>
      <c r="Q43" s="11" t="n">
        <v>1</v>
      </c>
      <c r="R43" s="10" t="n"/>
      <c r="S43" s="10" t="n"/>
      <c r="T43" s="10" t="n"/>
      <c r="U43" s="10" t="n"/>
      <c r="V43" s="10" t="n"/>
      <c r="W43" s="12">
        <f>SUM(L43:V43)</f>
        <v/>
      </c>
      <c r="X43" s="13" t="inlineStr"/>
    </row>
    <row r="44" ht="30" customHeight="1">
      <c r="A44" s="7" t="inlineStr">
        <is>
          <t>B040</t>
        </is>
      </c>
      <c r="B44" s="7" t="inlineStr">
        <is>
          <t>2026-07-10</t>
        </is>
      </c>
      <c r="C44" s="7" t="inlineStr">
        <is>
          <t>2026-07-08</t>
        </is>
      </c>
      <c r="D44" s="7" t="inlineStr">
        <is>
          <t>2026-07-08</t>
        </is>
      </c>
      <c r="E44" s="7" t="inlineStr">
        <is>
          <t>Martins</t>
        </is>
      </c>
      <c r="F44" s="7" t="inlineStr"/>
      <c r="G44" s="7" t="inlineStr"/>
      <c r="H44" s="7" t="inlineStr">
        <is>
          <t>12:30 PM - 12:45 PM</t>
        </is>
      </c>
      <c r="I44" s="7" t="inlineStr">
        <is>
          <t>Tiss, porcine, fem, Pelvic block</t>
        </is>
      </c>
      <c r="J44" s="8" t="inlineStr">
        <is>
          <t>Fail</t>
        </is>
      </c>
      <c r="K44" s="9" t="inlineStr">
        <is>
          <t>suspensory ligaments damaged, ureters not embedded</t>
        </is>
      </c>
      <c r="L44" s="11" t="n">
        <v>1</v>
      </c>
      <c r="M44" s="10" t="n"/>
      <c r="N44" s="10" t="n"/>
      <c r="O44" s="11" t="n">
        <v>1</v>
      </c>
      <c r="P44" s="10" t="n"/>
      <c r="Q44" s="10" t="n"/>
      <c r="R44" s="10" t="n"/>
      <c r="S44" s="10" t="n"/>
      <c r="T44" s="10" t="n"/>
      <c r="U44" s="10" t="n"/>
      <c r="V44" s="10" t="n"/>
      <c r="W44" s="12">
        <f>SUM(L44:V44)</f>
        <v/>
      </c>
      <c r="X44" s="13" t="inlineStr"/>
    </row>
    <row r="45" ht="30" customHeight="1">
      <c r="A45" s="7" t="inlineStr">
        <is>
          <t>B041</t>
        </is>
      </c>
      <c r="B45" s="7" t="inlineStr">
        <is>
          <t>2026-07-10</t>
        </is>
      </c>
      <c r="C45" s="7" t="inlineStr">
        <is>
          <t>2026-07-08</t>
        </is>
      </c>
      <c r="D45" s="7" t="inlineStr">
        <is>
          <t>2026-07-08</t>
        </is>
      </c>
      <c r="E45" s="7" t="inlineStr">
        <is>
          <t>Martins</t>
        </is>
      </c>
      <c r="F45" s="7" t="inlineStr"/>
      <c r="G45" s="7" t="inlineStr"/>
      <c r="H45" s="7" t="inlineStr">
        <is>
          <t>12:30 PM - 12:45 PM</t>
        </is>
      </c>
      <c r="I45" s="7" t="inlineStr">
        <is>
          <t>Tiss, porcine, fem, Pelvic block</t>
        </is>
      </c>
      <c r="J45" s="8" t="inlineStr">
        <is>
          <t>Fail</t>
        </is>
      </c>
      <c r="K45" s="9" t="inlineStr">
        <is>
          <t>ureters not embedded, suspensory ligaments damaged, cut urethra, membrane damaged in critical area</t>
        </is>
      </c>
      <c r="L45" s="11" t="n">
        <v>1</v>
      </c>
      <c r="M45" s="10" t="n"/>
      <c r="N45" s="10" t="n"/>
      <c r="O45" s="11" t="n">
        <v>1</v>
      </c>
      <c r="P45" s="11" t="n">
        <v>1</v>
      </c>
      <c r="Q45" s="11" t="n">
        <v>1</v>
      </c>
      <c r="R45" s="10" t="n"/>
      <c r="S45" s="10" t="n"/>
      <c r="T45" s="10" t="n"/>
      <c r="U45" s="10" t="n"/>
      <c r="V45" s="10" t="n"/>
      <c r="W45" s="12">
        <f>SUM(L45:V45)</f>
        <v/>
      </c>
      <c r="X45" s="13" t="inlineStr"/>
    </row>
    <row r="46" ht="30" customHeight="1">
      <c r="A46" s="7" t="inlineStr">
        <is>
          <t>B042</t>
        </is>
      </c>
      <c r="B46" s="7" t="inlineStr">
        <is>
          <t>2026-07-10</t>
        </is>
      </c>
      <c r="C46" s="7" t="inlineStr">
        <is>
          <t>2026-07-08</t>
        </is>
      </c>
      <c r="D46" s="7" t="inlineStr">
        <is>
          <t>2026-07-08</t>
        </is>
      </c>
      <c r="E46" s="7" t="inlineStr">
        <is>
          <t>Martins</t>
        </is>
      </c>
      <c r="F46" s="7" t="inlineStr"/>
      <c r="G46" s="7" t="inlineStr"/>
      <c r="H46" s="7" t="inlineStr">
        <is>
          <t>12:30 PM - 12:45 PM</t>
        </is>
      </c>
      <c r="I46" s="7" t="inlineStr">
        <is>
          <t>Tiss, porcine, fem, Pelvic block</t>
        </is>
      </c>
      <c r="J46" s="8" t="inlineStr">
        <is>
          <t>Fail</t>
        </is>
      </c>
      <c r="K46" s="9" t="inlineStr">
        <is>
          <t>left ureter is missing</t>
        </is>
      </c>
      <c r="L46" s="10" t="n"/>
      <c r="M46" s="10" t="n"/>
      <c r="N46" s="11" t="n">
        <v>1</v>
      </c>
      <c r="O46" s="10" t="n"/>
      <c r="P46" s="10" t="n"/>
      <c r="Q46" s="10" t="n"/>
      <c r="R46" s="10" t="n"/>
      <c r="S46" s="10" t="n"/>
      <c r="T46" s="10" t="n"/>
      <c r="U46" s="10" t="n"/>
      <c r="V46" s="10" t="n"/>
      <c r="W46" s="12">
        <f>SUM(L46:V46)</f>
        <v/>
      </c>
      <c r="X46" s="13" t="inlineStr"/>
    </row>
    <row r="47" ht="30" customHeight="1">
      <c r="A47" s="7" t="inlineStr">
        <is>
          <t>B043</t>
        </is>
      </c>
      <c r="B47" s="7" t="inlineStr">
        <is>
          <t>2026-07-10</t>
        </is>
      </c>
      <c r="C47" s="7" t="inlineStr">
        <is>
          <t>2026-07-08</t>
        </is>
      </c>
      <c r="D47" s="7" t="inlineStr">
        <is>
          <t>2026-07-08</t>
        </is>
      </c>
      <c r="E47" s="7" t="inlineStr">
        <is>
          <t>Martins</t>
        </is>
      </c>
      <c r="F47" s="7" t="inlineStr"/>
      <c r="G47" s="7" t="inlineStr"/>
      <c r="H47" s="7" t="inlineStr">
        <is>
          <t>12:30 PM - 12:45 PM</t>
        </is>
      </c>
      <c r="I47" s="7" t="inlineStr">
        <is>
          <t>Tiss, porcine, fem, Pelvic block</t>
        </is>
      </c>
      <c r="J47" s="8" t="inlineStr">
        <is>
          <t>Fail</t>
        </is>
      </c>
      <c r="K47" s="9" t="inlineStr">
        <is>
          <t>ureters not embedded, suspensory ligaments damaged, membrane damaged in critical area</t>
        </is>
      </c>
      <c r="L47" s="11" t="n">
        <v>1</v>
      </c>
      <c r="M47" s="10" t="n"/>
      <c r="N47" s="10" t="n"/>
      <c r="O47" s="11" t="n">
        <v>1</v>
      </c>
      <c r="P47" s="10" t="n"/>
      <c r="Q47" s="11" t="n">
        <v>1</v>
      </c>
      <c r="R47" s="10" t="n"/>
      <c r="S47" s="10" t="n"/>
      <c r="T47" s="10" t="n"/>
      <c r="U47" s="10" t="n"/>
      <c r="V47" s="10" t="n"/>
      <c r="W47" s="12">
        <f>SUM(L47:V47)</f>
        <v/>
      </c>
      <c r="X47" s="13" t="inlineStr"/>
    </row>
    <row r="48" ht="30" customHeight="1">
      <c r="A48" s="7" t="inlineStr">
        <is>
          <t>B044</t>
        </is>
      </c>
      <c r="B48" s="7" t="inlineStr">
        <is>
          <t>2026-07-10</t>
        </is>
      </c>
      <c r="C48" s="7" t="inlineStr">
        <is>
          <t>2026-07-08</t>
        </is>
      </c>
      <c r="D48" s="7" t="inlineStr">
        <is>
          <t>2026-07-08</t>
        </is>
      </c>
      <c r="E48" s="7" t="inlineStr">
        <is>
          <t>Martins</t>
        </is>
      </c>
      <c r="F48" s="7" t="inlineStr"/>
      <c r="G48" s="7" t="inlineStr"/>
      <c r="H48" s="7" t="inlineStr">
        <is>
          <t>12:30 PM - 12:45 PM</t>
        </is>
      </c>
      <c r="I48" s="7" t="inlineStr">
        <is>
          <t>Tiss, porcine, fem, Pelvic block</t>
        </is>
      </c>
      <c r="J48" s="8" t="inlineStr">
        <is>
          <t>Fail</t>
        </is>
      </c>
      <c r="K48" s="9" t="inlineStr">
        <is>
          <t>ureters not embedded, suspensory ligaments damaged, membrane damaged in critical area</t>
        </is>
      </c>
      <c r="L48" s="11" t="n">
        <v>1</v>
      </c>
      <c r="M48" s="10" t="n"/>
      <c r="N48" s="10" t="n"/>
      <c r="O48" s="11" t="n">
        <v>1</v>
      </c>
      <c r="P48" s="10" t="n"/>
      <c r="Q48" s="11" t="n">
        <v>1</v>
      </c>
      <c r="R48" s="10" t="n"/>
      <c r="S48" s="10" t="n"/>
      <c r="T48" s="10" t="n"/>
      <c r="U48" s="10" t="n"/>
      <c r="V48" s="10" t="n"/>
      <c r="W48" s="12">
        <f>SUM(L48:V48)</f>
        <v/>
      </c>
      <c r="X48" s="13" t="inlineStr"/>
    </row>
    <row r="49" ht="30" customHeight="1">
      <c r="A49" s="7" t="inlineStr">
        <is>
          <t>B045</t>
        </is>
      </c>
      <c r="B49" s="7" t="inlineStr">
        <is>
          <t>2026-07-10</t>
        </is>
      </c>
      <c r="C49" s="7" t="inlineStr">
        <is>
          <t>2026-07-08</t>
        </is>
      </c>
      <c r="D49" s="7" t="inlineStr">
        <is>
          <t>2026-07-08</t>
        </is>
      </c>
      <c r="E49" s="7" t="inlineStr">
        <is>
          <t>Martins</t>
        </is>
      </c>
      <c r="F49" s="7" t="inlineStr"/>
      <c r="G49" s="7" t="inlineStr"/>
      <c r="H49" s="7" t="inlineStr">
        <is>
          <t>12:30 PM - 12:45 PM</t>
        </is>
      </c>
      <c r="I49" s="7" t="inlineStr">
        <is>
          <t>Tiss, porcine, fem, Pelvic block</t>
        </is>
      </c>
      <c r="J49" s="8" t="inlineStr">
        <is>
          <t>Fail</t>
        </is>
      </c>
      <c r="K49" s="9" t="inlineStr">
        <is>
          <t>left ureter missing, blood clots</t>
        </is>
      </c>
      <c r="L49" s="10" t="n"/>
      <c r="M49" s="10" t="n"/>
      <c r="N49" s="11" t="n">
        <v>1</v>
      </c>
      <c r="O49" s="10" t="n"/>
      <c r="P49" s="10" t="n"/>
      <c r="Q49" s="10" t="n"/>
      <c r="R49" s="10" t="n"/>
      <c r="S49" s="10" t="n"/>
      <c r="T49" s="11" t="n">
        <v>1</v>
      </c>
      <c r="U49" s="10" t="n"/>
      <c r="V49" s="10" t="n"/>
      <c r="W49" s="12">
        <f>SUM(L49:V49)</f>
        <v/>
      </c>
      <c r="X49" s="13" t="inlineStr"/>
    </row>
    <row r="50" ht="30" customHeight="1">
      <c r="A50" s="7" t="inlineStr">
        <is>
          <t>B046</t>
        </is>
      </c>
      <c r="B50" s="7" t="inlineStr">
        <is>
          <t>2026-07-10</t>
        </is>
      </c>
      <c r="C50" s="7" t="inlineStr">
        <is>
          <t>2026-07-08</t>
        </is>
      </c>
      <c r="D50" s="7" t="inlineStr">
        <is>
          <t>2026-07-08</t>
        </is>
      </c>
      <c r="E50" s="7" t="inlineStr">
        <is>
          <t>Martins</t>
        </is>
      </c>
      <c r="F50" s="7" t="inlineStr"/>
      <c r="G50" s="7" t="inlineStr"/>
      <c r="H50" s="7" t="inlineStr">
        <is>
          <t>12:30 PM - 12:45 PM</t>
        </is>
      </c>
      <c r="I50" s="7" t="inlineStr">
        <is>
          <t>Tiss, porcine, fem, Pelvic block</t>
        </is>
      </c>
      <c r="J50" s="8" t="inlineStr">
        <is>
          <t>Fail</t>
        </is>
      </c>
      <c r="K50" s="9" t="inlineStr">
        <is>
          <t>right ureter missing, membrane damage in critical area</t>
        </is>
      </c>
      <c r="L50" s="10" t="n"/>
      <c r="M50" s="10" t="n"/>
      <c r="N50" s="11" t="n">
        <v>1</v>
      </c>
      <c r="O50" s="10" t="n"/>
      <c r="P50" s="10" t="n"/>
      <c r="Q50" s="11" t="n">
        <v>1</v>
      </c>
      <c r="R50" s="10" t="n"/>
      <c r="S50" s="10" t="n"/>
      <c r="T50" s="10" t="n"/>
      <c r="U50" s="10" t="n"/>
      <c r="V50" s="10" t="n"/>
      <c r="W50" s="12">
        <f>SUM(L50:V50)</f>
        <v/>
      </c>
      <c r="X50" s="13" t="inlineStr"/>
    </row>
    <row r="51" ht="30" customHeight="1">
      <c r="A51" s="7" t="inlineStr">
        <is>
          <t>B047</t>
        </is>
      </c>
      <c r="B51" s="7" t="inlineStr">
        <is>
          <t>2026-07-10</t>
        </is>
      </c>
      <c r="C51" s="7" t="inlineStr">
        <is>
          <t>2026-07-08</t>
        </is>
      </c>
      <c r="D51" s="7" t="inlineStr">
        <is>
          <t>2026-07-08</t>
        </is>
      </c>
      <c r="E51" s="7" t="inlineStr">
        <is>
          <t>Martins</t>
        </is>
      </c>
      <c r="F51" s="7" t="inlineStr"/>
      <c r="G51" s="7" t="inlineStr"/>
      <c r="H51" s="7" t="inlineStr">
        <is>
          <t>12:30 PM - 12:45 PM</t>
        </is>
      </c>
      <c r="I51" s="7" t="inlineStr">
        <is>
          <t>Tiss, porcine, fem, Pelvic block</t>
        </is>
      </c>
      <c r="J51" s="8" t="inlineStr">
        <is>
          <t>Fail</t>
        </is>
      </c>
      <c r="K51" s="9" t="inlineStr">
        <is>
          <t>membrane damage in critical area, ureters not embedded</t>
        </is>
      </c>
      <c r="L51" s="11" t="n">
        <v>1</v>
      </c>
      <c r="M51" s="10" t="n"/>
      <c r="N51" s="10" t="n"/>
      <c r="O51" s="10" t="n"/>
      <c r="P51" s="10" t="n"/>
      <c r="Q51" s="11" t="n">
        <v>1</v>
      </c>
      <c r="R51" s="10" t="n"/>
      <c r="S51" s="10" t="n"/>
      <c r="T51" s="10" t="n"/>
      <c r="U51" s="10" t="n"/>
      <c r="V51" s="10" t="n"/>
      <c r="W51" s="12">
        <f>SUM(L51:V51)</f>
        <v/>
      </c>
      <c r="X51" s="13" t="inlineStr"/>
    </row>
    <row r="52" ht="30" customHeight="1">
      <c r="A52" s="7" t="inlineStr">
        <is>
          <t>B048</t>
        </is>
      </c>
      <c r="B52" s="7" t="inlineStr">
        <is>
          <t>2026-07-10</t>
        </is>
      </c>
      <c r="C52" s="7" t="inlineStr">
        <is>
          <t>2026-07-08</t>
        </is>
      </c>
      <c r="D52" s="7" t="inlineStr">
        <is>
          <t>2026-07-08</t>
        </is>
      </c>
      <c r="E52" s="7" t="inlineStr">
        <is>
          <t>Martins</t>
        </is>
      </c>
      <c r="F52" s="7" t="inlineStr"/>
      <c r="G52" s="7" t="inlineStr"/>
      <c r="H52" s="7" t="inlineStr">
        <is>
          <t>12:30 PM - 12:45 PM</t>
        </is>
      </c>
      <c r="I52" s="7" t="inlineStr">
        <is>
          <t>Tiss, porcine, fem, Pelvic block</t>
        </is>
      </c>
      <c r="J52" s="8" t="inlineStr">
        <is>
          <t>Fail</t>
        </is>
      </c>
      <c r="K52" s="9" t="inlineStr">
        <is>
          <t>membrane damage in critical area, ureters not embedded</t>
        </is>
      </c>
      <c r="L52" s="11" t="n">
        <v>1</v>
      </c>
      <c r="M52" s="10" t="n"/>
      <c r="N52" s="10" t="n"/>
      <c r="O52" s="10" t="n"/>
      <c r="P52" s="10" t="n"/>
      <c r="Q52" s="11" t="n">
        <v>1</v>
      </c>
      <c r="R52" s="10" t="n"/>
      <c r="S52" s="10" t="n"/>
      <c r="T52" s="10" t="n"/>
      <c r="U52" s="10" t="n"/>
      <c r="V52" s="10" t="n"/>
      <c r="W52" s="12">
        <f>SUM(L52:V52)</f>
        <v/>
      </c>
      <c r="X52" s="13" t="inlineStr"/>
    </row>
    <row r="53" ht="30" customHeight="1">
      <c r="A53" s="7" t="inlineStr">
        <is>
          <t>B049</t>
        </is>
      </c>
      <c r="B53" s="7" t="inlineStr">
        <is>
          <t>2026-07-10</t>
        </is>
      </c>
      <c r="C53" s="7" t="inlineStr">
        <is>
          <t>2026-07-08</t>
        </is>
      </c>
      <c r="D53" s="7" t="inlineStr">
        <is>
          <t>2026-07-08</t>
        </is>
      </c>
      <c r="E53" s="7" t="inlineStr">
        <is>
          <t>Martins</t>
        </is>
      </c>
      <c r="F53" s="7" t="inlineStr"/>
      <c r="G53" s="7" t="inlineStr"/>
      <c r="H53" s="7" t="inlineStr">
        <is>
          <t>12:30 PM - 12:45 PM</t>
        </is>
      </c>
      <c r="I53" s="7" t="inlineStr">
        <is>
          <t>Tiss, porcine, fem, Pelvic block</t>
        </is>
      </c>
      <c r="J53" s="8" t="inlineStr">
        <is>
          <t>Fail</t>
        </is>
      </c>
      <c r="K53" s="9" t="inlineStr">
        <is>
          <t>ureter cut, membrane damage in critital area, right ureter not embedded</t>
        </is>
      </c>
      <c r="L53" s="11" t="n">
        <v>1</v>
      </c>
      <c r="M53" s="11" t="n">
        <v>1</v>
      </c>
      <c r="N53" s="10" t="n"/>
      <c r="O53" s="10" t="n"/>
      <c r="P53" s="10" t="n"/>
      <c r="Q53" s="11" t="n">
        <v>1</v>
      </c>
      <c r="R53" s="10" t="n"/>
      <c r="S53" s="10" t="n"/>
      <c r="T53" s="10" t="n"/>
      <c r="U53" s="10" t="n"/>
      <c r="V53" s="10" t="n"/>
      <c r="W53" s="12">
        <f>SUM(L53:V53)</f>
        <v/>
      </c>
      <c r="X53" s="13" t="inlineStr"/>
    </row>
    <row r="54" ht="30" customHeight="1">
      <c r="A54" s="7" t="inlineStr">
        <is>
          <t>B050</t>
        </is>
      </c>
      <c r="B54" s="7" t="inlineStr">
        <is>
          <t>2026-07-10</t>
        </is>
      </c>
      <c r="C54" s="7" t="inlineStr">
        <is>
          <t>2026-07-08</t>
        </is>
      </c>
      <c r="D54" s="7" t="inlineStr">
        <is>
          <t>2026-07-08</t>
        </is>
      </c>
      <c r="E54" s="7" t="inlineStr">
        <is>
          <t>Martins</t>
        </is>
      </c>
      <c r="F54" s="7" t="inlineStr"/>
      <c r="G54" s="7" t="inlineStr"/>
      <c r="H54" s="7" t="inlineStr">
        <is>
          <t>12:30 PM - 12:45 PM</t>
        </is>
      </c>
      <c r="I54" s="7" t="inlineStr">
        <is>
          <t>Tiss, porcine, fem, Pelvic block</t>
        </is>
      </c>
      <c r="J54" s="8" t="inlineStr">
        <is>
          <t>Fail</t>
        </is>
      </c>
      <c r="K54" s="9" t="inlineStr">
        <is>
          <t>urethra cut, membrnae damage in critial area</t>
        </is>
      </c>
      <c r="L54" s="10" t="n"/>
      <c r="M54" s="10" t="n"/>
      <c r="N54" s="10" t="n"/>
      <c r="O54" s="10" t="n"/>
      <c r="P54" s="11" t="n">
        <v>1</v>
      </c>
      <c r="Q54" s="11" t="n">
        <v>1</v>
      </c>
      <c r="R54" s="10" t="n"/>
      <c r="S54" s="10" t="n"/>
      <c r="T54" s="10" t="n"/>
      <c r="U54" s="10" t="n"/>
      <c r="V54" s="10" t="n"/>
      <c r="W54" s="12">
        <f>SUM(L54:V54)</f>
        <v/>
      </c>
      <c r="X54" s="13" t="inlineStr"/>
    </row>
    <row r="55" ht="30" customHeight="1">
      <c r="A55" s="7" t="inlineStr">
        <is>
          <t>B051</t>
        </is>
      </c>
      <c r="B55" s="7" t="inlineStr">
        <is>
          <t>2026-07-10</t>
        </is>
      </c>
      <c r="C55" s="7" t="inlineStr">
        <is>
          <t>2026-07-08</t>
        </is>
      </c>
      <c r="D55" s="7" t="inlineStr">
        <is>
          <t>2026-07-08</t>
        </is>
      </c>
      <c r="E55" s="7" t="inlineStr">
        <is>
          <t>Martins</t>
        </is>
      </c>
      <c r="F55" s="7" t="inlineStr"/>
      <c r="G55" s="7" t="inlineStr"/>
      <c r="H55" s="7" t="inlineStr">
        <is>
          <t>12:30 PM - 12:45 PM</t>
        </is>
      </c>
      <c r="I55" s="7" t="inlineStr">
        <is>
          <t>Tiss, porcine, fem, Pelvic block</t>
        </is>
      </c>
      <c r="J55" s="8" t="inlineStr">
        <is>
          <t>Fail</t>
        </is>
      </c>
      <c r="K55" s="9" t="inlineStr">
        <is>
          <t>bowel is cut open</t>
        </is>
      </c>
      <c r="L55" s="10" t="n"/>
      <c r="M55" s="10" t="n"/>
      <c r="N55" s="10" t="n"/>
      <c r="O55" s="10" t="n"/>
      <c r="P55" s="10" t="n"/>
      <c r="Q55" s="10" t="n"/>
      <c r="R55" s="10" t="n"/>
      <c r="S55" s="11" t="n">
        <v>1</v>
      </c>
      <c r="T55" s="10" t="n"/>
      <c r="U55" s="10" t="n"/>
      <c r="V55" s="10" t="n"/>
      <c r="W55" s="12">
        <f>SUM(L55:V55)</f>
        <v/>
      </c>
      <c r="X55" s="13" t="inlineStr"/>
    </row>
    <row r="56" ht="30" customHeight="1">
      <c r="A56" s="7" t="inlineStr">
        <is>
          <t>B052</t>
        </is>
      </c>
      <c r="B56" s="7" t="inlineStr">
        <is>
          <t>2026-07-10</t>
        </is>
      </c>
      <c r="C56" s="7" t="inlineStr">
        <is>
          <t>2026-07-08</t>
        </is>
      </c>
      <c r="D56" s="7" t="inlineStr">
        <is>
          <t>2026-07-08</t>
        </is>
      </c>
      <c r="E56" s="7" t="inlineStr">
        <is>
          <t>Martins</t>
        </is>
      </c>
      <c r="F56" s="7" t="inlineStr"/>
      <c r="G56" s="7" t="inlineStr"/>
      <c r="H56" s="7" t="inlineStr">
        <is>
          <t>12:30 PM - 12:45 PM</t>
        </is>
      </c>
      <c r="I56" s="7" t="inlineStr">
        <is>
          <t>Tiss, porcine, fem, Pelvic block</t>
        </is>
      </c>
      <c r="J56" s="8" t="inlineStr">
        <is>
          <t>Fail</t>
        </is>
      </c>
      <c r="K56" s="9" t="inlineStr">
        <is>
          <t>urethra is cut, membrane damage in critical area</t>
        </is>
      </c>
      <c r="L56" s="10" t="n"/>
      <c r="M56" s="10" t="n"/>
      <c r="N56" s="10" t="n"/>
      <c r="O56" s="10" t="n"/>
      <c r="P56" s="11" t="n">
        <v>1</v>
      </c>
      <c r="Q56" s="11" t="n">
        <v>1</v>
      </c>
      <c r="R56" s="10" t="n"/>
      <c r="S56" s="10" t="n"/>
      <c r="T56" s="10" t="n"/>
      <c r="U56" s="10" t="n"/>
      <c r="V56" s="10" t="n"/>
      <c r="W56" s="12">
        <f>SUM(L56:V56)</f>
        <v/>
      </c>
      <c r="X56" s="13" t="inlineStr"/>
    </row>
    <row r="57" ht="30" customHeight="1">
      <c r="A57" s="7" t="inlineStr">
        <is>
          <t>B053</t>
        </is>
      </c>
      <c r="B57" s="7" t="inlineStr">
        <is>
          <t>2026-07-10</t>
        </is>
      </c>
      <c r="C57" s="7" t="inlineStr">
        <is>
          <t>2026-07-08</t>
        </is>
      </c>
      <c r="D57" s="7" t="inlineStr">
        <is>
          <t>2026-07-08</t>
        </is>
      </c>
      <c r="E57" s="7" t="inlineStr">
        <is>
          <t>Martins</t>
        </is>
      </c>
      <c r="F57" s="7" t="inlineStr"/>
      <c r="G57" s="7" t="inlineStr"/>
      <c r="H57" s="7" t="inlineStr">
        <is>
          <t>12:30 PM - 12:45 PM</t>
        </is>
      </c>
      <c r="I57" s="7" t="inlineStr">
        <is>
          <t>Tiss, porcine, fem, Pelvic block</t>
        </is>
      </c>
      <c r="J57" s="8" t="inlineStr">
        <is>
          <t>Fail</t>
        </is>
      </c>
      <c r="K57" s="9" t="inlineStr">
        <is>
          <t>membrane damage in critical area</t>
        </is>
      </c>
      <c r="L57" s="10" t="n"/>
      <c r="M57" s="10" t="n"/>
      <c r="N57" s="10" t="n"/>
      <c r="O57" s="10" t="n"/>
      <c r="P57" s="10" t="n"/>
      <c r="Q57" s="11" t="n">
        <v>1</v>
      </c>
      <c r="R57" s="10" t="n"/>
      <c r="S57" s="10" t="n"/>
      <c r="T57" s="10" t="n"/>
      <c r="U57" s="10" t="n"/>
      <c r="V57" s="10" t="n"/>
      <c r="W57" s="12">
        <f>SUM(L57:V57)</f>
        <v/>
      </c>
      <c r="X57" s="13" t="inlineStr"/>
    </row>
    <row r="58" ht="30" customHeight="1">
      <c r="A58" s="7" t="inlineStr">
        <is>
          <t>B054</t>
        </is>
      </c>
      <c r="B58" s="7" t="inlineStr">
        <is>
          <t>2026-07-10</t>
        </is>
      </c>
      <c r="C58" s="7" t="inlineStr">
        <is>
          <t>2026-07-08</t>
        </is>
      </c>
      <c r="D58" s="7" t="inlineStr">
        <is>
          <t>2026-07-08</t>
        </is>
      </c>
      <c r="E58" s="7" t="inlineStr">
        <is>
          <t>Martins</t>
        </is>
      </c>
      <c r="F58" s="7" t="inlineStr"/>
      <c r="G58" s="7" t="inlineStr"/>
      <c r="H58" s="7" t="inlineStr">
        <is>
          <t>12:30 PM - 12:45 PM</t>
        </is>
      </c>
      <c r="I58" s="7" t="inlineStr">
        <is>
          <t>Tiss, porcine, fem, Pelvic block</t>
        </is>
      </c>
      <c r="J58" s="8" t="inlineStr">
        <is>
          <t>Fail</t>
        </is>
      </c>
      <c r="K58" s="9" t="inlineStr">
        <is>
          <t>membrane damage in critical area</t>
        </is>
      </c>
      <c r="L58" s="10" t="n"/>
      <c r="M58" s="10" t="n"/>
      <c r="N58" s="10" t="n"/>
      <c r="O58" s="10" t="n"/>
      <c r="P58" s="10" t="n"/>
      <c r="Q58" s="11" t="n">
        <v>1</v>
      </c>
      <c r="R58" s="10" t="n"/>
      <c r="S58" s="10" t="n"/>
      <c r="T58" s="10" t="n"/>
      <c r="U58" s="10" t="n"/>
      <c r="V58" s="10" t="n"/>
      <c r="W58" s="12">
        <f>SUM(L58:V58)</f>
        <v/>
      </c>
      <c r="X58" s="13" t="inlineStr"/>
    </row>
    <row r="59" ht="30" customHeight="1">
      <c r="A59" s="7" t="inlineStr">
        <is>
          <t>B055</t>
        </is>
      </c>
      <c r="B59" s="7" t="inlineStr">
        <is>
          <t>2026-07-10</t>
        </is>
      </c>
      <c r="C59" s="7" t="inlineStr">
        <is>
          <t>2026-07-08</t>
        </is>
      </c>
      <c r="D59" s="7" t="inlineStr">
        <is>
          <t>2026-07-08</t>
        </is>
      </c>
      <c r="E59" s="7" t="inlineStr">
        <is>
          <t>Martins</t>
        </is>
      </c>
      <c r="F59" s="7" t="inlineStr"/>
      <c r="G59" s="7" t="inlineStr"/>
      <c r="H59" s="7" t="inlineStr">
        <is>
          <t>12:30 PM - 12:45 PM</t>
        </is>
      </c>
      <c r="I59" s="7" t="inlineStr">
        <is>
          <t>Tiss, porcine, fem, Pelvic block</t>
        </is>
      </c>
      <c r="J59" s="8" t="inlineStr">
        <is>
          <t>Fail</t>
        </is>
      </c>
      <c r="K59" s="9" t="inlineStr">
        <is>
          <t>membrane damage in critical area</t>
        </is>
      </c>
      <c r="L59" s="10" t="n"/>
      <c r="M59" s="10" t="n"/>
      <c r="N59" s="10" t="n"/>
      <c r="O59" s="10" t="n"/>
      <c r="P59" s="10" t="n"/>
      <c r="Q59" s="11" t="n">
        <v>1</v>
      </c>
      <c r="R59" s="10" t="n"/>
      <c r="S59" s="10" t="n"/>
      <c r="T59" s="10" t="n"/>
      <c r="U59" s="10" t="n"/>
      <c r="V59" s="10" t="n"/>
      <c r="W59" s="12">
        <f>SUM(L59:V59)</f>
        <v/>
      </c>
      <c r="X59" s="13" t="inlineStr"/>
    </row>
    <row r="60" ht="30" customHeight="1">
      <c r="A60" s="7" t="inlineStr">
        <is>
          <t>B056</t>
        </is>
      </c>
      <c r="B60" s="7" t="inlineStr">
        <is>
          <t>2026-07-10</t>
        </is>
      </c>
      <c r="C60" s="7" t="inlineStr">
        <is>
          <t>2026-07-08</t>
        </is>
      </c>
      <c r="D60" s="7" t="inlineStr">
        <is>
          <t>2026-07-08</t>
        </is>
      </c>
      <c r="E60" s="7" t="inlineStr">
        <is>
          <t>Martins</t>
        </is>
      </c>
      <c r="F60" s="7" t="inlineStr"/>
      <c r="G60" s="7" t="inlineStr"/>
      <c r="H60" s="7" t="inlineStr">
        <is>
          <t>12:30 PM - 12:45 PM</t>
        </is>
      </c>
      <c r="I60" s="7" t="inlineStr">
        <is>
          <t>Tiss, porcine, fem, Pelvic block</t>
        </is>
      </c>
      <c r="J60" s="8" t="inlineStr">
        <is>
          <t>Fail</t>
        </is>
      </c>
      <c r="K60" s="9" t="inlineStr">
        <is>
          <t>membrane damage in critical area</t>
        </is>
      </c>
      <c r="L60" s="10" t="n"/>
      <c r="M60" s="10" t="n"/>
      <c r="N60" s="10" t="n"/>
      <c r="O60" s="10" t="n"/>
      <c r="P60" s="10" t="n"/>
      <c r="Q60" s="11" t="n">
        <v>1</v>
      </c>
      <c r="R60" s="10" t="n"/>
      <c r="S60" s="10" t="n"/>
      <c r="T60" s="10" t="n"/>
      <c r="U60" s="10" t="n"/>
      <c r="V60" s="10" t="n"/>
      <c r="W60" s="12">
        <f>SUM(L60:V60)</f>
        <v/>
      </c>
      <c r="X60" s="13" t="inlineStr"/>
    </row>
    <row r="61" ht="16" customHeight="1">
      <c r="A61" s="7" t="inlineStr">
        <is>
          <t>B057</t>
        </is>
      </c>
      <c r="B61" s="7" t="inlineStr">
        <is>
          <t>2026-07-10</t>
        </is>
      </c>
      <c r="C61" s="7" t="inlineStr">
        <is>
          <t>2026-07-08</t>
        </is>
      </c>
      <c r="D61" s="7" t="inlineStr">
        <is>
          <t>2026-07-08</t>
        </is>
      </c>
      <c r="E61" s="7" t="inlineStr">
        <is>
          <t>Martins</t>
        </is>
      </c>
      <c r="F61" s="7" t="inlineStr"/>
      <c r="G61" s="7" t="inlineStr"/>
      <c r="H61" s="7" t="inlineStr">
        <is>
          <t>12:30 PM - 12:45 PM</t>
        </is>
      </c>
      <c r="I61" s="7" t="inlineStr">
        <is>
          <t>Tiss, porcine, fem, Pelvic block</t>
        </is>
      </c>
      <c r="J61" s="14" t="inlineStr">
        <is>
          <t>Pass</t>
        </is>
      </c>
      <c r="K61" s="9" t="inlineStr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2">
        <f>SUM(L61:V61)</f>
        <v/>
      </c>
      <c r="X61" s="13" t="inlineStr"/>
    </row>
  </sheetData>
  <mergeCells count="2">
    <mergeCell ref="A2:X2"/>
    <mergeCell ref="A1:X1"/>
  </mergeCells>
  <dataValidations count="2">
    <dataValidation sqref="J5:J405" showDropDown="0" showInputMessage="0" showErrorMessage="0" allowBlank="1" type="list">
      <formula1>"Pass,Fail"</formula1>
    </dataValidation>
    <dataValidation sqref="L5:V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2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maps to a code here — the point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6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7" t="inlineStr">
        <is>
          <t>Major</t>
        </is>
      </c>
      <c r="E5" s="9" t="inlineStr">
        <is>
          <t>Gut/pluck removal (traction) + pit handling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Tensile traction: block pulled/stripped so fascia separates from ureter; over-trim.</t>
        </is>
      </c>
      <c r="I5" s="9" t="inlineStr">
        <is>
          <t>Standardize gut-pull technique &amp; pull-force; reduce stripping of perirenal fat; gentler drop to pit.</t>
        </is>
      </c>
      <c r="J5" s="18" t="inlineStr"/>
    </row>
    <row r="6" ht="46" customHeight="1">
      <c r="A6" s="16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/ cut off (sharp cut edge).</t>
        </is>
      </c>
      <c r="D6" s="17" t="inlineStr">
        <is>
          <t>Major</t>
        </is>
      </c>
      <c r="E6" s="9" t="inlineStr">
        <is>
          <t>Evisceration knife / splitting saw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Sharp laceration by evisceration knife or off-line pelvic saw path.</t>
        </is>
      </c>
      <c r="I6" s="9" t="inlineStr">
        <is>
          <t>Retrain knife path around pelvic organs; verify saw alignment through symphysis.</t>
        </is>
      </c>
      <c r="J6" s="18" t="inlineStr"/>
    </row>
    <row r="7" ht="46" customHeight="1">
      <c r="A7" s="16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7" t="inlineStr">
        <is>
          <t>Major</t>
        </is>
      </c>
      <c r="E7" s="9" t="inlineStr">
        <is>
          <t>Bung dropping / splitting (over-cut) or lost in handling</t>
        </is>
      </c>
      <c r="F7" s="7" t="inlineStr">
        <is>
          <t>S2 Bung dropping</t>
        </is>
      </c>
      <c r="G7" s="9" t="inlineStr">
        <is>
          <t>Method / Handling</t>
        </is>
      </c>
      <c r="H7" s="9" t="inlineStr">
        <is>
          <t>Over-aggressive bung/pelvic cut removes ureter, or ureter lost during drop/collection.</t>
        </is>
      </c>
      <c r="I7" s="9" t="inlineStr">
        <is>
          <t>Tighten bung-dropping cut boundary; audit pit collection for detached tissue.</t>
        </is>
      </c>
      <c r="J7" s="18" t="inlineStr"/>
    </row>
    <row r="8" ht="46" customHeight="1">
      <c r="A8" s="16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torn/frayed or holed (incl. bladder suspensory ligament).</t>
        </is>
      </c>
      <c r="D8" s="17" t="inlineStr">
        <is>
          <t>Major</t>
        </is>
      </c>
      <c r="E8" s="9" t="inlineStr">
        <is>
          <t>Gut pull (traction) + handling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Excessive pull force / rough handling tears ligament attachments.</t>
        </is>
      </c>
      <c r="I8" s="9" t="inlineStr">
        <is>
          <t>Control pull-force &amp; angle on gut set removal; handle block by support surface, not by ligaments.</t>
        </is>
      </c>
      <c r="J8" s="18" t="inlineStr"/>
    </row>
    <row r="9" ht="46" customHeight="1">
      <c r="A9" s="16" t="inlineStr">
        <is>
          <t>D5</t>
        </is>
      </c>
      <c r="B9" s="9" t="inlineStr">
        <is>
          <t>Urethra breach (cut / laceration / hole)</t>
        </is>
      </c>
      <c r="C9" s="9" t="inlineStr">
        <is>
          <t>Urethra transected, lacerated or perforated (incl. hole in distal urethra).</t>
        </is>
      </c>
      <c r="D9" s="17" t="inlineStr">
        <is>
          <t>Major</t>
        </is>
      </c>
      <c r="E9" s="9" t="inlineStr">
        <is>
          <t>Carcass splitting saw / bung dropping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Splitting saw off-center through pelvis, or bung-drop cut catches/perforates urethra.</t>
        </is>
      </c>
      <c r="I9" s="9" t="inlineStr">
        <is>
          <t>Center pelvic split on symphysis; calibrate/align splitting saw; slow through pelvic zone.</t>
        </is>
      </c>
      <c r="J9" s="18" t="inlineStr"/>
    </row>
    <row r="10" ht="46" customHeight="1">
      <c r="A10" s="16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mesentery membrane separating bowel from pelvic organs, in the critical zone (&gt;1.5").</t>
        </is>
      </c>
      <c r="D10" s="8" t="inlineStr">
        <is>
          <t>Critical</t>
        </is>
      </c>
      <c r="E10" s="9" t="inlineStr">
        <is>
          <t>Evisceration knife technique / bung dropping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Knife nick or tensile tear of membrane during gut removal / bung loosening.</t>
        </is>
      </c>
      <c r="I10" s="9" t="inlineStr">
        <is>
          <t>Retrain evisceration knife depth &amp; path; slow line in pelvic zone; blunt-dissect where possible.</t>
        </is>
      </c>
      <c r="J10" s="18" t="inlineStr"/>
    </row>
    <row r="11" ht="46" customHeight="1">
      <c r="A11" s="16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9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 during handling.</t>
        </is>
      </c>
      <c r="I11" s="9" t="inlineStr">
        <is>
          <t>Manage lairage/feed-water timing to reduce bladder fill; avoid compressing block.</t>
        </is>
      </c>
      <c r="J11" s="18" t="inlineStr"/>
    </row>
    <row r="12" ht="46" customHeight="1">
      <c r="A12" s="16" t="inlineStr">
        <is>
          <t>D8</t>
        </is>
      </c>
      <c r="B12" s="9" t="inlineStr">
        <is>
          <t>Bowel / colon / rectum breach</t>
        </is>
      </c>
      <c r="C12" s="9" t="inlineStr">
        <is>
          <t>Bowel integrity breached - cut, hole, or separation of colon/rectum. FOOD-SAFETY / contamination risk.</t>
        </is>
      </c>
      <c r="D12" s="8" t="inlineStr">
        <is>
          <t>Critical</t>
        </is>
      </c>
      <c r="E12" s="9" t="inlineStr">
        <is>
          <t>Evisceration / bung dropping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Knife slip or aggressive bung separation opens/severs colon or rectum.</t>
        </is>
      </c>
      <c r="I12" s="9" t="inlineStr">
        <is>
          <t>Reinforce bung-bagging/tie-off; retrain knife path; treat as contamination CCP at supplier.</t>
        </is>
      </c>
      <c r="J12" s="18" t="inlineStr"/>
    </row>
    <row r="13" ht="46" customHeight="1">
      <c r="A13" s="16" t="inlineStr">
        <is>
          <t>D9</t>
        </is>
      </c>
      <c r="B13" s="9" t="inlineStr">
        <is>
          <t>Blood clots</t>
        </is>
      </c>
      <c r="C13" s="9" t="inlineStr">
        <is>
          <t>Retained blood clots in the tissue block.</t>
        </is>
      </c>
      <c r="D13" s="19" t="inlineStr">
        <is>
          <t>Minor</t>
        </is>
      </c>
      <c r="E13" s="9" t="inlineStr">
        <is>
          <t>Sticking / bleeding efficiency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Incomplete exsanguination (stick placement / stun-to-stick interval / bleed time).</t>
        </is>
      </c>
      <c r="I13" s="9" t="inlineStr">
        <is>
          <t>Verify stick placement &amp; bleed-out time; check stun-to-stick interval.</t>
        </is>
      </c>
      <c r="J13" s="18" t="inlineStr"/>
    </row>
    <row r="14" ht="46" customHeight="1">
      <c r="A14" s="16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ligament.</t>
        </is>
      </c>
      <c r="D14" s="17" t="inlineStr">
        <is>
          <t>Major</t>
        </is>
      </c>
      <c r="E14" s="9" t="inlineStr">
        <is>
          <t>Evisceration / bung dropping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Traction tear or knife nick near broad ligament during gut removal.</t>
        </is>
      </c>
      <c r="I14" s="9" t="inlineStr">
        <is>
          <t>Control pull-force; retrain knife path near broad ligament.</t>
        </is>
      </c>
      <c r="J14" s="18" t="inlineStr"/>
    </row>
    <row r="15" ht="46" customHeight="1">
      <c r="A15" s="16" t="inlineStr">
        <is>
          <t>D11</t>
        </is>
      </c>
      <c r="B15" s="9" t="inlineStr">
        <is>
          <t>Bladder neck separation</t>
        </is>
      </c>
      <c r="C15" s="9" t="inlineStr">
        <is>
          <t>Bladder detached/separated at the neck (bladder-urethra junction at the pelvic floor).</t>
        </is>
      </c>
      <c r="D15" s="17" t="inlineStr">
        <is>
          <t>Major</t>
        </is>
      </c>
      <c r="E15" s="9" t="inlineStr">
        <is>
          <t>Carcass splitting saw / pelvic outlet cut</t>
        </is>
      </c>
      <c r="F15" s="7" t="inlineStr">
        <is>
          <t>S4 Carcass splitting</t>
        </is>
      </c>
      <c r="G15" s="9" t="inlineStr">
        <is>
          <t>Machine / Method</t>
        </is>
      </c>
      <c r="H15" s="9" t="inlineStr">
        <is>
          <t>Saw path or traction at the pelvic floor separates the bladder neck from the urethra.</t>
        </is>
      </c>
      <c r="I15" s="9" t="inlineStr">
        <is>
          <t>Center pelvic split; protect bladder neck at the pelvic outlet; control traction.</t>
        </is>
      </c>
      <c r="J15" s="18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6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 (all batches). Fix the 'vital few' (cumulative line to ~80%) first. Re-sort high-&gt;low if ranking changes.</t>
        </is>
      </c>
    </row>
    <row r="4">
      <c r="A4" s="20" t="inlineStr">
        <is>
          <t>A.  DEFECT PARETO  (by occurrence across all inspected blocks, all batches)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  <c r="M5" s="21" t="n"/>
      <c r="N5" t="inlineStr">
        <is>
          <t>80% target</t>
        </is>
      </c>
    </row>
    <row r="6">
      <c r="A6" s="22" t="n">
        <v>1</v>
      </c>
      <c r="B6" s="23" t="inlineStr">
        <is>
          <t>D6</t>
        </is>
      </c>
      <c r="C6" s="24" t="inlineStr">
        <is>
          <t>Membrane damage in critical area</t>
        </is>
      </c>
      <c r="D6" s="12">
        <f>SUM('Inspection Log'!Q5:Q461)</f>
        <v/>
      </c>
      <c r="E6" s="25">
        <f>D6/SUM('Inspection Log'!L5:V461)</f>
        <v/>
      </c>
      <c r="F6" s="25">
        <f>E6</f>
        <v/>
      </c>
      <c r="M6" t="inlineStr">
        <is>
          <t>D6 · Membrane dmg</t>
        </is>
      </c>
      <c r="N6" t="n">
        <v>0.8</v>
      </c>
    </row>
    <row r="7">
      <c r="A7" s="22" t="n">
        <v>2</v>
      </c>
      <c r="B7" s="23" t="inlineStr">
        <is>
          <t>D1</t>
        </is>
      </c>
      <c r="C7" s="24" t="inlineStr">
        <is>
          <t>Ureters not embedded</t>
        </is>
      </c>
      <c r="D7" s="12">
        <f>SUM('Inspection Log'!L5:L461)</f>
        <v/>
      </c>
      <c r="E7" s="25">
        <f>D7/SUM('Inspection Log'!L5:V461)</f>
        <v/>
      </c>
      <c r="F7" s="25">
        <f>F6+E7</f>
        <v/>
      </c>
      <c r="M7" t="inlineStr">
        <is>
          <t>D1 · Ureters n/e</t>
        </is>
      </c>
      <c r="N7" t="n">
        <v>0.8</v>
      </c>
    </row>
    <row r="8">
      <c r="A8" s="22" t="n">
        <v>3</v>
      </c>
      <c r="B8" s="23" t="inlineStr">
        <is>
          <t>D5</t>
        </is>
      </c>
      <c r="C8" s="24" t="inlineStr">
        <is>
          <t>Urethra breach (cut / laceration / hole)</t>
        </is>
      </c>
      <c r="D8" s="12">
        <f>SUM('Inspection Log'!P5:P461)</f>
        <v/>
      </c>
      <c r="E8" s="25">
        <f>D8/SUM('Inspection Log'!L5:V461)</f>
        <v/>
      </c>
      <c r="F8" s="25">
        <f>F7+E8</f>
        <v/>
      </c>
      <c r="M8" t="inlineStr">
        <is>
          <t>D5 · Urethra breach</t>
        </is>
      </c>
      <c r="N8" t="n">
        <v>0.8</v>
      </c>
    </row>
    <row r="9">
      <c r="A9" s="22" t="n">
        <v>4</v>
      </c>
      <c r="B9" s="23" t="inlineStr">
        <is>
          <t>D4</t>
        </is>
      </c>
      <c r="C9" s="24" t="inlineStr">
        <is>
          <t>Suspensory ligaments damaged</t>
        </is>
      </c>
      <c r="D9" s="12">
        <f>SUM('Inspection Log'!O5:O461)</f>
        <v/>
      </c>
      <c r="E9" s="25">
        <f>D9/SUM('Inspection Log'!L5:V461)</f>
        <v/>
      </c>
      <c r="F9" s="25">
        <f>F8+E9</f>
        <v/>
      </c>
      <c r="M9" t="inlineStr">
        <is>
          <t>D4 · Susp. ligament</t>
        </is>
      </c>
      <c r="N9" t="n">
        <v>0.8</v>
      </c>
    </row>
    <row r="10">
      <c r="A10" s="22" t="n">
        <v>5</v>
      </c>
      <c r="B10" s="23" t="inlineStr">
        <is>
          <t>D8</t>
        </is>
      </c>
      <c r="C10" s="26" t="inlineStr">
        <is>
          <t>Bowel / colon / rectum breach</t>
        </is>
      </c>
      <c r="D10" s="12">
        <f>SUM('Inspection Log'!S5:S461)</f>
        <v/>
      </c>
      <c r="E10" s="25">
        <f>D10/SUM('Inspection Log'!L5:V461)</f>
        <v/>
      </c>
      <c r="F10" s="25">
        <f>F9+E10</f>
        <v/>
      </c>
      <c r="M10" t="inlineStr">
        <is>
          <t>D8 · Bowel/colon</t>
        </is>
      </c>
      <c r="N10" t="n">
        <v>0.8</v>
      </c>
    </row>
    <row r="11">
      <c r="A11" s="22" t="n">
        <v>6</v>
      </c>
      <c r="B11" s="23" t="inlineStr">
        <is>
          <t>D2</t>
        </is>
      </c>
      <c r="C11" s="26" t="inlineStr">
        <is>
          <t>Ureter cut / severed</t>
        </is>
      </c>
      <c r="D11" s="12">
        <f>SUM('Inspection Log'!M5:M461)</f>
        <v/>
      </c>
      <c r="E11" s="25">
        <f>D11/SUM('Inspection Log'!L5:V461)</f>
        <v/>
      </c>
      <c r="F11" s="25">
        <f>F10+E11</f>
        <v/>
      </c>
      <c r="M11" t="inlineStr">
        <is>
          <t>D2 · Ureter cut</t>
        </is>
      </c>
      <c r="N11" t="n">
        <v>0.8</v>
      </c>
    </row>
    <row r="12">
      <c r="A12" s="22" t="n">
        <v>7</v>
      </c>
      <c r="B12" s="23" t="inlineStr">
        <is>
          <t>D3</t>
        </is>
      </c>
      <c r="C12" s="26" t="inlineStr">
        <is>
          <t>Ureter missing</t>
        </is>
      </c>
      <c r="D12" s="12">
        <f>SUM('Inspection Log'!N5:N461)</f>
        <v/>
      </c>
      <c r="E12" s="25">
        <f>D12/SUM('Inspection Log'!L5:V461)</f>
        <v/>
      </c>
      <c r="F12" s="25">
        <f>F11+E12</f>
        <v/>
      </c>
      <c r="M12" t="inlineStr">
        <is>
          <t>D3 · Ureter missing</t>
        </is>
      </c>
      <c r="N12" t="n">
        <v>0.8</v>
      </c>
    </row>
    <row r="13">
      <c r="A13" s="22" t="n">
        <v>8</v>
      </c>
      <c r="B13" s="23" t="inlineStr">
        <is>
          <t>D7</t>
        </is>
      </c>
      <c r="C13" s="26" t="inlineStr">
        <is>
          <t>Bladder deformed / deformed attachment</t>
        </is>
      </c>
      <c r="D13" s="12">
        <f>SUM('Inspection Log'!R5:R461)</f>
        <v/>
      </c>
      <c r="E13" s="25">
        <f>D13/SUM('Inspection Log'!L5:V461)</f>
        <v/>
      </c>
      <c r="F13" s="25">
        <f>F12+E13</f>
        <v/>
      </c>
      <c r="M13" t="inlineStr">
        <is>
          <t>D7 · Bladder def.</t>
        </is>
      </c>
      <c r="N13" t="n">
        <v>0.8</v>
      </c>
    </row>
    <row r="14">
      <c r="A14" s="22" t="n">
        <v>9</v>
      </c>
      <c r="B14" s="23" t="inlineStr">
        <is>
          <t>D9</t>
        </is>
      </c>
      <c r="C14" s="26" t="inlineStr">
        <is>
          <t>Blood clots</t>
        </is>
      </c>
      <c r="D14" s="12">
        <f>SUM('Inspection Log'!T5:T461)</f>
        <v/>
      </c>
      <c r="E14" s="25">
        <f>D14/SUM('Inspection Log'!L5:V461)</f>
        <v/>
      </c>
      <c r="F14" s="25">
        <f>F13+E14</f>
        <v/>
      </c>
      <c r="M14" t="inlineStr">
        <is>
          <t>D9 · Blood clots</t>
        </is>
      </c>
      <c r="N14" t="n">
        <v>0.8</v>
      </c>
    </row>
    <row r="15">
      <c r="A15" s="22" t="n">
        <v>10</v>
      </c>
      <c r="B15" s="23" t="inlineStr">
        <is>
          <t>D10</t>
        </is>
      </c>
      <c r="C15" s="26" t="inlineStr">
        <is>
          <t>Broad ligament hole / tear</t>
        </is>
      </c>
      <c r="D15" s="12">
        <f>SUM('Inspection Log'!U5:U461)</f>
        <v/>
      </c>
      <c r="E15" s="25">
        <f>D15/SUM('Inspection Log'!L5:V461)</f>
        <v/>
      </c>
      <c r="F15" s="25">
        <f>F14+E15</f>
        <v/>
      </c>
      <c r="M15" t="inlineStr">
        <is>
          <t>D10 · Broad ligament</t>
        </is>
      </c>
      <c r="N15" t="n">
        <v>0.8</v>
      </c>
    </row>
    <row r="16">
      <c r="A16" s="22" t="n">
        <v>11</v>
      </c>
      <c r="B16" s="23" t="inlineStr">
        <is>
          <t>D11</t>
        </is>
      </c>
      <c r="C16" s="26" t="inlineStr">
        <is>
          <t>Bladder neck separation</t>
        </is>
      </c>
      <c r="D16" s="12">
        <f>SUM('Inspection Log'!V5:V461)</f>
        <v/>
      </c>
      <c r="E16" s="25">
        <f>D16/SUM('Inspection Log'!L5:V461)</f>
        <v/>
      </c>
      <c r="F16" s="25">
        <f>F15+E16</f>
        <v/>
      </c>
      <c r="M16" t="inlineStr">
        <is>
          <t>D11 · Bladder neck sep.</t>
        </is>
      </c>
      <c r="N16" t="n">
        <v>0.8</v>
      </c>
    </row>
    <row r="17">
      <c r="A17" s="27" t="n"/>
      <c r="B17" s="27" t="n"/>
      <c r="C17" s="28" t="inlineStr">
        <is>
          <t>TOTAL</t>
        </is>
      </c>
      <c r="D17" s="29">
        <f>SUM(D6:D16)</f>
        <v/>
      </c>
      <c r="E17" s="30">
        <f>D17/SUM('Inspection Log'!L5:V461)</f>
        <v/>
      </c>
      <c r="F17" s="27" t="n"/>
    </row>
    <row r="20">
      <c r="A20" s="20" t="inlineStr">
        <is>
          <t>B.  ROLLUP BY SUPPLIER STATION  (which station to fix first)</t>
        </is>
      </c>
    </row>
    <row r="21" ht="24" customHeight="1">
      <c r="A21" s="6" t="inlineStr">
        <is>
          <t>Station</t>
        </is>
      </c>
      <c r="B21" s="6" t="inlineStr">
        <is>
          <t>Station Name</t>
        </is>
      </c>
      <c r="C21" s="6" t="inlineStr">
        <is>
          <t>Defect Count</t>
        </is>
      </c>
      <c r="D21" s="6" t="inlineStr">
        <is>
          <t>% of Total</t>
        </is>
      </c>
      <c r="E21" s="6" t="inlineStr">
        <is>
          <t>Defect Codes</t>
        </is>
      </c>
    </row>
    <row r="22">
      <c r="A22" s="31" t="inlineStr">
        <is>
          <t>S3</t>
        </is>
      </c>
      <c r="B22" s="32" t="inlineStr">
        <is>
          <t>Evisceration</t>
        </is>
      </c>
      <c r="C22" s="33">
        <f>SUM('Inspection Log'!L5:L461)+SUM('Inspection Log'!M5:M461)+SUM('Inspection Log'!O5:O461)+SUM('Inspection Log'!Q5:Q461)+SUM('Inspection Log'!S5:S461)+SUM('Inspection Log'!U5:U461)</f>
        <v/>
      </c>
      <c r="D22" s="34">
        <f>C22/SUM('Inspection Log'!L5:V461)</f>
        <v/>
      </c>
      <c r="E22" s="32" t="inlineStr">
        <is>
          <t>D1, D2, D4, D6, D8, D10</t>
        </is>
      </c>
    </row>
    <row r="23">
      <c r="A23" s="23" t="inlineStr">
        <is>
          <t>S4</t>
        </is>
      </c>
      <c r="B23" s="26" t="inlineStr">
        <is>
          <t>Carcass splitting</t>
        </is>
      </c>
      <c r="C23" s="12">
        <f>SUM('Inspection Log'!P5:P461)+SUM('Inspection Log'!V5:V461)</f>
        <v/>
      </c>
      <c r="D23" s="25">
        <f>C23/SUM('Inspection Log'!L5:V461)</f>
        <v/>
      </c>
      <c r="E23" s="26" t="inlineStr">
        <is>
          <t>D5, D11</t>
        </is>
      </c>
    </row>
    <row r="24">
      <c r="A24" s="23" t="inlineStr">
        <is>
          <t>S2</t>
        </is>
      </c>
      <c r="B24" s="26" t="inlineStr">
        <is>
          <t>Bung dropping</t>
        </is>
      </c>
      <c r="C24" s="12">
        <f>SUM('Inspection Log'!N5:N461)</f>
        <v/>
      </c>
      <c r="D24" s="25">
        <f>C24/SUM('Inspection Log'!L5:V461)</f>
        <v/>
      </c>
      <c r="E24" s="26" t="inlineStr">
        <is>
          <t>D3</t>
        </is>
      </c>
    </row>
    <row r="25">
      <c r="A25" s="23" t="inlineStr">
        <is>
          <t>S6</t>
        </is>
      </c>
      <c r="B25" s="26" t="inlineStr">
        <is>
          <t>Live / physiology</t>
        </is>
      </c>
      <c r="C25" s="12">
        <f>SUM('Inspection Log'!R5:R461)</f>
        <v/>
      </c>
      <c r="D25" s="25">
        <f>C25/SUM('Inspection Log'!L5:V461)</f>
        <v/>
      </c>
      <c r="E25" s="26" t="inlineStr">
        <is>
          <t>D7</t>
        </is>
      </c>
    </row>
    <row r="26">
      <c r="A26" s="23" t="inlineStr">
        <is>
          <t>S1</t>
        </is>
      </c>
      <c r="B26" s="26" t="inlineStr">
        <is>
          <t>Sticking / Bleeding</t>
        </is>
      </c>
      <c r="C26" s="12">
        <f>SUM('Inspection Log'!T5:T461)</f>
        <v/>
      </c>
      <c r="D26" s="25">
        <f>C26/SUM('Inspection Log'!L5:V461)</f>
        <v/>
      </c>
      <c r="E26" s="26" t="inlineStr">
        <is>
          <t>D9</t>
        </is>
      </c>
    </row>
  </sheetData>
  <mergeCells count="4">
    <mergeCell ref="A20:F20"/>
    <mergeCell ref="A2:F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6" t="inlineStr">
        <is>
          <t>D6</t>
        </is>
      </c>
      <c r="B5" s="35" t="inlineStr">
        <is>
          <t>Membrane damage in critical area</t>
        </is>
      </c>
      <c r="C5" s="13" t="inlineStr">
        <is>
          <t>Membrane torn/holed in critical area (&gt;1.5")</t>
        </is>
      </c>
      <c r="D5" s="13" t="inlineStr">
        <is>
          <t>Knife path too deep / tensile tear during gut pull</t>
        </is>
      </c>
      <c r="E5" s="13" t="inlineStr">
        <is>
          <t>Evisceration technique not standardized for pelvic zone</t>
        </is>
      </c>
      <c r="F5" s="13" t="inlineStr">
        <is>
          <t>No defined knife depth/path SOP + line-speed pressure</t>
        </is>
      </c>
      <c r="G5" s="36" t="inlineStr">
        <is>
          <t>(confirm w/ supplier) training + line-speed control gap</t>
        </is>
      </c>
      <c r="H5" s="37" t="inlineStr">
        <is>
          <t>Retrain knife depth &amp; path in pelvic zone; blunt-dissect; slow line through pelvic cut</t>
        </is>
      </c>
      <c r="I5" s="38" t="inlineStr">
        <is>
          <t>SH Martins - Evisceration lead</t>
        </is>
      </c>
      <c r="J5" s="38" t="inlineStr"/>
      <c r="K5" s="39" t="inlineStr">
        <is>
          <t>Open</t>
        </is>
      </c>
      <c r="L5" s="40" t="inlineStr"/>
    </row>
    <row r="6" ht="60" customHeight="1">
      <c r="A6" s="16" t="inlineStr">
        <is>
          <t>D1</t>
        </is>
      </c>
      <c r="B6" s="35" t="inlineStr">
        <is>
          <t>Ureters not embedded</t>
        </is>
      </c>
      <c r="C6" s="13" t="inlineStr">
        <is>
          <t>Ureters not embedded in tissue</t>
        </is>
      </c>
      <c r="D6" s="13" t="inlineStr">
        <is>
          <t>Fascia/perirenal fat stripped away from ureter</t>
        </is>
      </c>
      <c r="E6" s="13" t="inlineStr">
        <is>
          <t>Excessive pull force / over-trim during gut set removal</t>
        </is>
      </c>
      <c r="F6" s="13" t="inlineStr">
        <is>
          <t>Pull technique &amp; trim spec not controlled</t>
        </is>
      </c>
      <c r="G6" s="36" t="inlineStr">
        <is>
          <t>(confirm) handling standard missing</t>
        </is>
      </c>
      <c r="H6" s="37" t="inlineStr">
        <is>
          <t>Standardize pull-force &amp; angle; limit fat stripping; gentler pit drop</t>
        </is>
      </c>
      <c r="I6" s="38" t="inlineStr">
        <is>
          <t>SH Martins - Evisceration lead</t>
        </is>
      </c>
      <c r="J6" s="38" t="inlineStr"/>
      <c r="K6" s="39" t="inlineStr">
        <is>
          <t>Open</t>
        </is>
      </c>
      <c r="L6" s="40" t="inlineStr"/>
    </row>
    <row r="7" ht="60" customHeight="1">
      <c r="A7" s="16" t="inlineStr">
        <is>
          <t>D5</t>
        </is>
      </c>
      <c r="B7" s="35" t="inlineStr">
        <is>
          <t>Urethra breach (cut / laceration / hole)</t>
        </is>
      </c>
      <c r="C7" s="13" t="inlineStr">
        <is>
          <t>Urethra cut / laceration / hole</t>
        </is>
      </c>
      <c r="D7" s="13" t="inlineStr">
        <is>
          <t>Sharp transection or perforation through pelvic zone</t>
        </is>
      </c>
      <c r="E7" s="13" t="inlineStr">
        <is>
          <t>Splitting saw off-center / bung-drop cut catches urethra</t>
        </is>
      </c>
      <c r="F7" s="13" t="inlineStr">
        <is>
          <t>Saw alignment &amp; pelvic-split centering not verified</t>
        </is>
      </c>
      <c r="G7" s="36" t="inlineStr">
        <is>
          <t>(confirm) saw calibration + technique gap</t>
        </is>
      </c>
      <c r="H7" s="37" t="inlineStr">
        <is>
          <t>Center split on symphysis; calibrate/align saw; slow through pelvic zone</t>
        </is>
      </c>
      <c r="I7" s="38" t="inlineStr">
        <is>
          <t>SH Martins - Splitting lead</t>
        </is>
      </c>
      <c r="J7" s="38" t="inlineStr"/>
      <c r="K7" s="39" t="inlineStr">
        <is>
          <t>Open</t>
        </is>
      </c>
      <c r="L7" s="40" t="inlineStr"/>
    </row>
    <row r="8" ht="60" customHeight="1">
      <c r="A8" s="16" t="inlineStr">
        <is>
          <t>D4</t>
        </is>
      </c>
      <c r="B8" s="35" t="inlineStr">
        <is>
          <t>Suspensory ligaments damaged</t>
        </is>
      </c>
      <c r="C8" s="13" t="inlineStr">
        <is>
          <t>Suspensory ligaments torn/frayed/holed</t>
        </is>
      </c>
      <c r="D8" s="13" t="inlineStr">
        <is>
          <t>Block pulled/handled by the ligaments</t>
        </is>
      </c>
      <c r="E8" s="13" t="inlineStr">
        <is>
          <t>Rough handling + high traction on removal</t>
        </is>
      </c>
      <c r="F8" s="13" t="inlineStr">
        <is>
          <t>No 'support-surface' handling rule</t>
        </is>
      </c>
      <c r="G8" s="36" t="inlineStr">
        <is>
          <t>(confirm) handling standard missing</t>
        </is>
      </c>
      <c r="H8" s="37" t="inlineStr">
        <is>
          <t>Handle block by support surface, not ligaments; control pull force</t>
        </is>
      </c>
      <c r="I8" s="38" t="inlineStr">
        <is>
          <t>SH Martins - Evisceration lead</t>
        </is>
      </c>
      <c r="J8" s="38" t="inlineStr"/>
      <c r="K8" s="39" t="inlineStr">
        <is>
          <t>Open</t>
        </is>
      </c>
      <c r="L8" s="40" t="inlineStr"/>
    </row>
    <row r="9" ht="60" customHeight="1">
      <c r="A9" s="16" t="inlineStr">
        <is>
          <t>D8</t>
        </is>
      </c>
      <c r="B9" s="35" t="inlineStr">
        <is>
          <t>Bowel / colon / rectum breach</t>
        </is>
      </c>
      <c r="C9" s="13" t="inlineStr">
        <is>
          <t>Bowel/colon/rectum breached (FOOD SAFETY)</t>
        </is>
      </c>
      <c r="D9" s="13" t="inlineStr">
        <is>
          <t>Knife slip or aggressive bung separation opens colon/rectum</t>
        </is>
      </c>
      <c r="E9" s="13" t="inlineStr">
        <is>
          <t>Bung not adequately bagged/tied before cut</t>
        </is>
      </c>
      <c r="F9" s="13" t="inlineStr">
        <is>
          <t>Bung-dropping CCP not robust</t>
        </is>
      </c>
      <c r="G9" s="36" t="inlineStr">
        <is>
          <t>(confirm) contamination-control gap at bung station</t>
        </is>
      </c>
      <c r="H9" s="37" t="inlineStr">
        <is>
          <t>Reinforce bung bag/tie-off; retrain knife path; treat as contamination CCP</t>
        </is>
      </c>
      <c r="I9" s="38" t="inlineStr">
        <is>
          <t>SH Martins - Bung/Evisc. lead</t>
        </is>
      </c>
      <c r="J9" s="38" t="inlineStr"/>
      <c r="K9" s="39" t="inlineStr">
        <is>
          <t>Open</t>
        </is>
      </c>
      <c r="L9" s="40" t="inlineStr"/>
    </row>
    <row r="10" ht="40" customHeight="1">
      <c r="A10" s="41" t="n"/>
      <c r="B10" s="41" t="n"/>
      <c r="C10" s="41" t="n"/>
      <c r="D10" s="41" t="n"/>
      <c r="E10" s="41" t="n"/>
      <c r="F10" s="41" t="n"/>
      <c r="G10" s="42" t="n"/>
      <c r="H10" s="43" t="n"/>
      <c r="I10" s="41" t="n"/>
      <c r="J10" s="41" t="n"/>
      <c r="K10" s="41" t="n"/>
      <c r="L10" s="44" t="n"/>
    </row>
    <row r="11" ht="40" customHeight="1">
      <c r="A11" s="41" t="n"/>
      <c r="B11" s="41" t="n"/>
      <c r="C11" s="41" t="n"/>
      <c r="D11" s="41" t="n"/>
      <c r="E11" s="41" t="n"/>
      <c r="F11" s="41" t="n"/>
      <c r="G11" s="42" t="n"/>
      <c r="H11" s="43" t="n"/>
      <c r="I11" s="41" t="n"/>
      <c r="J11" s="41" t="n"/>
      <c r="K11" s="41" t="n"/>
      <c r="L11" s="44" t="n"/>
    </row>
    <row r="12" ht="40" customHeight="1">
      <c r="A12" s="41" t="n"/>
      <c r="B12" s="41" t="n"/>
      <c r="C12" s="41" t="n"/>
      <c r="D12" s="41" t="n"/>
      <c r="E12" s="41" t="n"/>
      <c r="F12" s="41" t="n"/>
      <c r="G12" s="42" t="n"/>
      <c r="H12" s="43" t="n"/>
      <c r="I12" s="41" t="n"/>
      <c r="J12" s="41" t="n"/>
      <c r="K12" s="41" t="n"/>
      <c r="L12" s="44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12" customWidth="1" min="7" max="7"/>
  </cols>
  <sheetData>
    <row r="1" ht="30" customHeight="1">
      <c r="A1" s="1" t="inlineStr">
        <is>
          <t>DASHBOARD — SUMMARY</t>
        </is>
      </c>
    </row>
    <row r="2" ht="18" customHeight="1">
      <c r="A2" s="2" t="inlineStr">
        <is>
          <t>SH: Martins  |  2 batches ingested (kills 2026-05-27 &amp; 2026-07-08)</t>
        </is>
      </c>
    </row>
    <row r="4">
      <c r="A4" s="45" t="inlineStr">
        <is>
          <t>KEY METRICS (all batches)</t>
        </is>
      </c>
    </row>
    <row r="5" ht="22" customHeight="1">
      <c r="A5" s="46" t="inlineStr">
        <is>
          <t>Blocks Inspected</t>
        </is>
      </c>
      <c r="B5" s="47">
        <f>COUNTIF('Inspection Log'!J5:J461,"Pass")+COUNTIF('Inspection Log'!J5:J461,"Fail")</f>
        <v/>
      </c>
    </row>
    <row r="6" ht="22" customHeight="1">
      <c r="A6" s="46" t="inlineStr">
        <is>
          <t>Pass</t>
        </is>
      </c>
      <c r="B6" s="47">
        <f>COUNTIF('Inspection Log'!J5:J461,"Pass")</f>
        <v/>
      </c>
    </row>
    <row r="7" ht="22" customHeight="1">
      <c r="A7" s="46" t="inlineStr">
        <is>
          <t>Fail</t>
        </is>
      </c>
      <c r="B7" s="47">
        <f>COUNTIF('Inspection Log'!J5:J461,"Fail")</f>
        <v/>
      </c>
    </row>
    <row r="8" ht="22" customHeight="1">
      <c r="A8" s="46" t="inlineStr">
        <is>
          <t>First Pass Yield</t>
        </is>
      </c>
      <c r="B8" s="48">
        <f>IFERROR(COUNTIF('Inspection Log'!J5:J461,"Pass")/(COUNTIF('Inspection Log'!J5:J461,"Pass")+COUNTIF('Inspection Log'!J5:J461,"Fail")),0)</f>
        <v/>
      </c>
    </row>
    <row r="9" ht="22" customHeight="1">
      <c r="A9" s="46" t="inlineStr">
        <is>
          <t>Total Defect Occurrences</t>
        </is>
      </c>
      <c r="B9" s="47">
        <f>SUM('Inspection Log'!L5:V461)</f>
        <v/>
      </c>
    </row>
    <row r="10" ht="22" customHeight="1">
      <c r="A10" s="46" t="inlineStr">
        <is>
          <t>Defects per Failed Block</t>
        </is>
      </c>
      <c r="B10" s="49">
        <f>IFERROR(SUM('Inspection Log'!L5:V461)/COUNTIF('Inspection Log'!J5:J461,"Fail"),0)</f>
        <v/>
      </c>
    </row>
    <row r="12">
      <c r="A12" s="45" t="inlineStr">
        <is>
          <t>PER-BATCH BREAKDOWN (watch the trend)</t>
        </is>
      </c>
    </row>
    <row r="13">
      <c r="A13" s="6" t="inlineStr">
        <is>
          <t>Kill Date</t>
        </is>
      </c>
      <c r="B13" s="6" t="inlineStr">
        <is>
          <t>Inspected</t>
        </is>
      </c>
      <c r="C13" s="6" t="inlineStr">
        <is>
          <t>Pass</t>
        </is>
      </c>
      <c r="D13" s="6" t="inlineStr">
        <is>
          <t>Fail</t>
        </is>
      </c>
      <c r="E13" s="6" t="inlineStr">
        <is>
          <t>First Pass Yield</t>
        </is>
      </c>
      <c r="F13" s="6" t="inlineStr">
        <is>
          <t>Top Defect (this batch)</t>
        </is>
      </c>
    </row>
    <row r="14">
      <c r="A14" s="22" t="inlineStr">
        <is>
          <t>2026-05-27</t>
        </is>
      </c>
      <c r="B14" s="22">
        <f>COUNTIF('Inspection Log'!C5:C461,"2026-05-27")</f>
        <v/>
      </c>
      <c r="C14" s="22">
        <f>COUNTIFS('Inspection Log'!C5:C461,"2026-05-27",'Inspection Log'!J5:J461,"Pass")</f>
        <v/>
      </c>
      <c r="D14" s="22">
        <f>COUNTIFS('Inspection Log'!C5:C461,"2026-05-27",'Inspection Log'!J5:J461,"Fail")</f>
        <v/>
      </c>
      <c r="E14" s="25">
        <f>IFERROR(C14/B14,0)</f>
        <v/>
      </c>
      <c r="F14" s="26" t="inlineStr">
        <is>
          <t>D6 Membrane damage in critical area (15)</t>
        </is>
      </c>
    </row>
    <row r="15">
      <c r="A15" s="22" t="inlineStr">
        <is>
          <t>2026-07-08</t>
        </is>
      </c>
      <c r="B15" s="22">
        <f>COUNTIF('Inspection Log'!C5:C461,"2026-07-08")</f>
        <v/>
      </c>
      <c r="C15" s="22">
        <f>COUNTIFS('Inspection Log'!C5:C461,"2026-07-08",'Inspection Log'!J5:J461,"Pass")</f>
        <v/>
      </c>
      <c r="D15" s="22">
        <f>COUNTIFS('Inspection Log'!C5:C461,"2026-07-08",'Inspection Log'!J5:J461,"Fail")</f>
        <v/>
      </c>
      <c r="E15" s="34">
        <f>IFERROR(C15/B15,0)</f>
        <v/>
      </c>
      <c r="F15" s="26" t="inlineStr">
        <is>
          <t>D6 Membrane damage in critical area (16)</t>
        </is>
      </c>
    </row>
    <row r="17">
      <c r="A17" s="45" t="inlineStr">
        <is>
          <t>Top defect (all batches)</t>
        </is>
      </c>
    </row>
    <row r="18">
      <c r="A18" s="50" t="inlineStr">
        <is>
          <t>D6 Membrane damage in critical area</t>
        </is>
      </c>
    </row>
    <row r="19">
      <c r="A19" s="51" t="inlineStr">
        <is>
          <t>Dominant supplier station</t>
        </is>
      </c>
    </row>
    <row r="20">
      <c r="A20" s="52" t="inlineStr">
        <is>
          <t>S3 Evisceration  -&gt;  primary target for corrective action</t>
        </is>
      </c>
    </row>
    <row r="22">
      <c r="A22" s="53" t="inlineStr">
        <is>
          <t>Critical / food-safety defect occurrences</t>
        </is>
      </c>
      <c r="B22" s="54">
        <f>SUM('Inspection Log'!Q5:Q461)+SUM('Inspection Log'!S5:S461)</f>
        <v/>
      </c>
    </row>
    <row r="23">
      <c r="A23" s="55" t="inlineStr">
        <is>
          <t xml:space="preserve">  (Critical codes: D6, D8 — membrane damage &amp; bowel/colon/rectum breach)</t>
        </is>
      </c>
    </row>
    <row r="25">
      <c r="A25" s="56" t="inlineStr">
        <is>
          <t>OPEN ITEM</t>
        </is>
      </c>
    </row>
    <row r="26">
      <c r="A26" s="57" t="inlineStr">
        <is>
          <t>5 blocks (kill 2026-05-27), 8" hole in bladder suspensory ligament, recorded as PASS pending ME/DE determination. If confirmed Fail -&gt; tag D4.</t>
        </is>
      </c>
    </row>
  </sheetData>
  <mergeCells count="5">
    <mergeCell ref="A18:D18"/>
    <mergeCell ref="A1:G1"/>
    <mergeCell ref="A20:E20"/>
    <mergeCell ref="A26:G26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2026-07-16T19:51:56Z</dcterms:created>
  <dcterms:modified xsi:type="dcterms:W3CDTF">2026-07-16T19:51:56Z</dcterms:modified>
</cp:coreProperties>
</file>