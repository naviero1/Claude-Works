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urces" sheetId="1" state="visible" r:id="rId3"/>
    <sheet name="Five-Quote Comparison" sheetId="2" state="visible" r:id="rId4"/>
    <sheet name="Quote 5 Detail"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<sst xmlns="http://schemas.openxmlformats.org/spreadsheetml/2006/main" count="333" uniqueCount="247">
  <si>
    <t xml:space="preserve">Quote Sources — Where the numbers come from</t>
  </si>
  <si>
    <t xml:space="preserve">Five quotes in the Fictiv series are compared head-to-head. All extended subtotals are normalized to Quote 2 quantities so the quotes are directly comparable. Quote 5 (Sep 3, 2026) is quoted in two volume tiers; its Tier 1 unit price (qty 2 per part, 26 business days) is the one carried into the comparison, to stay like-for-like with the Q2 quantity basis — the Tier 2 volume pricing and the landed-cost build-up live on the "Quote 5 Detail" tab. Xometry pricing appears at the right-most columns as a reference benchmark only.</t>
  </si>
  <si>
    <t xml:space="preserve">Quote</t>
  </si>
  <si>
    <t xml:space="preserve">Source / File</t>
  </si>
  <si>
    <t xml:space="preserve">Date</t>
  </si>
  <si>
    <t xml:space="preserve">Pricing Basis</t>
  </si>
  <si>
    <t xml:space="preserve">Quote 1 — Fictiv (AI, original)</t>
  </si>
  <si>
    <t xml:space="preserve">Image provided by user: Fictiv-vs-Xometry comparison table</t>
  </si>
  <si>
    <t xml:space="preserve">Pre-Apr 2026</t>
  </si>
  <si>
    <t xml:space="preserve">Fictiv platform automated (AI-based) per-part quote. Per-piece pricing. The original AI quote that triggered Xometry benchmarking.</t>
  </si>
  <si>
    <t xml:space="preserve">Quote 2 — Fictiv (AI re-quote)</t>
  </si>
  <si>
    <t xml:space="preserve">PDF: felts_032526_US_A5.pdf</t>
  </si>
  <si>
    <t xml:space="preserve">April 23, 2026</t>
  </si>
  <si>
    <t xml:space="preserve">Fictiv platform automated per-part quote (re-issue). Three production-day tiers; comparison uses the 20-day tier.</t>
  </si>
  <si>
    <t xml:space="preserve">Quote 3 — Fictiv (MP holistic, had error)</t>
  </si>
  <si>
    <t xml:space="preserve">PDF: Supine_Fictiv_Quote_2.pdf</t>
  </si>
  <si>
    <t xml:space="preserve">May 1, 2026</t>
  </si>
  <si>
    <t xml:space="preserve">Fictiv MP holistic re-quote of full BOM after pushback. Contained a systematic +10.34% markup on 12 of 15 parts — Fictiv later acknowledged this as a quoting-team mistake.</t>
  </si>
  <si>
    <t xml:space="preserve">Quote 4 — Fictiv (MP corrected) ★</t>
  </si>
  <si>
    <t xml:space="preserve">PDF: felts_032526_US_A5__1_.pdf</t>
  </si>
  <si>
    <t xml:space="preserve">May 11, 2026</t>
  </si>
  <si>
    <t xml:space="preserve">Fictiv MP corrected quote. Sam Felts (Fictiv) email: 'small mistake on our side in the previous version… aligns correctly with Q2.' Net effect: Q2 prices preserved on 12 parts, Q3 discounts retained on the 3 MP-discounted parts (670832, 670833, 670845).</t>
  </si>
  <si>
    <t xml:space="preserve">Quote 5 — MJF China production (current) ◆</t>
  </si>
  <si>
    <t xml:space="preserve">Images provided by user: 3-page quote, 15 line items + quote-level feedback</t>
  </si>
  <si>
    <t xml:space="preserve">September 3, 2026</t>
  </si>
  <si>
    <t xml:space="preserve">Two-tier 3DP quote. Multi Jet Fusion (MJF) / Nylon 12 / Black / Vapor Smoothed / Per 2D drawing and DFM. Tier 1 = qty 2 per part @ 26 business days; Tier 2 = qty 30 per part @ 45 business days. China production, DAP shipping, 7.5% sales tax on parts. Quote-level feedback: LT excludes holiday such as 9.25-9.27; 10.1-10.7; 3DP parts exclude inspection report. NOTE: no vendor name appears on the pages provided — confirm it is Fictiv before citing it as such.</t>
  </si>
  <si>
    <t xml:space="preserve">Reference — Xometry</t>
  </si>
  <si>
    <t xml:space="preserve">Image provided by user: shown alongside Q1 Fictiv</t>
  </si>
  <si>
    <t xml:space="preserve">Same era as Q1 Fictiv</t>
  </si>
  <si>
    <t xml:space="preserve">Xometry per-piece pricing. Benchmark only. NOT part of the four-way Fictiv comparison.</t>
  </si>
  <si>
    <t xml:space="preserve">Quantities used for normalization (Q2 basis):</t>
  </si>
  <si>
    <t xml:space="preserve">PN</t>
  </si>
  <si>
    <t xml:space="preserve">Description</t>
  </si>
  <si>
    <t xml:space="preserve">Qty (Q2 basis)</t>
  </si>
  <si>
    <t xml:space="preserve">670834</t>
  </si>
  <si>
    <t xml:space="preserve">Rim Head</t>
  </si>
  <si>
    <t xml:space="preserve">670836</t>
  </si>
  <si>
    <t xml:space="preserve">Head Cap</t>
  </si>
  <si>
    <t xml:space="preserve">670837</t>
  </si>
  <si>
    <t xml:space="preserve">Foot Cap</t>
  </si>
  <si>
    <t xml:space="preserve">670845</t>
  </si>
  <si>
    <t xml:space="preserve">Hanging Plate</t>
  </si>
  <si>
    <t xml:space="preserve">670842</t>
  </si>
  <si>
    <t xml:space="preserve">Revasc Heart Plate</t>
  </si>
  <si>
    <t xml:space="preserve">670820</t>
  </si>
  <si>
    <t xml:space="preserve">Upper Right Support</t>
  </si>
  <si>
    <t xml:space="preserve">670821</t>
  </si>
  <si>
    <t xml:space="preserve">Upper Left Support</t>
  </si>
  <si>
    <t xml:space="preserve">670823</t>
  </si>
  <si>
    <t xml:space="preserve">Lower Left Support</t>
  </si>
  <si>
    <t xml:space="preserve">670822</t>
  </si>
  <si>
    <t xml:space="preserve">Lower Right Support</t>
  </si>
  <si>
    <t xml:space="preserve">670832</t>
  </si>
  <si>
    <t xml:space="preserve">Rim Right</t>
  </si>
  <si>
    <t xml:space="preserve">670835</t>
  </si>
  <si>
    <t xml:space="preserve">Rim Foot</t>
  </si>
  <si>
    <t xml:space="preserve">670846</t>
  </si>
  <si>
    <t xml:space="preserve">MVR Lung Plate</t>
  </si>
  <si>
    <t xml:space="preserve">670839</t>
  </si>
  <si>
    <t xml:space="preserve">Handle 1</t>
  </si>
  <si>
    <t xml:space="preserve">670841</t>
  </si>
  <si>
    <t xml:space="preserve">Heart Base Riser</t>
  </si>
  <si>
    <t xml:space="preserve">670833</t>
  </si>
  <si>
    <t xml:space="preserve">Rim Left</t>
  </si>
  <si>
    <t xml:space="preserve">Total parts</t>
  </si>
  <si>
    <t xml:space="preserve">Five-Quote Comparison — Q1 (AI orig) | Q2 (AI re-quote) | Q3 (MP w/ error) | Q4 (MP corrected) ★ | Q5 (MJF China, Sep 3) ◆</t>
  </si>
  <si>
    <t xml:space="preserve">All extended subtotals normalized to Quote 2 quantities. Q5 uses its Tier 1 unit price (qty 2 / 26 business days) for like-for-like comparison. Xometry shown at right as reference only.</t>
  </si>
  <si>
    <t xml:space="preserve">Part</t>
  </si>
  <si>
    <t xml:space="preserve">Qty</t>
  </si>
  <si>
    <t xml:space="preserve">Unit Price by Quote ($)</t>
  </si>
  <si>
    <t xml:space="preserve">Extended Subtotal @ Q2 Qty ($)</t>
  </si>
  <si>
    <t xml:space="preserve">Quote-to-Quote Δ (%)</t>
  </si>
  <si>
    <t xml:space="preserve">Reference: Xometry</t>
  </si>
  <si>
    <t xml:space="preserve">#</t>
  </si>
  <si>
    <t xml:space="preserve">Part No.</t>
  </si>
  <si>
    <t xml:space="preserve">Q1 (AI orig)</t>
  </si>
  <si>
    <t xml:space="preserve">Q2 (Apr 23)</t>
  </si>
  <si>
    <t xml:space="preserve">Q3 (May 1)</t>
  </si>
  <si>
    <t xml:space="preserve">Q4 (May 11) ★</t>
  </si>
  <si>
    <t xml:space="preserve">Q5 (Sep 3) ◆</t>
  </si>
  <si>
    <t xml:space="preserve">Q1 Ext</t>
  </si>
  <si>
    <t xml:space="preserve">Q2 Ext</t>
  </si>
  <si>
    <t xml:space="preserve">Q3 Ext</t>
  </si>
  <si>
    <t xml:space="preserve">Q4 Ext ★</t>
  </si>
  <si>
    <t xml:space="preserve">Q5 Ext ◆</t>
  </si>
  <si>
    <t xml:space="preserve">Δ Q2→Q3</t>
  </si>
  <si>
    <t xml:space="preserve">Δ Q3→Q4 ★</t>
  </si>
  <si>
    <t xml:space="preserve">Δ Q2→Q4 (net)</t>
  </si>
  <si>
    <t xml:space="preserve">Δ Q4→Q5 ◆</t>
  </si>
  <si>
    <t xml:space="preserve">Xom. Unit</t>
  </si>
  <si>
    <t xml:space="preserve">Xom. Ext</t>
  </si>
  <si>
    <t xml:space="preserve">TOTAL (parts only, @ Q2 qty)</t>
  </si>
  <si>
    <t xml:space="preserve">★ = Q4 (corrected MP quote).  ◆ = Q5, the current quote (Sep 3, 2026).</t>
  </si>
  <si>
    <t xml:space="preserve">• Δ Q2→Q3: the +10.34% systematic markup that Fictiv later acknowledged as a mistake.</t>
  </si>
  <si>
    <t xml:space="preserve">• Δ Q3→Q4: the correction step — Q4 rolls back 12 parts to Q2 prices; keeps 3 parts at Q3 discount.</t>
  </si>
  <si>
    <t xml:space="preserve">• Δ Q2→Q4: the net MP value-add after correction. Equals exactly the genuine MP-discount savings on 670832, 670833, 670845.</t>
  </si>
  <si>
    <t xml:space="preserve">• Δ Q4→Q5: the move in the current quote. Q5 is a two-tier quote; this column compares its Tier 1 (qty 2 / 26-day) unit price against Q4.</t>
  </si>
  <si>
    <t xml:space="preserve">• Q5 unit prices are pulled from the "Quote 5 Detail" tab (cells E19:E33) so there is a single place to correct them.</t>
  </si>
  <si>
    <t xml:space="preserve">• Q4 PDF lists Head Cap (670836) at qty 4; normalized to qty 2 here to match Q2 basis (established convention).</t>
  </si>
  <si>
    <t xml:space="preserve">• Neither the Fictiv quotes nor Q5 include FAI / inspection — Q5 states explicitly that 3DP parts exclude the inspection report.</t>
  </si>
  <si>
    <t xml:space="preserve">• CAVEAT: Q5 is explicitly MJF / Nylon 12 / vapor-smoothed. The V3 workbook never recorded the process for Q1–Q4, so confirm they were quoted to the same finish spec before treating Δ Q4→Q5 as a pure price move.</t>
  </si>
  <si>
    <t xml:space="preserve">Quote 5 — As-Quoted Detail (quote date: September 3, 2026)</t>
  </si>
  <si>
    <t xml:space="preserve">Transcribed from the 3-page quote images supplied by the user on Sep 3, 2026. Both stated totals reconcile exactly from these line items (see the Tier structure check column), which is the transcription's proof of accuracy. Yellow cells are the as-quoted inputs — edit those; every other cell is a formula.</t>
  </si>
  <si>
    <t xml:space="preserve">Quote inputs &amp; assumptions  —  edit the yellow cells only</t>
  </si>
  <si>
    <t xml:space="preserve">Quote date</t>
  </si>
  <si>
    <t xml:space="preserve">Vendor name does not appear on the pages provided — confirm before citing as Fictiv.</t>
  </si>
  <si>
    <t xml:space="preserve">Process / finish (as quoted)</t>
  </si>
  <si>
    <t xml:space="preserve">Multi Jet Fusion (MJF) / Nylon 12 / Black / Vapor Smoothed / Per 2D drawing and DFM</t>
  </si>
  <si>
    <t xml:space="preserve">Sales tax on parts</t>
  </si>
  <si>
    <t xml:space="preserve">Back-solve divisor (assumed margin gross-up)</t>
  </si>
  <si>
    <t xml:space="preserve">B8 = 0.85 is an inference, not a quoted figure: 13 of 15 Tier-1 prices land on a round-dollar base when divided by it.</t>
  </si>
  <si>
    <t xml:space="preserve">Quote-level feedback</t>
  </si>
  <si>
    <t xml:space="preserve">LT excludes holiday such as 9.25-9.27; 10.1-10.7; 3DP parts exclude inspection report</t>
  </si>
  <si>
    <t xml:space="preserve">Tier structure &amp; reconciliation against the as-quoted totals</t>
  </si>
  <si>
    <t xml:space="preserve">Tier</t>
  </si>
  <si>
    <t xml:space="preserve">Qty / part</t>
  </si>
  <si>
    <t xml:space="preserve">Lead time (bus. days)</t>
  </si>
  <si>
    <t xml:space="preserve">Parts subtotal ($)</t>
  </si>
  <si>
    <t xml:space="preserve">Sales tax ($)</t>
  </si>
  <si>
    <t xml:space="preserve">Freight, DAP ($)</t>
  </si>
  <si>
    <t xml:space="preserve">Landed total ($)</t>
  </si>
  <si>
    <t xml:space="preserve">As-quoted total ($)</t>
  </si>
  <si>
    <t xml:space="preserve">Check</t>
  </si>
  <si>
    <t xml:space="preserve">Tier 1 — prototype</t>
  </si>
  <si>
    <t xml:space="preserve">Tier 2 — production</t>
  </si>
  <si>
    <t xml:space="preserve">As-quoted line items — all 15 parts, both tiers, with price-structure back-solve</t>
  </si>
  <si>
    <t xml:space="preserve">Tier 1 — qty 2 @ 26 business days</t>
  </si>
  <si>
    <t xml:space="preserve">Tier 2 — qty 30 @ 45 business days</t>
  </si>
  <si>
    <t xml:space="preserve">Ratio</t>
  </si>
  <si>
    <t xml:space="preserve">Price-structure back-solve</t>
  </si>
  <si>
    <t xml:space="preserve">DFM</t>
  </si>
  <si>
    <t xml:space="preserve">Quoted file</t>
  </si>
  <si>
    <t xml:space="preserve">Unit ($)</t>
  </si>
  <si>
    <t xml:space="preserve">Ext ($)</t>
  </si>
  <si>
    <t xml:space="preserve">T2 ÷ T1</t>
  </si>
  <si>
    <t xml:space="preserve">Base @ divisor ($)</t>
  </si>
  <si>
    <t xml:space="preserve">Round-$ base?</t>
  </si>
  <si>
    <t xml:space="preserve">Remarks / DFM feedback</t>
  </si>
  <si>
    <t xml:space="preserve">670832_revb_-_supine_chestribcagerim_right.step</t>
  </si>
  <si>
    <t xml:space="preserve">1. Brass inserts will be used equivalent instead.  2. Printing tolerance will be +/-0.80mm.</t>
  </si>
  <si>
    <t xml:space="preserve">670837_reva_-_supine_chestfoot_capcap.step</t>
  </si>
  <si>
    <t xml:space="preserve">670836_reva_-_supine_chesthead_capcap.step</t>
  </si>
  <si>
    <t xml:space="preserve">670820_reva_-_supine_chestribcageupper_right_support.step</t>
  </si>
  <si>
    <t xml:space="preserve">670823_revb_-_supine_chestribcagelower_left_support.step</t>
  </si>
  <si>
    <t xml:space="preserve">670834_reva_-_supine_chestribcagerim_head.step</t>
  </si>
  <si>
    <t xml:space="preserve">Printing tolerance will be +/-0.80mm.</t>
  </si>
  <si>
    <t xml:space="preserve">670845_revb_-_supine_chestrevaschanging_plate.step</t>
  </si>
  <si>
    <t xml:space="preserve">670842_reva_-_supine_chestrevasc_heart_plate.stl</t>
  </si>
  <si>
    <t xml:space="preserve">670821_reva_-_supine_chestribcageupper_left_support.step</t>
  </si>
  <si>
    <t xml:space="preserve">670822_revb_-_supine_chestribcagelower_right_support.step</t>
  </si>
  <si>
    <t xml:space="preserve">670835_reva_-_supine_chestribcagerim_foot.step</t>
  </si>
  <si>
    <t xml:space="preserve">670841_reva_-_supine_chestheart_baseriser.step</t>
  </si>
  <si>
    <t xml:space="preserve">670846_revb_-_supine_chestmvrlung_plate.step</t>
  </si>
  <si>
    <t xml:space="preserve">670839_reva_-_atmhandle_1bulkhead.step</t>
  </si>
  <si>
    <t xml:space="preserve">670833_revb_-_supine_chestribcagerim_left.stl</t>
  </si>
  <si>
    <t xml:space="preserve">TOTAL — as quoted</t>
  </si>
  <si>
    <t xml:space="preserve">Landed cost per part — sales tax + DAP freight allocated pro-rata by part value</t>
  </si>
  <si>
    <t xml:space="preserve">T1 Ext ($)</t>
  </si>
  <si>
    <t xml:space="preserve">T1 freight alloc. ($)</t>
  </si>
  <si>
    <t xml:space="preserve">T1 landed ext ($)</t>
  </si>
  <si>
    <t xml:space="preserve">T1 landed / unit ($)</t>
  </si>
  <si>
    <t xml:space="preserve">T2 Ext ($)</t>
  </si>
  <si>
    <t xml:space="preserve">T2 freight alloc. ($)</t>
  </si>
  <si>
    <t xml:space="preserve">T2 landed ext ($)</t>
  </si>
  <si>
    <t xml:space="preserve">T2 landed / unit ($)</t>
  </si>
  <si>
    <t xml:space="preserve">T2 landed unit as % of T1</t>
  </si>
  <si>
    <t xml:space="preserve">TOTAL landed</t>
  </si>
  <si>
    <t xml:space="preserve">G53 / K53 are the blended landed cost per piece across all 15 parts (landed total ÷ pieces), not a sum — the per-part figures above them are the ones to quote.</t>
  </si>
  <si>
    <t xml:space="preserve">Audit findings</t>
  </si>
  <si>
    <t xml:space="preserve">Volume-tier ratio — lowest across the 15 parts</t>
  </si>
  <si>
    <t xml:space="preserve">Tier 2 unit price as a share of Tier 1.</t>
  </si>
  <si>
    <t xml:space="preserve">Volume-tier ratio — highest across the 15 parts</t>
  </si>
  <si>
    <t xml:space="preserve">Spread (highest − lowest)</t>
  </si>
  <si>
    <t xml:space="preserve">A spread this close to zero means one flat multiplier was applied to every part, not part-by-part volume economics.</t>
  </si>
  <si>
    <t xml:space="preserve">Implied volume discount, Tier 1 → Tier 2</t>
  </si>
  <si>
    <t xml:space="preserve">A flat cut applied uniformly — so it is a pricing policy, not a reflection of how these parts nest or batch.</t>
  </si>
  <si>
    <t xml:space="preserve">Parts whose Tier-1 price back-solves to a round-dollar base</t>
  </si>
  <si>
    <t xml:space="preserve">At the B8 divisor. The two exceptions are 670832 / 670833 — the mirrored rim pair.</t>
  </si>
  <si>
    <t xml:space="preserve">Implied gross margin at that back-solved base</t>
  </si>
  <si>
    <t xml:space="preserve">If the round-dollar bases are the underlying cost, this is the margin sitting on top.</t>
  </si>
  <si>
    <t xml:space="preserve">Tier 1 — blended landed cost per piece</t>
  </si>
  <si>
    <t xml:space="preserve">Landed total ÷ 30 pieces (15 parts × qty 2).</t>
  </si>
  <si>
    <t xml:space="preserve">Tier 2 — blended landed cost per piece</t>
  </si>
  <si>
    <t xml:space="preserve">Landed total ÷ 450 pieces (15 parts × qty 30).</t>
  </si>
  <si>
    <t xml:space="preserve">Freight as % of parts subtotal — Tier 1</t>
  </si>
  <si>
    <t xml:space="preserve">Freight as % of parts subtotal — Tier 2</t>
  </si>
  <si>
    <t xml:space="preserve">Freight scales close to linearly with part value, so there is little freight leverage in ordering more.</t>
  </si>
  <si>
    <t xml:space="preserve">Source: 3-page quote images supplied by the user, Sep 3, 2026. Vendor not named on those pages.</t>
  </si>
  <si>
    <t xml:space="preserve">Transcription proof: the 15 line items sum to the quote’s own stated part-price totals ($23,929.48 Tier 1 / $161,523.60 Tier 2), and parts × 1.075 + freight reproduces the stated grand totals ($26,772.51 / $182,193.19) to the cent.</t>
  </si>
  <si>
    <t xml:space="preserve">Assumption — tax base: the 7.5% is applied to the part price only, not to freight. This is what makes both stated grand totals reconcile exactly, so it is confirmed by the quote’s own arithmetic rather than assumed.</t>
  </si>
  <si>
    <t xml:space="preserve">Assumption — freight allocation: DAP freight is spread across parts in proportion to part value. The quote gives one freight figure per tier, not per part, so any split is a modelling choice; by weight or volume would shift it.</t>
  </si>
  <si>
    <t xml:space="preserve">Assumption — back-solve divisor (B8 = 0.85): inferred from the data, not quoted. Change B8 to test other margin assumptions; column K re-tests every part against it.</t>
  </si>
  <si>
    <t xml:space="preserve">Lead times exclude the 9.25–9.27 and 10.1–10.7 holiday periods — both fall inside a 26- or 45-business-day window starting Sep 3, so the calendar dates land later than the day counts suggest.</t>
  </si>
  <si>
    <t xml:space="preserve">Summary &amp; Insights — Fictiv 3DP Quote Journey (V4, through Sep 3, 2026)</t>
  </si>
  <si>
    <t xml:space="preserve">Headline totals (part production, @ Q2 quantities)</t>
  </si>
  <si>
    <t xml:space="preserve">Quote 2 — Fictiv (AI re-quote, Apr 23)</t>
  </si>
  <si>
    <t xml:space="preserve">Quote 3 — Fictiv (MP w/ error, May 1)</t>
  </si>
  <si>
    <t xml:space="preserve">Quote 4 — Fictiv (MP corrected, May 11) ★</t>
  </si>
  <si>
    <t xml:space="preserve">Quote 5 — MJF China production (Sep 3) ◆ — Tier 1 unit price, like-for-like</t>
  </si>
  <si>
    <t xml:space="preserve">The corrected-quote story (Q1 → Q4), unchanged from V3</t>
  </si>
  <si>
    <t xml:space="preserve">Δ Q1 → Q4 ($) — full journey</t>
  </si>
  <si>
    <t xml:space="preserve">Δ Q1 → Q4 (%) — full journey</t>
  </si>
  <si>
    <t xml:space="preserve">Δ Q2 → Q4 ($) — MP net value</t>
  </si>
  <si>
    <t xml:space="preserve">Δ Q2 → Q4 (%) — MP net value</t>
  </si>
  <si>
    <t xml:space="preserve">Δ Q3 → Q4 ($) — correction</t>
  </si>
  <si>
    <t xml:space="preserve">Δ Q3 → Q4 (%) — correction</t>
  </si>
  <si>
    <t xml:space="preserve">The new quote (Q5, Sep 3, 2026) against the journey so far</t>
  </si>
  <si>
    <t xml:space="preserve">Δ Q4 → Q5 ($) — the current move</t>
  </si>
  <si>
    <t xml:space="preserve">Δ Q4 → Q5 (%) — the current move</t>
  </si>
  <si>
    <t xml:space="preserve">Δ Q1 → Q5 ($) — Q5 vs the original AI quote</t>
  </si>
  <si>
    <t xml:space="preserve">Δ Q1 → Q5 (%) — Q5 vs the original AI quote</t>
  </si>
  <si>
    <t xml:space="preserve">Q5 landed total — Tier 1 as quoted (qty 2/part, incl. 7.5% tax + DAP freight)</t>
  </si>
  <si>
    <t xml:space="preserve">Q5 landed total — Tier 2 as quoted (qty 30/part)</t>
  </si>
  <si>
    <t xml:space="preserve">Q5 blended landed cost per piece — Tier 1</t>
  </si>
  <si>
    <t xml:space="preserve">Q5 blended landed cost per piece — Tier 2</t>
  </si>
  <si>
    <t xml:space="preserve">Reference — Xometry benchmark (@ Q2 qty, parts only)</t>
  </si>
  <si>
    <t xml:space="preserve">Xometry total</t>
  </si>
  <si>
    <t xml:space="preserve">Q4 premium over Xometry ($)</t>
  </si>
  <si>
    <t xml:space="preserve">Q4 premium over Xometry (%)</t>
  </si>
  <si>
    <t xml:space="preserve">Q5 premium over Xometry ($)</t>
  </si>
  <si>
    <t xml:space="preserve">Q5 premium over Xometry (%)</t>
  </si>
  <si>
    <t xml:space="preserve">MP value-add decomposition (Q2 → Q4)</t>
  </si>
  <si>
    <t xml:space="preserve">Category</t>
  </si>
  <si>
    <t xml:space="preserve"># Parts</t>
  </si>
  <si>
    <t xml:space="preserve">Q2 Ext ($)</t>
  </si>
  <si>
    <t xml:space="preserve">Q4 Ext ($)</t>
  </si>
  <si>
    <t xml:space="preserve">Parts rolled back to Q2 price (no MP value)</t>
  </si>
  <si>
    <t xml:space="preserve">Parts kept at MP discount (genuine MP value) ★</t>
  </si>
  <si>
    <t xml:space="preserve">Quote 5 audit findings (detail and formulas on the "Quote 5 Detail" tab)</t>
  </si>
  <si>
    <t xml:space="preserve">Volume-tier discount, Tier 1 → Tier 2 (applied uniformly to all 15 parts)</t>
  </si>
  <si>
    <t xml:space="preserve">Spread in that tier ratio across the 15 parts</t>
  </si>
  <si>
    <t xml:space="preserve">Parts whose Tier-1 price back-solves to a round-dollar base at 85%</t>
  </si>
  <si>
    <t xml:space="preserve">DAP freight as % of parts subtotal — Tier 1</t>
  </si>
  <si>
    <t xml:space="preserve">DAP freight as % of parts subtotal — Tier 2</t>
  </si>
  <si>
    <t xml:space="preserve">Key observations</t>
  </si>
  <si>
    <t xml:space="preserve">1. CONFIRMED (V3, unchanged): the +10.34% systematic markup flagged in V2 was a quoting-team mistake. Q4 surgically rolls back 12 of 15 parts to Q2 prices while preserving the 3 MP-discount parts at Q3 prices.</t>
  </si>
  <si>
    <t xml:space="preserve">2. The MP's TRUE value-add (Q2→Q4) is $707.20 (-6.4%), entirely concentrated in three parts: 670832 Rim Right (-$333.90), 670833 Rim Left (-$333.20), and 670845 Hanging Plate (-$40.10). Sum = exactly $707.20.</t>
  </si>
  <si>
    <t xml:space="preserve">3. The two big-ticket discounts (670832/670833) are mirrored parts with identical Q2→Q4 savings to four sig figs. Strongly suggests these parts nest or process together more efficiently than the AI quoter modeled.</t>
  </si>
  <si>
    <t xml:space="preserve">4. Q4 Head Cap (670836) is still quoted at qty 4 in the PDF — confirmed as intentional (not a quoting bug), so the per-unit story is clean even though the as-issued totals differ.</t>
  </si>
  <si>
    <t xml:space="preserve">5. Q4 sits ~17% above the Xometry benchmark at like-for-like quantities (down from ~26% in Q3). Meaningful narrowing of the gap, but still a material premium worth thinking about as a sourcing question.</t>
  </si>
  <si>
    <t xml:space="preserve">6. The original V1/V2 hypothesis is vindicated — pushing back on the +10.34% pattern was the right call. When MP holistic re-quotes show suspiciously uniform price moves on most parts but big concessions on a few, default to suspecting a multiplier error.</t>
  </si>
  <si>
    <t xml:space="preserve">7. NEW — Q5 lands almost exactly back at Q1. At like-for-like quantities Q5 totals ~$27.4k against Q1's $27.5k, within ~0.4%. Sixteen months of re-quoting and one acknowledged correction have, at prototype volume, returned to the original AI quote's level. That is the headline to take into the next conversation.</t>
  </si>
  <si>
    <t xml:space="preserve">8. NEW — the Q5 volume discount is a flat multiplier, not part economics. Every one of the 15 Tier-2 prices is exactly 45.00% of its Tier-1 price; the spread across all 15 parts is effectively zero. A genuine volume curve would differ part by part, because nesting efficiency, part height and post-processing labour do not scale identically. This is a pricing policy applied on top, which means it is negotiable — and it is worth asking for a mid-tier (qty 5–10) rather than being pushed from 2 straight to 30.</t>
  </si>
  <si>
    <t xml:space="preserve">9. NEW — 13 of 15 Tier-1 prices back-solve to a round-dollar base at an 85% divisor ($200, $260, $280, $300, $375, $1,000, $1,100, $1,150, $1,480, $1,850 and so on), implying a round internal cost with a 15% margin on top. The two that break the pattern are 670832 and 670833 — the same mirrored rim pair that carried the real MP discounts in Q3/Q4. Those two appear to have been priced by hand while the other 13 came off a rate card.</t>
  </si>
  <si>
    <t xml:space="preserve">10. NEW — freight gives no leverage. DAP freight runs ~4.4% of parts subtotal at Tier 1 and ~5.3% at Tier 2, so it scales with value rather than flattening out. Ordering more does not amortise shipping; the case for Tier 2 has to be made on the 55% part discount alone.</t>
  </si>
  <si>
    <t xml:space="preserve">11. OPEN — process parity is unverified. Q5 is explicitly MJF / Nylon 12 / Black / Vapor Smoothed. The workbook never recorded the process for Q1–Q4, and vapor smoothing is a real cost adder. Confirm Q1–Q4 were quoted to the same finish spec before treating Δ Q4→Q5 as a like-for-like price move — if they were not, most of the Q4→Q5 jump may be scope, not inflation.</t>
  </si>
  <si>
    <t xml:space="preserve">12. OPEN — the vendor on the Q5 pages is not named. The pages supplied show no vendor identity, and the quote is China production while the Fictiv history is not documented as such. Confirm the issuer before this row is cited internally as a Fictiv quote.</t>
  </si>
</sst>
</file>

<file path=xl/styles.xml><?xml version="1.0" encoding="utf-8"?>
<styleSheet xmlns="http://schemas.openxmlformats.org/spreadsheetml/2006/main">
  <numFmts count="10">
    <numFmt numFmtId="164" formatCode="General"/>
    <numFmt numFmtId="165" formatCode="General"/>
    <numFmt numFmtId="166" formatCode="\$#,##0.00"/>
    <numFmt numFmtId="167" formatCode="0.0%;[RED]\-0.0%"/>
    <numFmt numFmtId="168" formatCode="mmmm\ d&quot;, &quot;yyyy"/>
    <numFmt numFmtId="169" formatCode="0.0%"/>
    <numFmt numFmtId="170" formatCode="0.00"/>
    <numFmt numFmtId="171" formatCode="0.00%"/>
    <numFmt numFmtId="172" formatCode="0&quot; of 15&quot;"/>
    <numFmt numFmtId="173" formatCode="\$#,##0.00;[RED]&quot;($&quot;#,##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color rgb="FF000000"/>
      <name val="Arial"/>
      <family val="0"/>
      <charset val="1"/>
    </font>
    <font>
      <sz val="9"/>
      <name val="Arial"/>
      <family val="0"/>
      <charset val="1"/>
    </font>
  </fonts>
  <fills count="12">
    <fill>
      <patternFill patternType="none"/>
    </fill>
    <fill>
      <patternFill patternType="gray125"/>
    </fill>
    <fill>
      <patternFill patternType="solid">
        <fgColor rgb="FF1F4E78"/>
        <bgColor rgb="FF003366"/>
      </patternFill>
    </fill>
    <fill>
      <patternFill patternType="solid">
        <fgColor rgb="FFC6E0B4"/>
        <bgColor rgb="FFE2EFDA"/>
      </patternFill>
    </fill>
    <fill>
      <patternFill patternType="solid">
        <fgColor rgb="FFEDEDED"/>
        <bgColor rgb="FFE2EFDA"/>
      </patternFill>
    </fill>
    <fill>
      <patternFill patternType="solid">
        <fgColor rgb="FF2E75B6"/>
        <bgColor rgb="FF0066CC"/>
      </patternFill>
    </fill>
    <fill>
      <patternFill patternType="solid">
        <fgColor rgb="FFFFF2CC"/>
        <bgColor rgb="FFFCE4D6"/>
      </patternFill>
    </fill>
    <fill>
      <patternFill patternType="solid">
        <fgColor rgb="FFF8CBAD"/>
        <bgColor rgb="FFFCE4D6"/>
      </patternFill>
    </fill>
    <fill>
      <patternFill patternType="solid">
        <fgColor rgb="FFFCE4D6"/>
        <bgColor rgb="FFFFF2CC"/>
      </patternFill>
    </fill>
    <fill>
      <patternFill patternType="solid">
        <fgColor rgb="FFE2EFDA"/>
        <bgColor rgb="FFEDEDED"/>
      </patternFill>
    </fill>
    <fill>
      <patternFill patternType="solid">
        <fgColor rgb="FFD9E1F2"/>
        <bgColor rgb="FFE2EFDA"/>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4" fontId="6" fillId="5"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9" fillId="3" borderId="2"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6" fontId="8" fillId="3" borderId="2" xfId="0" applyFont="true" applyBorder="true" applyAlignment="false" applyProtection="false">
      <alignment horizontal="general" vertical="bottom" textRotation="0" wrapText="false" indent="0" shrinkToFit="false"/>
      <protection locked="true" hidden="false"/>
    </xf>
    <xf numFmtId="166" fontId="8" fillId="8"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7" fontId="8" fillId="9" borderId="2" xfId="0" applyFont="true" applyBorder="true" applyAlignment="false" applyProtection="false">
      <alignment horizontal="general" vertical="bottom" textRotation="0" wrapText="false" indent="0" shrinkToFit="false"/>
      <protection locked="true" hidden="false"/>
    </xf>
    <xf numFmtId="167" fontId="8" fillId="8" borderId="2" xfId="0" applyFont="true" applyBorder="true" applyAlignment="false" applyProtection="false">
      <alignment horizontal="general" vertical="bottom" textRotation="0" wrapText="false" indent="0" shrinkToFit="false"/>
      <protection locked="true" hidden="false"/>
    </xf>
    <xf numFmtId="166" fontId="8" fillId="4" borderId="2" xfId="0" applyFont="true" applyBorder="true" applyAlignment="false" applyProtection="false">
      <alignment horizontal="general" vertical="bottom" textRotation="0" wrapText="fals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66" fontId="7" fillId="6" borderId="2" xfId="0" applyFont="true" applyBorder="true" applyAlignment="false" applyProtection="false">
      <alignment horizontal="general" vertical="bottom" textRotation="0" wrapText="false" indent="0" shrinkToFit="false"/>
      <protection locked="true" hidden="false"/>
    </xf>
    <xf numFmtId="166" fontId="7" fillId="3" borderId="2" xfId="0" applyFont="true" applyBorder="true" applyAlignment="false" applyProtection="false">
      <alignment horizontal="general" vertical="bottom" textRotation="0" wrapText="false" indent="0" shrinkToFit="false"/>
      <protection locked="true" hidden="false"/>
    </xf>
    <xf numFmtId="166" fontId="7" fillId="7" borderId="2" xfId="0" applyFont="true" applyBorder="true" applyAlignment="false" applyProtection="false">
      <alignment horizontal="general" vertical="bottom" textRotation="0" wrapText="false" indent="0" shrinkToFit="false"/>
      <protection locked="true" hidden="false"/>
    </xf>
    <xf numFmtId="167" fontId="7" fillId="6" borderId="2" xfId="0" applyFont="true" applyBorder="true" applyAlignment="false" applyProtection="false">
      <alignment horizontal="general" vertical="bottom" textRotation="0" wrapText="false" indent="0" shrinkToFit="false"/>
      <protection locked="true" hidden="false"/>
    </xf>
    <xf numFmtId="167" fontId="7" fillId="9" borderId="2" xfId="0" applyFont="true" applyBorder="true" applyAlignment="false" applyProtection="false">
      <alignment horizontal="general" vertical="bottom" textRotation="0" wrapText="false" indent="0" shrinkToFit="false"/>
      <protection locked="true" hidden="false"/>
    </xf>
    <xf numFmtId="167" fontId="7" fillId="3" borderId="2" xfId="0" applyFont="true" applyBorder="true" applyAlignment="false" applyProtection="false">
      <alignment horizontal="general" vertical="bottom" textRotation="0" wrapText="false" indent="0" shrinkToFit="false"/>
      <protection locked="true" hidden="false"/>
    </xf>
    <xf numFmtId="167" fontId="7" fillId="7" borderId="2" xfId="0" applyFont="true" applyBorder="true" applyAlignment="false" applyProtection="false">
      <alignment horizontal="general" vertical="bottom"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6" fontId="7" fillId="4" borderId="2"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10" borderId="0" xfId="0" applyFont="true" applyBorder="true" applyAlignment="false" applyProtection="false">
      <alignment horizontal="general" vertical="bottom" textRotation="0" wrapText="false" indent="0" shrinkToFit="false"/>
      <protection locked="true" hidden="false"/>
    </xf>
    <xf numFmtId="168" fontId="8" fillId="11"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8" fillId="11" borderId="2" xfId="0" applyFont="true" applyBorder="true" applyAlignment="false" applyProtection="false">
      <alignment horizontal="general" vertical="bottom" textRotation="0" wrapText="false" indent="0" shrinkToFit="false"/>
      <protection locked="true" hidden="false"/>
    </xf>
    <xf numFmtId="169" fontId="8" fillId="11" borderId="2" xfId="0" applyFont="true" applyBorder="true" applyAlignment="false" applyProtection="false">
      <alignment horizontal="general" vertical="bottom" textRotation="0" wrapText="false" indent="0" shrinkToFit="false"/>
      <protection locked="true" hidden="false"/>
    </xf>
    <xf numFmtId="170" fontId="8" fillId="11" borderId="2" xfId="0" applyFont="true" applyBorder="true" applyAlignment="false" applyProtection="false">
      <alignment horizontal="general" vertical="bottom" textRotation="0" wrapText="false" indent="0" shrinkToFit="false"/>
      <protection locked="true" hidden="false"/>
    </xf>
    <xf numFmtId="164" fontId="6" fillId="2" borderId="2" xfId="0" applyFont="true" applyBorder="true" applyAlignment="false" applyProtection="false">
      <alignment horizontal="general" vertical="bottom" textRotation="0" wrapText="false" indent="0" shrinkToFit="false"/>
      <protection locked="true" hidden="false"/>
    </xf>
    <xf numFmtId="164" fontId="7" fillId="8" borderId="2" xfId="0" applyFont="true" applyBorder="true" applyAlignment="false" applyProtection="false">
      <alignment horizontal="general" vertical="bottom" textRotation="0" wrapText="false" indent="0" shrinkToFit="false"/>
      <protection locked="true" hidden="false"/>
    </xf>
    <xf numFmtId="164" fontId="8" fillId="11" borderId="2" xfId="0" applyFont="true" applyBorder="true" applyAlignment="true" applyProtection="false">
      <alignment horizontal="center" vertical="center" textRotation="0" wrapText="false" indent="0" shrinkToFit="false"/>
      <protection locked="true" hidden="false"/>
    </xf>
    <xf numFmtId="166" fontId="8" fillId="11" borderId="2" xfId="0" applyFont="true" applyBorder="true" applyAlignment="false" applyProtection="false">
      <alignment horizontal="general" vertical="bottom" textRotation="0" wrapText="false" indent="0" shrinkToFit="false"/>
      <protection locked="true" hidden="false"/>
    </xf>
    <xf numFmtId="166" fontId="7" fillId="8" borderId="2" xfId="0" applyFont="true" applyBorder="true" applyAlignment="false" applyProtection="false">
      <alignment horizontal="general" vertical="bottom"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8" fillId="8" borderId="2"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71" fontId="8" fillId="0" borderId="2" xfId="0" applyFont="true" applyBorder="true" applyAlignment="false" applyProtection="false">
      <alignment horizontal="general" vertical="bottom" textRotation="0" wrapText="false" indent="0" shrinkToFit="false"/>
      <protection locked="true" hidden="false"/>
    </xf>
    <xf numFmtId="171" fontId="7" fillId="8" borderId="2" xfId="0" applyFont="true" applyBorder="true" applyAlignment="false" applyProtection="false">
      <alignment horizontal="general" vertical="bottom" textRotation="0" wrapText="false" indent="0" shrinkToFit="false"/>
      <protection locked="true" hidden="false"/>
    </xf>
    <xf numFmtId="167" fontId="7" fillId="8" borderId="2" xfId="0" applyFont="true" applyBorder="true" applyAlignment="false" applyProtection="false">
      <alignment horizontal="general" vertical="bottom" textRotation="0" wrapText="false" indent="0" shrinkToFit="false"/>
      <protection locked="true" hidden="false"/>
    </xf>
    <xf numFmtId="172" fontId="7" fillId="8" borderId="2" xfId="0" applyFont="tru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4" fontId="7" fillId="7" borderId="2" xfId="0" applyFont="true" applyBorder="true" applyAlignment="false" applyProtection="false">
      <alignment horizontal="general" vertical="bottom" textRotation="0" wrapText="false" indent="0" shrinkToFit="false"/>
      <protection locked="true" hidden="false"/>
    </xf>
    <xf numFmtId="166" fontId="8" fillId="7"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73" fontId="8" fillId="8" borderId="2"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73" fontId="8" fillId="4" borderId="2" xfId="0" applyFont="true" applyBorder="true" applyAlignment="false" applyProtection="false">
      <alignment horizontal="general" vertical="bottom" textRotation="0" wrapText="false" indent="0" shrinkToFit="false"/>
      <protection locked="true" hidden="false"/>
    </xf>
    <xf numFmtId="167" fontId="8" fillId="4" borderId="2" xfId="0" applyFont="true" applyBorder="true" applyAlignment="false" applyProtection="false">
      <alignment horizontal="general" vertical="bottom" textRotation="0" wrapText="false" indent="0" shrinkToFit="false"/>
      <protection locked="true" hidden="false"/>
    </xf>
    <xf numFmtId="164" fontId="8" fillId="10" borderId="2"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71" fontId="8" fillId="8" borderId="2" xfId="0" applyFont="true" applyBorder="true" applyAlignment="false" applyProtection="false">
      <alignment horizontal="general" vertical="bottom" textRotation="0" wrapText="false" indent="0" shrinkToFit="false"/>
      <protection locked="true" hidden="false"/>
    </xf>
    <xf numFmtId="172" fontId="8" fillId="8"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6E0B4"/>
      <rgbColor rgb="FFE2EFDA"/>
      <rgbColor rgb="FFFCE4D6"/>
      <rgbColor rgb="FF99CCFF"/>
      <rgbColor rgb="FFFF99CC"/>
      <rgbColor rgb="FFCC99FF"/>
      <rgbColor rgb="FFF8CBAD"/>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45"/>
    <col collapsed="false" customWidth="true" hidden="false" outlineLevel="0" max="3" min="3" style="1" width="20"/>
    <col collapsed="false" customWidth="true" hidden="false" outlineLevel="0" max="4" min="4" style="1" width="75"/>
  </cols>
  <sheetData>
    <row r="1" customFormat="false" ht="17.25" hidden="false" customHeight="true" outlineLevel="0" collapsed="false">
      <c r="A1" s="2" t="s">
        <v>0</v>
      </c>
      <c r="B1" s="2"/>
      <c r="C1" s="2"/>
      <c r="D1" s="2"/>
    </row>
    <row r="3" customFormat="false" ht="18" hidden="false" customHeight="true" outlineLevel="0" collapsed="false">
      <c r="A3" s="3" t="s">
        <v>1</v>
      </c>
      <c r="B3" s="3"/>
      <c r="C3" s="3"/>
      <c r="D3" s="3"/>
    </row>
    <row r="4" customFormat="false" ht="18" hidden="false" customHeight="true" outlineLevel="0" collapsed="false">
      <c r="A4" s="3"/>
      <c r="B4" s="3"/>
      <c r="C4" s="3"/>
      <c r="D4" s="3"/>
    </row>
    <row r="5" customFormat="false" ht="18" hidden="false" customHeight="true" outlineLevel="0" collapsed="false">
      <c r="A5" s="3"/>
      <c r="B5" s="3"/>
      <c r="C5" s="3"/>
      <c r="D5" s="3"/>
    </row>
    <row r="7" customFormat="false" ht="15" hidden="false" customHeight="true" outlineLevel="0" collapsed="false">
      <c r="A7" s="4" t="s">
        <v>2</v>
      </c>
      <c r="B7" s="4" t="s">
        <v>3</v>
      </c>
      <c r="C7" s="4" t="s">
        <v>4</v>
      </c>
      <c r="D7" s="4" t="s">
        <v>5</v>
      </c>
    </row>
    <row r="8" customFormat="false" ht="69.75" hidden="false" customHeight="true" outlineLevel="0" collapsed="false">
      <c r="A8" s="5" t="s">
        <v>6</v>
      </c>
      <c r="B8" s="6" t="s">
        <v>7</v>
      </c>
      <c r="C8" s="6" t="s">
        <v>8</v>
      </c>
      <c r="D8" s="6" t="s">
        <v>9</v>
      </c>
    </row>
    <row r="9" customFormat="false" ht="69.75" hidden="false" customHeight="true" outlineLevel="0" collapsed="false">
      <c r="A9" s="5" t="s">
        <v>10</v>
      </c>
      <c r="B9" s="6" t="s">
        <v>11</v>
      </c>
      <c r="C9" s="6" t="s">
        <v>12</v>
      </c>
      <c r="D9" s="6" t="s">
        <v>13</v>
      </c>
    </row>
    <row r="10" customFormat="false" ht="69.75" hidden="false" customHeight="true" outlineLevel="0" collapsed="false">
      <c r="A10" s="5" t="s">
        <v>14</v>
      </c>
      <c r="B10" s="6" t="s">
        <v>15</v>
      </c>
      <c r="C10" s="6" t="s">
        <v>16</v>
      </c>
      <c r="D10" s="6" t="s">
        <v>17</v>
      </c>
    </row>
    <row r="11" customFormat="false" ht="69.75" hidden="false" customHeight="true" outlineLevel="0" collapsed="false">
      <c r="A11" s="7" t="s">
        <v>18</v>
      </c>
      <c r="B11" s="8" t="s">
        <v>19</v>
      </c>
      <c r="C11" s="8" t="s">
        <v>20</v>
      </c>
      <c r="D11" s="8" t="s">
        <v>21</v>
      </c>
    </row>
    <row r="12" customFormat="false" ht="69.75" hidden="false" customHeight="true" outlineLevel="0" collapsed="false">
      <c r="A12" s="9" t="s">
        <v>22</v>
      </c>
      <c r="B12" s="10" t="s">
        <v>23</v>
      </c>
      <c r="C12" s="10" t="s">
        <v>24</v>
      </c>
      <c r="D12" s="10" t="s">
        <v>25</v>
      </c>
    </row>
    <row r="13" customFormat="false" ht="69.75" hidden="false" customHeight="true" outlineLevel="0" collapsed="false">
      <c r="A13" s="9" t="s">
        <v>26</v>
      </c>
      <c r="B13" s="10" t="s">
        <v>27</v>
      </c>
      <c r="C13" s="10" t="s">
        <v>28</v>
      </c>
      <c r="D13" s="10" t="s">
        <v>29</v>
      </c>
    </row>
    <row r="15" customFormat="false" ht="15" hidden="false" customHeight="true" outlineLevel="0" collapsed="false">
      <c r="A15" s="11" t="s">
        <v>30</v>
      </c>
      <c r="B15" s="11"/>
      <c r="C15" s="11"/>
      <c r="D15" s="11"/>
    </row>
    <row r="16" customFormat="false" ht="15" hidden="false" customHeight="true" outlineLevel="0" collapsed="false">
      <c r="A16" s="12" t="s">
        <v>31</v>
      </c>
      <c r="B16" s="12" t="s">
        <v>32</v>
      </c>
      <c r="C16" s="12" t="s">
        <v>33</v>
      </c>
    </row>
    <row r="17" customFormat="false" ht="15" hidden="false" customHeight="true" outlineLevel="0" collapsed="false">
      <c r="A17" s="13" t="s">
        <v>34</v>
      </c>
      <c r="B17" s="13" t="s">
        <v>35</v>
      </c>
      <c r="C17" s="14" t="n">
        <v>2</v>
      </c>
    </row>
    <row r="18" customFormat="false" ht="15" hidden="false" customHeight="true" outlineLevel="0" collapsed="false">
      <c r="A18" s="13" t="s">
        <v>36</v>
      </c>
      <c r="B18" s="13" t="s">
        <v>37</v>
      </c>
      <c r="C18" s="14" t="n">
        <v>2</v>
      </c>
    </row>
    <row r="19" customFormat="false" ht="15" hidden="false" customHeight="true" outlineLevel="0" collapsed="false">
      <c r="A19" s="13" t="s">
        <v>38</v>
      </c>
      <c r="B19" s="13" t="s">
        <v>39</v>
      </c>
      <c r="C19" s="14" t="n">
        <v>2</v>
      </c>
    </row>
    <row r="20" customFormat="false" ht="15" hidden="false" customHeight="true" outlineLevel="0" collapsed="false">
      <c r="A20" s="13" t="s">
        <v>40</v>
      </c>
      <c r="B20" s="13" t="s">
        <v>41</v>
      </c>
      <c r="C20" s="14" t="n">
        <v>2</v>
      </c>
    </row>
    <row r="21" customFormat="false" ht="15" hidden="false" customHeight="true" outlineLevel="0" collapsed="false">
      <c r="A21" s="13" t="s">
        <v>42</v>
      </c>
      <c r="B21" s="13" t="s">
        <v>43</v>
      </c>
      <c r="C21" s="14" t="n">
        <v>2</v>
      </c>
    </row>
    <row r="22" customFormat="false" ht="15" hidden="false" customHeight="true" outlineLevel="0" collapsed="false">
      <c r="A22" s="13" t="s">
        <v>44</v>
      </c>
      <c r="B22" s="13" t="s">
        <v>45</v>
      </c>
      <c r="C22" s="14" t="n">
        <v>4</v>
      </c>
    </row>
    <row r="23" customFormat="false" ht="15" hidden="false" customHeight="true" outlineLevel="0" collapsed="false">
      <c r="A23" s="13" t="s">
        <v>46</v>
      </c>
      <c r="B23" s="13" t="s">
        <v>47</v>
      </c>
      <c r="C23" s="14" t="n">
        <v>4</v>
      </c>
    </row>
    <row r="24" customFormat="false" ht="15" hidden="false" customHeight="true" outlineLevel="0" collapsed="false">
      <c r="A24" s="13" t="s">
        <v>48</v>
      </c>
      <c r="B24" s="13" t="s">
        <v>49</v>
      </c>
      <c r="C24" s="14" t="n">
        <v>4</v>
      </c>
    </row>
    <row r="25" customFormat="false" ht="15" hidden="false" customHeight="true" outlineLevel="0" collapsed="false">
      <c r="A25" s="13" t="s">
        <v>50</v>
      </c>
      <c r="B25" s="13" t="s">
        <v>51</v>
      </c>
      <c r="C25" s="14" t="n">
        <v>4</v>
      </c>
    </row>
    <row r="26" customFormat="false" ht="15" hidden="false" customHeight="true" outlineLevel="0" collapsed="false">
      <c r="A26" s="13" t="s">
        <v>52</v>
      </c>
      <c r="B26" s="13" t="s">
        <v>53</v>
      </c>
      <c r="C26" s="14" t="n">
        <v>2</v>
      </c>
    </row>
    <row r="27" customFormat="false" ht="15" hidden="false" customHeight="true" outlineLevel="0" collapsed="false">
      <c r="A27" s="13" t="s">
        <v>54</v>
      </c>
      <c r="B27" s="13" t="s">
        <v>55</v>
      </c>
      <c r="C27" s="14" t="n">
        <v>2</v>
      </c>
    </row>
    <row r="28" customFormat="false" ht="15" hidden="false" customHeight="true" outlineLevel="0" collapsed="false">
      <c r="A28" s="13" t="s">
        <v>56</v>
      </c>
      <c r="B28" s="13" t="s">
        <v>57</v>
      </c>
      <c r="C28" s="14" t="n">
        <v>2</v>
      </c>
    </row>
    <row r="29" customFormat="false" ht="15" hidden="false" customHeight="true" outlineLevel="0" collapsed="false">
      <c r="A29" s="13" t="s">
        <v>58</v>
      </c>
      <c r="B29" s="13" t="s">
        <v>59</v>
      </c>
      <c r="C29" s="14" t="n">
        <v>4</v>
      </c>
    </row>
    <row r="30" customFormat="false" ht="15" hidden="false" customHeight="true" outlineLevel="0" collapsed="false">
      <c r="A30" s="13" t="s">
        <v>60</v>
      </c>
      <c r="B30" s="13" t="s">
        <v>61</v>
      </c>
      <c r="C30" s="14" t="n">
        <v>2</v>
      </c>
    </row>
    <row r="31" customFormat="false" ht="15" hidden="false" customHeight="true" outlineLevel="0" collapsed="false">
      <c r="A31" s="13" t="s">
        <v>62</v>
      </c>
      <c r="B31" s="13" t="s">
        <v>63</v>
      </c>
      <c r="C31" s="14" t="n">
        <v>2</v>
      </c>
    </row>
    <row r="32" customFormat="false" ht="15" hidden="false" customHeight="true" outlineLevel="0" collapsed="false">
      <c r="A32" s="15"/>
      <c r="B32" s="16" t="s">
        <v>64</v>
      </c>
      <c r="C32" s="17" t="n">
        <f aca="false">SUM(C17:C31)</f>
        <v>40</v>
      </c>
    </row>
  </sheetData>
  <mergeCells count="3">
    <mergeCell ref="A1:D1"/>
    <mergeCell ref="A3:D5"/>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4"/>
    <col collapsed="false" customWidth="true" hidden="false" outlineLevel="0" max="4" min="4" style="0" width="6"/>
    <col collapsed="false" customWidth="true" hidden="false" outlineLevel="0" max="5" min="5" style="0" width="12"/>
    <col collapsed="false" customWidth="true" hidden="false" outlineLevel="0" max="7" min="6" style="0" width="11"/>
    <col collapsed="false" customWidth="true" hidden="false" outlineLevel="0" max="8" min="8" style="0" width="14"/>
    <col collapsed="false" customWidth="true" hidden="false" outlineLevel="0" max="9" min="9" style="0" width="13"/>
    <col collapsed="false" customWidth="true" hidden="false" outlineLevel="0" max="12" min="10" style="0" width="11"/>
    <col collapsed="false" customWidth="true" hidden="false" outlineLevel="0" max="14" min="13" style="0" width="12"/>
    <col collapsed="false" customWidth="true" hidden="false" outlineLevel="0" max="15" min="15" style="0" width="10"/>
    <col collapsed="false" customWidth="true" hidden="false" outlineLevel="0" max="16" min="16" style="0" width="12"/>
    <col collapsed="false" customWidth="true" hidden="false" outlineLevel="0" max="17" min="17" style="0" width="13"/>
    <col collapsed="false" customWidth="true" hidden="false" outlineLevel="0" max="18" min="18" style="0" width="12"/>
    <col collapsed="false" customWidth="true" hidden="false" outlineLevel="0" max="20" min="19" style="0" width="11"/>
  </cols>
  <sheetData>
    <row r="1" customFormat="false" ht="17.25" hidden="false" customHeight="true" outlineLevel="0" collapsed="false">
      <c r="A1" s="18" t="s">
        <v>65</v>
      </c>
      <c r="B1" s="18"/>
      <c r="C1" s="18"/>
      <c r="D1" s="18"/>
      <c r="E1" s="18"/>
      <c r="F1" s="18"/>
      <c r="G1" s="18"/>
      <c r="H1" s="18"/>
      <c r="I1" s="18"/>
      <c r="J1" s="18"/>
      <c r="K1" s="18"/>
      <c r="L1" s="18"/>
      <c r="M1" s="18"/>
      <c r="N1" s="18"/>
      <c r="O1" s="18"/>
      <c r="P1" s="18"/>
      <c r="Q1" s="18"/>
      <c r="R1" s="18"/>
      <c r="S1" s="18"/>
      <c r="T1" s="18"/>
    </row>
    <row r="2" customFormat="false" ht="15" hidden="false" customHeight="true" outlineLevel="0" collapsed="false">
      <c r="A2" s="3" t="s">
        <v>66</v>
      </c>
      <c r="B2" s="3"/>
      <c r="C2" s="3"/>
      <c r="D2" s="3"/>
      <c r="E2" s="3"/>
      <c r="F2" s="3"/>
      <c r="G2" s="3"/>
      <c r="H2" s="3"/>
      <c r="I2" s="3"/>
      <c r="J2" s="3"/>
      <c r="K2" s="3"/>
      <c r="L2" s="3"/>
      <c r="M2" s="3"/>
      <c r="N2" s="3"/>
      <c r="O2" s="3"/>
      <c r="P2" s="3"/>
      <c r="Q2" s="3"/>
      <c r="R2" s="3"/>
      <c r="S2" s="3"/>
      <c r="T2" s="3"/>
    </row>
    <row r="4" customFormat="false" ht="21.75" hidden="false" customHeight="true" outlineLevel="0" collapsed="false">
      <c r="A4" s="19" t="s">
        <v>67</v>
      </c>
      <c r="B4" s="19"/>
      <c r="C4" s="19"/>
      <c r="D4" s="19" t="s">
        <v>68</v>
      </c>
      <c r="E4" s="20" t="s">
        <v>69</v>
      </c>
      <c r="F4" s="20"/>
      <c r="G4" s="20"/>
      <c r="H4" s="20"/>
      <c r="I4" s="20"/>
      <c r="J4" s="20" t="s">
        <v>70</v>
      </c>
      <c r="K4" s="20"/>
      <c r="L4" s="20"/>
      <c r="M4" s="20"/>
      <c r="N4" s="20"/>
      <c r="O4" s="20" t="s">
        <v>71</v>
      </c>
      <c r="P4" s="20"/>
      <c r="Q4" s="20"/>
      <c r="R4" s="20"/>
      <c r="S4" s="21" t="s">
        <v>72</v>
      </c>
      <c r="T4" s="21"/>
    </row>
    <row r="5" customFormat="false" ht="34.5" hidden="false" customHeight="true" outlineLevel="0" collapsed="false">
      <c r="A5" s="19" t="s">
        <v>73</v>
      </c>
      <c r="B5" s="19" t="s">
        <v>74</v>
      </c>
      <c r="C5" s="19" t="s">
        <v>32</v>
      </c>
      <c r="D5" s="19" t="s">
        <v>68</v>
      </c>
      <c r="E5" s="19" t="s">
        <v>75</v>
      </c>
      <c r="F5" s="19" t="s">
        <v>76</v>
      </c>
      <c r="G5" s="19" t="s">
        <v>77</v>
      </c>
      <c r="H5" s="22" t="s">
        <v>78</v>
      </c>
      <c r="I5" s="23" t="s">
        <v>79</v>
      </c>
      <c r="J5" s="19" t="s">
        <v>80</v>
      </c>
      <c r="K5" s="19" t="s">
        <v>81</v>
      </c>
      <c r="L5" s="19" t="s">
        <v>82</v>
      </c>
      <c r="M5" s="22" t="s">
        <v>83</v>
      </c>
      <c r="N5" s="23" t="s">
        <v>84</v>
      </c>
      <c r="O5" s="19" t="s">
        <v>85</v>
      </c>
      <c r="P5" s="22" t="s">
        <v>86</v>
      </c>
      <c r="Q5" s="19" t="s">
        <v>87</v>
      </c>
      <c r="R5" s="23" t="s">
        <v>88</v>
      </c>
      <c r="S5" s="21" t="s">
        <v>89</v>
      </c>
      <c r="T5" s="21" t="s">
        <v>90</v>
      </c>
    </row>
    <row r="6" customFormat="false" ht="15" hidden="false" customHeight="true" outlineLevel="0" collapsed="false">
      <c r="A6" s="24" t="n">
        <v>1</v>
      </c>
      <c r="B6" s="24" t="s">
        <v>34</v>
      </c>
      <c r="C6" s="24" t="s">
        <v>35</v>
      </c>
      <c r="D6" s="25" t="n">
        <v>2</v>
      </c>
      <c r="E6" s="26" t="n">
        <v>184.09</v>
      </c>
      <c r="F6" s="26" t="n">
        <v>97.15</v>
      </c>
      <c r="G6" s="26" t="n">
        <v>107.2</v>
      </c>
      <c r="H6" s="27" t="n">
        <v>97.15</v>
      </c>
      <c r="I6" s="28" t="n">
        <f aca="false">'Quote 5 Detail'!E24</f>
        <v>235.3</v>
      </c>
      <c r="J6" s="26" t="n">
        <f aca="false">$D6*E6</f>
        <v>368.18</v>
      </c>
      <c r="K6" s="26" t="n">
        <f aca="false">$D6*F6</f>
        <v>194.3</v>
      </c>
      <c r="L6" s="26" t="n">
        <f aca="false">$D6*G6</f>
        <v>214.4</v>
      </c>
      <c r="M6" s="27" t="n">
        <f aca="false">$D6*H6</f>
        <v>194.3</v>
      </c>
      <c r="N6" s="28" t="n">
        <f aca="false">$D6*I6</f>
        <v>470.6</v>
      </c>
      <c r="O6" s="29" t="n">
        <f aca="false">(G6-F6)/F6</f>
        <v>0.103448275862069</v>
      </c>
      <c r="P6" s="30" t="n">
        <f aca="false">(H6-G6)/G6</f>
        <v>-0.09375</v>
      </c>
      <c r="Q6" s="29" t="n">
        <f aca="false">(H6-F6)/F6</f>
        <v>0</v>
      </c>
      <c r="R6" s="31" t="n">
        <f aca="false">(I6-H6)/H6</f>
        <v>1.42202779207411</v>
      </c>
      <c r="S6" s="32" t="n">
        <v>65.46</v>
      </c>
      <c r="T6" s="32" t="n">
        <f aca="false">$D6*S6</f>
        <v>130.92</v>
      </c>
    </row>
    <row r="7" customFormat="false" ht="15" hidden="false" customHeight="true" outlineLevel="0" collapsed="false">
      <c r="A7" s="24" t="n">
        <v>2</v>
      </c>
      <c r="B7" s="24" t="s">
        <v>36</v>
      </c>
      <c r="C7" s="24" t="s">
        <v>37</v>
      </c>
      <c r="D7" s="25" t="n">
        <v>2</v>
      </c>
      <c r="E7" s="26" t="n">
        <v>1412.2</v>
      </c>
      <c r="F7" s="26" t="n">
        <v>336.4</v>
      </c>
      <c r="G7" s="26" t="n">
        <v>371.2</v>
      </c>
      <c r="H7" s="27" t="n">
        <v>336.4</v>
      </c>
      <c r="I7" s="28" t="n">
        <f aca="false">'Quote 5 Detail'!E21</f>
        <v>1352.94</v>
      </c>
      <c r="J7" s="26" t="n">
        <f aca="false">$D7*E7</f>
        <v>2824.4</v>
      </c>
      <c r="K7" s="26" t="n">
        <f aca="false">$D7*F7</f>
        <v>672.8</v>
      </c>
      <c r="L7" s="26" t="n">
        <f aca="false">$D7*G7</f>
        <v>742.4</v>
      </c>
      <c r="M7" s="27" t="n">
        <f aca="false">$D7*H7</f>
        <v>672.8</v>
      </c>
      <c r="N7" s="28" t="n">
        <f aca="false">$D7*I7</f>
        <v>2705.88</v>
      </c>
      <c r="O7" s="29" t="n">
        <f aca="false">(G7-F7)/F7</f>
        <v>0.103448275862069</v>
      </c>
      <c r="P7" s="30" t="n">
        <f aca="false">(H7-G7)/G7</f>
        <v>-0.09375</v>
      </c>
      <c r="Q7" s="29" t="n">
        <f aca="false">(H7-F7)/F7</f>
        <v>0</v>
      </c>
      <c r="R7" s="31" t="n">
        <f aca="false">(I7-H7)/H7</f>
        <v>3.0218192627824</v>
      </c>
      <c r="S7" s="32" t="n">
        <v>434.58</v>
      </c>
      <c r="T7" s="32" t="n">
        <f aca="false">$D7*S7</f>
        <v>869.16</v>
      </c>
    </row>
    <row r="8" customFormat="false" ht="15" hidden="false" customHeight="true" outlineLevel="0" collapsed="false">
      <c r="A8" s="24" t="n">
        <v>3</v>
      </c>
      <c r="B8" s="24" t="s">
        <v>38</v>
      </c>
      <c r="C8" s="24" t="s">
        <v>39</v>
      </c>
      <c r="D8" s="25" t="n">
        <v>2</v>
      </c>
      <c r="E8" s="26" t="n">
        <v>5126.86</v>
      </c>
      <c r="F8" s="26" t="n">
        <v>661.2</v>
      </c>
      <c r="G8" s="26" t="n">
        <v>729.6</v>
      </c>
      <c r="H8" s="27" t="n">
        <v>661.2</v>
      </c>
      <c r="I8" s="28" t="n">
        <f aca="false">'Quote 5 Detail'!E20</f>
        <v>2176.48</v>
      </c>
      <c r="J8" s="26" t="n">
        <f aca="false">$D8*E8</f>
        <v>10253.72</v>
      </c>
      <c r="K8" s="26" t="n">
        <f aca="false">$D8*F8</f>
        <v>1322.4</v>
      </c>
      <c r="L8" s="26" t="n">
        <f aca="false">$D8*G8</f>
        <v>1459.2</v>
      </c>
      <c r="M8" s="27" t="n">
        <f aca="false">$D8*H8</f>
        <v>1322.4</v>
      </c>
      <c r="N8" s="28" t="n">
        <f aca="false">$D8*I8</f>
        <v>4352.96</v>
      </c>
      <c r="O8" s="29" t="n">
        <f aca="false">(G8-F8)/F8</f>
        <v>0.103448275862069</v>
      </c>
      <c r="P8" s="30" t="n">
        <f aca="false">(H8-G8)/G8</f>
        <v>-0.09375</v>
      </c>
      <c r="Q8" s="29" t="n">
        <f aca="false">(H8-F8)/F8</f>
        <v>0</v>
      </c>
      <c r="R8" s="31" t="n">
        <f aca="false">(I8-H8)/H8</f>
        <v>2.29171203871748</v>
      </c>
      <c r="S8" s="32" t="n">
        <v>1055.25</v>
      </c>
      <c r="T8" s="32" t="n">
        <f aca="false">$D8*S8</f>
        <v>2110.5</v>
      </c>
    </row>
    <row r="9" customFormat="false" ht="15" hidden="false" customHeight="true" outlineLevel="0" collapsed="false">
      <c r="A9" s="24" t="n">
        <v>4</v>
      </c>
      <c r="B9" s="24" t="s">
        <v>40</v>
      </c>
      <c r="C9" s="24" t="s">
        <v>41</v>
      </c>
      <c r="D9" s="25" t="n">
        <v>2</v>
      </c>
      <c r="E9" s="26" t="n">
        <v>67.4</v>
      </c>
      <c r="F9" s="26" t="n">
        <v>100.05</v>
      </c>
      <c r="G9" s="26" t="n">
        <v>80</v>
      </c>
      <c r="H9" s="27" t="n">
        <v>80</v>
      </c>
      <c r="I9" s="28" t="n">
        <f aca="false">'Quote 5 Detail'!E25</f>
        <v>164.7</v>
      </c>
      <c r="J9" s="26" t="n">
        <f aca="false">$D9*E9</f>
        <v>134.8</v>
      </c>
      <c r="K9" s="26" t="n">
        <f aca="false">$D9*F9</f>
        <v>200.1</v>
      </c>
      <c r="L9" s="26" t="n">
        <f aca="false">$D9*G9</f>
        <v>160</v>
      </c>
      <c r="M9" s="27" t="n">
        <f aca="false">$D9*H9</f>
        <v>160</v>
      </c>
      <c r="N9" s="28" t="n">
        <f aca="false">$D9*I9</f>
        <v>329.4</v>
      </c>
      <c r="O9" s="29" t="n">
        <f aca="false">(G9-F9)/F9</f>
        <v>-0.20039980009995</v>
      </c>
      <c r="P9" s="30" t="n">
        <f aca="false">(H9-G9)/G9</f>
        <v>0</v>
      </c>
      <c r="Q9" s="29" t="n">
        <f aca="false">(H9-F9)/F9</f>
        <v>-0.20039980009995</v>
      </c>
      <c r="R9" s="31" t="n">
        <f aca="false">(I9-H9)/H9</f>
        <v>1.05875</v>
      </c>
      <c r="S9" s="32" t="n">
        <v>35.19</v>
      </c>
      <c r="T9" s="32" t="n">
        <f aca="false">$D9*S9</f>
        <v>70.38</v>
      </c>
    </row>
    <row r="10" customFormat="false" ht="15" hidden="false" customHeight="true" outlineLevel="0" collapsed="false">
      <c r="A10" s="24" t="n">
        <v>5</v>
      </c>
      <c r="B10" s="24" t="s">
        <v>42</v>
      </c>
      <c r="C10" s="24" t="s">
        <v>43</v>
      </c>
      <c r="D10" s="25" t="n">
        <v>2</v>
      </c>
      <c r="E10" s="26" t="n">
        <v>1148.34</v>
      </c>
      <c r="F10" s="26" t="n">
        <v>284.2</v>
      </c>
      <c r="G10" s="26" t="n">
        <v>313.6</v>
      </c>
      <c r="H10" s="27" t="n">
        <v>284.2</v>
      </c>
      <c r="I10" s="28" t="n">
        <f aca="false">'Quote 5 Detail'!E26</f>
        <v>1294.12</v>
      </c>
      <c r="J10" s="26" t="n">
        <f aca="false">$D10*E10</f>
        <v>2296.68</v>
      </c>
      <c r="K10" s="26" t="n">
        <f aca="false">$D10*F10</f>
        <v>568.4</v>
      </c>
      <c r="L10" s="26" t="n">
        <f aca="false">$D10*G10</f>
        <v>627.2</v>
      </c>
      <c r="M10" s="27" t="n">
        <f aca="false">$D10*H10</f>
        <v>568.4</v>
      </c>
      <c r="N10" s="28" t="n">
        <f aca="false">$D10*I10</f>
        <v>2588.24</v>
      </c>
      <c r="O10" s="29" t="n">
        <f aca="false">(G10-F10)/F10</f>
        <v>0.103448275862069</v>
      </c>
      <c r="P10" s="30" t="n">
        <f aca="false">(H10-G10)/G10</f>
        <v>-0.0937500000000001</v>
      </c>
      <c r="Q10" s="29" t="n">
        <f aca="false">(H10-F10)/F10</f>
        <v>0</v>
      </c>
      <c r="R10" s="31" t="n">
        <f aca="false">(I10-H10)/H10</f>
        <v>3.55355383532723</v>
      </c>
      <c r="S10" s="32" t="n">
        <v>348.22</v>
      </c>
      <c r="T10" s="32" t="n">
        <f aca="false">$D10*S10</f>
        <v>696.44</v>
      </c>
    </row>
    <row r="11" customFormat="false" ht="15" hidden="false" customHeight="true" outlineLevel="0" collapsed="false">
      <c r="A11" s="24" t="n">
        <v>6</v>
      </c>
      <c r="B11" s="24" t="s">
        <v>44</v>
      </c>
      <c r="C11" s="24" t="s">
        <v>45</v>
      </c>
      <c r="D11" s="25" t="n">
        <v>4</v>
      </c>
      <c r="E11" s="26" t="n">
        <v>283.83</v>
      </c>
      <c r="F11" s="26" t="n">
        <v>150.8</v>
      </c>
      <c r="G11" s="26" t="n">
        <v>166.4</v>
      </c>
      <c r="H11" s="27" t="n">
        <v>150.8</v>
      </c>
      <c r="I11" s="28" t="n">
        <f aca="false">'Quote 5 Detail'!E22</f>
        <v>305.88</v>
      </c>
      <c r="J11" s="26" t="n">
        <f aca="false">$D11*E11</f>
        <v>1135.32</v>
      </c>
      <c r="K11" s="26" t="n">
        <f aca="false">$D11*F11</f>
        <v>603.2</v>
      </c>
      <c r="L11" s="26" t="n">
        <f aca="false">$D11*G11</f>
        <v>665.6</v>
      </c>
      <c r="M11" s="27" t="n">
        <f aca="false">$D11*H11</f>
        <v>603.2</v>
      </c>
      <c r="N11" s="28" t="n">
        <f aca="false">$D11*I11</f>
        <v>1223.52</v>
      </c>
      <c r="O11" s="29" t="n">
        <f aca="false">(G11-F11)/F11</f>
        <v>0.103448275862069</v>
      </c>
      <c r="P11" s="30" t="n">
        <f aca="false">(H11-G11)/G11</f>
        <v>-0.09375</v>
      </c>
      <c r="Q11" s="29" t="n">
        <f aca="false">(H11-F11)/F11</f>
        <v>0</v>
      </c>
      <c r="R11" s="31" t="n">
        <f aca="false">(I11-H11)/H11</f>
        <v>1.02838196286472</v>
      </c>
      <c r="S11" s="32" t="n">
        <v>96.91</v>
      </c>
      <c r="T11" s="32" t="n">
        <f aca="false">$D11*S11</f>
        <v>387.64</v>
      </c>
    </row>
    <row r="12" customFormat="false" ht="15" hidden="false" customHeight="true" outlineLevel="0" collapsed="false">
      <c r="A12" s="24" t="n">
        <v>7</v>
      </c>
      <c r="B12" s="24" t="s">
        <v>46</v>
      </c>
      <c r="C12" s="24" t="s">
        <v>47</v>
      </c>
      <c r="D12" s="25" t="n">
        <v>4</v>
      </c>
      <c r="E12" s="26" t="n">
        <v>283.79</v>
      </c>
      <c r="F12" s="26" t="n">
        <v>150.8</v>
      </c>
      <c r="G12" s="26" t="n">
        <v>166.4</v>
      </c>
      <c r="H12" s="27" t="n">
        <v>150.8</v>
      </c>
      <c r="I12" s="28" t="n">
        <f aca="false">'Quote 5 Detail'!E27</f>
        <v>305.88</v>
      </c>
      <c r="J12" s="26" t="n">
        <f aca="false">$D12*E12</f>
        <v>1135.16</v>
      </c>
      <c r="K12" s="26" t="n">
        <f aca="false">$D12*F12</f>
        <v>603.2</v>
      </c>
      <c r="L12" s="26" t="n">
        <f aca="false">$D12*G12</f>
        <v>665.6</v>
      </c>
      <c r="M12" s="27" t="n">
        <f aca="false">$D12*H12</f>
        <v>603.2</v>
      </c>
      <c r="N12" s="28" t="n">
        <f aca="false">$D12*I12</f>
        <v>1223.52</v>
      </c>
      <c r="O12" s="29" t="n">
        <f aca="false">(G12-F12)/F12</f>
        <v>0.103448275862069</v>
      </c>
      <c r="P12" s="30" t="n">
        <f aca="false">(H12-G12)/G12</f>
        <v>-0.09375</v>
      </c>
      <c r="Q12" s="29" t="n">
        <f aca="false">(H12-F12)/F12</f>
        <v>0</v>
      </c>
      <c r="R12" s="31" t="n">
        <f aca="false">(I12-H12)/H12</f>
        <v>1.02838196286472</v>
      </c>
      <c r="S12" s="32" t="n">
        <v>96.92</v>
      </c>
      <c r="T12" s="32" t="n">
        <f aca="false">$D12*S12</f>
        <v>387.68</v>
      </c>
    </row>
    <row r="13" customFormat="false" ht="15" hidden="false" customHeight="true" outlineLevel="0" collapsed="false">
      <c r="A13" s="24" t="n">
        <v>8</v>
      </c>
      <c r="B13" s="24" t="s">
        <v>48</v>
      </c>
      <c r="C13" s="24" t="s">
        <v>49</v>
      </c>
      <c r="D13" s="25" t="n">
        <v>4</v>
      </c>
      <c r="E13" s="26" t="n">
        <v>323.16</v>
      </c>
      <c r="F13" s="26" t="n">
        <v>256.65</v>
      </c>
      <c r="G13" s="26" t="n">
        <v>283.2</v>
      </c>
      <c r="H13" s="27" t="n">
        <v>256.65</v>
      </c>
      <c r="I13" s="28" t="n">
        <f aca="false">'Quote 5 Detail'!E23</f>
        <v>329.42</v>
      </c>
      <c r="J13" s="26" t="n">
        <f aca="false">$D13*E13</f>
        <v>1292.64</v>
      </c>
      <c r="K13" s="26" t="n">
        <f aca="false">$D13*F13</f>
        <v>1026.6</v>
      </c>
      <c r="L13" s="26" t="n">
        <f aca="false">$D13*G13</f>
        <v>1132.8</v>
      </c>
      <c r="M13" s="27" t="n">
        <f aca="false">$D13*H13</f>
        <v>1026.6</v>
      </c>
      <c r="N13" s="28" t="n">
        <f aca="false">$D13*I13</f>
        <v>1317.68</v>
      </c>
      <c r="O13" s="29" t="n">
        <f aca="false">(G13-F13)/F13</f>
        <v>0.103448275862069</v>
      </c>
      <c r="P13" s="30" t="n">
        <f aca="false">(H13-G13)/G13</f>
        <v>-0.09375</v>
      </c>
      <c r="Q13" s="29" t="n">
        <f aca="false">(H13-F13)/F13</f>
        <v>0</v>
      </c>
      <c r="R13" s="31" t="n">
        <f aca="false">(I13-H13)/H13</f>
        <v>0.283537892070914</v>
      </c>
      <c r="S13" s="32" t="n">
        <v>107.4</v>
      </c>
      <c r="T13" s="32" t="n">
        <f aca="false">$D13*S13</f>
        <v>429.6</v>
      </c>
    </row>
    <row r="14" customFormat="false" ht="15" hidden="false" customHeight="true" outlineLevel="0" collapsed="false">
      <c r="A14" s="24" t="n">
        <v>9</v>
      </c>
      <c r="B14" s="24" t="s">
        <v>50</v>
      </c>
      <c r="C14" s="24" t="s">
        <v>51</v>
      </c>
      <c r="D14" s="25" t="n">
        <v>4</v>
      </c>
      <c r="E14" s="26" t="n">
        <v>321.38</v>
      </c>
      <c r="F14" s="26" t="n">
        <v>256.65</v>
      </c>
      <c r="G14" s="26" t="n">
        <v>283.2</v>
      </c>
      <c r="H14" s="27" t="n">
        <v>256.65</v>
      </c>
      <c r="I14" s="28" t="n">
        <f aca="false">'Quote 5 Detail'!E28</f>
        <v>352.94</v>
      </c>
      <c r="J14" s="26" t="n">
        <f aca="false">$D14*E14</f>
        <v>1285.52</v>
      </c>
      <c r="K14" s="26" t="n">
        <f aca="false">$D14*F14</f>
        <v>1026.6</v>
      </c>
      <c r="L14" s="26" t="n">
        <f aca="false">$D14*G14</f>
        <v>1132.8</v>
      </c>
      <c r="M14" s="27" t="n">
        <f aca="false">$D14*H14</f>
        <v>1026.6</v>
      </c>
      <c r="N14" s="28" t="n">
        <f aca="false">$D14*I14</f>
        <v>1411.76</v>
      </c>
      <c r="O14" s="29" t="n">
        <f aca="false">(G14-F14)/F14</f>
        <v>0.103448275862069</v>
      </c>
      <c r="P14" s="30" t="n">
        <f aca="false">(H14-G14)/G14</f>
        <v>-0.09375</v>
      </c>
      <c r="Q14" s="29" t="n">
        <f aca="false">(H14-F14)/F14</f>
        <v>0</v>
      </c>
      <c r="R14" s="31" t="n">
        <f aca="false">(I14-H14)/H14</f>
        <v>0.375180206506916</v>
      </c>
      <c r="S14" s="32" t="n">
        <v>107.08</v>
      </c>
      <c r="T14" s="32" t="n">
        <f aca="false">$D14*S14</f>
        <v>428.32</v>
      </c>
    </row>
    <row r="15" customFormat="false" ht="15" hidden="false" customHeight="true" outlineLevel="0" collapsed="false">
      <c r="A15" s="24" t="n">
        <v>10</v>
      </c>
      <c r="B15" s="24" t="s">
        <v>52</v>
      </c>
      <c r="C15" s="24" t="s">
        <v>53</v>
      </c>
      <c r="D15" s="25" t="n">
        <v>2</v>
      </c>
      <c r="E15" s="26" t="n">
        <v>365.95</v>
      </c>
      <c r="F15" s="26" t="n">
        <v>691.65</v>
      </c>
      <c r="G15" s="26" t="n">
        <v>524.7</v>
      </c>
      <c r="H15" s="27" t="n">
        <v>524.7</v>
      </c>
      <c r="I15" s="28" t="n">
        <f aca="false">'Quote 5 Detail'!E19</f>
        <v>932.36</v>
      </c>
      <c r="J15" s="26" t="n">
        <f aca="false">$D15*E15</f>
        <v>731.9</v>
      </c>
      <c r="K15" s="26" t="n">
        <f aca="false">$D15*F15</f>
        <v>1383.3</v>
      </c>
      <c r="L15" s="26" t="n">
        <f aca="false">$D15*G15</f>
        <v>1049.4</v>
      </c>
      <c r="M15" s="27" t="n">
        <f aca="false">$D15*H15</f>
        <v>1049.4</v>
      </c>
      <c r="N15" s="28" t="n">
        <f aca="false">$D15*I15</f>
        <v>1864.72</v>
      </c>
      <c r="O15" s="29" t="n">
        <f aca="false">(G15-F15)/F15</f>
        <v>-0.241379310344827</v>
      </c>
      <c r="P15" s="30" t="n">
        <f aca="false">(H15-G15)/G15</f>
        <v>0</v>
      </c>
      <c r="Q15" s="29" t="n">
        <f aca="false">(H15-F15)/F15</f>
        <v>-0.241379310344827</v>
      </c>
      <c r="R15" s="31" t="n">
        <f aca="false">(I15-H15)/H15</f>
        <v>0.776939203354298</v>
      </c>
      <c r="S15" s="32" t="n">
        <v>284.5</v>
      </c>
      <c r="T15" s="32" t="n">
        <f aca="false">$D15*S15</f>
        <v>569</v>
      </c>
    </row>
    <row r="16" customFormat="false" ht="15" hidden="false" customHeight="true" outlineLevel="0" collapsed="false">
      <c r="A16" s="24" t="n">
        <v>11</v>
      </c>
      <c r="B16" s="24" t="s">
        <v>54</v>
      </c>
      <c r="C16" s="24" t="s">
        <v>55</v>
      </c>
      <c r="D16" s="25" t="n">
        <v>2</v>
      </c>
      <c r="E16" s="26" t="n">
        <v>205.52</v>
      </c>
      <c r="F16" s="26" t="n">
        <v>107.3</v>
      </c>
      <c r="G16" s="26" t="n">
        <v>118.4</v>
      </c>
      <c r="H16" s="27" t="n">
        <v>107.3</v>
      </c>
      <c r="I16" s="28" t="n">
        <f aca="false">'Quote 5 Detail'!E29</f>
        <v>223.52</v>
      </c>
      <c r="J16" s="26" t="n">
        <f aca="false">$D16*E16</f>
        <v>411.04</v>
      </c>
      <c r="K16" s="26" t="n">
        <f aca="false">$D16*F16</f>
        <v>214.6</v>
      </c>
      <c r="L16" s="26" t="n">
        <f aca="false">$D16*G16</f>
        <v>236.8</v>
      </c>
      <c r="M16" s="27" t="n">
        <f aca="false">$D16*H16</f>
        <v>214.6</v>
      </c>
      <c r="N16" s="28" t="n">
        <f aca="false">$D16*I16</f>
        <v>447.04</v>
      </c>
      <c r="O16" s="29" t="n">
        <f aca="false">(G16-F16)/F16</f>
        <v>0.103448275862069</v>
      </c>
      <c r="P16" s="30" t="n">
        <f aca="false">(H16-G16)/G16</f>
        <v>-0.0937500000000001</v>
      </c>
      <c r="Q16" s="29" t="n">
        <f aca="false">(H16-F16)/F16</f>
        <v>0</v>
      </c>
      <c r="R16" s="31" t="n">
        <f aca="false">(I16-H16)/H16</f>
        <v>1.08313140726934</v>
      </c>
      <c r="S16" s="32" t="n">
        <v>66.5</v>
      </c>
      <c r="T16" s="32" t="n">
        <f aca="false">$D16*S16</f>
        <v>133</v>
      </c>
    </row>
    <row r="17" customFormat="false" ht="15" hidden="false" customHeight="true" outlineLevel="0" collapsed="false">
      <c r="A17" s="24" t="n">
        <v>12</v>
      </c>
      <c r="B17" s="24" t="s">
        <v>56</v>
      </c>
      <c r="C17" s="24" t="s">
        <v>57</v>
      </c>
      <c r="D17" s="25" t="n">
        <v>2</v>
      </c>
      <c r="E17" s="26" t="n">
        <v>1380.42</v>
      </c>
      <c r="F17" s="26" t="n">
        <v>348</v>
      </c>
      <c r="G17" s="26" t="n">
        <v>384</v>
      </c>
      <c r="H17" s="27" t="n">
        <v>348</v>
      </c>
      <c r="I17" s="28" t="n">
        <f aca="false">'Quote 5 Detail'!E31</f>
        <v>1741.18</v>
      </c>
      <c r="J17" s="26" t="n">
        <f aca="false">$D17*E17</f>
        <v>2760.84</v>
      </c>
      <c r="K17" s="26" t="n">
        <f aca="false">$D17*F17</f>
        <v>696</v>
      </c>
      <c r="L17" s="26" t="n">
        <f aca="false">$D17*G17</f>
        <v>768</v>
      </c>
      <c r="M17" s="27" t="n">
        <f aca="false">$D17*H17</f>
        <v>696</v>
      </c>
      <c r="N17" s="28" t="n">
        <f aca="false">$D17*I17</f>
        <v>3482.36</v>
      </c>
      <c r="O17" s="29" t="n">
        <f aca="false">(G17-F17)/F17</f>
        <v>0.103448275862069</v>
      </c>
      <c r="P17" s="30" t="n">
        <f aca="false">(H17-G17)/G17</f>
        <v>-0.09375</v>
      </c>
      <c r="Q17" s="29" t="n">
        <f aca="false">(H17-F17)/F17</f>
        <v>0</v>
      </c>
      <c r="R17" s="31" t="n">
        <f aca="false">(I17-H17)/H17</f>
        <v>4.0033908045977</v>
      </c>
      <c r="S17" s="32" t="n">
        <v>442.78</v>
      </c>
      <c r="T17" s="32" t="n">
        <f aca="false">$D17*S17</f>
        <v>885.56</v>
      </c>
    </row>
    <row r="18" customFormat="false" ht="15" hidden="false" customHeight="true" outlineLevel="0" collapsed="false">
      <c r="A18" s="24" t="n">
        <v>13</v>
      </c>
      <c r="B18" s="24" t="s">
        <v>58</v>
      </c>
      <c r="C18" s="24" t="s">
        <v>59</v>
      </c>
      <c r="D18" s="25" t="n">
        <v>4</v>
      </c>
      <c r="E18" s="26" t="n">
        <v>353.52</v>
      </c>
      <c r="F18" s="26" t="n">
        <v>187.05</v>
      </c>
      <c r="G18" s="26" t="n">
        <v>206.4</v>
      </c>
      <c r="H18" s="27" t="n">
        <v>187.05</v>
      </c>
      <c r="I18" s="28" t="n">
        <f aca="false">'Quote 5 Detail'!E32</f>
        <v>441.18</v>
      </c>
      <c r="J18" s="26" t="n">
        <f aca="false">$D18*E18</f>
        <v>1414.08</v>
      </c>
      <c r="K18" s="26" t="n">
        <f aca="false">$D18*F18</f>
        <v>748.2</v>
      </c>
      <c r="L18" s="26" t="n">
        <f aca="false">$D18*G18</f>
        <v>825.6</v>
      </c>
      <c r="M18" s="27" t="n">
        <f aca="false">$D18*H18</f>
        <v>748.2</v>
      </c>
      <c r="N18" s="28" t="n">
        <f aca="false">$D18*I18</f>
        <v>1764.72</v>
      </c>
      <c r="O18" s="29" t="n">
        <f aca="false">(G18-F18)/F18</f>
        <v>0.103448275862069</v>
      </c>
      <c r="P18" s="30" t="n">
        <f aca="false">(H18-G18)/G18</f>
        <v>-0.09375</v>
      </c>
      <c r="Q18" s="29" t="n">
        <f aca="false">(H18-F18)/F18</f>
        <v>0</v>
      </c>
      <c r="R18" s="31" t="n">
        <f aca="false">(I18-H18)/H18</f>
        <v>1.35862068965517</v>
      </c>
      <c r="S18" s="32" t="n">
        <v>165.91</v>
      </c>
      <c r="T18" s="32" t="n">
        <f aca="false">$D18*S18</f>
        <v>663.64</v>
      </c>
    </row>
    <row r="19" customFormat="false" ht="15" hidden="false" customHeight="true" outlineLevel="0" collapsed="false">
      <c r="A19" s="24" t="n">
        <v>14</v>
      </c>
      <c r="B19" s="24" t="s">
        <v>60</v>
      </c>
      <c r="C19" s="24" t="s">
        <v>61</v>
      </c>
      <c r="D19" s="25" t="n">
        <v>2</v>
      </c>
      <c r="E19" s="26" t="n">
        <v>421.06</v>
      </c>
      <c r="F19" s="26" t="n">
        <v>230.55</v>
      </c>
      <c r="G19" s="26" t="n">
        <v>254.4</v>
      </c>
      <c r="H19" s="27" t="n">
        <v>230.55</v>
      </c>
      <c r="I19" s="28" t="n">
        <f aca="false">'Quote 5 Detail'!E30</f>
        <v>1176.48</v>
      </c>
      <c r="J19" s="26" t="n">
        <f aca="false">$D19*E19</f>
        <v>842.12</v>
      </c>
      <c r="K19" s="26" t="n">
        <f aca="false">$D19*F19</f>
        <v>461.1</v>
      </c>
      <c r="L19" s="26" t="n">
        <f aca="false">$D19*G19</f>
        <v>508.8</v>
      </c>
      <c r="M19" s="27" t="n">
        <f aca="false">$D19*H19</f>
        <v>461.1</v>
      </c>
      <c r="N19" s="28" t="n">
        <f aca="false">$D19*I19</f>
        <v>2352.96</v>
      </c>
      <c r="O19" s="29" t="n">
        <f aca="false">(G19-F19)/F19</f>
        <v>0.103448275862069</v>
      </c>
      <c r="P19" s="30" t="n">
        <f aca="false">(H19-G19)/G19</f>
        <v>-0.09375</v>
      </c>
      <c r="Q19" s="29" t="n">
        <f aca="false">(H19-F19)/F19</f>
        <v>0</v>
      </c>
      <c r="R19" s="31" t="n">
        <f aca="false">(I19-H19)/H19</f>
        <v>4.10292778139232</v>
      </c>
      <c r="S19" s="32" t="n">
        <v>292.3</v>
      </c>
      <c r="T19" s="32" t="n">
        <f aca="false">$D19*S19</f>
        <v>584.6</v>
      </c>
    </row>
    <row r="20" customFormat="false" ht="15" hidden="false" customHeight="true" outlineLevel="0" collapsed="false">
      <c r="A20" s="24" t="n">
        <v>15</v>
      </c>
      <c r="B20" s="24" t="s">
        <v>62</v>
      </c>
      <c r="C20" s="24" t="s">
        <v>63</v>
      </c>
      <c r="D20" s="25" t="n">
        <v>2</v>
      </c>
      <c r="E20" s="26" t="n">
        <v>315.91</v>
      </c>
      <c r="F20" s="26" t="n">
        <v>690.2</v>
      </c>
      <c r="G20" s="26" t="n">
        <v>523.6</v>
      </c>
      <c r="H20" s="27" t="n">
        <v>523.6</v>
      </c>
      <c r="I20" s="28" t="n">
        <f aca="false">'Quote 5 Detail'!E33</f>
        <v>932.36</v>
      </c>
      <c r="J20" s="26" t="n">
        <f aca="false">$D20*E20</f>
        <v>631.82</v>
      </c>
      <c r="K20" s="26" t="n">
        <f aca="false">$D20*F20</f>
        <v>1380.4</v>
      </c>
      <c r="L20" s="26" t="n">
        <f aca="false">$D20*G20</f>
        <v>1047.2</v>
      </c>
      <c r="M20" s="27" t="n">
        <f aca="false">$D20*H20</f>
        <v>1047.2</v>
      </c>
      <c r="N20" s="28" t="n">
        <f aca="false">$D20*I20</f>
        <v>1864.72</v>
      </c>
      <c r="O20" s="29" t="n">
        <f aca="false">(G20-F20)/F20</f>
        <v>-0.241379310344828</v>
      </c>
      <c r="P20" s="30" t="n">
        <f aca="false">(H20-G20)/G20</f>
        <v>0</v>
      </c>
      <c r="Q20" s="29" t="n">
        <f aca="false">(H20-F20)/F20</f>
        <v>-0.241379310344828</v>
      </c>
      <c r="R20" s="31" t="n">
        <f aca="false">(I20-H20)/H20</f>
        <v>0.780672268907563</v>
      </c>
      <c r="S20" s="32" t="n">
        <v>284.5</v>
      </c>
      <c r="T20" s="32" t="n">
        <f aca="false">$D20*S20</f>
        <v>569</v>
      </c>
    </row>
    <row r="21" customFormat="false" ht="15" hidden="false" customHeight="true" outlineLevel="0" collapsed="false">
      <c r="A21" s="33"/>
      <c r="B21" s="33"/>
      <c r="C21" s="33" t="s">
        <v>91</v>
      </c>
      <c r="D21" s="33"/>
      <c r="J21" s="34" t="n">
        <f aca="false">SUM(J6:J20)</f>
        <v>27518.22</v>
      </c>
      <c r="K21" s="34" t="n">
        <f aca="false">SUM(K6:K20)</f>
        <v>11101.2</v>
      </c>
      <c r="L21" s="34" t="n">
        <f aca="false">SUM(L6:L20)</f>
        <v>11235.8</v>
      </c>
      <c r="M21" s="35" t="n">
        <f aca="false">SUM(M6:M20)</f>
        <v>10394</v>
      </c>
      <c r="N21" s="36" t="n">
        <f aca="false">SUM(N6:N20)</f>
        <v>27400.08</v>
      </c>
      <c r="O21" s="37" t="n">
        <f aca="false">(L21-K21)/K21</f>
        <v>0.0121248153352793</v>
      </c>
      <c r="P21" s="38" t="n">
        <f aca="false">(M21-L21)/L21</f>
        <v>-0.0749212339130281</v>
      </c>
      <c r="Q21" s="39" t="n">
        <f aca="false">(M21-K21)/K21</f>
        <v>-0.0637048247036356</v>
      </c>
      <c r="R21" s="40" t="n">
        <f aca="false">(N21-M21)/M21</f>
        <v>1.63614392918992</v>
      </c>
      <c r="S21" s="41"/>
      <c r="T21" s="42" t="n">
        <f aca="false">SUM(T6:T20)</f>
        <v>8915.44</v>
      </c>
    </row>
    <row r="23" customFormat="false" ht="15" hidden="false" customHeight="true" outlineLevel="0" collapsed="false">
      <c r="A23" s="43" t="s">
        <v>92</v>
      </c>
      <c r="B23" s="43"/>
      <c r="C23" s="43"/>
      <c r="D23" s="43"/>
      <c r="E23" s="43"/>
      <c r="F23" s="43"/>
      <c r="G23" s="43"/>
      <c r="H23" s="43"/>
      <c r="I23" s="43"/>
      <c r="J23" s="43"/>
      <c r="K23" s="43"/>
      <c r="L23" s="43"/>
      <c r="M23" s="43"/>
      <c r="N23" s="43"/>
      <c r="O23" s="43"/>
      <c r="P23" s="43"/>
      <c r="Q23" s="43"/>
      <c r="R23" s="43"/>
      <c r="S23" s="43"/>
      <c r="T23" s="43"/>
    </row>
    <row r="24" customFormat="false" ht="15" hidden="false" customHeight="true" outlineLevel="0" collapsed="false">
      <c r="A24" s="43" t="s">
        <v>93</v>
      </c>
      <c r="B24" s="43"/>
      <c r="C24" s="43"/>
      <c r="D24" s="43"/>
      <c r="E24" s="43"/>
      <c r="F24" s="43"/>
      <c r="G24" s="43"/>
      <c r="H24" s="43"/>
      <c r="I24" s="43"/>
      <c r="J24" s="43"/>
      <c r="K24" s="43"/>
      <c r="L24" s="43"/>
      <c r="M24" s="43"/>
      <c r="N24" s="43"/>
      <c r="O24" s="43"/>
      <c r="P24" s="43"/>
      <c r="Q24" s="43"/>
      <c r="R24" s="43"/>
      <c r="S24" s="43"/>
      <c r="T24" s="43"/>
    </row>
    <row r="25" customFormat="false" ht="15" hidden="false" customHeight="true" outlineLevel="0" collapsed="false">
      <c r="A25" s="43" t="s">
        <v>94</v>
      </c>
      <c r="B25" s="43"/>
      <c r="C25" s="43"/>
      <c r="D25" s="43"/>
      <c r="E25" s="43"/>
      <c r="F25" s="43"/>
      <c r="G25" s="43"/>
      <c r="H25" s="43"/>
      <c r="I25" s="43"/>
      <c r="J25" s="43"/>
      <c r="K25" s="43"/>
      <c r="L25" s="43"/>
      <c r="M25" s="43"/>
      <c r="N25" s="43"/>
      <c r="O25" s="43"/>
      <c r="P25" s="43"/>
      <c r="Q25" s="43"/>
      <c r="R25" s="43"/>
      <c r="S25" s="43"/>
      <c r="T25" s="43"/>
    </row>
    <row r="26" customFormat="false" ht="15" hidden="false" customHeight="true" outlineLevel="0" collapsed="false">
      <c r="A26" s="43" t="s">
        <v>95</v>
      </c>
      <c r="B26" s="43"/>
      <c r="C26" s="43"/>
      <c r="D26" s="43"/>
      <c r="E26" s="43"/>
      <c r="F26" s="43"/>
      <c r="G26" s="43"/>
      <c r="H26" s="43"/>
      <c r="I26" s="43"/>
      <c r="J26" s="43"/>
      <c r="K26" s="43"/>
      <c r="L26" s="43"/>
      <c r="M26" s="43"/>
      <c r="N26" s="43"/>
      <c r="O26" s="43"/>
      <c r="P26" s="43"/>
      <c r="Q26" s="43"/>
      <c r="R26" s="43"/>
      <c r="S26" s="43"/>
      <c r="T26" s="43"/>
    </row>
    <row r="27" customFormat="false" ht="15" hidden="false" customHeight="true" outlineLevel="0" collapsed="false">
      <c r="A27" s="43" t="s">
        <v>96</v>
      </c>
      <c r="B27" s="43"/>
      <c r="C27" s="43"/>
      <c r="D27" s="43"/>
      <c r="E27" s="43"/>
      <c r="F27" s="43"/>
      <c r="G27" s="43"/>
      <c r="H27" s="43"/>
      <c r="I27" s="43"/>
      <c r="J27" s="43"/>
      <c r="K27" s="43"/>
      <c r="L27" s="43"/>
      <c r="M27" s="43"/>
      <c r="N27" s="43"/>
      <c r="O27" s="43"/>
      <c r="P27" s="43"/>
      <c r="Q27" s="43"/>
      <c r="R27" s="43"/>
      <c r="S27" s="43"/>
      <c r="T27" s="43"/>
    </row>
    <row r="28" customFormat="false" ht="15" hidden="false" customHeight="true" outlineLevel="0" collapsed="false">
      <c r="A28" s="43" t="s">
        <v>97</v>
      </c>
      <c r="B28" s="43"/>
      <c r="C28" s="43"/>
      <c r="D28" s="43"/>
      <c r="E28" s="43"/>
      <c r="F28" s="43"/>
      <c r="G28" s="43"/>
      <c r="H28" s="43"/>
      <c r="I28" s="43"/>
      <c r="J28" s="43"/>
      <c r="K28" s="43"/>
      <c r="L28" s="43"/>
      <c r="M28" s="43"/>
      <c r="N28" s="43"/>
      <c r="O28" s="43"/>
      <c r="P28" s="43"/>
      <c r="Q28" s="43"/>
      <c r="R28" s="43"/>
      <c r="S28" s="43"/>
      <c r="T28" s="43"/>
    </row>
    <row r="29" customFormat="false" ht="15" hidden="false" customHeight="true" outlineLevel="0" collapsed="false">
      <c r="A29" s="43" t="s">
        <v>98</v>
      </c>
      <c r="B29" s="43"/>
      <c r="C29" s="43"/>
      <c r="D29" s="43"/>
      <c r="E29" s="43"/>
      <c r="F29" s="43"/>
      <c r="G29" s="43"/>
      <c r="H29" s="43"/>
      <c r="I29" s="43"/>
      <c r="J29" s="43"/>
      <c r="K29" s="43"/>
      <c r="L29" s="43"/>
      <c r="M29" s="43"/>
      <c r="N29" s="43"/>
      <c r="O29" s="43"/>
      <c r="P29" s="43"/>
      <c r="Q29" s="43"/>
      <c r="R29" s="43"/>
      <c r="S29" s="43"/>
      <c r="T29" s="43"/>
    </row>
    <row r="30" customFormat="false" ht="15" hidden="false" customHeight="true" outlineLevel="0" collapsed="false">
      <c r="A30" s="43" t="s">
        <v>99</v>
      </c>
      <c r="B30" s="43"/>
      <c r="C30" s="43"/>
      <c r="D30" s="43"/>
      <c r="E30" s="43"/>
      <c r="F30" s="43"/>
      <c r="G30" s="43"/>
      <c r="H30" s="43"/>
      <c r="I30" s="43"/>
      <c r="J30" s="43"/>
      <c r="K30" s="43"/>
      <c r="L30" s="43"/>
      <c r="M30" s="43"/>
      <c r="N30" s="43"/>
      <c r="O30" s="43"/>
      <c r="P30" s="43"/>
      <c r="Q30" s="43"/>
      <c r="R30" s="43"/>
      <c r="S30" s="43"/>
      <c r="T30" s="43"/>
    </row>
    <row r="31" customFormat="false" ht="15" hidden="false" customHeight="true" outlineLevel="0" collapsed="false">
      <c r="A31" s="43" t="s">
        <v>100</v>
      </c>
      <c r="B31" s="43"/>
      <c r="C31" s="43"/>
      <c r="D31" s="43"/>
      <c r="E31" s="43"/>
      <c r="F31" s="43"/>
      <c r="G31" s="43"/>
      <c r="H31" s="43"/>
      <c r="I31" s="43"/>
      <c r="J31" s="43"/>
      <c r="K31" s="43"/>
      <c r="L31" s="43"/>
      <c r="M31" s="43"/>
      <c r="N31" s="43"/>
      <c r="O31" s="43"/>
      <c r="P31" s="43"/>
      <c r="Q31" s="43"/>
      <c r="R31" s="43"/>
      <c r="S31" s="43"/>
      <c r="T31" s="43"/>
    </row>
  </sheetData>
  <mergeCells count="16">
    <mergeCell ref="A1:T1"/>
    <mergeCell ref="A2:T2"/>
    <mergeCell ref="A4:C4"/>
    <mergeCell ref="E4:I4"/>
    <mergeCell ref="J4:N4"/>
    <mergeCell ref="O4:R4"/>
    <mergeCell ref="S4:T4"/>
    <mergeCell ref="A23:T23"/>
    <mergeCell ref="A24:T24"/>
    <mergeCell ref="A25:T25"/>
    <mergeCell ref="A26:T26"/>
    <mergeCell ref="A27:T27"/>
    <mergeCell ref="A28:T28"/>
    <mergeCell ref="A29:T29"/>
    <mergeCell ref="A30:T30"/>
    <mergeCell ref="A31:T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4"/>
    <col collapsed="false" customWidth="true" hidden="false" outlineLevel="0" max="4" min="4" style="0" width="46"/>
    <col collapsed="false" customWidth="true" hidden="false" outlineLevel="0" max="5" min="5" style="0" width="12"/>
    <col collapsed="false" customWidth="true" hidden="false" outlineLevel="0" max="6" min="6" style="0" width="13"/>
    <col collapsed="false" customWidth="true" hidden="false" outlineLevel="0" max="7" min="7" style="0" width="12"/>
    <col collapsed="false" customWidth="true" hidden="false" outlineLevel="0" max="8" min="8" style="0" width="14"/>
    <col collapsed="false" customWidth="true" hidden="false" outlineLevel="0" max="9" min="9" style="0" width="10"/>
    <col collapsed="false" customWidth="true" hidden="false" outlineLevel="0" max="10" min="10" style="0" width="15"/>
    <col collapsed="false" customWidth="true" hidden="false" outlineLevel="0" max="11" min="11" style="0" width="20"/>
    <col collapsed="false" customWidth="true" hidden="false" outlineLevel="0" max="12" min="12" style="0" width="44"/>
  </cols>
  <sheetData>
    <row r="1" customFormat="false" ht="17.25" hidden="false" customHeight="true" outlineLevel="0" collapsed="false">
      <c r="A1" s="18" t="s">
        <v>101</v>
      </c>
      <c r="B1" s="18"/>
      <c r="C1" s="18"/>
      <c r="D1" s="18"/>
      <c r="E1" s="18"/>
      <c r="F1" s="18"/>
      <c r="G1" s="18"/>
      <c r="H1" s="18"/>
      <c r="I1" s="18"/>
      <c r="J1" s="18"/>
      <c r="K1" s="18"/>
      <c r="L1" s="18"/>
    </row>
    <row r="2" customFormat="false" ht="39.75" hidden="false" customHeight="true" outlineLevel="0" collapsed="false">
      <c r="A2" s="3" t="s">
        <v>102</v>
      </c>
      <c r="B2" s="3"/>
      <c r="C2" s="3"/>
      <c r="D2" s="3"/>
      <c r="E2" s="3"/>
      <c r="F2" s="3"/>
      <c r="G2" s="3"/>
      <c r="H2" s="3"/>
      <c r="I2" s="3"/>
      <c r="J2" s="3"/>
      <c r="K2" s="3"/>
      <c r="L2" s="3"/>
    </row>
    <row r="4" customFormat="false" ht="15" hidden="false" customHeight="true" outlineLevel="0" collapsed="false">
      <c r="A4" s="44" t="s">
        <v>103</v>
      </c>
      <c r="B4" s="44"/>
      <c r="C4" s="44"/>
      <c r="D4" s="44"/>
      <c r="E4" s="44"/>
      <c r="F4" s="44"/>
      <c r="G4" s="44"/>
      <c r="H4" s="44"/>
      <c r="I4" s="44"/>
      <c r="J4" s="44"/>
      <c r="K4" s="44"/>
      <c r="L4" s="44"/>
    </row>
    <row r="5" customFormat="false" ht="15" hidden="false" customHeight="false" outlineLevel="0" collapsed="false">
      <c r="A5" s="24" t="s">
        <v>104</v>
      </c>
      <c r="B5" s="45" t="n">
        <v>46268</v>
      </c>
      <c r="C5" s="46" t="s">
        <v>105</v>
      </c>
      <c r="D5" s="24"/>
      <c r="E5" s="24"/>
      <c r="F5" s="24"/>
      <c r="G5" s="24"/>
      <c r="H5" s="24"/>
      <c r="I5" s="24"/>
      <c r="J5" s="24"/>
      <c r="K5" s="24"/>
      <c r="L5" s="24"/>
    </row>
    <row r="6" customFormat="false" ht="15" hidden="false" customHeight="false" outlineLevel="0" collapsed="false">
      <c r="A6" s="24" t="s">
        <v>106</v>
      </c>
      <c r="B6" s="47" t="s">
        <v>107</v>
      </c>
      <c r="C6" s="47"/>
      <c r="D6" s="47"/>
      <c r="E6" s="47"/>
      <c r="F6" s="47"/>
      <c r="G6" s="47"/>
      <c r="H6" s="47"/>
      <c r="I6" s="47"/>
      <c r="J6" s="47"/>
      <c r="K6" s="47"/>
      <c r="L6" s="47"/>
    </row>
    <row r="7" customFormat="false" ht="15" hidden="false" customHeight="false" outlineLevel="0" collapsed="false">
      <c r="A7" s="24" t="s">
        <v>108</v>
      </c>
      <c r="B7" s="48" t="n">
        <v>0.075</v>
      </c>
      <c r="C7" s="24"/>
      <c r="D7" s="24"/>
      <c r="E7" s="24"/>
      <c r="F7" s="24"/>
      <c r="G7" s="24"/>
      <c r="H7" s="24"/>
      <c r="I7" s="24"/>
      <c r="J7" s="24"/>
      <c r="K7" s="24"/>
      <c r="L7" s="24"/>
    </row>
    <row r="8" customFormat="false" ht="15" hidden="false" customHeight="false" outlineLevel="0" collapsed="false">
      <c r="A8" s="24" t="s">
        <v>109</v>
      </c>
      <c r="B8" s="49" t="n">
        <v>0.85</v>
      </c>
      <c r="C8" s="46" t="s">
        <v>110</v>
      </c>
      <c r="D8" s="24"/>
      <c r="E8" s="24"/>
      <c r="F8" s="24"/>
      <c r="G8" s="24"/>
      <c r="H8" s="24"/>
      <c r="I8" s="24"/>
      <c r="J8" s="24"/>
      <c r="K8" s="24"/>
      <c r="L8" s="24"/>
    </row>
    <row r="9" customFormat="false" ht="15" hidden="false" customHeight="false" outlineLevel="0" collapsed="false">
      <c r="A9" s="24" t="s">
        <v>111</v>
      </c>
      <c r="B9" s="47" t="s">
        <v>112</v>
      </c>
      <c r="C9" s="47"/>
      <c r="D9" s="47"/>
      <c r="E9" s="47"/>
      <c r="F9" s="47"/>
      <c r="G9" s="47"/>
      <c r="H9" s="47"/>
      <c r="I9" s="47"/>
      <c r="J9" s="47"/>
      <c r="K9" s="47"/>
      <c r="L9" s="47"/>
    </row>
    <row r="11" customFormat="false" ht="15" hidden="false" customHeight="true" outlineLevel="0" collapsed="false">
      <c r="A11" s="44" t="s">
        <v>113</v>
      </c>
      <c r="B11" s="44"/>
      <c r="C11" s="44"/>
      <c r="D11" s="44"/>
      <c r="E11" s="44"/>
      <c r="F11" s="44"/>
      <c r="G11" s="44"/>
      <c r="H11" s="44"/>
      <c r="I11" s="44"/>
      <c r="J11" s="44"/>
      <c r="K11" s="44"/>
      <c r="L11" s="44"/>
    </row>
    <row r="12" customFormat="false" ht="34.5" hidden="false" customHeight="true" outlineLevel="0" collapsed="false">
      <c r="A12" s="19" t="s">
        <v>114</v>
      </c>
      <c r="B12" s="19" t="s">
        <v>115</v>
      </c>
      <c r="C12" s="19" t="s">
        <v>116</v>
      </c>
      <c r="D12" s="19" t="s">
        <v>117</v>
      </c>
      <c r="E12" s="19" t="s">
        <v>118</v>
      </c>
      <c r="F12" s="19" t="s">
        <v>119</v>
      </c>
      <c r="G12" s="19" t="s">
        <v>120</v>
      </c>
      <c r="H12" s="19" t="s">
        <v>121</v>
      </c>
      <c r="I12" s="19" t="s">
        <v>122</v>
      </c>
      <c r="J12" s="50"/>
      <c r="K12" s="50"/>
      <c r="L12" s="50"/>
    </row>
    <row r="13" customFormat="false" ht="15" hidden="false" customHeight="false" outlineLevel="0" collapsed="false">
      <c r="A13" s="51" t="s">
        <v>123</v>
      </c>
      <c r="B13" s="52" t="n">
        <v>2</v>
      </c>
      <c r="C13" s="52" t="n">
        <v>26</v>
      </c>
      <c r="D13" s="28" t="n">
        <f aca="false">SUM(F19:F33)</f>
        <v>23929.48</v>
      </c>
      <c r="E13" s="28" t="n">
        <f aca="false">D13*$B$7</f>
        <v>1794.711</v>
      </c>
      <c r="F13" s="53" t="n">
        <v>1048.32</v>
      </c>
      <c r="G13" s="54" t="n">
        <f aca="false">D13+E13+F13</f>
        <v>26772.511</v>
      </c>
      <c r="H13" s="53" t="n">
        <v>26772.51</v>
      </c>
      <c r="I13" s="55" t="str">
        <f aca="false">IF(ABS(G13-H13)&lt;0.02,"OK","MISMATCH")</f>
        <v>OK</v>
      </c>
      <c r="J13" s="56"/>
      <c r="K13" s="56"/>
      <c r="L13" s="56"/>
    </row>
    <row r="14" customFormat="false" ht="15" hidden="false" customHeight="false" outlineLevel="0" collapsed="false">
      <c r="A14" s="51" t="s">
        <v>124</v>
      </c>
      <c r="B14" s="52" t="n">
        <v>30</v>
      </c>
      <c r="C14" s="52" t="n">
        <v>45</v>
      </c>
      <c r="D14" s="28" t="n">
        <f aca="false">SUM(H19:H33)</f>
        <v>161523.6</v>
      </c>
      <c r="E14" s="28" t="n">
        <f aca="false">D14*$B$7</f>
        <v>12114.27</v>
      </c>
      <c r="F14" s="53" t="n">
        <v>8555.32</v>
      </c>
      <c r="G14" s="54" t="n">
        <f aca="false">D14+E14+F14</f>
        <v>182193.19</v>
      </c>
      <c r="H14" s="53" t="n">
        <v>182193.19</v>
      </c>
      <c r="I14" s="55" t="str">
        <f aca="false">IF(ABS(G14-H14)&lt;0.02,"OK","MISMATCH")</f>
        <v>OK</v>
      </c>
      <c r="J14" s="56"/>
      <c r="K14" s="56"/>
      <c r="L14" s="56"/>
    </row>
    <row r="16" customFormat="false" ht="15" hidden="false" customHeight="true" outlineLevel="0" collapsed="false">
      <c r="A16" s="44" t="s">
        <v>125</v>
      </c>
      <c r="B16" s="44"/>
      <c r="C16" s="44"/>
      <c r="D16" s="44"/>
      <c r="E16" s="44"/>
      <c r="F16" s="44"/>
      <c r="G16" s="44"/>
      <c r="H16" s="44"/>
      <c r="I16" s="44"/>
      <c r="J16" s="44"/>
      <c r="K16" s="44"/>
      <c r="L16" s="44"/>
    </row>
    <row r="17" customFormat="false" ht="21.75" hidden="false" customHeight="true" outlineLevel="0" collapsed="false">
      <c r="A17" s="19" t="s">
        <v>67</v>
      </c>
      <c r="B17" s="19"/>
      <c r="C17" s="19"/>
      <c r="D17" s="19"/>
      <c r="E17" s="23" t="s">
        <v>126</v>
      </c>
      <c r="F17" s="23"/>
      <c r="G17" s="23" t="s">
        <v>127</v>
      </c>
      <c r="H17" s="23"/>
      <c r="I17" s="20" t="s">
        <v>128</v>
      </c>
      <c r="J17" s="20" t="s">
        <v>129</v>
      </c>
      <c r="K17" s="20"/>
      <c r="L17" s="19" t="s">
        <v>130</v>
      </c>
    </row>
    <row r="18" customFormat="false" ht="34.5" hidden="false" customHeight="true" outlineLevel="0" collapsed="false">
      <c r="A18" s="19" t="s">
        <v>73</v>
      </c>
      <c r="B18" s="19" t="s">
        <v>74</v>
      </c>
      <c r="C18" s="19" t="s">
        <v>32</v>
      </c>
      <c r="D18" s="19" t="s">
        <v>131</v>
      </c>
      <c r="E18" s="23" t="s">
        <v>132</v>
      </c>
      <c r="F18" s="23" t="s">
        <v>133</v>
      </c>
      <c r="G18" s="23" t="s">
        <v>132</v>
      </c>
      <c r="H18" s="23" t="s">
        <v>133</v>
      </c>
      <c r="I18" s="19" t="s">
        <v>134</v>
      </c>
      <c r="J18" s="19" t="s">
        <v>135</v>
      </c>
      <c r="K18" s="19" t="s">
        <v>136</v>
      </c>
      <c r="L18" s="19" t="s">
        <v>137</v>
      </c>
    </row>
    <row r="19" customFormat="false" ht="15" hidden="false" customHeight="true" outlineLevel="0" collapsed="false">
      <c r="A19" s="24" t="n">
        <v>1</v>
      </c>
      <c r="B19" s="24" t="s">
        <v>52</v>
      </c>
      <c r="C19" s="24" t="s">
        <v>53</v>
      </c>
      <c r="D19" s="57" t="s">
        <v>138</v>
      </c>
      <c r="E19" s="53" t="n">
        <v>932.36</v>
      </c>
      <c r="F19" s="28" t="n">
        <f aca="false">E19*$B$13</f>
        <v>1864.72</v>
      </c>
      <c r="G19" s="53" t="n">
        <v>419.56</v>
      </c>
      <c r="H19" s="28" t="n">
        <f aca="false">G19*$B$14</f>
        <v>12586.8</v>
      </c>
      <c r="I19" s="58" t="n">
        <f aca="false">G19/E19</f>
        <v>0.44999785490583</v>
      </c>
      <c r="J19" s="26" t="n">
        <f aca="false">E19*$B$8</f>
        <v>792.506</v>
      </c>
      <c r="K19" s="24" t="str">
        <f aca="false">IF(ABS(J19-ROUND(J19,0))&lt;0.02,"Yes — $"&amp;TEXT(ROUND(J19,0),"#,##0"),"NO — breaks pattern")</f>
        <v>NO — breaks pattern</v>
      </c>
      <c r="L19" s="57" t="s">
        <v>139</v>
      </c>
    </row>
    <row r="20" customFormat="false" ht="15" hidden="false" customHeight="true" outlineLevel="0" collapsed="false">
      <c r="A20" s="24" t="n">
        <v>2</v>
      </c>
      <c r="B20" s="24" t="s">
        <v>38</v>
      </c>
      <c r="C20" s="24" t="s">
        <v>39</v>
      </c>
      <c r="D20" s="57" t="s">
        <v>140</v>
      </c>
      <c r="E20" s="53" t="n">
        <v>2176.48</v>
      </c>
      <c r="F20" s="28" t="n">
        <f aca="false">E20*$B$13</f>
        <v>4352.96</v>
      </c>
      <c r="G20" s="53" t="n">
        <v>979.42</v>
      </c>
      <c r="H20" s="28" t="n">
        <f aca="false">G20*$B$14</f>
        <v>29382.6</v>
      </c>
      <c r="I20" s="58" t="n">
        <f aca="false">G20/E20</f>
        <v>0.45000183782989</v>
      </c>
      <c r="J20" s="26" t="n">
        <f aca="false">E20*$B$8</f>
        <v>1850.008</v>
      </c>
      <c r="K20" s="24" t="str">
        <f aca="false">IF(ABS(J20-ROUND(J20,0))&lt;0.02,"Yes — $"&amp;TEXT(ROUND(J20,0),"#,##0"),"NO — breaks pattern")</f>
        <v>Yes — $1,850</v>
      </c>
      <c r="L20" s="57" t="s">
        <v>139</v>
      </c>
    </row>
    <row r="21" customFormat="false" ht="15" hidden="false" customHeight="true" outlineLevel="0" collapsed="false">
      <c r="A21" s="24" t="n">
        <v>3</v>
      </c>
      <c r="B21" s="24" t="s">
        <v>36</v>
      </c>
      <c r="C21" s="24" t="s">
        <v>37</v>
      </c>
      <c r="D21" s="57" t="s">
        <v>141</v>
      </c>
      <c r="E21" s="53" t="n">
        <v>1352.94</v>
      </c>
      <c r="F21" s="28" t="n">
        <f aca="false">E21*$B$13</f>
        <v>2705.88</v>
      </c>
      <c r="G21" s="53" t="n">
        <v>608.83</v>
      </c>
      <c r="H21" s="28" t="n">
        <f aca="false">G21*$B$14</f>
        <v>18264.9</v>
      </c>
      <c r="I21" s="58" t="n">
        <f aca="false">G21/E21</f>
        <v>0.450005173917543</v>
      </c>
      <c r="J21" s="26" t="n">
        <f aca="false">E21*$B$8</f>
        <v>1149.999</v>
      </c>
      <c r="K21" s="24" t="str">
        <f aca="false">IF(ABS(J21-ROUND(J21,0))&lt;0.02,"Yes — $"&amp;TEXT(ROUND(J21,0),"#,##0"),"NO — breaks pattern")</f>
        <v>Yes — $1,150</v>
      </c>
      <c r="L21" s="57" t="s">
        <v>139</v>
      </c>
    </row>
    <row r="22" customFormat="false" ht="15" hidden="false" customHeight="true" outlineLevel="0" collapsed="false">
      <c r="A22" s="24" t="n">
        <v>4</v>
      </c>
      <c r="B22" s="24" t="s">
        <v>44</v>
      </c>
      <c r="C22" s="24" t="s">
        <v>45</v>
      </c>
      <c r="D22" s="57" t="s">
        <v>142</v>
      </c>
      <c r="E22" s="53" t="n">
        <v>305.88</v>
      </c>
      <c r="F22" s="28" t="n">
        <f aca="false">E22*$B$13</f>
        <v>611.76</v>
      </c>
      <c r="G22" s="53" t="n">
        <v>137.65</v>
      </c>
      <c r="H22" s="28" t="n">
        <f aca="false">G22*$B$14</f>
        <v>4129.5</v>
      </c>
      <c r="I22" s="58" t="n">
        <f aca="false">G22/E22</f>
        <v>0.450013077023669</v>
      </c>
      <c r="J22" s="26" t="n">
        <f aca="false">E22*$B$8</f>
        <v>259.998</v>
      </c>
      <c r="K22" s="24" t="str">
        <f aca="false">IF(ABS(J22-ROUND(J22,0))&lt;0.02,"Yes — $"&amp;TEXT(ROUND(J22,0),"#,##0"),"NO — breaks pattern")</f>
        <v>Yes — $260</v>
      </c>
      <c r="L22" s="57" t="s">
        <v>139</v>
      </c>
    </row>
    <row r="23" customFormat="false" ht="15" hidden="false" customHeight="true" outlineLevel="0" collapsed="false">
      <c r="A23" s="24" t="n">
        <v>5</v>
      </c>
      <c r="B23" s="24" t="s">
        <v>48</v>
      </c>
      <c r="C23" s="24" t="s">
        <v>49</v>
      </c>
      <c r="D23" s="57" t="s">
        <v>143</v>
      </c>
      <c r="E23" s="53" t="n">
        <v>329.42</v>
      </c>
      <c r="F23" s="28" t="n">
        <f aca="false">E23*$B$13</f>
        <v>658.84</v>
      </c>
      <c r="G23" s="53" t="n">
        <v>148.23</v>
      </c>
      <c r="H23" s="28" t="n">
        <f aca="false">G23*$B$14</f>
        <v>4446.9</v>
      </c>
      <c r="I23" s="58" t="n">
        <f aca="false">G23/E23</f>
        <v>0.449972679254447</v>
      </c>
      <c r="J23" s="26" t="n">
        <f aca="false">E23*$B$8</f>
        <v>280.007</v>
      </c>
      <c r="K23" s="24" t="str">
        <f aca="false">IF(ABS(J23-ROUND(J23,0))&lt;0.02,"Yes — $"&amp;TEXT(ROUND(J23,0),"#,##0"),"NO — breaks pattern")</f>
        <v>Yes — $280</v>
      </c>
      <c r="L23" s="57" t="s">
        <v>139</v>
      </c>
    </row>
    <row r="24" customFormat="false" ht="15" hidden="false" customHeight="true" outlineLevel="0" collapsed="false">
      <c r="A24" s="24" t="n">
        <v>6</v>
      </c>
      <c r="B24" s="24" t="s">
        <v>34</v>
      </c>
      <c r="C24" s="24" t="s">
        <v>35</v>
      </c>
      <c r="D24" s="57" t="s">
        <v>144</v>
      </c>
      <c r="E24" s="53" t="n">
        <v>235.3</v>
      </c>
      <c r="F24" s="28" t="n">
        <f aca="false">E24*$B$13</f>
        <v>470.6</v>
      </c>
      <c r="G24" s="53" t="n">
        <v>105.88</v>
      </c>
      <c r="H24" s="28" t="n">
        <f aca="false">G24*$B$14</f>
        <v>3176.4</v>
      </c>
      <c r="I24" s="58" t="n">
        <f aca="false">G24/E24</f>
        <v>0.449978750531237</v>
      </c>
      <c r="J24" s="26" t="n">
        <f aca="false">E24*$B$8</f>
        <v>200.005</v>
      </c>
      <c r="K24" s="24" t="str">
        <f aca="false">IF(ABS(J24-ROUND(J24,0))&lt;0.02,"Yes — $"&amp;TEXT(ROUND(J24,0),"#,##0"),"NO — breaks pattern")</f>
        <v>Yes — $200</v>
      </c>
      <c r="L24" s="57" t="s">
        <v>145</v>
      </c>
    </row>
    <row r="25" customFormat="false" ht="15" hidden="false" customHeight="true" outlineLevel="0" collapsed="false">
      <c r="A25" s="24" t="n">
        <v>7</v>
      </c>
      <c r="B25" s="24" t="s">
        <v>40</v>
      </c>
      <c r="C25" s="24" t="s">
        <v>41</v>
      </c>
      <c r="D25" s="57" t="s">
        <v>146</v>
      </c>
      <c r="E25" s="53" t="n">
        <v>164.7</v>
      </c>
      <c r="F25" s="28" t="n">
        <f aca="false">E25*$B$13</f>
        <v>329.4</v>
      </c>
      <c r="G25" s="53" t="n">
        <v>74.12</v>
      </c>
      <c r="H25" s="28" t="n">
        <f aca="false">G25*$B$14</f>
        <v>2223.6</v>
      </c>
      <c r="I25" s="58" t="n">
        <f aca="false">G25/E25</f>
        <v>0.45003035822708</v>
      </c>
      <c r="J25" s="26" t="n">
        <f aca="false">E25*$B$8</f>
        <v>139.995</v>
      </c>
      <c r="K25" s="24" t="str">
        <f aca="false">IF(ABS(J25-ROUND(J25,0))&lt;0.02,"Yes — $"&amp;TEXT(ROUND(J25,0),"#,##0"),"NO — breaks pattern")</f>
        <v>Yes — $140</v>
      </c>
      <c r="L25" s="57" t="s">
        <v>139</v>
      </c>
    </row>
    <row r="26" customFormat="false" ht="15" hidden="false" customHeight="true" outlineLevel="0" collapsed="false">
      <c r="A26" s="24" t="n">
        <v>8</v>
      </c>
      <c r="B26" s="24" t="s">
        <v>42</v>
      </c>
      <c r="C26" s="24" t="s">
        <v>43</v>
      </c>
      <c r="D26" s="57" t="s">
        <v>147</v>
      </c>
      <c r="E26" s="53" t="n">
        <v>1294.12</v>
      </c>
      <c r="F26" s="28" t="n">
        <f aca="false">E26*$B$13</f>
        <v>2588.24</v>
      </c>
      <c r="G26" s="53" t="n">
        <v>582.35</v>
      </c>
      <c r="H26" s="28" t="n">
        <f aca="false">G26*$B$14</f>
        <v>17470.5</v>
      </c>
      <c r="I26" s="58" t="n">
        <f aca="false">G26/E26</f>
        <v>0.449996909096529</v>
      </c>
      <c r="J26" s="26" t="n">
        <f aca="false">E26*$B$8</f>
        <v>1100.002</v>
      </c>
      <c r="K26" s="24" t="str">
        <f aca="false">IF(ABS(J26-ROUND(J26,0))&lt;0.02,"Yes — $"&amp;TEXT(ROUND(J26,0),"#,##0"),"NO — breaks pattern")</f>
        <v>Yes — $1,100</v>
      </c>
      <c r="L26" s="57" t="s">
        <v>139</v>
      </c>
    </row>
    <row r="27" customFormat="false" ht="15" hidden="false" customHeight="true" outlineLevel="0" collapsed="false">
      <c r="A27" s="24" t="n">
        <v>9</v>
      </c>
      <c r="B27" s="24" t="s">
        <v>46</v>
      </c>
      <c r="C27" s="24" t="s">
        <v>47</v>
      </c>
      <c r="D27" s="57" t="s">
        <v>148</v>
      </c>
      <c r="E27" s="53" t="n">
        <v>305.88</v>
      </c>
      <c r="F27" s="28" t="n">
        <f aca="false">E27*$B$13</f>
        <v>611.76</v>
      </c>
      <c r="G27" s="53" t="n">
        <v>137.65</v>
      </c>
      <c r="H27" s="28" t="n">
        <f aca="false">G27*$B$14</f>
        <v>4129.5</v>
      </c>
      <c r="I27" s="58" t="n">
        <f aca="false">G27/E27</f>
        <v>0.450013077023669</v>
      </c>
      <c r="J27" s="26" t="n">
        <f aca="false">E27*$B$8</f>
        <v>259.998</v>
      </c>
      <c r="K27" s="24" t="str">
        <f aca="false">IF(ABS(J27-ROUND(J27,0))&lt;0.02,"Yes — $"&amp;TEXT(ROUND(J27,0),"#,##0"),"NO — breaks pattern")</f>
        <v>Yes — $260</v>
      </c>
      <c r="L27" s="57" t="s">
        <v>139</v>
      </c>
    </row>
    <row r="28" customFormat="false" ht="15" hidden="false" customHeight="true" outlineLevel="0" collapsed="false">
      <c r="A28" s="24" t="n">
        <v>10</v>
      </c>
      <c r="B28" s="24" t="s">
        <v>50</v>
      </c>
      <c r="C28" s="24" t="s">
        <v>51</v>
      </c>
      <c r="D28" s="57" t="s">
        <v>149</v>
      </c>
      <c r="E28" s="53" t="n">
        <v>352.94</v>
      </c>
      <c r="F28" s="28" t="n">
        <f aca="false">E28*$B$13</f>
        <v>705.88</v>
      </c>
      <c r="G28" s="53" t="n">
        <v>158.83</v>
      </c>
      <c r="H28" s="28" t="n">
        <f aca="false">G28*$B$14</f>
        <v>4764.9</v>
      </c>
      <c r="I28" s="58" t="n">
        <f aca="false">G28/E28</f>
        <v>0.450019833399445</v>
      </c>
      <c r="J28" s="26" t="n">
        <f aca="false">E28*$B$8</f>
        <v>299.999</v>
      </c>
      <c r="K28" s="24" t="str">
        <f aca="false">IF(ABS(J28-ROUND(J28,0))&lt;0.02,"Yes — $"&amp;TEXT(ROUND(J28,0),"#,##0"),"NO — breaks pattern")</f>
        <v>Yes — $300</v>
      </c>
      <c r="L28" s="57" t="s">
        <v>139</v>
      </c>
    </row>
    <row r="29" customFormat="false" ht="15" hidden="false" customHeight="true" outlineLevel="0" collapsed="false">
      <c r="A29" s="24" t="n">
        <v>11</v>
      </c>
      <c r="B29" s="24" t="s">
        <v>54</v>
      </c>
      <c r="C29" s="24" t="s">
        <v>55</v>
      </c>
      <c r="D29" s="57" t="s">
        <v>150</v>
      </c>
      <c r="E29" s="53" t="n">
        <v>223.52</v>
      </c>
      <c r="F29" s="28" t="n">
        <f aca="false">E29*$B$13</f>
        <v>447.04</v>
      </c>
      <c r="G29" s="53" t="n">
        <v>100.58</v>
      </c>
      <c r="H29" s="28" t="n">
        <f aca="false">G29*$B$14</f>
        <v>3017.4</v>
      </c>
      <c r="I29" s="58" t="n">
        <f aca="false">G29/E29</f>
        <v>0.449982104509664</v>
      </c>
      <c r="J29" s="26" t="n">
        <f aca="false">E29*$B$8</f>
        <v>189.992</v>
      </c>
      <c r="K29" s="24" t="str">
        <f aca="false">IF(ABS(J29-ROUND(J29,0))&lt;0.02,"Yes — $"&amp;TEXT(ROUND(J29,0),"#,##0"),"NO — breaks pattern")</f>
        <v>Yes — $190</v>
      </c>
      <c r="L29" s="57" t="s">
        <v>145</v>
      </c>
    </row>
    <row r="30" customFormat="false" ht="15" hidden="false" customHeight="true" outlineLevel="0" collapsed="false">
      <c r="A30" s="24" t="n">
        <v>12</v>
      </c>
      <c r="B30" s="24" t="s">
        <v>60</v>
      </c>
      <c r="C30" s="24" t="s">
        <v>61</v>
      </c>
      <c r="D30" s="57" t="s">
        <v>151</v>
      </c>
      <c r="E30" s="53" t="n">
        <v>1176.48</v>
      </c>
      <c r="F30" s="28" t="n">
        <f aca="false">E30*$B$13</f>
        <v>2352.96</v>
      </c>
      <c r="G30" s="53" t="n">
        <v>529.42</v>
      </c>
      <c r="H30" s="28" t="n">
        <f aca="false">G30*$B$14</f>
        <v>15882.6</v>
      </c>
      <c r="I30" s="58" t="n">
        <f aca="false">G30/E30</f>
        <v>0.4500033999728</v>
      </c>
      <c r="J30" s="26" t="n">
        <f aca="false">E30*$B$8</f>
        <v>1000.008</v>
      </c>
      <c r="K30" s="24" t="str">
        <f aca="false">IF(ABS(J30-ROUND(J30,0))&lt;0.02,"Yes — $"&amp;TEXT(ROUND(J30,0),"#,##0"),"NO — breaks pattern")</f>
        <v>Yes — $1,000</v>
      </c>
      <c r="L30" s="57" t="s">
        <v>139</v>
      </c>
    </row>
    <row r="31" customFormat="false" ht="15" hidden="false" customHeight="true" outlineLevel="0" collapsed="false">
      <c r="A31" s="24" t="n">
        <v>13</v>
      </c>
      <c r="B31" s="24" t="s">
        <v>56</v>
      </c>
      <c r="C31" s="24" t="s">
        <v>57</v>
      </c>
      <c r="D31" s="57" t="s">
        <v>152</v>
      </c>
      <c r="E31" s="53" t="n">
        <v>1741.18</v>
      </c>
      <c r="F31" s="28" t="n">
        <f aca="false">E31*$B$13</f>
        <v>3482.36</v>
      </c>
      <c r="G31" s="53" t="n">
        <v>783.52</v>
      </c>
      <c r="H31" s="28" t="n">
        <f aca="false">G31*$B$14</f>
        <v>23505.6</v>
      </c>
      <c r="I31" s="58" t="n">
        <f aca="false">G31/E31</f>
        <v>0.449993682445238</v>
      </c>
      <c r="J31" s="26" t="n">
        <f aca="false">E31*$B$8</f>
        <v>1480.003</v>
      </c>
      <c r="K31" s="24" t="str">
        <f aca="false">IF(ABS(J31-ROUND(J31,0))&lt;0.02,"Yes — $"&amp;TEXT(ROUND(J31,0),"#,##0"),"NO — breaks pattern")</f>
        <v>Yes — $1,480</v>
      </c>
      <c r="L31" s="57" t="s">
        <v>139</v>
      </c>
    </row>
    <row r="32" customFormat="false" ht="15" hidden="false" customHeight="true" outlineLevel="0" collapsed="false">
      <c r="A32" s="24" t="n">
        <v>14</v>
      </c>
      <c r="B32" s="24" t="s">
        <v>58</v>
      </c>
      <c r="C32" s="24" t="s">
        <v>59</v>
      </c>
      <c r="D32" s="57" t="s">
        <v>153</v>
      </c>
      <c r="E32" s="53" t="n">
        <v>441.18</v>
      </c>
      <c r="F32" s="28" t="n">
        <f aca="false">E32*$B$13</f>
        <v>882.36</v>
      </c>
      <c r="G32" s="53" t="n">
        <v>198.52</v>
      </c>
      <c r="H32" s="28" t="n">
        <f aca="false">G32*$B$14</f>
        <v>5955.6</v>
      </c>
      <c r="I32" s="58" t="n">
        <f aca="false">G32/E32</f>
        <v>0.449975066866132</v>
      </c>
      <c r="J32" s="26" t="n">
        <f aca="false">E32*$B$8</f>
        <v>375.003</v>
      </c>
      <c r="K32" s="24" t="str">
        <f aca="false">IF(ABS(J32-ROUND(J32,0))&lt;0.02,"Yes — $"&amp;TEXT(ROUND(J32,0),"#,##0"),"NO — breaks pattern")</f>
        <v>Yes — $375</v>
      </c>
      <c r="L32" s="57" t="s">
        <v>145</v>
      </c>
    </row>
    <row r="33" customFormat="false" ht="15" hidden="false" customHeight="true" outlineLevel="0" collapsed="false">
      <c r="A33" s="24" t="n">
        <v>15</v>
      </c>
      <c r="B33" s="24" t="s">
        <v>62</v>
      </c>
      <c r="C33" s="24" t="s">
        <v>63</v>
      </c>
      <c r="D33" s="57" t="s">
        <v>154</v>
      </c>
      <c r="E33" s="53" t="n">
        <v>932.36</v>
      </c>
      <c r="F33" s="28" t="n">
        <f aca="false">E33*$B$13</f>
        <v>1864.72</v>
      </c>
      <c r="G33" s="53" t="n">
        <v>419.56</v>
      </c>
      <c r="H33" s="28" t="n">
        <f aca="false">G33*$B$14</f>
        <v>12586.8</v>
      </c>
      <c r="I33" s="58" t="n">
        <f aca="false">G33/E33</f>
        <v>0.44999785490583</v>
      </c>
      <c r="J33" s="26" t="n">
        <f aca="false">E33*$B$8</f>
        <v>792.506</v>
      </c>
      <c r="K33" s="24" t="str">
        <f aca="false">IF(ABS(J33-ROUND(J33,0))&lt;0.02,"Yes — $"&amp;TEXT(ROUND(J33,0),"#,##0"),"NO — breaks pattern")</f>
        <v>NO — breaks pattern</v>
      </c>
      <c r="L33" s="57" t="s">
        <v>139</v>
      </c>
    </row>
    <row r="34" customFormat="false" ht="15" hidden="false" customHeight="false" outlineLevel="0" collapsed="false">
      <c r="A34" s="33"/>
      <c r="B34" s="33"/>
      <c r="C34" s="33" t="s">
        <v>155</v>
      </c>
      <c r="D34" s="33"/>
      <c r="E34" s="33"/>
      <c r="F34" s="34" t="n">
        <f aca="false">SUM(F19:F33)</f>
        <v>23929.48</v>
      </c>
      <c r="G34" s="33"/>
      <c r="H34" s="34" t="n">
        <f aca="false">SUM(H19:H33)</f>
        <v>161523.6</v>
      </c>
      <c r="I34" s="33"/>
      <c r="J34" s="33"/>
      <c r="K34" s="33"/>
      <c r="L34" s="33"/>
    </row>
    <row r="36" customFormat="false" ht="15" hidden="false" customHeight="true" outlineLevel="0" collapsed="false">
      <c r="A36" s="44" t="s">
        <v>156</v>
      </c>
      <c r="B36" s="44"/>
      <c r="C36" s="44"/>
      <c r="D36" s="44"/>
      <c r="E36" s="44"/>
      <c r="F36" s="44"/>
      <c r="G36" s="44"/>
      <c r="H36" s="44"/>
      <c r="I36" s="44"/>
      <c r="J36" s="44"/>
      <c r="K36" s="44"/>
      <c r="L36" s="44"/>
    </row>
    <row r="37" customFormat="false" ht="34.5" hidden="false" customHeight="true" outlineLevel="0" collapsed="false">
      <c r="A37" s="19" t="s">
        <v>73</v>
      </c>
      <c r="B37" s="19" t="s">
        <v>74</v>
      </c>
      <c r="C37" s="19" t="s">
        <v>32</v>
      </c>
      <c r="D37" s="19" t="s">
        <v>157</v>
      </c>
      <c r="E37" s="19" t="s">
        <v>158</v>
      </c>
      <c r="F37" s="19" t="s">
        <v>159</v>
      </c>
      <c r="G37" s="19" t="s">
        <v>160</v>
      </c>
      <c r="H37" s="19" t="s">
        <v>161</v>
      </c>
      <c r="I37" s="19" t="s">
        <v>162</v>
      </c>
      <c r="J37" s="19" t="s">
        <v>163</v>
      </c>
      <c r="K37" s="19" t="s">
        <v>164</v>
      </c>
      <c r="L37" s="19" t="s">
        <v>165</v>
      </c>
    </row>
    <row r="38" customFormat="false" ht="15" hidden="false" customHeight="true" outlineLevel="0" collapsed="false">
      <c r="A38" s="24" t="n">
        <f aca="false">A19</f>
        <v>1</v>
      </c>
      <c r="B38" s="24" t="str">
        <f aca="false">B19</f>
        <v>670832</v>
      </c>
      <c r="C38" s="24" t="str">
        <f aca="false">C19</f>
        <v>Rim Right</v>
      </c>
      <c r="D38" s="26" t="n">
        <f aca="false">F19</f>
        <v>1864.72</v>
      </c>
      <c r="E38" s="26" t="n">
        <f aca="false">$F$13*D38/$D$13</f>
        <v>81.6910050030339</v>
      </c>
      <c r="F38" s="26" t="n">
        <f aca="false">D38*(1+$B$7)+E38</f>
        <v>2086.26500500303</v>
      </c>
      <c r="G38" s="54" t="n">
        <f aca="false">F38/$B$13</f>
        <v>1043.13250250152</v>
      </c>
      <c r="H38" s="26" t="n">
        <f aca="false">H19</f>
        <v>12586.8</v>
      </c>
      <c r="I38" s="26" t="n">
        <f aca="false">$F$14*H38/$D$14</f>
        <v>666.677202439767</v>
      </c>
      <c r="J38" s="26" t="n">
        <f aca="false">H38*(1+$B$7)+I38</f>
        <v>14197.4872024398</v>
      </c>
      <c r="K38" s="54" t="n">
        <f aca="false">J38/$B$14</f>
        <v>473.249573414659</v>
      </c>
      <c r="L38" s="58" t="n">
        <f aca="false">K38/G38</f>
        <v>0.453681169247212</v>
      </c>
    </row>
    <row r="39" customFormat="false" ht="15" hidden="false" customHeight="true" outlineLevel="0" collapsed="false">
      <c r="A39" s="24" t="n">
        <f aca="false">A20</f>
        <v>2</v>
      </c>
      <c r="B39" s="24" t="str">
        <f aca="false">B20</f>
        <v>670837</v>
      </c>
      <c r="C39" s="24" t="str">
        <f aca="false">C20</f>
        <v>Foot Cap</v>
      </c>
      <c r="D39" s="26" t="n">
        <f aca="false">F20</f>
        <v>4352.96</v>
      </c>
      <c r="E39" s="26" t="n">
        <f aca="false">$F$13*D39/$D$13</f>
        <v>190.697625991037</v>
      </c>
      <c r="F39" s="26" t="n">
        <f aca="false">D39*(1+$B$7)+E39</f>
        <v>4870.12962599104</v>
      </c>
      <c r="G39" s="54" t="n">
        <f aca="false">F39/$B$13</f>
        <v>2435.06481299552</v>
      </c>
      <c r="H39" s="26" t="n">
        <f aca="false">H20</f>
        <v>29382.6</v>
      </c>
      <c r="I39" s="26" t="n">
        <f aca="false">$F$14*H39/$D$14</f>
        <v>1556.28988848688</v>
      </c>
      <c r="J39" s="26" t="n">
        <f aca="false">H39*(1+$B$7)+I39</f>
        <v>33142.5848884869</v>
      </c>
      <c r="K39" s="54" t="n">
        <f aca="false">J39/$B$14</f>
        <v>1104.75282961623</v>
      </c>
      <c r="L39" s="58" t="n">
        <f aca="false">K39/G39</f>
        <v>0.453685184772231</v>
      </c>
    </row>
    <row r="40" customFormat="false" ht="15" hidden="false" customHeight="true" outlineLevel="0" collapsed="false">
      <c r="A40" s="24" t="n">
        <f aca="false">A21</f>
        <v>3</v>
      </c>
      <c r="B40" s="24" t="str">
        <f aca="false">B21</f>
        <v>670836</v>
      </c>
      <c r="C40" s="24" t="str">
        <f aca="false">C21</f>
        <v>Head Cap</v>
      </c>
      <c r="D40" s="26" t="n">
        <f aca="false">F21</f>
        <v>2705.88</v>
      </c>
      <c r="E40" s="26" t="n">
        <f aca="false">$F$13*D40/$D$13</f>
        <v>118.541151817758</v>
      </c>
      <c r="F40" s="26" t="n">
        <f aca="false">D40*(1+$B$7)+E40</f>
        <v>3027.36215181776</v>
      </c>
      <c r="G40" s="54" t="n">
        <f aca="false">F40/$B$13</f>
        <v>1513.68107590888</v>
      </c>
      <c r="H40" s="26" t="n">
        <f aca="false">H21</f>
        <v>18264.9</v>
      </c>
      <c r="I40" s="26" t="n">
        <f aca="false">$F$14*H40/$D$14</f>
        <v>967.425591480131</v>
      </c>
      <c r="J40" s="26" t="n">
        <f aca="false">H40*(1+$B$7)+I40</f>
        <v>20602.1930914801</v>
      </c>
      <c r="K40" s="54" t="n">
        <f aca="false">J40/$B$14</f>
        <v>686.739769716005</v>
      </c>
      <c r="L40" s="58" t="n">
        <f aca="false">K40/G40</f>
        <v>0.453688548166368</v>
      </c>
    </row>
    <row r="41" customFormat="false" ht="15" hidden="false" customHeight="true" outlineLevel="0" collapsed="false">
      <c r="A41" s="24" t="n">
        <f aca="false">A22</f>
        <v>4</v>
      </c>
      <c r="B41" s="24" t="str">
        <f aca="false">B22</f>
        <v>670820</v>
      </c>
      <c r="C41" s="24" t="str">
        <f aca="false">C22</f>
        <v>Upper Right Support</v>
      </c>
      <c r="D41" s="26" t="n">
        <f aca="false">F22</f>
        <v>611.76</v>
      </c>
      <c r="E41" s="26" t="n">
        <f aca="false">$F$13*D41/$D$13</f>
        <v>26.8004253832511</v>
      </c>
      <c r="F41" s="26" t="n">
        <f aca="false">D41*(1+$B$7)+E41</f>
        <v>684.442425383251</v>
      </c>
      <c r="G41" s="54" t="n">
        <f aca="false">F41/$B$13</f>
        <v>342.221212691626</v>
      </c>
      <c r="H41" s="26" t="n">
        <f aca="false">H22</f>
        <v>4129.5</v>
      </c>
      <c r="I41" s="26" t="n">
        <f aca="false">$F$14*H41/$D$14</f>
        <v>218.724656582691</v>
      </c>
      <c r="J41" s="26" t="n">
        <f aca="false">H41*(1+$B$7)+I41</f>
        <v>4657.93715658269</v>
      </c>
      <c r="K41" s="54" t="n">
        <f aca="false">J41/$B$14</f>
        <v>155.26457188609</v>
      </c>
      <c r="L41" s="58" t="n">
        <f aca="false">K41/G41</f>
        <v>0.453696515960857</v>
      </c>
    </row>
    <row r="42" customFormat="false" ht="15" hidden="false" customHeight="true" outlineLevel="0" collapsed="false">
      <c r="A42" s="24" t="n">
        <f aca="false">A23</f>
        <v>5</v>
      </c>
      <c r="B42" s="24" t="str">
        <f aca="false">B23</f>
        <v>670823</v>
      </c>
      <c r="C42" s="24" t="str">
        <f aca="false">C23</f>
        <v>Lower Left Support</v>
      </c>
      <c r="D42" s="26" t="n">
        <f aca="false">F23</f>
        <v>658.84</v>
      </c>
      <c r="E42" s="26" t="n">
        <f aca="false">$F$13*D42/$D$13</f>
        <v>28.8629401391087</v>
      </c>
      <c r="F42" s="26" t="n">
        <f aca="false">D42*(1+$B$7)+E42</f>
        <v>737.115940139109</v>
      </c>
      <c r="G42" s="54" t="n">
        <f aca="false">F42/$B$13</f>
        <v>368.557970069554</v>
      </c>
      <c r="H42" s="26" t="n">
        <f aca="false">H23</f>
        <v>4446.9</v>
      </c>
      <c r="I42" s="26" t="n">
        <f aca="false">$F$14*H42/$D$14</f>
        <v>235.536184854721</v>
      </c>
      <c r="J42" s="26" t="n">
        <f aca="false">H42*(1+$B$7)+I42</f>
        <v>5015.95368485472</v>
      </c>
      <c r="K42" s="54" t="n">
        <f aca="false">J42/$B$14</f>
        <v>167.198456161824</v>
      </c>
      <c r="L42" s="58" t="n">
        <f aca="false">K42/G42</f>
        <v>0.453655787528541</v>
      </c>
    </row>
    <row r="43" customFormat="false" ht="15" hidden="false" customHeight="true" outlineLevel="0" collapsed="false">
      <c r="A43" s="24" t="n">
        <f aca="false">A24</f>
        <v>6</v>
      </c>
      <c r="B43" s="24" t="str">
        <f aca="false">B24</f>
        <v>670834</v>
      </c>
      <c r="C43" s="24" t="str">
        <f aca="false">C24</f>
        <v>Rim Head</v>
      </c>
      <c r="D43" s="26" t="n">
        <f aca="false">F24</f>
        <v>470.6</v>
      </c>
      <c r="E43" s="26" t="n">
        <f aca="false">$F$13*D43/$D$13</f>
        <v>20.6163858136491</v>
      </c>
      <c r="F43" s="26" t="n">
        <f aca="false">D43*(1+$B$7)+E43</f>
        <v>526.511385813649</v>
      </c>
      <c r="G43" s="54" t="n">
        <f aca="false">F43/$B$13</f>
        <v>263.255692906825</v>
      </c>
      <c r="H43" s="26" t="n">
        <f aca="false">H24</f>
        <v>3176.4</v>
      </c>
      <c r="I43" s="26" t="n">
        <f aca="false">$F$14*H43/$D$14</f>
        <v>168.242402026701</v>
      </c>
      <c r="J43" s="26" t="n">
        <f aca="false">H43*(1+$B$7)+I43</f>
        <v>3582.8724020267</v>
      </c>
      <c r="K43" s="54" t="n">
        <f aca="false">J43/$B$14</f>
        <v>119.429080067557</v>
      </c>
      <c r="L43" s="58" t="n">
        <f aca="false">K43/G43</f>
        <v>0.453661908499836</v>
      </c>
    </row>
    <row r="44" customFormat="false" ht="15" hidden="false" customHeight="true" outlineLevel="0" collapsed="false">
      <c r="A44" s="24" t="n">
        <f aca="false">A25</f>
        <v>7</v>
      </c>
      <c r="B44" s="24" t="str">
        <f aca="false">B25</f>
        <v>670845</v>
      </c>
      <c r="C44" s="24" t="str">
        <f aca="false">C25</f>
        <v>Hanging Plate</v>
      </c>
      <c r="D44" s="26" t="n">
        <f aca="false">F25</f>
        <v>329.4</v>
      </c>
      <c r="E44" s="26" t="n">
        <f aca="false">$F$13*D44/$D$13</f>
        <v>14.4305938950617</v>
      </c>
      <c r="F44" s="26" t="n">
        <f aca="false">D44*(1+$B$7)+E44</f>
        <v>368.535593895062</v>
      </c>
      <c r="G44" s="54" t="n">
        <f aca="false">F44/$B$13</f>
        <v>184.267796947531</v>
      </c>
      <c r="H44" s="26" t="n">
        <f aca="false">H25</f>
        <v>2223.6</v>
      </c>
      <c r="I44" s="26" t="n">
        <f aca="false">$F$14*H44/$D$14</f>
        <v>117.776037384011</v>
      </c>
      <c r="J44" s="26" t="n">
        <f aca="false">H44*(1+$B$7)+I44</f>
        <v>2508.14603738401</v>
      </c>
      <c r="K44" s="54" t="n">
        <f aca="false">J44/$B$14</f>
        <v>83.6048679128004</v>
      </c>
      <c r="L44" s="58" t="n">
        <f aca="false">K44/G44</f>
        <v>0.453713938614062</v>
      </c>
    </row>
    <row r="45" customFormat="false" ht="15" hidden="false" customHeight="true" outlineLevel="0" collapsed="false">
      <c r="A45" s="24" t="n">
        <f aca="false">A26</f>
        <v>8</v>
      </c>
      <c r="B45" s="24" t="str">
        <f aca="false">B26</f>
        <v>670842</v>
      </c>
      <c r="C45" s="24" t="str">
        <f aca="false">C26</f>
        <v>Revasc Heart Plate</v>
      </c>
      <c r="D45" s="26" t="n">
        <f aca="false">F26</f>
        <v>2588.24</v>
      </c>
      <c r="E45" s="26" t="n">
        <f aca="false">$F$13*D45/$D$13</f>
        <v>113.387493451592</v>
      </c>
      <c r="F45" s="26" t="n">
        <f aca="false">D45*(1+$B$7)+E45</f>
        <v>2895.74549345159</v>
      </c>
      <c r="G45" s="54" t="n">
        <f aca="false">F45/$B$13</f>
        <v>1447.8727467258</v>
      </c>
      <c r="H45" s="26" t="n">
        <f aca="false">H26</f>
        <v>17470.5</v>
      </c>
      <c r="I45" s="26" t="n">
        <f aca="false">$F$14*H45/$D$14</f>
        <v>925.349101060155</v>
      </c>
      <c r="J45" s="26" t="n">
        <f aca="false">H45*(1+$B$7)+I45</f>
        <v>19706.1366010602</v>
      </c>
      <c r="K45" s="54" t="n">
        <f aca="false">J45/$B$14</f>
        <v>656.871220035338</v>
      </c>
      <c r="L45" s="58" t="n">
        <f aca="false">K45/G45</f>
        <v>0.45368021569629</v>
      </c>
    </row>
    <row r="46" customFormat="false" ht="15" hidden="false" customHeight="true" outlineLevel="0" collapsed="false">
      <c r="A46" s="24" t="n">
        <f aca="false">A27</f>
        <v>9</v>
      </c>
      <c r="B46" s="24" t="str">
        <f aca="false">B27</f>
        <v>670821</v>
      </c>
      <c r="C46" s="24" t="str">
        <f aca="false">C27</f>
        <v>Upper Left Support</v>
      </c>
      <c r="D46" s="26" t="n">
        <f aca="false">F27</f>
        <v>611.76</v>
      </c>
      <c r="E46" s="26" t="n">
        <f aca="false">$F$13*D46/$D$13</f>
        <v>26.8004253832511</v>
      </c>
      <c r="F46" s="26" t="n">
        <f aca="false">D46*(1+$B$7)+E46</f>
        <v>684.442425383251</v>
      </c>
      <c r="G46" s="54" t="n">
        <f aca="false">F46/$B$13</f>
        <v>342.221212691626</v>
      </c>
      <c r="H46" s="26" t="n">
        <f aca="false">H27</f>
        <v>4129.5</v>
      </c>
      <c r="I46" s="26" t="n">
        <f aca="false">$F$14*H46/$D$14</f>
        <v>218.724656582691</v>
      </c>
      <c r="J46" s="26" t="n">
        <f aca="false">H46*(1+$B$7)+I46</f>
        <v>4657.93715658269</v>
      </c>
      <c r="K46" s="54" t="n">
        <f aca="false">J46/$B$14</f>
        <v>155.26457188609</v>
      </c>
      <c r="L46" s="58" t="n">
        <f aca="false">K46/G46</f>
        <v>0.453696515960857</v>
      </c>
    </row>
    <row r="47" customFormat="false" ht="15" hidden="false" customHeight="true" outlineLevel="0" collapsed="false">
      <c r="A47" s="24" t="n">
        <f aca="false">A28</f>
        <v>10</v>
      </c>
      <c r="B47" s="24" t="str">
        <f aca="false">B28</f>
        <v>670822</v>
      </c>
      <c r="C47" s="24" t="str">
        <f aca="false">C28</f>
        <v>Lower Right Support</v>
      </c>
      <c r="D47" s="26" t="n">
        <f aca="false">F28</f>
        <v>705.88</v>
      </c>
      <c r="E47" s="26" t="n">
        <f aca="false">$F$13*D47/$D$13</f>
        <v>30.9237025459809</v>
      </c>
      <c r="F47" s="26" t="n">
        <f aca="false">D47*(1+$B$7)+E47</f>
        <v>789.744702545981</v>
      </c>
      <c r="G47" s="54" t="n">
        <f aca="false">F47/$B$13</f>
        <v>394.87235127299</v>
      </c>
      <c r="H47" s="26" t="n">
        <f aca="false">H28</f>
        <v>4764.9</v>
      </c>
      <c r="I47" s="26" t="n">
        <f aca="false">$F$14*H47/$D$14</f>
        <v>252.379492953352</v>
      </c>
      <c r="J47" s="26" t="n">
        <f aca="false">H47*(1+$B$7)+I47</f>
        <v>5374.64699295335</v>
      </c>
      <c r="K47" s="54" t="n">
        <f aca="false">J47/$B$14</f>
        <v>179.154899765112</v>
      </c>
      <c r="L47" s="58" t="n">
        <f aca="false">K47/G47</f>
        <v>0.453703327638797</v>
      </c>
    </row>
    <row r="48" customFormat="false" ht="15" hidden="false" customHeight="true" outlineLevel="0" collapsed="false">
      <c r="A48" s="24" t="n">
        <f aca="false">A29</f>
        <v>11</v>
      </c>
      <c r="B48" s="24" t="str">
        <f aca="false">B29</f>
        <v>670835</v>
      </c>
      <c r="C48" s="24" t="str">
        <f aca="false">C29</f>
        <v>Rim Foot</v>
      </c>
      <c r="D48" s="26" t="n">
        <f aca="false">F29</f>
        <v>447.04</v>
      </c>
      <c r="E48" s="26" t="n">
        <f aca="false">$F$13*D48/$D$13</f>
        <v>19.5842522612276</v>
      </c>
      <c r="F48" s="26" t="n">
        <f aca="false">D48*(1+$B$7)+E48</f>
        <v>500.152252261228</v>
      </c>
      <c r="G48" s="54" t="n">
        <f aca="false">F48/$B$13</f>
        <v>250.076126130614</v>
      </c>
      <c r="H48" s="26" t="n">
        <f aca="false">H29</f>
        <v>3017.4</v>
      </c>
      <c r="I48" s="26" t="n">
        <f aca="false">$F$14*H48/$D$14</f>
        <v>159.820747977385</v>
      </c>
      <c r="J48" s="26" t="n">
        <f aca="false">H48*(1+$B$7)+I48</f>
        <v>3403.52574797739</v>
      </c>
      <c r="K48" s="54" t="n">
        <f aca="false">J48/$B$14</f>
        <v>113.450858265913</v>
      </c>
      <c r="L48" s="58" t="n">
        <f aca="false">K48/G48</f>
        <v>0.453665289931186</v>
      </c>
    </row>
    <row r="49" customFormat="false" ht="15" hidden="false" customHeight="true" outlineLevel="0" collapsed="false">
      <c r="A49" s="24" t="n">
        <f aca="false">A30</f>
        <v>12</v>
      </c>
      <c r="B49" s="24" t="str">
        <f aca="false">B30</f>
        <v>670841</v>
      </c>
      <c r="C49" s="24" t="str">
        <f aca="false">C30</f>
        <v>Heart Base Riser</v>
      </c>
      <c r="D49" s="26" t="n">
        <f aca="false">F30</f>
        <v>2352.96</v>
      </c>
      <c r="E49" s="26" t="n">
        <f aca="false">$F$13*D49/$D$13</f>
        <v>103.08017671926</v>
      </c>
      <c r="F49" s="26" t="n">
        <f aca="false">D49*(1+$B$7)+E49</f>
        <v>2632.51217671926</v>
      </c>
      <c r="G49" s="54" t="n">
        <f aca="false">F49/$B$13</f>
        <v>1316.25608835963</v>
      </c>
      <c r="H49" s="26" t="n">
        <f aca="false">H30</f>
        <v>15882.6</v>
      </c>
      <c r="I49" s="26" t="n">
        <f aca="false">$F$14*H49/$D$14</f>
        <v>841.243789960105</v>
      </c>
      <c r="J49" s="26" t="n">
        <f aca="false">H49*(1+$B$7)+I49</f>
        <v>17915.0387899601</v>
      </c>
      <c r="K49" s="54" t="n">
        <f aca="false">J49/$B$14</f>
        <v>597.167959665337</v>
      </c>
      <c r="L49" s="58" t="n">
        <f aca="false">K49/G49</f>
        <v>0.453686759701565</v>
      </c>
    </row>
    <row r="50" customFormat="false" ht="15" hidden="false" customHeight="true" outlineLevel="0" collapsed="false">
      <c r="A50" s="24" t="n">
        <f aca="false">A31</f>
        <v>13</v>
      </c>
      <c r="B50" s="24" t="str">
        <f aca="false">B31</f>
        <v>670846</v>
      </c>
      <c r="C50" s="24" t="str">
        <f aca="false">C31</f>
        <v>MVR Lung Plate</v>
      </c>
      <c r="D50" s="26" t="n">
        <f aca="false">F31</f>
        <v>3482.36</v>
      </c>
      <c r="E50" s="26" t="n">
        <f aca="false">$F$13*D50/$D$13</f>
        <v>152.557750323033</v>
      </c>
      <c r="F50" s="26" t="n">
        <f aca="false">D50*(1+$B$7)+E50</f>
        <v>3896.09475032303</v>
      </c>
      <c r="G50" s="54" t="n">
        <f aca="false">F50/$B$13</f>
        <v>1948.04737516152</v>
      </c>
      <c r="H50" s="26" t="n">
        <f aca="false">H31</f>
        <v>23505.6</v>
      </c>
      <c r="I50" s="26" t="n">
        <f aca="false">$F$14*H50/$D$14</f>
        <v>1245.00648692823</v>
      </c>
      <c r="J50" s="26" t="n">
        <f aca="false">H50*(1+$B$7)+I50</f>
        <v>26513.5264869282</v>
      </c>
      <c r="K50" s="54" t="n">
        <f aca="false">J50/$B$14</f>
        <v>883.784216230941</v>
      </c>
      <c r="L50" s="58" t="n">
        <f aca="false">K50/G50</f>
        <v>0.453676962634271</v>
      </c>
    </row>
    <row r="51" customFormat="false" ht="15" hidden="false" customHeight="true" outlineLevel="0" collapsed="false">
      <c r="A51" s="24" t="n">
        <f aca="false">A32</f>
        <v>14</v>
      </c>
      <c r="B51" s="24" t="str">
        <f aca="false">B32</f>
        <v>670839</v>
      </c>
      <c r="C51" s="24" t="str">
        <f aca="false">C32</f>
        <v>Handle 1</v>
      </c>
      <c r="D51" s="26" t="n">
        <f aca="false">F32</f>
        <v>882.36</v>
      </c>
      <c r="E51" s="26" t="n">
        <f aca="false">$F$13*D51/$D$13</f>
        <v>38.6550662697225</v>
      </c>
      <c r="F51" s="26" t="n">
        <f aca="false">D51*(1+$B$7)+E51</f>
        <v>987.192066269722</v>
      </c>
      <c r="G51" s="54" t="n">
        <f aca="false">F51/$B$13</f>
        <v>493.596033134861</v>
      </c>
      <c r="H51" s="26" t="n">
        <f aca="false">H32</f>
        <v>5955.6</v>
      </c>
      <c r="I51" s="26" t="n">
        <f aca="false">$F$14*H51/$D$14</f>
        <v>315.446558843414</v>
      </c>
      <c r="J51" s="26" t="n">
        <f aca="false">H51*(1+$B$7)+I51</f>
        <v>6717.71655884341</v>
      </c>
      <c r="K51" s="54" t="n">
        <f aca="false">J51/$B$14</f>
        <v>223.923885294781</v>
      </c>
      <c r="L51" s="58" t="n">
        <f aca="false">K51/G51</f>
        <v>0.453658194683262</v>
      </c>
    </row>
    <row r="52" customFormat="false" ht="15" hidden="false" customHeight="true" outlineLevel="0" collapsed="false">
      <c r="A52" s="24" t="n">
        <f aca="false">A33</f>
        <v>15</v>
      </c>
      <c r="B52" s="24" t="str">
        <f aca="false">B33</f>
        <v>670833</v>
      </c>
      <c r="C52" s="24" t="str">
        <f aca="false">C33</f>
        <v>Rim Left</v>
      </c>
      <c r="D52" s="26" t="n">
        <f aca="false">F33</f>
        <v>1864.72</v>
      </c>
      <c r="E52" s="26" t="n">
        <f aca="false">$F$13*D52/$D$13</f>
        <v>81.6910050030339</v>
      </c>
      <c r="F52" s="26" t="n">
        <f aca="false">D52*(1+$B$7)+E52</f>
        <v>2086.26500500303</v>
      </c>
      <c r="G52" s="54" t="n">
        <f aca="false">F52/$B$13</f>
        <v>1043.13250250152</v>
      </c>
      <c r="H52" s="26" t="n">
        <f aca="false">H33</f>
        <v>12586.8</v>
      </c>
      <c r="I52" s="26" t="n">
        <f aca="false">$F$14*H52/$D$14</f>
        <v>666.677202439767</v>
      </c>
      <c r="J52" s="26" t="n">
        <f aca="false">H52*(1+$B$7)+I52</f>
        <v>14197.4872024398</v>
      </c>
      <c r="K52" s="54" t="n">
        <f aca="false">J52/$B$14</f>
        <v>473.249573414659</v>
      </c>
      <c r="L52" s="58" t="n">
        <f aca="false">K52/G52</f>
        <v>0.453681169247212</v>
      </c>
    </row>
    <row r="53" customFormat="false" ht="15" hidden="false" customHeight="false" outlineLevel="0" collapsed="false">
      <c r="A53" s="33"/>
      <c r="B53" s="33"/>
      <c r="C53" s="33" t="s">
        <v>166</v>
      </c>
      <c r="D53" s="34" t="n">
        <f aca="false">SUM(D38:D52)</f>
        <v>23929.48</v>
      </c>
      <c r="E53" s="34" t="n">
        <f aca="false">SUM(E38:E52)</f>
        <v>1048.32</v>
      </c>
      <c r="F53" s="34" t="n">
        <f aca="false">SUM(F38:F52)</f>
        <v>26772.511</v>
      </c>
      <c r="G53" s="34" t="n">
        <f aca="false">F53/($B$13*15)</f>
        <v>892.417033333333</v>
      </c>
      <c r="H53" s="34" t="n">
        <f aca="false">SUM(H38:H52)</f>
        <v>161523.6</v>
      </c>
      <c r="I53" s="34" t="n">
        <f aca="false">SUM(I38:I52)</f>
        <v>8555.32</v>
      </c>
      <c r="J53" s="34" t="n">
        <f aca="false">SUM(J38:J52)</f>
        <v>182193.19</v>
      </c>
      <c r="K53" s="34" t="n">
        <f aca="false">J53/($B$14*15)</f>
        <v>404.873755555556</v>
      </c>
      <c r="L53" s="33"/>
    </row>
    <row r="54" customFormat="false" ht="15" hidden="false" customHeight="true" outlineLevel="0" collapsed="false">
      <c r="A54" s="43" t="s">
        <v>167</v>
      </c>
      <c r="B54" s="43"/>
      <c r="C54" s="43"/>
      <c r="D54" s="43"/>
      <c r="E54" s="43"/>
      <c r="F54" s="43"/>
      <c r="G54" s="43"/>
      <c r="H54" s="43"/>
      <c r="I54" s="43"/>
      <c r="J54" s="43"/>
      <c r="K54" s="43"/>
      <c r="L54" s="43"/>
    </row>
    <row r="56" customFormat="false" ht="15" hidden="false" customHeight="true" outlineLevel="0" collapsed="false">
      <c r="A56" s="44" t="s">
        <v>168</v>
      </c>
      <c r="B56" s="44"/>
      <c r="C56" s="44"/>
      <c r="D56" s="44"/>
      <c r="E56" s="44"/>
      <c r="F56" s="44"/>
      <c r="G56" s="44"/>
      <c r="H56" s="44"/>
      <c r="I56" s="44"/>
      <c r="J56" s="44"/>
      <c r="K56" s="44"/>
      <c r="L56" s="44"/>
    </row>
    <row r="57" customFormat="false" ht="15" hidden="false" customHeight="true" outlineLevel="0" collapsed="false">
      <c r="A57" s="24" t="s">
        <v>169</v>
      </c>
      <c r="B57" s="24"/>
      <c r="C57" s="24"/>
      <c r="D57" s="59" t="n">
        <f aca="false">MIN(I19:I33)</f>
        <v>0.449972679254447</v>
      </c>
      <c r="E57" s="46" t="s">
        <v>170</v>
      </c>
      <c r="F57" s="46"/>
      <c r="G57" s="46"/>
      <c r="H57" s="46"/>
      <c r="I57" s="46"/>
      <c r="J57" s="46"/>
      <c r="K57" s="46"/>
      <c r="L57" s="46"/>
    </row>
    <row r="58" customFormat="false" ht="15" hidden="false" customHeight="true" outlineLevel="0" collapsed="false">
      <c r="A58" s="24" t="s">
        <v>171</v>
      </c>
      <c r="B58" s="24"/>
      <c r="C58" s="24"/>
      <c r="D58" s="59" t="n">
        <f aca="false">MAX(I19:I33)</f>
        <v>0.45003035822708</v>
      </c>
      <c r="E58" s="46"/>
      <c r="F58" s="46"/>
      <c r="G58" s="46"/>
      <c r="H58" s="46"/>
      <c r="I58" s="46"/>
      <c r="J58" s="46"/>
      <c r="K58" s="46"/>
      <c r="L58" s="46"/>
    </row>
    <row r="59" customFormat="false" ht="15" hidden="false" customHeight="true" outlineLevel="0" collapsed="false">
      <c r="A59" s="24" t="s">
        <v>172</v>
      </c>
      <c r="B59" s="24"/>
      <c r="C59" s="24"/>
      <c r="D59" s="59" t="n">
        <f aca="false">D58-D57</f>
        <v>5.76789726324245E-005</v>
      </c>
      <c r="E59" s="46" t="s">
        <v>173</v>
      </c>
      <c r="F59" s="46"/>
      <c r="G59" s="46"/>
      <c r="H59" s="46"/>
      <c r="I59" s="46"/>
      <c r="J59" s="46"/>
      <c r="K59" s="46"/>
      <c r="L59" s="46"/>
    </row>
    <row r="60" customFormat="false" ht="15" hidden="false" customHeight="true" outlineLevel="0" collapsed="false">
      <c r="A60" s="24" t="s">
        <v>174</v>
      </c>
      <c r="B60" s="24"/>
      <c r="C60" s="24"/>
      <c r="D60" s="60" t="n">
        <f aca="false">1-AVERAGE(I19:I33)</f>
        <v>0.550001222672733</v>
      </c>
      <c r="E60" s="46" t="s">
        <v>175</v>
      </c>
      <c r="F60" s="46"/>
      <c r="G60" s="46"/>
      <c r="H60" s="46"/>
      <c r="I60" s="46"/>
      <c r="J60" s="46"/>
      <c r="K60" s="46"/>
      <c r="L60" s="46"/>
    </row>
    <row r="61" customFormat="false" ht="15" hidden="false" customHeight="true" outlineLevel="0" collapsed="false">
      <c r="A61" s="24" t="s">
        <v>176</v>
      </c>
      <c r="B61" s="24"/>
      <c r="C61" s="24"/>
      <c r="D61" s="61" t="n">
        <f aca="false">SUMPRODUCT(--(ABS(J19:J33-ROUND(J19:J33,0))&lt;0.02))</f>
        <v>13</v>
      </c>
      <c r="E61" s="46" t="s">
        <v>177</v>
      </c>
      <c r="F61" s="46"/>
      <c r="G61" s="46"/>
      <c r="H61" s="46"/>
      <c r="I61" s="46"/>
      <c r="J61" s="46"/>
      <c r="K61" s="46"/>
      <c r="L61" s="46"/>
    </row>
    <row r="62" customFormat="false" ht="15" hidden="false" customHeight="true" outlineLevel="0" collapsed="false">
      <c r="A62" s="24" t="s">
        <v>178</v>
      </c>
      <c r="B62" s="24"/>
      <c r="C62" s="24"/>
      <c r="D62" s="60" t="n">
        <f aca="false">1-$B$8</f>
        <v>0.15</v>
      </c>
      <c r="E62" s="46" t="s">
        <v>179</v>
      </c>
      <c r="F62" s="46"/>
      <c r="G62" s="46"/>
      <c r="H62" s="46"/>
      <c r="I62" s="46"/>
      <c r="J62" s="46"/>
      <c r="K62" s="46"/>
      <c r="L62" s="46"/>
    </row>
    <row r="63" customFormat="false" ht="15" hidden="false" customHeight="true" outlineLevel="0" collapsed="false">
      <c r="A63" s="24" t="s">
        <v>180</v>
      </c>
      <c r="B63" s="24"/>
      <c r="C63" s="24"/>
      <c r="D63" s="54" t="n">
        <f aca="false">G53</f>
        <v>892.417033333333</v>
      </c>
      <c r="E63" s="46" t="s">
        <v>181</v>
      </c>
      <c r="F63" s="46"/>
      <c r="G63" s="46"/>
      <c r="H63" s="46"/>
      <c r="I63" s="46"/>
      <c r="J63" s="46"/>
      <c r="K63" s="46"/>
      <c r="L63" s="46"/>
    </row>
    <row r="64" customFormat="false" ht="15" hidden="false" customHeight="true" outlineLevel="0" collapsed="false">
      <c r="A64" s="24" t="s">
        <v>182</v>
      </c>
      <c r="B64" s="24"/>
      <c r="C64" s="24"/>
      <c r="D64" s="54" t="n">
        <f aca="false">K53</f>
        <v>404.873755555556</v>
      </c>
      <c r="E64" s="46" t="s">
        <v>183</v>
      </c>
      <c r="F64" s="46"/>
      <c r="G64" s="46"/>
      <c r="H64" s="46"/>
      <c r="I64" s="46"/>
      <c r="J64" s="46"/>
      <c r="K64" s="46"/>
      <c r="L64" s="46"/>
    </row>
    <row r="65" customFormat="false" ht="15" hidden="false" customHeight="true" outlineLevel="0" collapsed="false">
      <c r="A65" s="24" t="s">
        <v>184</v>
      </c>
      <c r="B65" s="24"/>
      <c r="C65" s="24"/>
      <c r="D65" s="60" t="n">
        <f aca="false">F13/D13</f>
        <v>0.0438087246358885</v>
      </c>
      <c r="E65" s="46"/>
      <c r="F65" s="46"/>
      <c r="G65" s="46"/>
      <c r="H65" s="46"/>
      <c r="I65" s="46"/>
      <c r="J65" s="46"/>
      <c r="K65" s="46"/>
      <c r="L65" s="46"/>
    </row>
    <row r="66" customFormat="false" ht="15" hidden="false" customHeight="true" outlineLevel="0" collapsed="false">
      <c r="A66" s="24" t="s">
        <v>185</v>
      </c>
      <c r="B66" s="24"/>
      <c r="C66" s="24"/>
      <c r="D66" s="60" t="n">
        <f aca="false">F14/D14</f>
        <v>0.0529663776686503</v>
      </c>
      <c r="E66" s="46" t="s">
        <v>186</v>
      </c>
      <c r="F66" s="46"/>
      <c r="G66" s="46"/>
      <c r="H66" s="46"/>
      <c r="I66" s="46"/>
      <c r="J66" s="46"/>
      <c r="K66" s="46"/>
      <c r="L66" s="46"/>
    </row>
    <row r="68" customFormat="false" ht="24" hidden="false" customHeight="true" outlineLevel="0" collapsed="false">
      <c r="A68" s="3" t="s">
        <v>187</v>
      </c>
      <c r="B68" s="3"/>
      <c r="C68" s="3"/>
      <c r="D68" s="3"/>
      <c r="E68" s="3"/>
      <c r="F68" s="3"/>
      <c r="G68" s="3"/>
      <c r="H68" s="3"/>
      <c r="I68" s="3"/>
      <c r="J68" s="3"/>
      <c r="K68" s="3"/>
      <c r="L68" s="3"/>
    </row>
    <row r="69" customFormat="false" ht="24" hidden="false" customHeight="true" outlineLevel="0" collapsed="false">
      <c r="A69" s="3" t="s">
        <v>188</v>
      </c>
      <c r="B69" s="3"/>
      <c r="C69" s="3"/>
      <c r="D69" s="3"/>
      <c r="E69" s="3"/>
      <c r="F69" s="3"/>
      <c r="G69" s="3"/>
      <c r="H69" s="3"/>
      <c r="I69" s="3"/>
      <c r="J69" s="3"/>
      <c r="K69" s="3"/>
      <c r="L69" s="3"/>
    </row>
    <row r="70" customFormat="false" ht="24" hidden="false" customHeight="true" outlineLevel="0" collapsed="false">
      <c r="A70" s="3" t="s">
        <v>189</v>
      </c>
      <c r="B70" s="3"/>
      <c r="C70" s="3"/>
      <c r="D70" s="3"/>
      <c r="E70" s="3"/>
      <c r="F70" s="3"/>
      <c r="G70" s="3"/>
      <c r="H70" s="3"/>
      <c r="I70" s="3"/>
      <c r="J70" s="3"/>
      <c r="K70" s="3"/>
      <c r="L70" s="3"/>
    </row>
    <row r="71" customFormat="false" ht="24" hidden="false" customHeight="true" outlineLevel="0" collapsed="false">
      <c r="A71" s="3" t="s">
        <v>190</v>
      </c>
      <c r="B71" s="3"/>
      <c r="C71" s="3"/>
      <c r="D71" s="3"/>
      <c r="E71" s="3"/>
      <c r="F71" s="3"/>
      <c r="G71" s="3"/>
      <c r="H71" s="3"/>
      <c r="I71" s="3"/>
      <c r="J71" s="3"/>
      <c r="K71" s="3"/>
      <c r="L71" s="3"/>
    </row>
    <row r="72" customFormat="false" ht="24" hidden="false" customHeight="true" outlineLevel="0" collapsed="false">
      <c r="A72" s="3" t="s">
        <v>191</v>
      </c>
      <c r="B72" s="3"/>
      <c r="C72" s="3"/>
      <c r="D72" s="3"/>
      <c r="E72" s="3"/>
      <c r="F72" s="3"/>
      <c r="G72" s="3"/>
      <c r="H72" s="3"/>
      <c r="I72" s="3"/>
      <c r="J72" s="3"/>
      <c r="K72" s="3"/>
      <c r="L72" s="3"/>
    </row>
    <row r="73" customFormat="false" ht="24" hidden="false" customHeight="true" outlineLevel="0" collapsed="false">
      <c r="A73" s="3" t="s">
        <v>192</v>
      </c>
      <c r="B73" s="3"/>
      <c r="C73" s="3"/>
      <c r="D73" s="3"/>
      <c r="E73" s="3"/>
      <c r="F73" s="3"/>
      <c r="G73" s="3"/>
      <c r="H73" s="3"/>
      <c r="I73" s="3"/>
      <c r="J73" s="3"/>
      <c r="K73" s="3"/>
      <c r="L73" s="3"/>
    </row>
  </sheetData>
  <mergeCells count="40">
    <mergeCell ref="A1:L1"/>
    <mergeCell ref="A2:L2"/>
    <mergeCell ref="A4:L4"/>
    <mergeCell ref="B6:L6"/>
    <mergeCell ref="B9:L9"/>
    <mergeCell ref="A11:L11"/>
    <mergeCell ref="A16:L16"/>
    <mergeCell ref="A17:D17"/>
    <mergeCell ref="E17:F17"/>
    <mergeCell ref="G17:H17"/>
    <mergeCell ref="J17:K17"/>
    <mergeCell ref="A36:L36"/>
    <mergeCell ref="A54:L54"/>
    <mergeCell ref="A56:L56"/>
    <mergeCell ref="A57:C57"/>
    <mergeCell ref="E57:L57"/>
    <mergeCell ref="A58:C58"/>
    <mergeCell ref="E58:L58"/>
    <mergeCell ref="A59:C59"/>
    <mergeCell ref="E59:L59"/>
    <mergeCell ref="A60:C60"/>
    <mergeCell ref="E60:L60"/>
    <mergeCell ref="A61:C61"/>
    <mergeCell ref="E61:L61"/>
    <mergeCell ref="A62:C62"/>
    <mergeCell ref="E62:L62"/>
    <mergeCell ref="A63:C63"/>
    <mergeCell ref="E63:L63"/>
    <mergeCell ref="A64:C64"/>
    <mergeCell ref="E64:L64"/>
    <mergeCell ref="A65:C65"/>
    <mergeCell ref="E65:L65"/>
    <mergeCell ref="A66:C66"/>
    <mergeCell ref="E66:L66"/>
    <mergeCell ref="A68:L68"/>
    <mergeCell ref="A69:L69"/>
    <mergeCell ref="A70:L70"/>
    <mergeCell ref="A71:L71"/>
    <mergeCell ref="A72:L72"/>
    <mergeCell ref="A73:L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2"/>
    <col collapsed="false" customWidth="true" hidden="false" outlineLevel="0" max="2" min="2" style="0" width="18"/>
    <col collapsed="false" customWidth="true" hidden="false" outlineLevel="0" max="4" min="3" style="0" width="16"/>
  </cols>
  <sheetData>
    <row r="1" customFormat="false" ht="17.25" hidden="false" customHeight="true" outlineLevel="0" collapsed="false">
      <c r="A1" s="18" t="s">
        <v>193</v>
      </c>
      <c r="B1" s="18"/>
      <c r="C1" s="18"/>
      <c r="D1" s="18"/>
    </row>
    <row r="3" customFormat="false" ht="15" hidden="false" customHeight="true" outlineLevel="0" collapsed="false">
      <c r="A3" s="44" t="s">
        <v>194</v>
      </c>
      <c r="B3" s="44"/>
      <c r="C3" s="44"/>
      <c r="D3" s="44"/>
    </row>
    <row r="4" customFormat="false" ht="15" hidden="false" customHeight="true" outlineLevel="0" collapsed="false">
      <c r="A4" s="24" t="s">
        <v>6</v>
      </c>
      <c r="B4" s="26" t="n">
        <f aca="false">'Five-Quote Comparison'!J21</f>
        <v>27518.22</v>
      </c>
    </row>
    <row r="5" customFormat="false" ht="15" hidden="false" customHeight="true" outlineLevel="0" collapsed="false">
      <c r="A5" s="24" t="s">
        <v>195</v>
      </c>
      <c r="B5" s="26" t="n">
        <f aca="false">'Five-Quote Comparison'!K21</f>
        <v>11101.2</v>
      </c>
    </row>
    <row r="6" customFormat="false" ht="15" hidden="false" customHeight="true" outlineLevel="0" collapsed="false">
      <c r="A6" s="24" t="s">
        <v>196</v>
      </c>
      <c r="B6" s="26" t="n">
        <f aca="false">'Five-Quote Comparison'!L21</f>
        <v>11235.8</v>
      </c>
    </row>
    <row r="7" customFormat="false" ht="15" hidden="false" customHeight="true" outlineLevel="0" collapsed="false">
      <c r="A7" s="62" t="s">
        <v>197</v>
      </c>
      <c r="B7" s="27" t="n">
        <f aca="false">'Five-Quote Comparison'!M21</f>
        <v>10394</v>
      </c>
    </row>
    <row r="8" customFormat="false" ht="15" hidden="false" customHeight="true" outlineLevel="0" collapsed="false">
      <c r="A8" s="63" t="s">
        <v>198</v>
      </c>
      <c r="B8" s="64" t="n">
        <f aca="false">'Five-Quote Comparison'!N21</f>
        <v>27400.08</v>
      </c>
    </row>
    <row r="10" customFormat="false" ht="15" hidden="false" customHeight="true" outlineLevel="0" collapsed="false">
      <c r="A10" s="44" t="s">
        <v>199</v>
      </c>
      <c r="B10" s="44"/>
      <c r="C10" s="44"/>
      <c r="D10" s="44"/>
    </row>
    <row r="11" customFormat="false" ht="15" hidden="false" customHeight="true" outlineLevel="0" collapsed="false">
      <c r="A11" s="24" t="s">
        <v>200</v>
      </c>
      <c r="B11" s="65" t="n">
        <f aca="false">'Five-Quote Comparison'!M21-'Five-Quote Comparison'!J21</f>
        <v>-17124.22</v>
      </c>
    </row>
    <row r="12" customFormat="false" ht="15" hidden="false" customHeight="true" outlineLevel="0" collapsed="false">
      <c r="A12" s="24" t="s">
        <v>201</v>
      </c>
      <c r="B12" s="29" t="n">
        <f aca="false">('Five-Quote Comparison'!M21-'Five-Quote Comparison'!J21)/'Five-Quote Comparison'!J21</f>
        <v>-0.622286615922105</v>
      </c>
    </row>
    <row r="13" customFormat="false" ht="15" hidden="false" customHeight="true" outlineLevel="0" collapsed="false">
      <c r="A13" s="24" t="s">
        <v>202</v>
      </c>
      <c r="B13" s="65" t="n">
        <f aca="false">'Five-Quote Comparison'!M21-'Five-Quote Comparison'!K21</f>
        <v>-707.199999999999</v>
      </c>
    </row>
    <row r="14" customFormat="false" ht="15" hidden="false" customHeight="true" outlineLevel="0" collapsed="false">
      <c r="A14" s="24" t="s">
        <v>203</v>
      </c>
      <c r="B14" s="29" t="n">
        <f aca="false">'Five-Quote Comparison'!Q21</f>
        <v>-0.0637048247036356</v>
      </c>
    </row>
    <row r="15" customFormat="false" ht="15" hidden="false" customHeight="true" outlineLevel="0" collapsed="false">
      <c r="A15" s="24" t="s">
        <v>204</v>
      </c>
      <c r="B15" s="65" t="n">
        <f aca="false">'Five-Quote Comparison'!M21-'Five-Quote Comparison'!L21</f>
        <v>-841.800000000001</v>
      </c>
    </row>
    <row r="16" customFormat="false" ht="15" hidden="false" customHeight="true" outlineLevel="0" collapsed="false">
      <c r="A16" s="24" t="s">
        <v>205</v>
      </c>
      <c r="B16" s="29" t="n">
        <f aca="false">'Five-Quote Comparison'!P21</f>
        <v>-0.0749212339130281</v>
      </c>
    </row>
    <row r="18" customFormat="false" ht="15" hidden="false" customHeight="true" outlineLevel="0" collapsed="false">
      <c r="A18" s="44" t="s">
        <v>206</v>
      </c>
      <c r="B18" s="44"/>
      <c r="C18" s="44"/>
      <c r="D18" s="44"/>
    </row>
    <row r="19" customFormat="false" ht="15" hidden="false" customHeight="true" outlineLevel="0" collapsed="false">
      <c r="A19" s="56" t="s">
        <v>207</v>
      </c>
      <c r="B19" s="66" t="n">
        <f aca="false">'Five-Quote Comparison'!N21-'Five-Quote Comparison'!M21</f>
        <v>17006.08</v>
      </c>
    </row>
    <row r="20" customFormat="false" ht="15" hidden="false" customHeight="true" outlineLevel="0" collapsed="false">
      <c r="A20" s="56" t="s">
        <v>208</v>
      </c>
      <c r="B20" s="31" t="n">
        <f aca="false">'Five-Quote Comparison'!R21</f>
        <v>1.63614392918992</v>
      </c>
    </row>
    <row r="21" customFormat="false" ht="15" hidden="false" customHeight="true" outlineLevel="0" collapsed="false">
      <c r="A21" s="56" t="s">
        <v>209</v>
      </c>
      <c r="B21" s="66" t="n">
        <f aca="false">'Five-Quote Comparison'!N21-'Five-Quote Comparison'!J21</f>
        <v>-118.139999999996</v>
      </c>
    </row>
    <row r="22" customFormat="false" ht="15" hidden="false" customHeight="true" outlineLevel="0" collapsed="false">
      <c r="A22" s="56" t="s">
        <v>210</v>
      </c>
      <c r="B22" s="31" t="n">
        <f aca="false">('Five-Quote Comparison'!N21-'Five-Quote Comparison'!J21)/'Five-Quote Comparison'!J21</f>
        <v>-0.00429315558927851</v>
      </c>
    </row>
    <row r="23" customFormat="false" ht="15" hidden="false" customHeight="true" outlineLevel="0" collapsed="false">
      <c r="A23" s="56" t="s">
        <v>211</v>
      </c>
      <c r="B23" s="28" t="n">
        <f aca="false">'Quote 5 Detail'!G13</f>
        <v>26772.511</v>
      </c>
    </row>
    <row r="24" customFormat="false" ht="15" hidden="false" customHeight="true" outlineLevel="0" collapsed="false">
      <c r="A24" s="56" t="s">
        <v>212</v>
      </c>
      <c r="B24" s="28" t="n">
        <f aca="false">'Quote 5 Detail'!G14</f>
        <v>182193.19</v>
      </c>
    </row>
    <row r="25" customFormat="false" ht="15" hidden="false" customHeight="true" outlineLevel="0" collapsed="false">
      <c r="A25" s="56" t="s">
        <v>213</v>
      </c>
      <c r="B25" s="28" t="n">
        <f aca="false">'Quote 5 Detail'!G53</f>
        <v>892.417033333333</v>
      </c>
    </row>
    <row r="26" customFormat="false" ht="15" hidden="false" customHeight="true" outlineLevel="0" collapsed="false">
      <c r="A26" s="56" t="s">
        <v>214</v>
      </c>
      <c r="B26" s="28" t="n">
        <f aca="false">'Quote 5 Detail'!K53</f>
        <v>404.873755555556</v>
      </c>
    </row>
    <row r="28" customFormat="false" ht="15" hidden="false" customHeight="true" outlineLevel="0" collapsed="false">
      <c r="A28" s="44" t="s">
        <v>215</v>
      </c>
      <c r="B28" s="44"/>
      <c r="C28" s="44"/>
      <c r="D28" s="44"/>
    </row>
    <row r="29" customFormat="false" ht="15" hidden="false" customHeight="true" outlineLevel="0" collapsed="false">
      <c r="A29" s="67" t="s">
        <v>216</v>
      </c>
      <c r="B29" s="32" t="n">
        <f aca="false">'Five-Quote Comparison'!T21</f>
        <v>8915.44</v>
      </c>
    </row>
    <row r="30" customFormat="false" ht="15" hidden="false" customHeight="true" outlineLevel="0" collapsed="false">
      <c r="A30" s="67" t="s">
        <v>217</v>
      </c>
      <c r="B30" s="68" t="n">
        <f aca="false">'Five-Quote Comparison'!M21-'Five-Quote Comparison'!T21</f>
        <v>1478.56</v>
      </c>
    </row>
    <row r="31" customFormat="false" ht="15" hidden="false" customHeight="true" outlineLevel="0" collapsed="false">
      <c r="A31" s="67" t="s">
        <v>218</v>
      </c>
      <c r="B31" s="69" t="n">
        <f aca="false">('Five-Quote Comparison'!M21-'Five-Quote Comparison'!T21)/'Five-Quote Comparison'!T21</f>
        <v>0.165842628069955</v>
      </c>
    </row>
    <row r="32" customFormat="false" ht="15" hidden="false" customHeight="true" outlineLevel="0" collapsed="false">
      <c r="A32" s="67" t="s">
        <v>219</v>
      </c>
      <c r="B32" s="68" t="n">
        <f aca="false">'Five-Quote Comparison'!N21-'Five-Quote Comparison'!T21</f>
        <v>18484.64</v>
      </c>
    </row>
    <row r="33" customFormat="false" ht="15" hidden="false" customHeight="true" outlineLevel="0" collapsed="false">
      <c r="A33" s="67" t="s">
        <v>220</v>
      </c>
      <c r="B33" s="69" t="n">
        <f aca="false">('Five-Quote Comparison'!N21-'Five-Quote Comparison'!T21)/'Five-Quote Comparison'!T21</f>
        <v>2.07332896637743</v>
      </c>
    </row>
    <row r="35" customFormat="false" ht="15" hidden="false" customHeight="true" outlineLevel="0" collapsed="false">
      <c r="A35" s="44" t="s">
        <v>221</v>
      </c>
      <c r="B35" s="44"/>
      <c r="C35" s="44"/>
      <c r="D35" s="44"/>
    </row>
    <row r="36" customFormat="false" ht="15" hidden="false" customHeight="true" outlineLevel="0" collapsed="false">
      <c r="A36" s="19" t="s">
        <v>222</v>
      </c>
      <c r="B36" s="19" t="s">
        <v>223</v>
      </c>
      <c r="C36" s="19" t="s">
        <v>224</v>
      </c>
      <c r="D36" s="19" t="s">
        <v>225</v>
      </c>
    </row>
    <row r="37" customFormat="false" ht="15" hidden="false" customHeight="true" outlineLevel="0" collapsed="false">
      <c r="A37" s="70" t="s">
        <v>226</v>
      </c>
      <c r="B37" s="25" t="n">
        <f aca="false">COUNTIF('Five-Quote Comparison'!Q6:Q20,"=0")</f>
        <v>12</v>
      </c>
      <c r="C37" s="26" t="n">
        <f aca="false">SUMIF('Five-Quote Comparison'!Q6:Q20,"=0",'Five-Quote Comparison'!K6:K20)</f>
        <v>8137.4</v>
      </c>
      <c r="D37" s="26" t="n">
        <f aca="false">SUMIF('Five-Quote Comparison'!Q6:Q20,"=0",'Five-Quote Comparison'!M6:M20)</f>
        <v>8137.4</v>
      </c>
    </row>
    <row r="38" customFormat="false" ht="15" hidden="false" customHeight="true" outlineLevel="0" collapsed="false">
      <c r="A38" s="71" t="s">
        <v>227</v>
      </c>
      <c r="B38" s="25" t="n">
        <f aca="false">COUNTIF('Five-Quote Comparison'!Q6:Q20,"&lt;0")</f>
        <v>3</v>
      </c>
      <c r="C38" s="26" t="n">
        <f aca="false">SUMIF('Five-Quote Comparison'!Q6:Q20,"&lt;0",'Five-Quote Comparison'!K6:K20)</f>
        <v>2963.8</v>
      </c>
      <c r="D38" s="26" t="n">
        <f aca="false">SUMIF('Five-Quote Comparison'!Q6:Q20,"&lt;0",'Five-Quote Comparison'!M6:M20)</f>
        <v>2256.6</v>
      </c>
    </row>
    <row r="40" customFormat="false" ht="15" hidden="false" customHeight="true" outlineLevel="0" collapsed="false">
      <c r="A40" s="44" t="s">
        <v>228</v>
      </c>
      <c r="B40" s="44"/>
      <c r="C40" s="44"/>
      <c r="D40" s="44"/>
    </row>
    <row r="41" customFormat="false" ht="15" hidden="false" customHeight="true" outlineLevel="0" collapsed="false">
      <c r="A41" s="56" t="s">
        <v>229</v>
      </c>
      <c r="B41" s="31" t="n">
        <f aca="false">'Quote 5 Detail'!D60</f>
        <v>0.550001222672733</v>
      </c>
    </row>
    <row r="42" customFormat="false" ht="15" hidden="false" customHeight="true" outlineLevel="0" collapsed="false">
      <c r="A42" s="56" t="s">
        <v>230</v>
      </c>
      <c r="B42" s="72" t="n">
        <f aca="false">'Quote 5 Detail'!D59</f>
        <v>5.76789726324245E-005</v>
      </c>
    </row>
    <row r="43" customFormat="false" ht="15" hidden="false" customHeight="true" outlineLevel="0" collapsed="false">
      <c r="A43" s="56" t="s">
        <v>231</v>
      </c>
      <c r="B43" s="73" t="n">
        <f aca="false">'Quote 5 Detail'!D61</f>
        <v>13</v>
      </c>
    </row>
    <row r="44" customFormat="false" ht="15" hidden="false" customHeight="true" outlineLevel="0" collapsed="false">
      <c r="A44" s="56" t="s">
        <v>178</v>
      </c>
      <c r="B44" s="31" t="n">
        <f aca="false">'Quote 5 Detail'!D62</f>
        <v>0.15</v>
      </c>
    </row>
    <row r="45" customFormat="false" ht="15" hidden="false" customHeight="true" outlineLevel="0" collapsed="false">
      <c r="A45" s="56" t="s">
        <v>232</v>
      </c>
      <c r="B45" s="31" t="n">
        <f aca="false">'Quote 5 Detail'!D65</f>
        <v>0.0438087246358885</v>
      </c>
    </row>
    <row r="46" customFormat="false" ht="15" hidden="false" customHeight="true" outlineLevel="0" collapsed="false">
      <c r="A46" s="56" t="s">
        <v>233</v>
      </c>
      <c r="B46" s="31" t="n">
        <f aca="false">'Quote 5 Detail'!D66</f>
        <v>0.0529663776686503</v>
      </c>
    </row>
    <row r="48" customFormat="false" ht="15" hidden="false" customHeight="true" outlineLevel="0" collapsed="false">
      <c r="A48" s="44" t="s">
        <v>234</v>
      </c>
      <c r="B48" s="44"/>
      <c r="C48" s="44"/>
      <c r="D48" s="44"/>
    </row>
    <row r="49" customFormat="false" ht="54.75" hidden="false" customHeight="true" outlineLevel="0" collapsed="false">
      <c r="A49" s="74" t="s">
        <v>235</v>
      </c>
      <c r="B49" s="74"/>
      <c r="C49" s="74"/>
      <c r="D49" s="74"/>
    </row>
    <row r="50" customFormat="false" ht="54.75" hidden="false" customHeight="true" outlineLevel="0" collapsed="false">
      <c r="A50" s="74" t="s">
        <v>236</v>
      </c>
      <c r="B50" s="74"/>
      <c r="C50" s="74"/>
      <c r="D50" s="74"/>
    </row>
    <row r="51" customFormat="false" ht="54.75" hidden="false" customHeight="true" outlineLevel="0" collapsed="false">
      <c r="A51" s="74" t="s">
        <v>237</v>
      </c>
      <c r="B51" s="74"/>
      <c r="C51" s="74"/>
      <c r="D51" s="74"/>
    </row>
    <row r="52" customFormat="false" ht="54.75" hidden="false" customHeight="true" outlineLevel="0" collapsed="false">
      <c r="A52" s="74" t="s">
        <v>238</v>
      </c>
      <c r="B52" s="74"/>
      <c r="C52" s="74"/>
      <c r="D52" s="74"/>
    </row>
    <row r="53" customFormat="false" ht="54.75" hidden="false" customHeight="true" outlineLevel="0" collapsed="false">
      <c r="A53" s="74" t="s">
        <v>239</v>
      </c>
      <c r="B53" s="74"/>
      <c r="C53" s="74"/>
      <c r="D53" s="74"/>
    </row>
    <row r="54" customFormat="false" ht="54.75" hidden="false" customHeight="true" outlineLevel="0" collapsed="false">
      <c r="A54" s="74" t="s">
        <v>240</v>
      </c>
      <c r="B54" s="74"/>
      <c r="C54" s="74"/>
      <c r="D54" s="74"/>
    </row>
    <row r="55" customFormat="false" ht="54.75" hidden="false" customHeight="true" outlineLevel="0" collapsed="false">
      <c r="A55" s="74" t="s">
        <v>241</v>
      </c>
      <c r="B55" s="74"/>
      <c r="C55" s="74"/>
      <c r="D55" s="74"/>
    </row>
    <row r="56" customFormat="false" ht="54.75" hidden="false" customHeight="true" outlineLevel="0" collapsed="false">
      <c r="A56" s="74" t="s">
        <v>242</v>
      </c>
      <c r="B56" s="74"/>
      <c r="C56" s="74"/>
      <c r="D56" s="74"/>
    </row>
    <row r="57" customFormat="false" ht="54.75" hidden="false" customHeight="true" outlineLevel="0" collapsed="false">
      <c r="A57" s="74" t="s">
        <v>243</v>
      </c>
      <c r="B57" s="74"/>
      <c r="C57" s="74"/>
      <c r="D57" s="74"/>
    </row>
    <row r="58" customFormat="false" ht="54.75" hidden="false" customHeight="true" outlineLevel="0" collapsed="false">
      <c r="A58" s="74" t="s">
        <v>244</v>
      </c>
      <c r="B58" s="74"/>
      <c r="C58" s="74"/>
      <c r="D58" s="74"/>
    </row>
    <row r="59" customFormat="false" ht="54.75" hidden="false" customHeight="true" outlineLevel="0" collapsed="false">
      <c r="A59" s="74" t="s">
        <v>245</v>
      </c>
      <c r="B59" s="74"/>
      <c r="C59" s="74"/>
      <c r="D59" s="74"/>
    </row>
    <row r="60" customFormat="false" ht="54.75" hidden="false" customHeight="true" outlineLevel="0" collapsed="false">
      <c r="A60" s="74" t="s">
        <v>246</v>
      </c>
      <c r="B60" s="74"/>
      <c r="C60" s="74"/>
      <c r="D60" s="74"/>
    </row>
  </sheetData>
  <mergeCells count="20">
    <mergeCell ref="A1:D1"/>
    <mergeCell ref="A3:D3"/>
    <mergeCell ref="A10:D10"/>
    <mergeCell ref="A18:D18"/>
    <mergeCell ref="A28:D28"/>
    <mergeCell ref="A35:D35"/>
    <mergeCell ref="A40:D40"/>
    <mergeCell ref="A48:D48"/>
    <mergeCell ref="A49:D49"/>
    <mergeCell ref="A50:D50"/>
    <mergeCell ref="A51:D51"/>
    <mergeCell ref="A52:D52"/>
    <mergeCell ref="A53:D53"/>
    <mergeCell ref="A54:D54"/>
    <mergeCell ref="A55:D55"/>
    <mergeCell ref="A56:D56"/>
    <mergeCell ref="A57:D57"/>
    <mergeCell ref="A58:D58"/>
    <mergeCell ref="A59:D59"/>
    <mergeCell ref="A60: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2026-05-13T14:55:56Z</dcterms:created>
  <dc:creator>openpyxl</dc:creator>
  <dc:description/>
  <dc:language>en-US</dc:language>
  <cp:lastModifiedBy/>
  <dcterms:modified xsi:type="dcterms:W3CDTF">2026-09-03T13:57:53Z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