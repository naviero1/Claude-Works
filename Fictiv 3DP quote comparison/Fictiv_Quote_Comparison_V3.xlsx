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urces" sheetId="1" state="visible" r:id="rId3"/>
    <sheet name="Four-Quote Comparison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<sst xmlns="http://schemas.openxmlformats.org/spreadsheetml/2006/main" count="152" uniqueCount="119">
  <si>
    <t xml:space="preserve">Quote Sources — Where the numbers come from</t>
  </si>
  <si>
    <t xml:space="preserve">Four Fictiv quotes are compared head-to-head. All extended subtotals are normalized to Quote 2 quantities so all four quotes are directly comparable. Xometry pricing appears at the right-most columns as a reference benchmark only.</t>
  </si>
  <si>
    <t xml:space="preserve">Quote</t>
  </si>
  <si>
    <t xml:space="preserve">Source / File</t>
  </si>
  <si>
    <t xml:space="preserve">Date</t>
  </si>
  <si>
    <t xml:space="preserve">Pricing Basis</t>
  </si>
  <si>
    <t xml:space="preserve">Quote 1 — Fictiv (AI, original)</t>
  </si>
  <si>
    <t xml:space="preserve">Image provided by user: Fictiv-vs-Xometry comparison table</t>
  </si>
  <si>
    <t xml:space="preserve">Pre-Apr 2026</t>
  </si>
  <si>
    <t xml:space="preserve">Fictiv platform automated (AI-based) per-part quote. Per-piece pricing. The original AI quote that triggered Xometry benchmarking.</t>
  </si>
  <si>
    <t xml:space="preserve">Quote 2 — Fictiv (AI re-quote)</t>
  </si>
  <si>
    <t xml:space="preserve">PDF: felts_032526_US_A5.pdf</t>
  </si>
  <si>
    <t xml:space="preserve">April 23, 2026</t>
  </si>
  <si>
    <t xml:space="preserve">Fictiv platform automated per-part quote (re-issue). Three production-day tiers; comparison uses the 20-day tier.</t>
  </si>
  <si>
    <t xml:space="preserve">Quote 3 — Fictiv (MP holistic, had error)</t>
  </si>
  <si>
    <t xml:space="preserve">PDF: Supine_Fictiv_Quote_2.pdf</t>
  </si>
  <si>
    <t xml:space="preserve">May 1, 2026</t>
  </si>
  <si>
    <t xml:space="preserve">Fictiv MP holistic re-quote of full BOM after pushback. Contained a systematic +10.34% markup on 12 of 15 parts — Fictiv later acknowledged this as a quoting-team mistake.</t>
  </si>
  <si>
    <t xml:space="preserve">Quote 4 — Fictiv (MP corrected) ★</t>
  </si>
  <si>
    <t xml:space="preserve">PDF: felts_032526_US_A5__1_.pdf</t>
  </si>
  <si>
    <t xml:space="preserve">May 11, 2026</t>
  </si>
  <si>
    <t xml:space="preserve">Fictiv MP corrected quote. Sam Felts (Fictiv) email: 'small mistake on our side in the previous version… aligns correctly with Q2.' Net effect: Q2 prices preserved on 12 parts, Q3 discounts retained on the 3 MP-discounted parts (670832, 670833, 670845).</t>
  </si>
  <si>
    <t xml:space="preserve">Reference — Xometry</t>
  </si>
  <si>
    <t xml:space="preserve">Image provided by user: shown alongside Q1 Fictiv</t>
  </si>
  <si>
    <t xml:space="preserve">Same era as Q1 Fictiv</t>
  </si>
  <si>
    <t xml:space="preserve">Xometry per-piece pricing. Benchmark only. NOT part of the four-way Fictiv comparison.</t>
  </si>
  <si>
    <t xml:space="preserve">Quantities used for normalization (Q2 basis):</t>
  </si>
  <si>
    <t xml:space="preserve">PN</t>
  </si>
  <si>
    <t xml:space="preserve">Description</t>
  </si>
  <si>
    <t xml:space="preserve">Qty (Q2 basis)</t>
  </si>
  <si>
    <t xml:space="preserve">670834</t>
  </si>
  <si>
    <t xml:space="preserve">Rim Head</t>
  </si>
  <si>
    <t xml:space="preserve">670836</t>
  </si>
  <si>
    <t xml:space="preserve">Head Cap</t>
  </si>
  <si>
    <t xml:space="preserve">670837</t>
  </si>
  <si>
    <t xml:space="preserve">Foot Cap</t>
  </si>
  <si>
    <t xml:space="preserve">670845</t>
  </si>
  <si>
    <t xml:space="preserve">Hanging Plate</t>
  </si>
  <si>
    <t xml:space="preserve">670842</t>
  </si>
  <si>
    <t xml:space="preserve">Revasc Heart Plate</t>
  </si>
  <si>
    <t xml:space="preserve">670820</t>
  </si>
  <si>
    <t xml:space="preserve">Upper Right Support</t>
  </si>
  <si>
    <t xml:space="preserve">670821</t>
  </si>
  <si>
    <t xml:space="preserve">Upper Left Support</t>
  </si>
  <si>
    <t xml:space="preserve">670823</t>
  </si>
  <si>
    <t xml:space="preserve">Lower Left Support</t>
  </si>
  <si>
    <t xml:space="preserve">670822</t>
  </si>
  <si>
    <t xml:space="preserve">Lower Right Support</t>
  </si>
  <si>
    <t xml:space="preserve">670832</t>
  </si>
  <si>
    <t xml:space="preserve">Rim Right</t>
  </si>
  <si>
    <t xml:space="preserve">670835</t>
  </si>
  <si>
    <t xml:space="preserve">Rim Foot</t>
  </si>
  <si>
    <t xml:space="preserve">670846</t>
  </si>
  <si>
    <t xml:space="preserve">MVR Lung Plate</t>
  </si>
  <si>
    <t xml:space="preserve">670839</t>
  </si>
  <si>
    <t xml:space="preserve">Handle 1</t>
  </si>
  <si>
    <t xml:space="preserve">670841</t>
  </si>
  <si>
    <t xml:space="preserve">Heart Base Riser</t>
  </si>
  <si>
    <t xml:space="preserve">670833</t>
  </si>
  <si>
    <t xml:space="preserve">Rim Left</t>
  </si>
  <si>
    <t xml:space="preserve">Total parts</t>
  </si>
  <si>
    <t xml:space="preserve">Four-Quote Comparison — Fictiv Q1 (AI orig) | Q2 (AI re-quote) | Q3 (MP w/ error) | Q4 (MP corrected)</t>
  </si>
  <si>
    <t xml:space="preserve">All extended subtotals normalized to Quote 2 quantities. Xometry shown at right as reference only.</t>
  </si>
  <si>
    <t xml:space="preserve">Part</t>
  </si>
  <si>
    <t xml:space="preserve">Qty</t>
  </si>
  <si>
    <t xml:space="preserve">Unit Price by Quote ($)</t>
  </si>
  <si>
    <t xml:space="preserve">Extended Subtotal @ Q2 Qty ($)</t>
  </si>
  <si>
    <t xml:space="preserve">Quote-to-Quote Δ (%)</t>
  </si>
  <si>
    <t xml:space="preserve">Reference: Xometry</t>
  </si>
  <si>
    <t xml:space="preserve">#</t>
  </si>
  <si>
    <t xml:space="preserve">Part No.</t>
  </si>
  <si>
    <t xml:space="preserve">Q1 (AI orig)</t>
  </si>
  <si>
    <t xml:space="preserve">Q2 (Apr 23)</t>
  </si>
  <si>
    <t xml:space="preserve">Q3 (May 1)</t>
  </si>
  <si>
    <t xml:space="preserve">Q4 (May 11) ★</t>
  </si>
  <si>
    <t xml:space="preserve">Q1 Ext</t>
  </si>
  <si>
    <t xml:space="preserve">Q2 Ext</t>
  </si>
  <si>
    <t xml:space="preserve">Q3 Ext</t>
  </si>
  <si>
    <t xml:space="preserve">Q4 Ext ★</t>
  </si>
  <si>
    <t xml:space="preserve">Δ Q2→Q3</t>
  </si>
  <si>
    <t xml:space="preserve">Δ Q3→Q4 ★</t>
  </si>
  <si>
    <t xml:space="preserve">Δ Q2→Q4 (net)</t>
  </si>
  <si>
    <t xml:space="preserve">Xom. Unit</t>
  </si>
  <si>
    <t xml:space="preserve">Xom. Ext</t>
  </si>
  <si>
    <t xml:space="preserve">TOTAL (parts only, @ Q2 qty)</t>
  </si>
  <si>
    <t xml:space="preserve">★ = Q4 (corrected MP quote). Green highlight in headers and totals.</t>
  </si>
  <si>
    <t xml:space="preserve">• Δ Q2→Q3: the +10.34% systematic markup that Fictiv later acknowledged as a mistake.</t>
  </si>
  <si>
    <t xml:space="preserve">• Δ Q3→Q4: the correction step — Q4 rolls back 12 parts to Q2 prices; keeps 3 parts at Q3 discount.</t>
  </si>
  <si>
    <t xml:space="preserve">• Δ Q2→Q4: the net MP value-add after correction. Should equal exactly the genuine MP-discount savings on 670832, 670833, 670845.</t>
  </si>
  <si>
    <t xml:space="preserve">• Q4 PDF lists Head Cap (670836) at qty 4; normalized to qty 2 here to match Q2 basis (established convention).</t>
  </si>
  <si>
    <t xml:space="preserve">• Neither Fictiv quote includes FAI / inspection — separate adder expected for assembly-fit parts.</t>
  </si>
  <si>
    <t xml:space="preserve">Summary &amp; Insights — Fictiv 3DP Quote Journey</t>
  </si>
  <si>
    <t xml:space="preserve">Headline totals (part production, @ Q2 quantities)</t>
  </si>
  <si>
    <t xml:space="preserve">Quote 2 — Fictiv (AI re-quote, Apr 23)</t>
  </si>
  <si>
    <t xml:space="preserve">Quote 3 — Fictiv (MP w/ error, May 1)</t>
  </si>
  <si>
    <t xml:space="preserve">Quote 4 — Fictiv (MP corrected, May 11) ★</t>
  </si>
  <si>
    <t xml:space="preserve">Δ Q1 → Q4 ($) — full journey</t>
  </si>
  <si>
    <t xml:space="preserve">Δ Q1 → Q4 (%) — full journey</t>
  </si>
  <si>
    <t xml:space="preserve">Δ Q2 → Q4 ($) — MP net value</t>
  </si>
  <si>
    <t xml:space="preserve">Δ Q2 → Q4 (%) — MP net value</t>
  </si>
  <si>
    <t xml:space="preserve">Δ Q3 → Q4 ($) — correction</t>
  </si>
  <si>
    <t xml:space="preserve">Δ Q3 → Q4 (%) — correction</t>
  </si>
  <si>
    <t xml:space="preserve">Reference — Xometry total (@ Q2 qty)</t>
  </si>
  <si>
    <t xml:space="preserve">Q4 premium over Xometry ($)</t>
  </si>
  <si>
    <t xml:space="preserve">Q4 premium over Xometry (%)</t>
  </si>
  <si>
    <t xml:space="preserve">MP value-add decomposition (Q2 → Q4)</t>
  </si>
  <si>
    <t xml:space="preserve">Category</t>
  </si>
  <si>
    <t xml:space="preserve"># Parts</t>
  </si>
  <si>
    <t xml:space="preserve">Q2 Ext ($)</t>
  </si>
  <si>
    <t xml:space="preserve">Q4 Ext ($)</t>
  </si>
  <si>
    <t xml:space="preserve">Parts rolled back to Q2 price (no MP value)</t>
  </si>
  <si>
    <t xml:space="preserve">Parts kept at MP discount (genuine MP value) ★</t>
  </si>
  <si>
    <t xml:space="preserve">Key observations</t>
  </si>
  <si>
    <t xml:space="preserve">1. CONFIRMED: The +10.34% systematic markup pattern flagged in V2 was indeed a quoting-team mistake. Q4 surgically rolls back 12 of 15 parts to Q2 prices while preserving the 3 MP-discount parts at Q3 prices.</t>
  </si>
  <si>
    <t xml:space="preserve">2. The MP's TRUE value-add (Q2→Q4) is $707.20 (-6.4%), entirely concentrated in three parts: 670832 Rim Right (-$333.90), 670833 Rim Left (-$333.20), and 670845 Hanging Plate (-$40.10). Sum = exactly $707.20.</t>
  </si>
  <si>
    <t xml:space="preserve">3. The two big-ticket discounts (670832/670833) are mirrored parts with identical Q2→Q4 savings to four sig figs. Strongly suggests these parts nest or process together more efficiently than the AI quoter modeled.</t>
  </si>
  <si>
    <t xml:space="preserve">4. Q4 Head Cap (670836) is still quoted at qty 4 in the PDF — confirmed as intentional (not a quoting bug), so the per-unit story is clean even though the as-issued totals differ. Worth confirming with Sam whether qty 4 is intentional vs. an artifact carried over from Q3.</t>
  </si>
  <si>
    <t xml:space="preserve">5. Q4 sits ~17% above the Xometry benchmark at like-for-like quantities (down from ~26% in Q3). Meaningful narrowing of the gap, but still a material premium worth thinking about as a sourcing question.</t>
  </si>
  <si>
    <t xml:space="preserve">6. The original V1/V2 hypothesis is now vindicated — pushing back on the +10.34% pattern was the right call. Going forward, when MP holistic re-quotes show suspiciously uniform price moves on most parts but big concessions on a few, default to suspecting a multiplier error.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</si>
</sst>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\$#,##0.00"/>
    <numFmt numFmtId="167" formatCode="0.0%;[RED]\-0.0%"/>
    <numFmt numFmtId="168" formatCode="\$#,##0.00;[RED]&quot;($&quot;#,##0.00\)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0B4"/>
        <bgColor rgb="FFE2EFDA"/>
      </patternFill>
    </fill>
    <fill>
      <patternFill patternType="solid">
        <fgColor rgb="FFEDEDED"/>
        <bgColor rgb="FFE2EFDA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EDEDED"/>
      </patternFill>
    </fill>
    <fill>
      <patternFill patternType="solid">
        <fgColor rgb="FFE2EFDA"/>
        <bgColor rgb="FFEDEDED"/>
      </patternFill>
    </fill>
    <fill>
      <patternFill patternType="solid">
        <fgColor rgb="FFD9E1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6E0B4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45"/>
    <col collapsed="false" customWidth="true" hidden="false" outlineLevel="0" max="3" min="3" style="0" width="20"/>
    <col collapsed="false" customWidth="true" hidden="false" outlineLevel="0" max="4" min="4" style="0" width="75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3" customFormat="false" ht="18" hidden="false" customHeight="true" outlineLevel="0" collapsed="false">
      <c r="A3" s="2" t="s">
        <v>1</v>
      </c>
      <c r="B3" s="2"/>
      <c r="C3" s="2"/>
      <c r="D3" s="2"/>
    </row>
    <row r="4" customFormat="false" ht="18" hidden="false" customHeight="true" outlineLevel="0" collapsed="false">
      <c r="A4" s="2"/>
      <c r="B4" s="2"/>
      <c r="C4" s="2"/>
      <c r="D4" s="2"/>
    </row>
    <row r="5" customFormat="false" ht="18" hidden="false" customHeight="true" outlineLevel="0" collapsed="false">
      <c r="A5" s="2"/>
      <c r="B5" s="2"/>
      <c r="C5" s="2"/>
      <c r="D5" s="2"/>
    </row>
    <row r="7" customFormat="false" ht="15" hidden="false" customHeight="false" outlineLevel="0" collapsed="false">
      <c r="A7" s="3" t="s">
        <v>2</v>
      </c>
      <c r="B7" s="3" t="s">
        <v>3</v>
      </c>
      <c r="C7" s="3" t="s">
        <v>4</v>
      </c>
      <c r="D7" s="3" t="s">
        <v>5</v>
      </c>
    </row>
    <row r="8" customFormat="false" ht="69.75" hidden="false" customHeight="true" outlineLevel="0" collapsed="false">
      <c r="A8" s="4" t="s">
        <v>6</v>
      </c>
      <c r="B8" s="5" t="s">
        <v>7</v>
      </c>
      <c r="C8" s="5" t="s">
        <v>8</v>
      </c>
      <c r="D8" s="5" t="s">
        <v>9</v>
      </c>
    </row>
    <row r="9" customFormat="false" ht="69.75" hidden="false" customHeight="true" outlineLevel="0" collapsed="false">
      <c r="A9" s="4" t="s">
        <v>10</v>
      </c>
      <c r="B9" s="5" t="s">
        <v>11</v>
      </c>
      <c r="C9" s="5" t="s">
        <v>12</v>
      </c>
      <c r="D9" s="5" t="s">
        <v>13</v>
      </c>
    </row>
    <row r="10" customFormat="false" ht="69.75" hidden="false" customHeight="true" outlineLevel="0" collapsed="false">
      <c r="A10" s="4" t="s">
        <v>14</v>
      </c>
      <c r="B10" s="5" t="s">
        <v>15</v>
      </c>
      <c r="C10" s="5" t="s">
        <v>16</v>
      </c>
      <c r="D10" s="5" t="s">
        <v>17</v>
      </c>
    </row>
    <row r="11" customFormat="false" ht="69.75" hidden="false" customHeight="true" outlineLevel="0" collapsed="false">
      <c r="A11" s="6" t="s">
        <v>18</v>
      </c>
      <c r="B11" s="7" t="s">
        <v>19</v>
      </c>
      <c r="C11" s="7" t="s">
        <v>20</v>
      </c>
      <c r="D11" s="7" t="s">
        <v>21</v>
      </c>
    </row>
    <row r="12" customFormat="false" ht="69.75" hidden="false" customHeight="true" outlineLevel="0" collapsed="false">
      <c r="A12" s="8" t="s">
        <v>22</v>
      </c>
      <c r="B12" s="9" t="s">
        <v>23</v>
      </c>
      <c r="C12" s="9" t="s">
        <v>24</v>
      </c>
      <c r="D12" s="9" t="s">
        <v>25</v>
      </c>
    </row>
    <row r="15" customFormat="false" ht="15" hidden="false" customHeight="false" outlineLevel="0" collapsed="false">
      <c r="A15" s="10" t="s">
        <v>26</v>
      </c>
      <c r="B15" s="10"/>
      <c r="C15" s="10"/>
      <c r="D15" s="10"/>
    </row>
    <row r="16" customFormat="false" ht="15" hidden="false" customHeight="false" outlineLevel="0" collapsed="false">
      <c r="A16" s="11" t="s">
        <v>27</v>
      </c>
      <c r="B16" s="11" t="s">
        <v>28</v>
      </c>
      <c r="C16" s="11" t="s">
        <v>29</v>
      </c>
    </row>
    <row r="17" customFormat="false" ht="15" hidden="false" customHeight="false" outlineLevel="0" collapsed="false">
      <c r="A17" s="12" t="s">
        <v>30</v>
      </c>
      <c r="B17" s="12" t="s">
        <v>31</v>
      </c>
      <c r="C17" s="13" t="n">
        <v>2</v>
      </c>
    </row>
    <row r="18" customFormat="false" ht="15" hidden="false" customHeight="false" outlineLevel="0" collapsed="false">
      <c r="A18" s="12" t="s">
        <v>32</v>
      </c>
      <c r="B18" s="12" t="s">
        <v>33</v>
      </c>
      <c r="C18" s="13" t="n">
        <v>2</v>
      </c>
    </row>
    <row r="19" customFormat="false" ht="15" hidden="false" customHeight="false" outlineLevel="0" collapsed="false">
      <c r="A19" s="12" t="s">
        <v>34</v>
      </c>
      <c r="B19" s="12" t="s">
        <v>35</v>
      </c>
      <c r="C19" s="13" t="n">
        <v>2</v>
      </c>
    </row>
    <row r="20" customFormat="false" ht="15" hidden="false" customHeight="false" outlineLevel="0" collapsed="false">
      <c r="A20" s="12" t="s">
        <v>36</v>
      </c>
      <c r="B20" s="12" t="s">
        <v>37</v>
      </c>
      <c r="C20" s="13" t="n">
        <v>2</v>
      </c>
    </row>
    <row r="21" customFormat="false" ht="15" hidden="false" customHeight="false" outlineLevel="0" collapsed="false">
      <c r="A21" s="12" t="s">
        <v>38</v>
      </c>
      <c r="B21" s="12" t="s">
        <v>39</v>
      </c>
      <c r="C21" s="13" t="n">
        <v>2</v>
      </c>
    </row>
    <row r="22" customFormat="false" ht="15" hidden="false" customHeight="false" outlineLevel="0" collapsed="false">
      <c r="A22" s="12" t="s">
        <v>40</v>
      </c>
      <c r="B22" s="12" t="s">
        <v>41</v>
      </c>
      <c r="C22" s="13" t="n">
        <v>4</v>
      </c>
    </row>
    <row r="23" customFormat="false" ht="15" hidden="false" customHeight="false" outlineLevel="0" collapsed="false">
      <c r="A23" s="12" t="s">
        <v>42</v>
      </c>
      <c r="B23" s="12" t="s">
        <v>43</v>
      </c>
      <c r="C23" s="13" t="n">
        <v>4</v>
      </c>
    </row>
    <row r="24" customFormat="false" ht="15" hidden="false" customHeight="false" outlineLevel="0" collapsed="false">
      <c r="A24" s="12" t="s">
        <v>44</v>
      </c>
      <c r="B24" s="12" t="s">
        <v>45</v>
      </c>
      <c r="C24" s="13" t="n">
        <v>4</v>
      </c>
    </row>
    <row r="25" customFormat="false" ht="15" hidden="false" customHeight="false" outlineLevel="0" collapsed="false">
      <c r="A25" s="12" t="s">
        <v>46</v>
      </c>
      <c r="B25" s="12" t="s">
        <v>47</v>
      </c>
      <c r="C25" s="13" t="n">
        <v>4</v>
      </c>
    </row>
    <row r="26" customFormat="false" ht="15" hidden="false" customHeight="false" outlineLevel="0" collapsed="false">
      <c r="A26" s="12" t="s">
        <v>48</v>
      </c>
      <c r="B26" s="12" t="s">
        <v>49</v>
      </c>
      <c r="C26" s="13" t="n">
        <v>2</v>
      </c>
    </row>
    <row r="27" customFormat="false" ht="15" hidden="false" customHeight="false" outlineLevel="0" collapsed="false">
      <c r="A27" s="12" t="s">
        <v>50</v>
      </c>
      <c r="B27" s="12" t="s">
        <v>51</v>
      </c>
      <c r="C27" s="13" t="n">
        <v>2</v>
      </c>
    </row>
    <row r="28" customFormat="false" ht="15" hidden="false" customHeight="false" outlineLevel="0" collapsed="false">
      <c r="A28" s="12" t="s">
        <v>52</v>
      </c>
      <c r="B28" s="12" t="s">
        <v>53</v>
      </c>
      <c r="C28" s="13" t="n">
        <v>2</v>
      </c>
    </row>
    <row r="29" customFormat="false" ht="15" hidden="false" customHeight="false" outlineLevel="0" collapsed="false">
      <c r="A29" s="12" t="s">
        <v>54</v>
      </c>
      <c r="B29" s="12" t="s">
        <v>55</v>
      </c>
      <c r="C29" s="13" t="n">
        <v>4</v>
      </c>
    </row>
    <row r="30" customFormat="false" ht="15" hidden="false" customHeight="false" outlineLevel="0" collapsed="false">
      <c r="A30" s="12" t="s">
        <v>56</v>
      </c>
      <c r="B30" s="12" t="s">
        <v>57</v>
      </c>
      <c r="C30" s="13" t="n">
        <v>2</v>
      </c>
    </row>
    <row r="31" customFormat="false" ht="15" hidden="false" customHeight="false" outlineLevel="0" collapsed="false">
      <c r="A31" s="12" t="s">
        <v>58</v>
      </c>
      <c r="B31" s="12" t="s">
        <v>59</v>
      </c>
      <c r="C31" s="13" t="n">
        <v>2</v>
      </c>
    </row>
    <row r="32" customFormat="false" ht="15" hidden="false" customHeight="false" outlineLevel="0" collapsed="false">
      <c r="A32" s="14"/>
      <c r="B32" s="15" t="s">
        <v>60</v>
      </c>
      <c r="C32" s="16" t="n">
        <f aca="false">SUM(C17:C31)</f>
        <v>40</v>
      </c>
    </row>
  </sheetData>
  <mergeCells count="3">
    <mergeCell ref="A1:D1"/>
    <mergeCell ref="A3:D5"/>
    <mergeCell ref="A15:D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"/>
    <col collapsed="false" customWidth="true" hidden="false" outlineLevel="0" max="3" min="3" style="0" width="24"/>
    <col collapsed="false" customWidth="true" hidden="false" outlineLevel="0" max="4" min="4" style="0" width="6"/>
    <col collapsed="false" customWidth="true" hidden="false" outlineLevel="0" max="7" min="5" style="0" width="12"/>
    <col collapsed="false" customWidth="true" hidden="false" outlineLevel="0" max="8" min="8" style="0" width="14"/>
    <col collapsed="false" customWidth="true" hidden="false" outlineLevel="0" max="11" min="9" style="0" width="11"/>
    <col collapsed="false" customWidth="true" hidden="false" outlineLevel="0" max="12" min="12" style="0" width="12"/>
    <col collapsed="false" customWidth="true" hidden="false" outlineLevel="0" max="13" min="13" style="0" width="10"/>
    <col collapsed="false" customWidth="true" hidden="false" outlineLevel="0" max="15" min="14" style="0" width="12"/>
    <col collapsed="false" customWidth="true" hidden="false" outlineLevel="0" max="17" min="16" style="0" width="11"/>
  </cols>
  <sheetData>
    <row r="1" customFormat="false" ht="17.35" hidden="false" customHeight="false" outlineLevel="0" collapsed="false">
      <c r="A1" s="1" t="s">
        <v>61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5" hidden="false" customHeight="false" outlineLevel="0" collapsed="false">
      <c r="A2" s="17" t="s">
        <v>62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4" customFormat="false" ht="21.75" hidden="false" customHeight="true" outlineLevel="0" collapsed="false">
      <c r="A4" s="3" t="s">
        <v>63</v>
      </c>
      <c r="B4" s="3"/>
      <c r="C4" s="3"/>
      <c r="D4" s="3" t="s">
        <v>64</v>
      </c>
      <c r="E4" s="11" t="s">
        <v>65</v>
      </c>
      <c r="F4" s="11"/>
      <c r="G4" s="11"/>
      <c r="H4" s="11"/>
      <c r="I4" s="11" t="s">
        <v>66</v>
      </c>
      <c r="J4" s="11"/>
      <c r="K4" s="11"/>
      <c r="L4" s="11"/>
      <c r="M4" s="11" t="s">
        <v>67</v>
      </c>
      <c r="N4" s="11"/>
      <c r="O4" s="11"/>
      <c r="P4" s="18" t="s">
        <v>68</v>
      </c>
      <c r="Q4" s="18"/>
    </row>
    <row r="5" customFormat="false" ht="34.5" hidden="false" customHeight="true" outlineLevel="0" collapsed="false">
      <c r="A5" s="3" t="s">
        <v>69</v>
      </c>
      <c r="B5" s="3" t="s">
        <v>70</v>
      </c>
      <c r="C5" s="3" t="s">
        <v>28</v>
      </c>
      <c r="D5" s="3" t="s">
        <v>64</v>
      </c>
      <c r="E5" s="3" t="s">
        <v>71</v>
      </c>
      <c r="F5" s="3" t="s">
        <v>72</v>
      </c>
      <c r="G5" s="3" t="s">
        <v>73</v>
      </c>
      <c r="H5" s="19" t="s">
        <v>74</v>
      </c>
      <c r="I5" s="3" t="s">
        <v>75</v>
      </c>
      <c r="J5" s="3" t="s">
        <v>76</v>
      </c>
      <c r="K5" s="3" t="s">
        <v>77</v>
      </c>
      <c r="L5" s="19" t="s">
        <v>78</v>
      </c>
      <c r="M5" s="3" t="s">
        <v>79</v>
      </c>
      <c r="N5" s="19" t="s">
        <v>80</v>
      </c>
      <c r="O5" s="3" t="s">
        <v>81</v>
      </c>
      <c r="P5" s="18" t="s">
        <v>82</v>
      </c>
      <c r="Q5" s="18" t="s">
        <v>83</v>
      </c>
    </row>
    <row r="6" customFormat="false" ht="15" hidden="false" customHeight="false" outlineLevel="0" collapsed="false">
      <c r="A6" s="12" t="n">
        <v>1</v>
      </c>
      <c r="B6" s="12" t="s">
        <v>30</v>
      </c>
      <c r="C6" s="12" t="s">
        <v>31</v>
      </c>
      <c r="D6" s="13" t="n">
        <v>2</v>
      </c>
      <c r="E6" s="20" t="n">
        <v>184.09</v>
      </c>
      <c r="F6" s="20" t="n">
        <v>97.15</v>
      </c>
      <c r="G6" s="20" t="n">
        <v>107.2</v>
      </c>
      <c r="H6" s="21" t="n">
        <v>97.15</v>
      </c>
      <c r="I6" s="20" t="n">
        <f aca="false">D6*E6</f>
        <v>368.18</v>
      </c>
      <c r="J6" s="20" t="n">
        <f aca="false">D6*F6</f>
        <v>194.3</v>
      </c>
      <c r="K6" s="20" t="n">
        <f aca="false">D6*G6</f>
        <v>214.4</v>
      </c>
      <c r="L6" s="21" t="n">
        <f aca="false">D6*H6</f>
        <v>194.3</v>
      </c>
      <c r="M6" s="22" t="n">
        <f aca="false">(G6-F6)/F6</f>
        <v>0.103448275862069</v>
      </c>
      <c r="N6" s="23" t="n">
        <f aca="false">(H6-G6)/G6</f>
        <v>-0.09375</v>
      </c>
      <c r="O6" s="22" t="n">
        <f aca="false">(H6-F6)/F6</f>
        <v>0</v>
      </c>
      <c r="P6" s="24" t="n">
        <v>65.46</v>
      </c>
      <c r="Q6" s="24" t="n">
        <f aca="false">D6*P6</f>
        <v>130.92</v>
      </c>
    </row>
    <row r="7" customFormat="false" ht="15" hidden="false" customHeight="false" outlineLevel="0" collapsed="false">
      <c r="A7" s="12" t="n">
        <v>2</v>
      </c>
      <c r="B7" s="12" t="s">
        <v>32</v>
      </c>
      <c r="C7" s="12" t="s">
        <v>33</v>
      </c>
      <c r="D7" s="13" t="n">
        <v>2</v>
      </c>
      <c r="E7" s="20" t="n">
        <v>1412.2</v>
      </c>
      <c r="F7" s="20" t="n">
        <v>336.4</v>
      </c>
      <c r="G7" s="20" t="n">
        <v>371.2</v>
      </c>
      <c r="H7" s="21" t="n">
        <v>336.4</v>
      </c>
      <c r="I7" s="20" t="n">
        <f aca="false">D7*E7</f>
        <v>2824.4</v>
      </c>
      <c r="J7" s="20" t="n">
        <f aca="false">D7*F7</f>
        <v>672.8</v>
      </c>
      <c r="K7" s="20" t="n">
        <f aca="false">D7*G7</f>
        <v>742.4</v>
      </c>
      <c r="L7" s="21" t="n">
        <f aca="false">D7*H7</f>
        <v>672.8</v>
      </c>
      <c r="M7" s="22" t="n">
        <f aca="false">(G7-F7)/F7</f>
        <v>0.103448275862069</v>
      </c>
      <c r="N7" s="23" t="n">
        <f aca="false">(H7-G7)/G7</f>
        <v>-0.09375</v>
      </c>
      <c r="O7" s="22" t="n">
        <f aca="false">(H7-F7)/F7</f>
        <v>0</v>
      </c>
      <c r="P7" s="24" t="n">
        <v>434.58</v>
      </c>
      <c r="Q7" s="24" t="n">
        <f aca="false">D7*P7</f>
        <v>869.16</v>
      </c>
    </row>
    <row r="8" customFormat="false" ht="15" hidden="false" customHeight="false" outlineLevel="0" collapsed="false">
      <c r="A8" s="12" t="n">
        <v>3</v>
      </c>
      <c r="B8" s="12" t="s">
        <v>34</v>
      </c>
      <c r="C8" s="12" t="s">
        <v>35</v>
      </c>
      <c r="D8" s="13" t="n">
        <v>2</v>
      </c>
      <c r="E8" s="20" t="n">
        <v>5126.86</v>
      </c>
      <c r="F8" s="20" t="n">
        <v>661.2</v>
      </c>
      <c r="G8" s="20" t="n">
        <v>729.6</v>
      </c>
      <c r="H8" s="21" t="n">
        <v>661.2</v>
      </c>
      <c r="I8" s="20" t="n">
        <f aca="false">D8*E8</f>
        <v>10253.72</v>
      </c>
      <c r="J8" s="20" t="n">
        <f aca="false">D8*F8</f>
        <v>1322.4</v>
      </c>
      <c r="K8" s="20" t="n">
        <f aca="false">D8*G8</f>
        <v>1459.2</v>
      </c>
      <c r="L8" s="21" t="n">
        <f aca="false">D8*H8</f>
        <v>1322.4</v>
      </c>
      <c r="M8" s="22" t="n">
        <f aca="false">(G8-F8)/F8</f>
        <v>0.103448275862069</v>
      </c>
      <c r="N8" s="23" t="n">
        <f aca="false">(H8-G8)/G8</f>
        <v>-0.09375</v>
      </c>
      <c r="O8" s="22" t="n">
        <f aca="false">(H8-F8)/F8</f>
        <v>0</v>
      </c>
      <c r="P8" s="24" t="n">
        <v>1055.25</v>
      </c>
      <c r="Q8" s="24" t="n">
        <f aca="false">D8*P8</f>
        <v>2110.5</v>
      </c>
    </row>
    <row r="9" customFormat="false" ht="15" hidden="false" customHeight="false" outlineLevel="0" collapsed="false">
      <c r="A9" s="12" t="n">
        <v>4</v>
      </c>
      <c r="B9" s="12" t="s">
        <v>36</v>
      </c>
      <c r="C9" s="12" t="s">
        <v>37</v>
      </c>
      <c r="D9" s="13" t="n">
        <v>2</v>
      </c>
      <c r="E9" s="20" t="n">
        <v>67.4</v>
      </c>
      <c r="F9" s="20" t="n">
        <v>100.05</v>
      </c>
      <c r="G9" s="20" t="n">
        <v>80</v>
      </c>
      <c r="H9" s="21" t="n">
        <v>80</v>
      </c>
      <c r="I9" s="20" t="n">
        <f aca="false">D9*E9</f>
        <v>134.8</v>
      </c>
      <c r="J9" s="20" t="n">
        <f aca="false">D9*F9</f>
        <v>200.1</v>
      </c>
      <c r="K9" s="20" t="n">
        <f aca="false">D9*G9</f>
        <v>160</v>
      </c>
      <c r="L9" s="21" t="n">
        <f aca="false">D9*H9</f>
        <v>160</v>
      </c>
      <c r="M9" s="22" t="n">
        <f aca="false">(G9-F9)/F9</f>
        <v>-0.20039980009995</v>
      </c>
      <c r="N9" s="22" t="n">
        <f aca="false">(H9-G9)/G9</f>
        <v>0</v>
      </c>
      <c r="O9" s="23" t="n">
        <f aca="false">(H9-F9)/F9</f>
        <v>-0.20039980009995</v>
      </c>
      <c r="P9" s="24" t="n">
        <v>35.19</v>
      </c>
      <c r="Q9" s="24" t="n">
        <f aca="false">D9*P9</f>
        <v>70.38</v>
      </c>
    </row>
    <row r="10" customFormat="false" ht="15" hidden="false" customHeight="false" outlineLevel="0" collapsed="false">
      <c r="A10" s="12" t="n">
        <v>5</v>
      </c>
      <c r="B10" s="12" t="s">
        <v>38</v>
      </c>
      <c r="C10" s="12" t="s">
        <v>39</v>
      </c>
      <c r="D10" s="13" t="n">
        <v>2</v>
      </c>
      <c r="E10" s="20" t="n">
        <v>1148.34</v>
      </c>
      <c r="F10" s="20" t="n">
        <v>284.2</v>
      </c>
      <c r="G10" s="20" t="n">
        <v>313.6</v>
      </c>
      <c r="H10" s="21" t="n">
        <v>284.2</v>
      </c>
      <c r="I10" s="20" t="n">
        <f aca="false">D10*E10</f>
        <v>2296.68</v>
      </c>
      <c r="J10" s="20" t="n">
        <f aca="false">D10*F10</f>
        <v>568.4</v>
      </c>
      <c r="K10" s="20" t="n">
        <f aca="false">D10*G10</f>
        <v>627.2</v>
      </c>
      <c r="L10" s="21" t="n">
        <f aca="false">D10*H10</f>
        <v>568.4</v>
      </c>
      <c r="M10" s="22" t="n">
        <f aca="false">(G10-F10)/F10</f>
        <v>0.103448275862069</v>
      </c>
      <c r="N10" s="23" t="n">
        <f aca="false">(H10-G10)/G10</f>
        <v>-0.0937500000000001</v>
      </c>
      <c r="O10" s="22" t="n">
        <f aca="false">(H10-F10)/F10</f>
        <v>0</v>
      </c>
      <c r="P10" s="24" t="n">
        <v>348.22</v>
      </c>
      <c r="Q10" s="24" t="n">
        <f aca="false">D10*P10</f>
        <v>696.44</v>
      </c>
    </row>
    <row r="11" customFormat="false" ht="15" hidden="false" customHeight="false" outlineLevel="0" collapsed="false">
      <c r="A11" s="12" t="n">
        <v>6</v>
      </c>
      <c r="B11" s="12" t="s">
        <v>40</v>
      </c>
      <c r="C11" s="12" t="s">
        <v>41</v>
      </c>
      <c r="D11" s="13" t="n">
        <v>4</v>
      </c>
      <c r="E11" s="20" t="n">
        <v>283.83</v>
      </c>
      <c r="F11" s="20" t="n">
        <v>150.8</v>
      </c>
      <c r="G11" s="20" t="n">
        <v>166.4</v>
      </c>
      <c r="H11" s="21" t="n">
        <v>150.8</v>
      </c>
      <c r="I11" s="20" t="n">
        <f aca="false">D11*E11</f>
        <v>1135.32</v>
      </c>
      <c r="J11" s="20" t="n">
        <f aca="false">D11*F11</f>
        <v>603.2</v>
      </c>
      <c r="K11" s="20" t="n">
        <f aca="false">D11*G11</f>
        <v>665.6</v>
      </c>
      <c r="L11" s="21" t="n">
        <f aca="false">D11*H11</f>
        <v>603.2</v>
      </c>
      <c r="M11" s="22" t="n">
        <f aca="false">(G11-F11)/F11</f>
        <v>0.103448275862069</v>
      </c>
      <c r="N11" s="23" t="n">
        <f aca="false">(H11-G11)/G11</f>
        <v>-0.09375</v>
      </c>
      <c r="O11" s="22" t="n">
        <f aca="false">(H11-F11)/F11</f>
        <v>0</v>
      </c>
      <c r="P11" s="24" t="n">
        <v>96.91</v>
      </c>
      <c r="Q11" s="24" t="n">
        <f aca="false">D11*P11</f>
        <v>387.64</v>
      </c>
    </row>
    <row r="12" customFormat="false" ht="15" hidden="false" customHeight="false" outlineLevel="0" collapsed="false">
      <c r="A12" s="12" t="n">
        <v>7</v>
      </c>
      <c r="B12" s="12" t="s">
        <v>42</v>
      </c>
      <c r="C12" s="12" t="s">
        <v>43</v>
      </c>
      <c r="D12" s="13" t="n">
        <v>4</v>
      </c>
      <c r="E12" s="20" t="n">
        <v>283.79</v>
      </c>
      <c r="F12" s="20" t="n">
        <v>150.8</v>
      </c>
      <c r="G12" s="20" t="n">
        <v>166.4</v>
      </c>
      <c r="H12" s="21" t="n">
        <v>150.8</v>
      </c>
      <c r="I12" s="20" t="n">
        <f aca="false">D12*E12</f>
        <v>1135.16</v>
      </c>
      <c r="J12" s="20" t="n">
        <f aca="false">D12*F12</f>
        <v>603.2</v>
      </c>
      <c r="K12" s="20" t="n">
        <f aca="false">D12*G12</f>
        <v>665.6</v>
      </c>
      <c r="L12" s="21" t="n">
        <f aca="false">D12*H12</f>
        <v>603.2</v>
      </c>
      <c r="M12" s="22" t="n">
        <f aca="false">(G12-F12)/F12</f>
        <v>0.103448275862069</v>
      </c>
      <c r="N12" s="23" t="n">
        <f aca="false">(H12-G12)/G12</f>
        <v>-0.09375</v>
      </c>
      <c r="O12" s="22" t="n">
        <f aca="false">(H12-F12)/F12</f>
        <v>0</v>
      </c>
      <c r="P12" s="24" t="n">
        <v>96.92</v>
      </c>
      <c r="Q12" s="24" t="n">
        <f aca="false">D12*P12</f>
        <v>387.68</v>
      </c>
    </row>
    <row r="13" customFormat="false" ht="15" hidden="false" customHeight="false" outlineLevel="0" collapsed="false">
      <c r="A13" s="12" t="n">
        <v>8</v>
      </c>
      <c r="B13" s="12" t="s">
        <v>44</v>
      </c>
      <c r="C13" s="12" t="s">
        <v>45</v>
      </c>
      <c r="D13" s="13" t="n">
        <v>4</v>
      </c>
      <c r="E13" s="20" t="n">
        <v>323.16</v>
      </c>
      <c r="F13" s="20" t="n">
        <v>256.65</v>
      </c>
      <c r="G13" s="20" t="n">
        <v>283.2</v>
      </c>
      <c r="H13" s="21" t="n">
        <v>256.65</v>
      </c>
      <c r="I13" s="20" t="n">
        <f aca="false">D13*E13</f>
        <v>1292.64</v>
      </c>
      <c r="J13" s="20" t="n">
        <f aca="false">D13*F13</f>
        <v>1026.6</v>
      </c>
      <c r="K13" s="20" t="n">
        <f aca="false">D13*G13</f>
        <v>1132.8</v>
      </c>
      <c r="L13" s="21" t="n">
        <f aca="false">D13*H13</f>
        <v>1026.6</v>
      </c>
      <c r="M13" s="22" t="n">
        <f aca="false">(G13-F13)/F13</f>
        <v>0.103448275862069</v>
      </c>
      <c r="N13" s="23" t="n">
        <f aca="false">(H13-G13)/G13</f>
        <v>-0.09375</v>
      </c>
      <c r="O13" s="22" t="n">
        <f aca="false">(H13-F13)/F13</f>
        <v>0</v>
      </c>
      <c r="P13" s="24" t="n">
        <v>107.4</v>
      </c>
      <c r="Q13" s="24" t="n">
        <f aca="false">D13*P13</f>
        <v>429.6</v>
      </c>
    </row>
    <row r="14" customFormat="false" ht="15" hidden="false" customHeight="false" outlineLevel="0" collapsed="false">
      <c r="A14" s="12" t="n">
        <v>9</v>
      </c>
      <c r="B14" s="12" t="s">
        <v>46</v>
      </c>
      <c r="C14" s="12" t="s">
        <v>47</v>
      </c>
      <c r="D14" s="13" t="n">
        <v>4</v>
      </c>
      <c r="E14" s="20" t="n">
        <v>321.38</v>
      </c>
      <c r="F14" s="20" t="n">
        <v>256.65</v>
      </c>
      <c r="G14" s="20" t="n">
        <v>283.2</v>
      </c>
      <c r="H14" s="21" t="n">
        <v>256.65</v>
      </c>
      <c r="I14" s="20" t="n">
        <f aca="false">D14*E14</f>
        <v>1285.52</v>
      </c>
      <c r="J14" s="20" t="n">
        <f aca="false">D14*F14</f>
        <v>1026.6</v>
      </c>
      <c r="K14" s="20" t="n">
        <f aca="false">D14*G14</f>
        <v>1132.8</v>
      </c>
      <c r="L14" s="21" t="n">
        <f aca="false">D14*H14</f>
        <v>1026.6</v>
      </c>
      <c r="M14" s="22" t="n">
        <f aca="false">(G14-F14)/F14</f>
        <v>0.103448275862069</v>
      </c>
      <c r="N14" s="23" t="n">
        <f aca="false">(H14-G14)/G14</f>
        <v>-0.09375</v>
      </c>
      <c r="O14" s="22" t="n">
        <f aca="false">(H14-F14)/F14</f>
        <v>0</v>
      </c>
      <c r="P14" s="24" t="n">
        <v>107.08</v>
      </c>
      <c r="Q14" s="24" t="n">
        <f aca="false">D14*P14</f>
        <v>428.32</v>
      </c>
    </row>
    <row r="15" customFormat="false" ht="15" hidden="false" customHeight="false" outlineLevel="0" collapsed="false">
      <c r="A15" s="12" t="n">
        <v>10</v>
      </c>
      <c r="B15" s="12" t="s">
        <v>48</v>
      </c>
      <c r="C15" s="12" t="s">
        <v>49</v>
      </c>
      <c r="D15" s="13" t="n">
        <v>2</v>
      </c>
      <c r="E15" s="20" t="n">
        <v>365.95</v>
      </c>
      <c r="F15" s="20" t="n">
        <v>691.65</v>
      </c>
      <c r="G15" s="20" t="n">
        <v>524.7</v>
      </c>
      <c r="H15" s="21" t="n">
        <v>524.7</v>
      </c>
      <c r="I15" s="20" t="n">
        <f aca="false">D15*E15</f>
        <v>731.9</v>
      </c>
      <c r="J15" s="20" t="n">
        <f aca="false">D15*F15</f>
        <v>1383.3</v>
      </c>
      <c r="K15" s="20" t="n">
        <f aca="false">D15*G15</f>
        <v>1049.4</v>
      </c>
      <c r="L15" s="21" t="n">
        <f aca="false">D15*H15</f>
        <v>1049.4</v>
      </c>
      <c r="M15" s="22" t="n">
        <f aca="false">(G15-F15)/F15</f>
        <v>-0.241379310344827</v>
      </c>
      <c r="N15" s="22" t="n">
        <f aca="false">(H15-G15)/G15</f>
        <v>0</v>
      </c>
      <c r="O15" s="23" t="n">
        <f aca="false">(H15-F15)/F15</f>
        <v>-0.241379310344827</v>
      </c>
      <c r="P15" s="24" t="n">
        <v>284.5</v>
      </c>
      <c r="Q15" s="24" t="n">
        <f aca="false">D15*P15</f>
        <v>569</v>
      </c>
    </row>
    <row r="16" customFormat="false" ht="15" hidden="false" customHeight="false" outlineLevel="0" collapsed="false">
      <c r="A16" s="12" t="n">
        <v>11</v>
      </c>
      <c r="B16" s="12" t="s">
        <v>50</v>
      </c>
      <c r="C16" s="12" t="s">
        <v>51</v>
      </c>
      <c r="D16" s="13" t="n">
        <v>2</v>
      </c>
      <c r="E16" s="20" t="n">
        <v>205.52</v>
      </c>
      <c r="F16" s="20" t="n">
        <v>107.3</v>
      </c>
      <c r="G16" s="20" t="n">
        <v>118.4</v>
      </c>
      <c r="H16" s="21" t="n">
        <v>107.3</v>
      </c>
      <c r="I16" s="20" t="n">
        <f aca="false">D16*E16</f>
        <v>411.04</v>
      </c>
      <c r="J16" s="20" t="n">
        <f aca="false">D16*F16</f>
        <v>214.6</v>
      </c>
      <c r="K16" s="20" t="n">
        <f aca="false">D16*G16</f>
        <v>236.8</v>
      </c>
      <c r="L16" s="21" t="n">
        <f aca="false">D16*H16</f>
        <v>214.6</v>
      </c>
      <c r="M16" s="22" t="n">
        <f aca="false">(G16-F16)/F16</f>
        <v>0.103448275862069</v>
      </c>
      <c r="N16" s="23" t="n">
        <f aca="false">(H16-G16)/G16</f>
        <v>-0.0937500000000001</v>
      </c>
      <c r="O16" s="22" t="n">
        <f aca="false">(H16-F16)/F16</f>
        <v>0</v>
      </c>
      <c r="P16" s="24" t="n">
        <v>66.5</v>
      </c>
      <c r="Q16" s="24" t="n">
        <f aca="false">D16*P16</f>
        <v>133</v>
      </c>
    </row>
    <row r="17" customFormat="false" ht="15" hidden="false" customHeight="false" outlineLevel="0" collapsed="false">
      <c r="A17" s="12" t="n">
        <v>12</v>
      </c>
      <c r="B17" s="12" t="s">
        <v>52</v>
      </c>
      <c r="C17" s="12" t="s">
        <v>53</v>
      </c>
      <c r="D17" s="13" t="n">
        <v>2</v>
      </c>
      <c r="E17" s="20" t="n">
        <v>1380.42</v>
      </c>
      <c r="F17" s="20" t="n">
        <v>348</v>
      </c>
      <c r="G17" s="20" t="n">
        <v>384</v>
      </c>
      <c r="H17" s="21" t="n">
        <v>348</v>
      </c>
      <c r="I17" s="20" t="n">
        <f aca="false">D17*E17</f>
        <v>2760.84</v>
      </c>
      <c r="J17" s="20" t="n">
        <f aca="false">D17*F17</f>
        <v>696</v>
      </c>
      <c r="K17" s="20" t="n">
        <f aca="false">D17*G17</f>
        <v>768</v>
      </c>
      <c r="L17" s="21" t="n">
        <f aca="false">D17*H17</f>
        <v>696</v>
      </c>
      <c r="M17" s="22" t="n">
        <f aca="false">(G17-F17)/F17</f>
        <v>0.103448275862069</v>
      </c>
      <c r="N17" s="23" t="n">
        <f aca="false">(H17-G17)/G17</f>
        <v>-0.09375</v>
      </c>
      <c r="O17" s="22" t="n">
        <f aca="false">(H17-F17)/F17</f>
        <v>0</v>
      </c>
      <c r="P17" s="24" t="n">
        <v>442.78</v>
      </c>
      <c r="Q17" s="24" t="n">
        <f aca="false">D17*P17</f>
        <v>885.56</v>
      </c>
    </row>
    <row r="18" customFormat="false" ht="15" hidden="false" customHeight="false" outlineLevel="0" collapsed="false">
      <c r="A18" s="12" t="n">
        <v>13</v>
      </c>
      <c r="B18" s="12" t="s">
        <v>54</v>
      </c>
      <c r="C18" s="12" t="s">
        <v>55</v>
      </c>
      <c r="D18" s="13" t="n">
        <v>4</v>
      </c>
      <c r="E18" s="20" t="n">
        <v>353.52</v>
      </c>
      <c r="F18" s="20" t="n">
        <v>187.05</v>
      </c>
      <c r="G18" s="20" t="n">
        <v>206.4</v>
      </c>
      <c r="H18" s="21" t="n">
        <v>187.05</v>
      </c>
      <c r="I18" s="20" t="n">
        <f aca="false">D18*E18</f>
        <v>1414.08</v>
      </c>
      <c r="J18" s="20" t="n">
        <f aca="false">D18*F18</f>
        <v>748.2</v>
      </c>
      <c r="K18" s="20" t="n">
        <f aca="false">D18*G18</f>
        <v>825.6</v>
      </c>
      <c r="L18" s="21" t="n">
        <f aca="false">D18*H18</f>
        <v>748.2</v>
      </c>
      <c r="M18" s="22" t="n">
        <f aca="false">(G18-F18)/F18</f>
        <v>0.103448275862069</v>
      </c>
      <c r="N18" s="23" t="n">
        <f aca="false">(H18-G18)/G18</f>
        <v>-0.09375</v>
      </c>
      <c r="O18" s="22" t="n">
        <f aca="false">(H18-F18)/F18</f>
        <v>0</v>
      </c>
      <c r="P18" s="24" t="n">
        <v>165.91</v>
      </c>
      <c r="Q18" s="24" t="n">
        <f aca="false">D18*P18</f>
        <v>663.64</v>
      </c>
    </row>
    <row r="19" customFormat="false" ht="15" hidden="false" customHeight="false" outlineLevel="0" collapsed="false">
      <c r="A19" s="12" t="n">
        <v>14</v>
      </c>
      <c r="B19" s="12" t="s">
        <v>56</v>
      </c>
      <c r="C19" s="12" t="s">
        <v>57</v>
      </c>
      <c r="D19" s="13" t="n">
        <v>2</v>
      </c>
      <c r="E19" s="20" t="n">
        <v>421.06</v>
      </c>
      <c r="F19" s="20" t="n">
        <v>230.55</v>
      </c>
      <c r="G19" s="20" t="n">
        <v>254.4</v>
      </c>
      <c r="H19" s="21" t="n">
        <v>230.55</v>
      </c>
      <c r="I19" s="20" t="n">
        <f aca="false">D19*E19</f>
        <v>842.12</v>
      </c>
      <c r="J19" s="20" t="n">
        <f aca="false">D19*F19</f>
        <v>461.1</v>
      </c>
      <c r="K19" s="20" t="n">
        <f aca="false">D19*G19</f>
        <v>508.8</v>
      </c>
      <c r="L19" s="21" t="n">
        <f aca="false">D19*H19</f>
        <v>461.1</v>
      </c>
      <c r="M19" s="22" t="n">
        <f aca="false">(G19-F19)/F19</f>
        <v>0.103448275862069</v>
      </c>
      <c r="N19" s="23" t="n">
        <f aca="false">(H19-G19)/G19</f>
        <v>-0.09375</v>
      </c>
      <c r="O19" s="22" t="n">
        <f aca="false">(H19-F19)/F19</f>
        <v>0</v>
      </c>
      <c r="P19" s="24" t="n">
        <v>292.3</v>
      </c>
      <c r="Q19" s="24" t="n">
        <f aca="false">D19*P19</f>
        <v>584.6</v>
      </c>
    </row>
    <row r="20" customFormat="false" ht="15" hidden="false" customHeight="false" outlineLevel="0" collapsed="false">
      <c r="A20" s="12" t="n">
        <v>15</v>
      </c>
      <c r="B20" s="12" t="s">
        <v>58</v>
      </c>
      <c r="C20" s="12" t="s">
        <v>59</v>
      </c>
      <c r="D20" s="13" t="n">
        <v>2</v>
      </c>
      <c r="E20" s="20" t="n">
        <v>315.91</v>
      </c>
      <c r="F20" s="20" t="n">
        <v>690.2</v>
      </c>
      <c r="G20" s="20" t="n">
        <v>523.6</v>
      </c>
      <c r="H20" s="21" t="n">
        <v>523.6</v>
      </c>
      <c r="I20" s="20" t="n">
        <f aca="false">D20*E20</f>
        <v>631.82</v>
      </c>
      <c r="J20" s="20" t="n">
        <f aca="false">D20*F20</f>
        <v>1380.4</v>
      </c>
      <c r="K20" s="20" t="n">
        <f aca="false">D20*G20</f>
        <v>1047.2</v>
      </c>
      <c r="L20" s="21" t="n">
        <f aca="false">D20*H20</f>
        <v>1047.2</v>
      </c>
      <c r="M20" s="22" t="n">
        <f aca="false">(G20-F20)/F20</f>
        <v>-0.241379310344828</v>
      </c>
      <c r="N20" s="22" t="n">
        <f aca="false">(H20-G20)/G20</f>
        <v>0</v>
      </c>
      <c r="O20" s="23" t="n">
        <f aca="false">(H20-F20)/F20</f>
        <v>-0.241379310344828</v>
      </c>
      <c r="P20" s="24" t="n">
        <v>284.5</v>
      </c>
      <c r="Q20" s="24" t="n">
        <f aca="false">D20*P20</f>
        <v>569</v>
      </c>
    </row>
    <row r="21" customFormat="false" ht="15" hidden="false" customHeight="false" outlineLevel="0" collapsed="false">
      <c r="A21" s="15"/>
      <c r="B21" s="15"/>
      <c r="C21" s="15" t="s">
        <v>84</v>
      </c>
      <c r="D21" s="15"/>
      <c r="E21" s="15"/>
      <c r="F21" s="15"/>
      <c r="G21" s="15"/>
      <c r="H21" s="15"/>
      <c r="I21" s="25" t="n">
        <f aca="false">SUM(I6:I20)</f>
        <v>27518.22</v>
      </c>
      <c r="J21" s="25" t="n">
        <f aca="false">SUM(J6:J20)</f>
        <v>11101.2</v>
      </c>
      <c r="K21" s="25" t="n">
        <f aca="false">SUM(K6:K20)</f>
        <v>11235.8</v>
      </c>
      <c r="L21" s="26" t="n">
        <f aca="false">SUM(L6:L20)</f>
        <v>10394</v>
      </c>
      <c r="M21" s="27" t="n">
        <f aca="false">(K21-J21)/J21</f>
        <v>0.0121248153352793</v>
      </c>
      <c r="N21" s="28" t="n">
        <f aca="false">(L21-K21)/K21</f>
        <v>-0.0749212339130281</v>
      </c>
      <c r="O21" s="28" t="n">
        <f aca="false">(L21-J21)/J21</f>
        <v>-0.0637048247036356</v>
      </c>
      <c r="P21" s="15"/>
      <c r="Q21" s="29" t="n">
        <f aca="false">SUM(Q6:Q20)</f>
        <v>8915.44</v>
      </c>
    </row>
    <row r="23" customFormat="false" ht="15" hidden="false" customHeight="false" outlineLevel="0" collapsed="false">
      <c r="A23" s="17" t="s">
        <v>85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</row>
    <row r="24" customFormat="false" ht="15" hidden="false" customHeight="false" outlineLevel="0" collapsed="false">
      <c r="A24" s="17" t="s">
        <v>86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</row>
    <row r="25" customFormat="false" ht="15" hidden="false" customHeight="false" outlineLevel="0" collapsed="false">
      <c r="A25" s="17" t="s">
        <v>87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</row>
    <row r="26" customFormat="false" ht="15" hidden="false" customHeight="false" outlineLevel="0" collapsed="false">
      <c r="A26" s="17" t="s">
        <v>88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</row>
    <row r="27" customFormat="false" ht="15" hidden="false" customHeight="false" outlineLevel="0" collapsed="false">
      <c r="A27" s="17" t="s">
        <v>89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</row>
    <row r="28" customFormat="false" ht="15" hidden="false" customHeight="false" outlineLevel="0" collapsed="false">
      <c r="A28" s="17" t="s">
        <v>90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</row>
  </sheetData>
  <mergeCells count="13">
    <mergeCell ref="A1:Q1"/>
    <mergeCell ref="A2:Q2"/>
    <mergeCell ref="A4:C4"/>
    <mergeCell ref="E4:H4"/>
    <mergeCell ref="I4:L4"/>
    <mergeCell ref="M4:O4"/>
    <mergeCell ref="P4:Q4"/>
    <mergeCell ref="A23:Q23"/>
    <mergeCell ref="A24:Q24"/>
    <mergeCell ref="A25:Q25"/>
    <mergeCell ref="A26:Q26"/>
    <mergeCell ref="A27:Q27"/>
    <mergeCell ref="A28:Q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4" min="2" style="0" width="18"/>
  </cols>
  <sheetData>
    <row r="1" customFormat="false" ht="17.35" hidden="false" customHeight="false" outlineLevel="0" collapsed="false">
      <c r="A1" s="1" t="s">
        <v>91</v>
      </c>
      <c r="B1" s="1"/>
      <c r="C1" s="1"/>
      <c r="D1" s="1"/>
    </row>
    <row r="3" customFormat="false" ht="15" hidden="false" customHeight="false" outlineLevel="0" collapsed="false">
      <c r="A3" s="30" t="s">
        <v>92</v>
      </c>
      <c r="B3" s="30"/>
      <c r="C3" s="30"/>
      <c r="D3" s="30"/>
    </row>
    <row r="4" customFormat="false" ht="15" hidden="false" customHeight="false" outlineLevel="0" collapsed="false">
      <c r="A4" s="12" t="s">
        <v>6</v>
      </c>
      <c r="B4" s="20" t="n">
        <f aca="false">'Four-Quote Comparison'!I21</f>
        <v>27518.22</v>
      </c>
    </row>
    <row r="5" customFormat="false" ht="15" hidden="false" customHeight="false" outlineLevel="0" collapsed="false">
      <c r="A5" s="12" t="s">
        <v>93</v>
      </c>
      <c r="B5" s="20" t="n">
        <f aca="false">'Four-Quote Comparison'!J21</f>
        <v>11101.2</v>
      </c>
    </row>
    <row r="6" customFormat="false" ht="15" hidden="false" customHeight="false" outlineLevel="0" collapsed="false">
      <c r="A6" s="12" t="s">
        <v>94</v>
      </c>
      <c r="B6" s="20" t="n">
        <f aca="false">'Four-Quote Comparison'!K21</f>
        <v>11235.8</v>
      </c>
    </row>
    <row r="7" customFormat="false" ht="15" hidden="false" customHeight="false" outlineLevel="0" collapsed="false">
      <c r="A7" s="31" t="s">
        <v>95</v>
      </c>
      <c r="B7" s="21" t="n">
        <f aca="false">'Four-Quote Comparison'!L21</f>
        <v>10394</v>
      </c>
    </row>
    <row r="9" customFormat="false" ht="15" hidden="false" customHeight="false" outlineLevel="0" collapsed="false">
      <c r="A9" s="12" t="s">
        <v>96</v>
      </c>
      <c r="B9" s="32" t="n">
        <f aca="false">'Four-Quote Comparison'!L21-'Four-Quote Comparison'!I21</f>
        <v>-17124.22</v>
      </c>
    </row>
    <row r="10" customFormat="false" ht="15" hidden="false" customHeight="false" outlineLevel="0" collapsed="false">
      <c r="A10" s="12" t="s">
        <v>97</v>
      </c>
      <c r="B10" s="22" t="n">
        <f aca="false">('Four-Quote Comparison'!L21-'Four-Quote Comparison'!I21)/'Four-Quote Comparison'!I21</f>
        <v>-0.622286615922105</v>
      </c>
    </row>
    <row r="11" customFormat="false" ht="15" hidden="false" customHeight="false" outlineLevel="0" collapsed="false">
      <c r="A11" s="12" t="s">
        <v>98</v>
      </c>
      <c r="B11" s="32" t="n">
        <f aca="false">'Four-Quote Comparison'!L21-'Four-Quote Comparison'!J21</f>
        <v>-707.199999999999</v>
      </c>
    </row>
    <row r="12" customFormat="false" ht="15" hidden="false" customHeight="false" outlineLevel="0" collapsed="false">
      <c r="A12" s="12" t="s">
        <v>99</v>
      </c>
      <c r="B12" s="22" t="n">
        <f aca="false">'Four-Quote Comparison'!O21</f>
        <v>-0.0637048247036356</v>
      </c>
    </row>
    <row r="13" customFormat="false" ht="15" hidden="false" customHeight="false" outlineLevel="0" collapsed="false">
      <c r="A13" s="12" t="s">
        <v>100</v>
      </c>
      <c r="B13" s="32" t="n">
        <f aca="false">'Four-Quote Comparison'!L21-'Four-Quote Comparison'!K21</f>
        <v>-841.800000000001</v>
      </c>
    </row>
    <row r="14" customFormat="false" ht="15" hidden="false" customHeight="false" outlineLevel="0" collapsed="false">
      <c r="A14" s="12" t="s">
        <v>101</v>
      </c>
      <c r="B14" s="22" t="n">
        <f aca="false">'Four-Quote Comparison'!N21</f>
        <v>-0.0749212339130281</v>
      </c>
    </row>
    <row r="16" customFormat="false" ht="15" hidden="false" customHeight="false" outlineLevel="0" collapsed="false">
      <c r="A16" s="33" t="s">
        <v>102</v>
      </c>
      <c r="B16" s="24" t="n">
        <f aca="false">'Four-Quote Comparison'!Q21</f>
        <v>8915.44</v>
      </c>
    </row>
    <row r="17" customFormat="false" ht="15" hidden="false" customHeight="false" outlineLevel="0" collapsed="false">
      <c r="A17" s="33" t="s">
        <v>103</v>
      </c>
      <c r="B17" s="34" t="n">
        <f aca="false">'Four-Quote Comparison'!L21-'Four-Quote Comparison'!Q21</f>
        <v>1478.56</v>
      </c>
    </row>
    <row r="18" customFormat="false" ht="15" hidden="false" customHeight="false" outlineLevel="0" collapsed="false">
      <c r="A18" s="33" t="s">
        <v>104</v>
      </c>
      <c r="B18" s="35" t="n">
        <f aca="false">('Four-Quote Comparison'!L21-'Four-Quote Comparison'!Q21)/'Four-Quote Comparison'!Q21</f>
        <v>0.165842628069955</v>
      </c>
    </row>
    <row r="20" customFormat="false" ht="15" hidden="false" customHeight="false" outlineLevel="0" collapsed="false">
      <c r="A20" s="30" t="s">
        <v>105</v>
      </c>
      <c r="B20" s="30"/>
      <c r="C20" s="30"/>
      <c r="D20" s="30"/>
    </row>
    <row r="21" customFormat="false" ht="15" hidden="false" customHeight="false" outlineLevel="0" collapsed="false">
      <c r="A21" s="3" t="s">
        <v>106</v>
      </c>
      <c r="B21" s="3" t="s">
        <v>107</v>
      </c>
      <c r="C21" s="3" t="s">
        <v>108</v>
      </c>
      <c r="D21" s="3" t="s">
        <v>109</v>
      </c>
    </row>
    <row r="22" customFormat="false" ht="15" hidden="false" customHeight="false" outlineLevel="0" collapsed="false">
      <c r="A22" s="36" t="s">
        <v>110</v>
      </c>
      <c r="B22" s="13" t="n">
        <f aca="false">COUNTIF('Four-Quote Comparison'!O6:O20,"=0")</f>
        <v>12</v>
      </c>
      <c r="C22" s="20" t="n">
        <f aca="false">SUMIF('Four-Quote Comparison'!O6:O20,"=0",'Four-Quote Comparison'!J6:J20)</f>
        <v>8137.4</v>
      </c>
      <c r="D22" s="20" t="n">
        <f aca="false">SUMIF('Four-Quote Comparison'!O6:O20,"=0",'Four-Quote Comparison'!L6:L20)</f>
        <v>8137.4</v>
      </c>
    </row>
    <row r="23" customFormat="false" ht="15" hidden="false" customHeight="false" outlineLevel="0" collapsed="false">
      <c r="A23" s="37" t="s">
        <v>111</v>
      </c>
      <c r="B23" s="13" t="n">
        <f aca="false">COUNTIF('Four-Quote Comparison'!O6:O20,"&lt;0")</f>
        <v>3</v>
      </c>
      <c r="C23" s="20" t="n">
        <f aca="false">SUMIF('Four-Quote Comparison'!O6:O20,"&lt;0",'Four-Quote Comparison'!J6:J20)</f>
        <v>2963.8</v>
      </c>
      <c r="D23" s="20" t="n">
        <f aca="false">SUMIF('Four-Quote Comparison'!O6:O20,"&lt;0",'Four-Quote Comparison'!L6:L20)</f>
        <v>2256.6</v>
      </c>
    </row>
    <row r="25" customFormat="false" ht="15" hidden="false" customHeight="false" outlineLevel="0" collapsed="false">
      <c r="A25" s="30" t="s">
        <v>112</v>
      </c>
      <c r="B25" s="30"/>
      <c r="C25" s="30"/>
      <c r="D25" s="30"/>
    </row>
    <row r="26" customFormat="false" ht="54.75" hidden="false" customHeight="true" outlineLevel="0" collapsed="false">
      <c r="A26" s="38" t="s">
        <v>113</v>
      </c>
      <c r="B26" s="38"/>
      <c r="C26" s="38"/>
      <c r="D26" s="38"/>
    </row>
    <row r="27" customFormat="false" ht="54.75" hidden="false" customHeight="true" outlineLevel="0" collapsed="false">
      <c r="A27" s="38" t="s">
        <v>114</v>
      </c>
      <c r="B27" s="38"/>
      <c r="C27" s="38"/>
      <c r="D27" s="38"/>
    </row>
    <row r="28" customFormat="false" ht="54.75" hidden="false" customHeight="true" outlineLevel="0" collapsed="false">
      <c r="A28" s="38" t="s">
        <v>115</v>
      </c>
      <c r="B28" s="38"/>
      <c r="C28" s="38"/>
      <c r="D28" s="38"/>
    </row>
    <row r="29" customFormat="false" ht="54.75" hidden="false" customHeight="true" outlineLevel="0" collapsed="false">
      <c r="A29" s="38" t="s">
        <v>116</v>
      </c>
      <c r="B29" s="38"/>
      <c r="C29" s="38"/>
      <c r="D29" s="38"/>
    </row>
    <row r="30" customFormat="false" ht="54.75" hidden="false" customHeight="true" outlineLevel="0" collapsed="false">
      <c r="A30" s="38" t="s">
        <v>117</v>
      </c>
      <c r="B30" s="38"/>
      <c r="C30" s="38"/>
      <c r="D30" s="38"/>
    </row>
    <row r="31" customFormat="false" ht="54.75" hidden="false" customHeight="true" outlineLevel="0" collapsed="false">
      <c r="A31" s="38" t="s">
        <v>118</v>
      </c>
      <c r="B31" s="38"/>
      <c r="C31" s="38"/>
      <c r="D31" s="38"/>
    </row>
  </sheetData>
  <mergeCells count="10">
    <mergeCell ref="A1:D1"/>
    <mergeCell ref="A3:D3"/>
    <mergeCell ref="A20:D20"/>
    <mergeCell ref="A25:D25"/>
    <mergeCell ref="A26:D26"/>
    <mergeCell ref="A27:D27"/>
    <mergeCell ref="A28:D28"/>
    <mergeCell ref="A29:D29"/>
    <mergeCell ref="A30:D30"/>
    <mergeCell ref="A31:D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2026-05-13T14:55:56Z</dcterms:created>
  <dc:creator>openpyxl</dc:creator>
  <dc:description/>
  <dc:language>en-US</dc:language>
  <cp:lastModifiedBy/>
  <dcterms:modified xsi:type="dcterms:W3CDTF">2026-05-13T14:55:56Z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