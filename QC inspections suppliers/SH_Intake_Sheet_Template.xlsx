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ake Sheet" sheetId="1" state="visible" r:id="rId1"/>
  </sheets>
  <definedNames>
    <definedName name="_xlnm.Print_Area" localSheetId="0">'Intake Sheet'!$A$1:$P$44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6B7280"/>
      <sz val="8.5"/>
    </font>
    <font>
      <b val="1"/>
      <color rgb="FFFFFFFF"/>
      <sz val="11"/>
    </font>
    <font>
      <b val="1"/>
      <sz val="10"/>
    </font>
    <font>
      <b val="1"/>
      <sz val="9"/>
    </font>
  </fonts>
  <fills count="5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FF2CC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B0B6BF"/>
      </left>
      <right style="thin">
        <color rgb="FFB0B6BF"/>
      </right>
      <top style="thin">
        <color rgb="FFB0B6BF"/>
      </top>
      <bottom style="thin">
        <color rgb="FFB0B6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indent="1"/>
    </xf>
    <xf numFmtId="0" fontId="4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inden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0" customWidth="1" min="4" max="4"/>
    <col width="9" customWidth="1" min="5" max="5"/>
    <col width="8" customWidth="1" min="6" max="6"/>
    <col width="8" customWidth="1" min="7" max="7"/>
    <col width="9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15" customWidth="1" min="14" max="14"/>
    <col width="8" customWidth="1" min="15" max="15"/>
    <col width="10" customWidth="1" min="16" max="16"/>
  </cols>
  <sheetData>
    <row r="1" ht="24" customHeight="1">
      <c r="A1" s="1" t="inlineStr">
        <is>
          <t>SH TISSUE INTAKE — VISIT TALLY SHEET (all parts, one sheet per visit)</t>
        </is>
      </c>
    </row>
    <row r="2" ht="22" customHeight="1">
      <c r="A2" s="2" t="inlineStr">
        <is>
          <t>One row per part code in Section 1; tag every failed unit in Section 2 (as many defect rows per line as needed). Yellow cells are inputs. First names only.</t>
        </is>
      </c>
    </row>
    <row r="4" ht="18" customHeight="1">
      <c r="A4" s="3" t="inlineStr">
        <is>
          <t>VISIT</t>
        </is>
      </c>
    </row>
    <row r="5" ht="17" customHeight="1">
      <c r="A5" s="4" t="inlineStr">
        <is>
          <t>Slaughterhouse</t>
        </is>
      </c>
      <c r="B5" s="5" t="n"/>
      <c r="C5" s="6" t="n"/>
      <c r="D5" s="7" t="n"/>
      <c r="E5" s="7" t="n"/>
      <c r="F5" s="4" t="inlineStr">
        <is>
          <t>Harvest date (MM/DD/YYYY)</t>
        </is>
      </c>
      <c r="G5" s="5" t="n"/>
      <c r="H5" s="5" t="n"/>
      <c r="I5" s="6" t="n"/>
      <c r="J5" s="7" t="n"/>
      <c r="K5" s="7" t="n"/>
    </row>
    <row r="6" ht="17" customHeight="1">
      <c r="A6" s="4" t="inlineStr">
        <is>
          <t>IQC inspector (first name)</t>
        </is>
      </c>
      <c r="B6" s="5" t="n"/>
      <c r="C6" s="6" t="n"/>
      <c r="D6" s="7" t="n"/>
      <c r="E6" s="7" t="n"/>
      <c r="F6" s="4" t="inlineStr">
        <is>
          <t>Harvest tech (first name)</t>
        </is>
      </c>
      <c r="G6" s="5" t="n"/>
      <c r="H6" s="5" t="n"/>
      <c r="I6" s="6" t="n"/>
      <c r="J6" s="7" t="n"/>
      <c r="K6" s="7" t="n"/>
    </row>
    <row r="8" ht="18" customHeight="1">
      <c r="A8" s="3" t="inlineStr">
        <is>
          <t>1 · PART LINES — one row per part code inspected this visit</t>
        </is>
      </c>
    </row>
    <row r="9" ht="22" customHeight="1">
      <c r="A9" s="8" t="inlineStr">
        <is>
          <t>Line</t>
        </is>
      </c>
      <c r="B9" s="8" t="inlineStr">
        <is>
          <t>Part code</t>
        </is>
      </c>
      <c r="C9" s="8" t="inlineStr">
        <is>
          <t>Lot / batch #</t>
        </is>
      </c>
      <c r="D9" s="8" t="inlineStr">
        <is>
          <t># Received</t>
        </is>
      </c>
      <c r="E9" s="8" t="inlineStr">
        <is>
          <t>PRE-HARVEST SCREEN (before receipt)</t>
        </is>
      </c>
      <c r="F9" s="5" t="n"/>
      <c r="G9" s="5" t="n"/>
      <c r="H9" s="8" t="inlineStr">
        <is>
          <t>HARVESTER VERIFICATION</t>
        </is>
      </c>
      <c r="I9" s="5" t="n"/>
      <c r="J9" s="5" t="n"/>
      <c r="K9" s="8" t="inlineStr">
        <is>
          <t>IQC — blocks passed to us</t>
        </is>
      </c>
      <c r="L9" s="5" t="n"/>
      <c r="M9" s="5" t="n"/>
      <c r="N9" s="8" t="inlineStr">
        <is>
          <t>Counts check</t>
        </is>
      </c>
      <c r="O9" s="8" t="inlineStr">
        <is>
          <t>REASONS</t>
        </is>
      </c>
      <c r="P9" s="5" t="n"/>
    </row>
    <row r="10" ht="22" customHeight="1">
      <c r="A10" s="5" t="n"/>
      <c r="B10" s="5" t="n"/>
      <c r="C10" s="5" t="n"/>
      <c r="D10" s="5" t="n"/>
      <c r="E10" s="8" t="inlineStr">
        <is>
          <t>Screen? Y/N</t>
        </is>
      </c>
      <c r="F10" s="8" t="inlineStr">
        <is>
          <t># Passed</t>
        </is>
      </c>
      <c r="G10" s="8" t="inlineStr">
        <is>
          <t># Failed</t>
        </is>
      </c>
      <c r="H10" s="8" t="inlineStr">
        <is>
          <t>Screen? Y/N</t>
        </is>
      </c>
      <c r="I10" s="8" t="inlineStr">
        <is>
          <t># Passed</t>
        </is>
      </c>
      <c r="J10" s="8" t="inlineStr">
        <is>
          <t># Rejected</t>
        </is>
      </c>
      <c r="K10" s="8" t="inlineStr">
        <is>
          <t># Pass</t>
        </is>
      </c>
      <c r="L10" s="8" t="inlineStr">
        <is>
          <t># Fail</t>
        </is>
      </c>
      <c r="M10" s="8" t="inlineStr">
        <is>
          <t>Reject rate</t>
        </is>
      </c>
      <c r="N10" s="5" t="n"/>
      <c r="O10" s="8" t="inlineStr">
        <is>
          <t># Tagged</t>
        </is>
      </c>
      <c r="P10" s="8" t="inlineStr">
        <is>
          <t>Check</t>
        </is>
      </c>
    </row>
    <row r="11" ht="17" customHeight="1">
      <c r="A11" s="9" t="n">
        <v>1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10">
        <f>IF(L11+K11=0,"",L11/(K11+L11))</f>
        <v/>
      </c>
      <c r="N11" s="11">
        <f>IF(D11="","",IF(AND(IF(E11="Yes",F11+G11=D11,TRUE),IF(H11="Yes",I11+J11=IF(E11="Yes",F11,D11),TRUE),K11+L11=IF(H11="Yes",I11,IF(E11="Yes",F11,D11))),"OK","CHECK"))</f>
        <v/>
      </c>
      <c r="O11" s="11">
        <f>IF(D11="","",SUMIFS($D$22:$D$36,$A$22:$A$36,A11))</f>
        <v/>
      </c>
      <c r="P11" s="11">
        <f>IF(D11="","",IF(O11=G11+J11+L11,"OK","CHECK"))</f>
        <v/>
      </c>
    </row>
    <row r="12" ht="17" customHeight="1">
      <c r="A12" s="9" t="n">
        <v>2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10">
        <f>IF(L12+K12=0,"",L12/(K12+L12))</f>
        <v/>
      </c>
      <c r="N12" s="11">
        <f>IF(D12="","",IF(AND(IF(E12="Yes",F12+G12=D12,TRUE),IF(H12="Yes",I12+J12=IF(E12="Yes",F12,D12),TRUE),K12+L12=IF(H12="Yes",I12,IF(E12="Yes",F12,D12))),"OK","CHECK"))</f>
        <v/>
      </c>
      <c r="O12" s="11">
        <f>IF(D12="","",SUMIFS($D$22:$D$36,$A$22:$A$36,A12))</f>
        <v/>
      </c>
      <c r="P12" s="11">
        <f>IF(D12="","",IF(O12=G12+J12+L12,"OK","CHECK"))</f>
        <v/>
      </c>
    </row>
    <row r="13" ht="17" customHeight="1">
      <c r="A13" s="9" t="n">
        <v>3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10">
        <f>IF(L13+K13=0,"",L13/(K13+L13))</f>
        <v/>
      </c>
      <c r="N13" s="11">
        <f>IF(D13="","",IF(AND(IF(E13="Yes",F13+G13=D13,TRUE),IF(H13="Yes",I13+J13=IF(E13="Yes",F13,D13),TRUE),K13+L13=IF(H13="Yes",I13,IF(E13="Yes",F13,D13))),"OK","CHECK"))</f>
        <v/>
      </c>
      <c r="O13" s="11">
        <f>IF(D13="","",SUMIFS($D$22:$D$36,$A$22:$A$36,A13))</f>
        <v/>
      </c>
      <c r="P13" s="11">
        <f>IF(D13="","",IF(O13=G13+J13+L13,"OK","CHECK"))</f>
        <v/>
      </c>
    </row>
    <row r="14" ht="17" customHeight="1">
      <c r="A14" s="9" t="n">
        <v>4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10">
        <f>IF(L14+K14=0,"",L14/(K14+L14))</f>
        <v/>
      </c>
      <c r="N14" s="11">
        <f>IF(D14="","",IF(AND(IF(E14="Yes",F14+G14=D14,TRUE),IF(H14="Yes",I14+J14=IF(E14="Yes",F14,D14),TRUE),K14+L14=IF(H14="Yes",I14,IF(E14="Yes",F14,D14))),"OK","CHECK"))</f>
        <v/>
      </c>
      <c r="O14" s="11">
        <f>IF(D14="","",SUMIFS($D$22:$D$36,$A$22:$A$36,A14))</f>
        <v/>
      </c>
      <c r="P14" s="11">
        <f>IF(D14="","",IF(O14=G14+J14+L14,"OK","CHECK"))</f>
        <v/>
      </c>
    </row>
    <row r="15" ht="17" customHeight="1">
      <c r="A15" s="9" t="n">
        <v>5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10">
        <f>IF(L15+K15=0,"",L15/(K15+L15))</f>
        <v/>
      </c>
      <c r="N15" s="11">
        <f>IF(D15="","",IF(AND(IF(E15="Yes",F15+G15=D15,TRUE),IF(H15="Yes",I15+J15=IF(E15="Yes",F15,D15),TRUE),K15+L15=IF(H15="Yes",I15,IF(E15="Yes",F15,D15))),"OK","CHECK"))</f>
        <v/>
      </c>
      <c r="O15" s="11">
        <f>IF(D15="","",SUMIFS($D$22:$D$36,$A$22:$A$36,A15))</f>
        <v/>
      </c>
      <c r="P15" s="11">
        <f>IF(D15="","",IF(O15=G15+J15+L15,"OK","CHECK"))</f>
        <v/>
      </c>
    </row>
    <row r="16" ht="17" customHeight="1">
      <c r="A16" s="9" t="n">
        <v>6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10">
        <f>IF(L16+K16=0,"",L16/(K16+L16))</f>
        <v/>
      </c>
      <c r="N16" s="11">
        <f>IF(D16="","",IF(AND(IF(E16="Yes",F16+G16=D16,TRUE),IF(H16="Yes",I16+J16=IF(E16="Yes",F16,D16),TRUE),K16+L16=IF(H16="Yes",I16,IF(E16="Yes",F16,D16))),"OK","CHECK"))</f>
        <v/>
      </c>
      <c r="O16" s="11">
        <f>IF(D16="","",SUMIFS($D$22:$D$36,$A$22:$A$36,A16))</f>
        <v/>
      </c>
      <c r="P16" s="11">
        <f>IF(D16="","",IF(O16=G16+J16+L16,"OK","CHECK"))</f>
        <v/>
      </c>
    </row>
    <row r="17" ht="17" customHeight="1">
      <c r="A17" s="12" t="inlineStr">
        <is>
          <t>TOTAL</t>
        </is>
      </c>
      <c r="B17" s="5" t="n"/>
      <c r="C17" s="5" t="n"/>
      <c r="D17" s="11">
        <f>IF(SUM(D11:D16)=0,"",SUM(D11:D16))</f>
        <v/>
      </c>
      <c r="E17" s="5" t="n"/>
      <c r="F17" s="11">
        <f>IF(SUM(F11:F16)=0,"",SUM(F11:F16))</f>
        <v/>
      </c>
      <c r="G17" s="11">
        <f>IF(SUM(G11:G16)=0,"",SUM(G11:G16))</f>
        <v/>
      </c>
      <c r="H17" s="5" t="n"/>
      <c r="I17" s="11">
        <f>IF(SUM(I11:I16)=0,"",SUM(I11:I16))</f>
        <v/>
      </c>
      <c r="J17" s="11">
        <f>IF(SUM(J11:J16)=0,"",SUM(J11:J16))</f>
        <v/>
      </c>
      <c r="K17" s="11">
        <f>IF(SUM(K11:K16)=0,"",SUM(K11:K16))</f>
        <v/>
      </c>
      <c r="L17" s="11">
        <f>IF(SUM(L11:L16)=0,"",SUM(L11:L16))</f>
        <v/>
      </c>
      <c r="M17" s="5" t="n"/>
      <c r="N17" s="11">
        <f>IF(D17="","",(SUM(G11:G16)+SUM(J11:J16)+SUM(L11:L16))&amp;" scrapped · "&amp;SUM(K11:K16)&amp;" usable")</f>
        <v/>
      </c>
      <c r="O17" s="11">
        <f>IF(SUM(O11:O16)=0,"",SUM(O11:O16))</f>
        <v/>
      </c>
      <c r="P17" s="5" t="n"/>
    </row>
    <row r="18" ht="24" customHeight="1">
      <c r="A18" s="2" t="inlineStr">
        <is>
          <t>Chain per line: pre-screen inspects # Received; harvester inspects what the pre-screen passed (or everything received); IQC inspects what the harvester passed. 'Counts check' flags any line that doesn't foot; 'Reasons check' flags fails not tagged below.</t>
        </is>
      </c>
    </row>
    <row r="20" ht="18" customHeight="1">
      <c r="A20" s="3" t="inlineStr">
        <is>
          <t>2 · REASONS — one row per defect found: which line, which stage, which code, how many units (use as many rows per line as needed)</t>
        </is>
      </c>
    </row>
    <row r="21" ht="17" customHeight="1">
      <c r="A21" s="8" t="inlineStr">
        <is>
          <t>Line</t>
        </is>
      </c>
      <c r="B21" s="8" t="inlineStr">
        <is>
          <t>Stage</t>
        </is>
      </c>
      <c r="C21" s="8" t="inlineStr">
        <is>
          <t>Code</t>
        </is>
      </c>
      <c r="D21" s="8" t="inlineStr">
        <is>
          <t># Units</t>
        </is>
      </c>
      <c r="E21" s="8" t="inlineStr">
        <is>
          <t>Detail (required for OTH; optional otherwise)</t>
        </is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15" customHeight="1">
      <c r="A22" s="6" t="n"/>
      <c r="B22" s="6" t="n"/>
      <c r="C22" s="6" t="n"/>
      <c r="D22" s="6" t="n"/>
      <c r="E22" s="13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15" customHeight="1">
      <c r="A23" s="6" t="n"/>
      <c r="B23" s="6" t="n"/>
      <c r="C23" s="6" t="n"/>
      <c r="D23" s="6" t="n"/>
      <c r="E23" s="13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 ht="15" customHeight="1">
      <c r="A24" s="6" t="n"/>
      <c r="B24" s="6" t="n"/>
      <c r="C24" s="6" t="n"/>
      <c r="D24" s="6" t="n"/>
      <c r="E24" s="13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 ht="15" customHeight="1">
      <c r="A25" s="6" t="n"/>
      <c r="B25" s="6" t="n"/>
      <c r="C25" s="6" t="n"/>
      <c r="D25" s="6" t="n"/>
      <c r="E25" s="13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 ht="15" customHeight="1">
      <c r="A26" s="6" t="n"/>
      <c r="B26" s="6" t="n"/>
      <c r="C26" s="6" t="n"/>
      <c r="D26" s="6" t="n"/>
      <c r="E26" s="13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 ht="15" customHeight="1">
      <c r="A27" s="6" t="n"/>
      <c r="B27" s="6" t="n"/>
      <c r="C27" s="6" t="n"/>
      <c r="D27" s="6" t="n"/>
      <c r="E27" s="13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 ht="15" customHeight="1">
      <c r="A28" s="6" t="n"/>
      <c r="B28" s="6" t="n"/>
      <c r="C28" s="6" t="n"/>
      <c r="D28" s="6" t="n"/>
      <c r="E28" s="13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 ht="15" customHeight="1">
      <c r="A29" s="6" t="n"/>
      <c r="B29" s="6" t="n"/>
      <c r="C29" s="6" t="n"/>
      <c r="D29" s="6" t="n"/>
      <c r="E29" s="13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15" customHeight="1">
      <c r="A30" s="6" t="n"/>
      <c r="B30" s="6" t="n"/>
      <c r="C30" s="6" t="n"/>
      <c r="D30" s="6" t="n"/>
      <c r="E30" s="13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 ht="15" customHeight="1">
      <c r="A31" s="6" t="n"/>
      <c r="B31" s="6" t="n"/>
      <c r="C31" s="6" t="n"/>
      <c r="D31" s="6" t="n"/>
      <c r="E31" s="13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 ht="15" customHeight="1">
      <c r="A32" s="6" t="n"/>
      <c r="B32" s="6" t="n"/>
      <c r="C32" s="6" t="n"/>
      <c r="D32" s="6" t="n"/>
      <c r="E32" s="13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 ht="15" customHeight="1">
      <c r="A33" s="6" t="n"/>
      <c r="B33" s="6" t="n"/>
      <c r="C33" s="6" t="n"/>
      <c r="D33" s="6" t="n"/>
      <c r="E33" s="13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 ht="15" customHeight="1">
      <c r="A34" s="6" t="n"/>
      <c r="B34" s="6" t="n"/>
      <c r="C34" s="6" t="n"/>
      <c r="D34" s="6" t="n"/>
      <c r="E34" s="13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 ht="15" customHeight="1">
      <c r="A35" s="6" t="n"/>
      <c r="B35" s="6" t="n"/>
      <c r="C35" s="6" t="n"/>
      <c r="D35" s="6" t="n"/>
      <c r="E35" s="13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 ht="15" customHeight="1">
      <c r="A36" s="6" t="n"/>
      <c r="B36" s="6" t="n"/>
      <c r="C36" s="6" t="n"/>
      <c r="D36" s="6" t="n"/>
      <c r="E36" s="13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 ht="24" customHeight="1">
      <c r="A37" s="2" t="inlineStr">
        <is>
          <t>Codes: URE urethra/bladder · MEM membrane · BOW bowel · SHT short block/mesentery · CRT critical-area laceration · URT ureter · LNG lung laceration · HRT heart · MIS missing anatomy (trachea) · BLC blood clots · HND handling/cleaning · DEF deformed ligaments · OTH other (must describe)</t>
        </is>
      </c>
    </row>
    <row r="39" ht="18" customHeight="1">
      <c r="A39" s="3" t="inlineStr">
        <is>
          <t>3 · NOTES — lot issues, labeled units, line conditions, anything not captured above</t>
        </is>
      </c>
    </row>
    <row r="40">
      <c r="A40" s="14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4">
      <c r="A44" s="2" t="inlineStr">
        <is>
          <t>Rules: every check cell must read OK · every failed unit tagged in Section 2 · lot/batch # per line · OTH needs a written detail · first names only.</t>
        </is>
      </c>
    </row>
  </sheetData>
  <mergeCells count="44">
    <mergeCell ref="F5:H5"/>
    <mergeCell ref="E28:P28"/>
    <mergeCell ref="A8:P8"/>
    <mergeCell ref="E9:G9"/>
    <mergeCell ref="A4:P4"/>
    <mergeCell ref="E31:P31"/>
    <mergeCell ref="O9:P9"/>
    <mergeCell ref="A20:P20"/>
    <mergeCell ref="A6:B6"/>
    <mergeCell ref="E30:P30"/>
    <mergeCell ref="E34:P34"/>
    <mergeCell ref="C9:C10"/>
    <mergeCell ref="E35:P35"/>
    <mergeCell ref="A44:P44"/>
    <mergeCell ref="E29:P29"/>
    <mergeCell ref="I5:K5"/>
    <mergeCell ref="E27:P27"/>
    <mergeCell ref="A17:C17"/>
    <mergeCell ref="A39:P39"/>
    <mergeCell ref="E36:P36"/>
    <mergeCell ref="E26:P26"/>
    <mergeCell ref="B9:B10"/>
    <mergeCell ref="D9:D10"/>
    <mergeCell ref="E32:P32"/>
    <mergeCell ref="E25:P25"/>
    <mergeCell ref="A40:P42"/>
    <mergeCell ref="A1:P1"/>
    <mergeCell ref="N9:N10"/>
    <mergeCell ref="A5:B5"/>
    <mergeCell ref="E22:P22"/>
    <mergeCell ref="E21:P21"/>
    <mergeCell ref="C6:E6"/>
    <mergeCell ref="I6:K6"/>
    <mergeCell ref="F6:H6"/>
    <mergeCell ref="C5:E5"/>
    <mergeCell ref="E24:P24"/>
    <mergeCell ref="A9:A10"/>
    <mergeCell ref="K9:M9"/>
    <mergeCell ref="E33:P33"/>
    <mergeCell ref="A18:P18"/>
    <mergeCell ref="A37:P37"/>
    <mergeCell ref="E23:P23"/>
    <mergeCell ref="H9:J9"/>
    <mergeCell ref="A2:P2"/>
  </mergeCells>
  <dataValidations count="6">
    <dataValidation sqref="C5" showDropDown="0" showInputMessage="0" showErrorMessage="0" allowBlank="1" type="list">
      <formula1>"Martins,Parks Family Meats,Nahunta,Other"</formula1>
    </dataValidation>
    <dataValidation sqref="B11:B16" showDropDown="0" showInputMessage="0" showErrorMessage="0" allowBlank="1" type="list">
      <formula1>"666541,666506,666518,666521,Other"</formula1>
    </dataValidation>
    <dataValidation sqref="E11:E16 H11:H16" showDropDown="0" showInputMessage="0" showErrorMessage="0" allowBlank="1" type="list">
      <formula1>"Yes,No"</formula1>
    </dataValidation>
    <dataValidation sqref="A22:A36" showDropDown="0" showInputMessage="0" showErrorMessage="0" allowBlank="1" type="list">
      <formula1>"1,2,3,4,5,6"</formula1>
    </dataValidation>
    <dataValidation sqref="B22:B36" showDropDown="0" showInputMessage="0" showErrorMessage="0" allowBlank="1" type="list">
      <formula1>"Pre-harvest,Harvester,IQC"</formula1>
    </dataValidation>
    <dataValidation sqref="C22:C36" showDropDown="0" showInputMessage="0" showErrorMessage="0" allowBlank="1" type="list">
      <formula1>"URE,MEM,BOW,SHT,CRT,URT,LNG,HRT,MIS,BLC,HND,DEF,OTH"</formula1>
    </dataValidation>
  </dataValidation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2026-09-17T14:49:36Z</dcterms:created>
  <dcterms:modified xmlns:dcterms="http://purl.org/dc/terms/" xmlns:xsi="http://www.w3.org/2001/XMLSchema-instance" xsi:type="dcterms:W3CDTF">2026-09-17T14:49:37Z</dcterms:modified>
</cp:coreProperties>
</file>