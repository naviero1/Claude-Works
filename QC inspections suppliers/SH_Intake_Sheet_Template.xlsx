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ake Sheet" sheetId="1" state="visible" r:id="rId1"/>
  </sheets>
  <definedNames>
    <definedName name="_xlnm.Print_Area" localSheetId="0">'Intake Sheet'!$A$1:$G$47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FFFFFFFF"/>
      <sz val="15"/>
    </font>
    <font>
      <i val="1"/>
      <color rgb="FF6B7280"/>
      <sz val="9"/>
    </font>
    <font>
      <b val="1"/>
      <color rgb="FFFFFFFF"/>
      <sz val="11"/>
    </font>
    <font>
      <b val="1"/>
      <sz val="10"/>
    </font>
    <font>
      <i val="1"/>
      <color rgb="FF6B7280"/>
      <sz val="8.5"/>
    </font>
    <font>
      <b val="1"/>
      <sz val="9.5"/>
    </font>
    <font>
      <sz val="10"/>
    </font>
  </fonts>
  <fills count="5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FFF2CC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B0B6BF"/>
      </left>
      <right style="thin">
        <color rgb="FFB0B6BF"/>
      </right>
      <top style="thin">
        <color rgb="FFB0B6BF"/>
      </top>
      <bottom style="thin">
        <color rgb="FFB0B6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indent="1"/>
    </xf>
    <xf numFmtId="0" fontId="4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164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1" customWidth="1" min="5" max="5"/>
    <col width="12" customWidth="1" min="6" max="6"/>
    <col width="26" customWidth="1" min="7" max="7"/>
  </cols>
  <sheetData>
    <row r="1" ht="26" customHeight="1">
      <c r="A1" s="1" t="inlineStr">
        <is>
          <t>SH TISSUE INTAKE — IQC TALLY SHEET</t>
        </is>
      </c>
    </row>
    <row r="2" ht="24" customHeight="1">
      <c r="A2" s="2" t="inlineStr">
        <is>
          <t>One sheet per part, per harvest date. Fill every yellow cell that applies. Every failed unit must be tagged in Section 3 — totals must foot. First names only.</t>
        </is>
      </c>
    </row>
    <row r="4" ht="18" customHeight="1">
      <c r="A4" s="3" t="inlineStr">
        <is>
          <t>VISIT &amp; PART</t>
        </is>
      </c>
    </row>
    <row r="5" ht="17" customHeight="1">
      <c r="A5" s="4" t="inlineStr">
        <is>
          <t>Slaughterhouse</t>
        </is>
      </c>
      <c r="B5" s="5" t="n"/>
      <c r="C5" s="6" t="n"/>
      <c r="D5" s="4" t="inlineStr">
        <is>
          <t>Harvest date (MM/DD/YYYY)</t>
        </is>
      </c>
      <c r="E5" s="7" t="n"/>
      <c r="F5" s="5" t="n"/>
      <c r="G5" s="6" t="n"/>
    </row>
    <row r="6" ht="17" customHeight="1">
      <c r="A6" s="4" t="inlineStr">
        <is>
          <t>Lot / batch # (required)</t>
        </is>
      </c>
      <c r="B6" s="5" t="n"/>
      <c r="C6" s="6" t="n"/>
      <c r="D6" s="4" t="inlineStr">
        <is>
          <t>IQC inspector (first name)</t>
        </is>
      </c>
      <c r="E6" s="7" t="n"/>
      <c r="F6" s="5" t="n"/>
      <c r="G6" s="6" t="n"/>
    </row>
    <row r="7" ht="17" customHeight="1">
      <c r="A7" s="4" t="inlineStr">
        <is>
          <t>Part code</t>
        </is>
      </c>
      <c r="B7" s="5" t="n"/>
      <c r="C7" s="6" t="n"/>
      <c r="D7" s="4" t="inlineStr">
        <is>
          <t>Harvest tech (first name)</t>
        </is>
      </c>
      <c r="E7" s="7" t="n"/>
      <c r="F7" s="5" t="n"/>
      <c r="G7" s="6" t="n"/>
    </row>
    <row r="8" ht="17" customHeight="1">
      <c r="A8" s="4" t="inlineStr">
        <is>
          <t>Description</t>
        </is>
      </c>
      <c r="B8" s="5" t="n"/>
      <c r="C8" s="6" t="n"/>
      <c r="D8" s="4" t="inlineStr">
        <is>
          <t>Tissue type</t>
        </is>
      </c>
      <c r="E8" s="7" t="n"/>
      <c r="F8" s="5" t="n"/>
      <c r="G8" s="6" t="n"/>
    </row>
    <row r="9">
      <c r="A9" s="8" t="inlineStr">
        <is>
          <t>Codes: 666541 Pelvic block, intact  ·  666506 Pelvic block, non-intact  ·  666518 Pelvic block, intact (SM)  ·  666521 Thoracic (lung / heart)</t>
        </is>
      </c>
    </row>
    <row r="11" ht="18" customHeight="1">
      <c r="A11" s="3" t="inlineStr">
        <is>
          <t>1 · RECEIVED</t>
        </is>
      </c>
    </row>
    <row r="12" ht="17" customHeight="1">
      <c r="A12" s="4" t="inlineStr">
        <is>
          <t># blocks received (at harvest)</t>
        </is>
      </c>
      <c r="B12" s="5" t="n"/>
      <c r="C12" s="9" t="inlineStr">
        <is>
          <t>Everything below must reconcile to this number.</t>
        </is>
      </c>
    </row>
    <row r="14" ht="18" customHeight="1">
      <c r="A14" s="3" t="inlineStr">
        <is>
          <t>2 · INSPECTION STAGES — tick what happened, fill the counts</t>
        </is>
      </c>
    </row>
    <row r="15">
      <c r="A15" s="10" t="inlineStr">
        <is>
          <t>Stage</t>
        </is>
      </c>
      <c r="B15" s="11" t="inlineStr">
        <is>
          <t>Happened?</t>
        </is>
      </c>
      <c r="C15" s="11" t="inlineStr">
        <is>
          <t># Inspected</t>
        </is>
      </c>
      <c r="D15" s="11" t="inlineStr">
        <is>
          <t># Passed</t>
        </is>
      </c>
      <c r="E15" s="11" t="inlineStr">
        <is>
          <t># Failed</t>
        </is>
      </c>
      <c r="F15" s="11" t="inlineStr">
        <is>
          <t>Fail rate</t>
        </is>
      </c>
      <c r="G15" s="11" t="inlineStr">
        <is>
          <t>Check</t>
        </is>
      </c>
    </row>
    <row r="16" ht="26" customHeight="1">
      <c r="A16" s="12" t="inlineStr">
        <is>
          <t>Before harvesting — screen prior to receipt (pre-harvest)</t>
        </is>
      </c>
      <c r="B16" s="5" t="n"/>
      <c r="C16" s="5" t="n"/>
      <c r="D16" s="5" t="n"/>
      <c r="E16" s="5" t="n"/>
      <c r="F16" s="13">
        <f>IF(OR(C16="",C16=0),"",E16/C16)</f>
        <v/>
      </c>
      <c r="G16" s="14">
        <f>IF(C16="","",IF(D16+E16=C16,"OK","CHECK: pass + fail ≠ inspected"))</f>
        <v/>
      </c>
    </row>
    <row r="17" ht="26" customHeight="1">
      <c r="A17" s="12" t="inlineStr">
        <is>
          <t>Post-harvest — harvester verification (harvest tech's own screen)</t>
        </is>
      </c>
      <c r="B17" s="5" t="n"/>
      <c r="C17" s="5" t="n"/>
      <c r="D17" s="5" t="n"/>
      <c r="E17" s="5" t="n"/>
      <c r="F17" s="13">
        <f>IF(OR(C17="",C17=0),"",E17/C17)</f>
        <v/>
      </c>
      <c r="G17" s="14">
        <f>IF(C17="","",IF(D17+E17=C17,"OK","CHECK: pass + fail ≠ inspected"))</f>
        <v/>
      </c>
    </row>
    <row r="18" ht="26" customHeight="1">
      <c r="A18" s="12" t="inlineStr">
        <is>
          <t>IQC — inspects the blocks the harvester passed</t>
        </is>
      </c>
      <c r="B18" s="15" t="inlineStr">
        <is>
          <t>Always</t>
        </is>
      </c>
      <c r="C18" s="5" t="n"/>
      <c r="D18" s="5" t="n"/>
      <c r="E18" s="5" t="n"/>
      <c r="F18" s="13">
        <f>IF(OR(C18="",C18=0),"",E18/C18)</f>
        <v/>
      </c>
      <c r="G18" s="14">
        <f>IF(C18="","",IF(D18+E18=C18,"OK","CHECK: pass + fail ≠ inspected"))</f>
        <v/>
      </c>
    </row>
    <row r="19" ht="17" customHeight="1">
      <c r="A19" s="4" t="inlineStr">
        <is>
          <t>TOTAL SCRAPPED (all stages)  /  USABLE</t>
        </is>
      </c>
      <c r="B19" s="7" t="n"/>
      <c r="C19" s="7" t="n"/>
      <c r="D19" s="7" t="n"/>
      <c r="E19" s="14">
        <f>IF(SUM(E16:E18)=0,"",SUM(E16:E18))</f>
        <v/>
      </c>
      <c r="F19" s="13">
        <f>IF(B12="","",SUM(E16:E18)/B12)</f>
        <v/>
      </c>
      <c r="G19" s="14">
        <f>IF(B12="","",(B12-SUM(E16:E18))&amp;" usable")</f>
        <v/>
      </c>
    </row>
    <row r="20" ht="24" customHeight="1">
      <c r="A20" s="8" t="inlineStr">
        <is>
          <t>Chain: the harvester stage inspects what passed the pre-harvest screen (or everything received if none); IQC's '# Inspected' must equal the harvester's '# Passed' (or '# received' when no harvester screen). IQC 'Fail rate' is the reject rate of what the harvester passed.</t>
        </is>
      </c>
    </row>
    <row r="22" ht="18" customHeight="1">
      <c r="A22" s="3" t="inlineStr">
        <is>
          <t>3 · REASONS — tag EVERY failed unit at the stage where it failed</t>
        </is>
      </c>
    </row>
    <row r="23">
      <c r="A23" s="16" t="inlineStr">
        <is>
          <t>Defect (code · description)</t>
        </is>
      </c>
      <c r="B23" s="17" t="inlineStr">
        <is>
          <t>Before harvest</t>
        </is>
      </c>
      <c r="C23" s="17" t="inlineStr">
        <is>
          <t>Harvester</t>
        </is>
      </c>
      <c r="D23" s="17" t="inlineStr">
        <is>
          <t>IQC</t>
        </is>
      </c>
      <c r="E23" s="17" t="inlineStr">
        <is>
          <t>Total</t>
        </is>
      </c>
    </row>
    <row r="24" ht="15" customHeight="1">
      <c r="A24" s="12" t="inlineStr">
        <is>
          <t>URE · Urethra / bladder damage</t>
        </is>
      </c>
      <c r="B24" s="5" t="n"/>
      <c r="C24" s="5" t="n"/>
      <c r="D24" s="5" t="n"/>
      <c r="E24" s="14">
        <f>IF(SUM(B24:D24)=0,"",SUM(B24:D24))</f>
        <v/>
      </c>
    </row>
    <row r="25" ht="15" customHeight="1">
      <c r="A25" s="12" t="inlineStr">
        <is>
          <t>MEM · Membrane damage</t>
        </is>
      </c>
      <c r="B25" s="5" t="n"/>
      <c r="C25" s="5" t="n"/>
      <c r="D25" s="5" t="n"/>
      <c r="E25" s="14">
        <f>IF(SUM(B25:D25)=0,"",SUM(B25:D25))</f>
        <v/>
      </c>
    </row>
    <row r="26" ht="15" customHeight="1">
      <c r="A26" s="12" t="inlineStr">
        <is>
          <t>BOW · Bowel damage / separation</t>
        </is>
      </c>
      <c r="B26" s="5" t="n"/>
      <c r="C26" s="5" t="n"/>
      <c r="D26" s="5" t="n"/>
      <c r="E26" s="14">
        <f>IF(SUM(B26:D26)=0,"",SUM(B26:D26))</f>
        <v/>
      </c>
    </row>
    <row r="27" ht="15" customHeight="1">
      <c r="A27" s="12" t="inlineStr">
        <is>
          <t>SHT · Short block / mesentery length</t>
        </is>
      </c>
      <c r="B27" s="5" t="n"/>
      <c r="C27" s="5" t="n"/>
      <c r="D27" s="5" t="n"/>
      <c r="E27" s="14">
        <f>IF(SUM(B27:D27)=0,"",SUM(B27:D27))</f>
        <v/>
      </c>
    </row>
    <row r="28" ht="15" customHeight="1">
      <c r="A28" s="12" t="inlineStr">
        <is>
          <t>CRT · Critical-area laceration</t>
        </is>
      </c>
      <c r="B28" s="5" t="n"/>
      <c r="C28" s="5" t="n"/>
      <c r="D28" s="5" t="n"/>
      <c r="E28" s="14">
        <f>IF(SUM(B28:D28)=0,"",SUM(B28:D28))</f>
        <v/>
      </c>
    </row>
    <row r="29" ht="15" customHeight="1">
      <c r="A29" s="12" t="inlineStr">
        <is>
          <t>URT · Ureter damage</t>
        </is>
      </c>
      <c r="B29" s="5" t="n"/>
      <c r="C29" s="5" t="n"/>
      <c r="D29" s="5" t="n"/>
      <c r="E29" s="14">
        <f>IF(SUM(B29:D29)=0,"",SUM(B29:D29))</f>
        <v/>
      </c>
    </row>
    <row r="30" ht="15" customHeight="1">
      <c r="A30" s="12" t="inlineStr">
        <is>
          <t>LNG · Lung laceration</t>
        </is>
      </c>
      <c r="B30" s="5" t="n"/>
      <c r="C30" s="5" t="n"/>
      <c r="D30" s="5" t="n"/>
      <c r="E30" s="14">
        <f>IF(SUM(B30:D30)=0,"",SUM(B30:D30))</f>
        <v/>
      </c>
    </row>
    <row r="31" ht="15" customHeight="1">
      <c r="A31" s="12" t="inlineStr">
        <is>
          <t>HRT · Heart damage / laceration</t>
        </is>
      </c>
      <c r="B31" s="5" t="n"/>
      <c r="C31" s="5" t="n"/>
      <c r="D31" s="5" t="n"/>
      <c r="E31" s="14">
        <f>IF(SUM(B31:D31)=0,"",SUM(B31:D31))</f>
        <v/>
      </c>
    </row>
    <row r="32" ht="15" customHeight="1">
      <c r="A32" s="12" t="inlineStr">
        <is>
          <t>MIS · Missing anatomy (e.g. trachea)</t>
        </is>
      </c>
      <c r="B32" s="5" t="n"/>
      <c r="C32" s="5" t="n"/>
      <c r="D32" s="5" t="n"/>
      <c r="E32" s="14">
        <f>IF(SUM(B32:D32)=0,"",SUM(B32:D32))</f>
        <v/>
      </c>
    </row>
    <row r="33" ht="15" customHeight="1">
      <c r="A33" s="12" t="inlineStr">
        <is>
          <t>BLC · Blood clots</t>
        </is>
      </c>
      <c r="B33" s="5" t="n"/>
      <c r="C33" s="5" t="n"/>
      <c r="D33" s="5" t="n"/>
      <c r="E33" s="14">
        <f>IF(SUM(B33:D33)=0,"",SUM(B33:D33))</f>
        <v/>
      </c>
    </row>
    <row r="34" ht="15" customHeight="1">
      <c r="A34" s="12" t="inlineStr">
        <is>
          <t>HND · Handling damage (cleaning)</t>
        </is>
      </c>
      <c r="B34" s="5" t="n"/>
      <c r="C34" s="5" t="n"/>
      <c r="D34" s="5" t="n"/>
      <c r="E34" s="14">
        <f>IF(SUM(B34:D34)=0,"",SUM(B34:D34))</f>
        <v/>
      </c>
    </row>
    <row r="35" ht="15" customHeight="1">
      <c r="A35" s="12" t="inlineStr">
        <is>
          <t>DEF · Deformed ligaments</t>
        </is>
      </c>
      <c r="B35" s="5" t="n"/>
      <c r="C35" s="5" t="n"/>
      <c r="D35" s="5" t="n"/>
      <c r="E35" s="14">
        <f>IF(SUM(B35:D35)=0,"",SUM(B35:D35))</f>
        <v/>
      </c>
    </row>
    <row r="36" ht="15" customHeight="1">
      <c r="A36" s="12" t="inlineStr">
        <is>
          <t>OTH · Other — MUST be described in Notes</t>
        </is>
      </c>
      <c r="B36" s="5" t="n"/>
      <c r="C36" s="5" t="n"/>
      <c r="D36" s="5" t="n"/>
      <c r="E36" s="14">
        <f>IF(SUM(B36:D36)=0,"",SUM(B36:D36))</f>
        <v/>
      </c>
    </row>
    <row r="37">
      <c r="A37" s="4" t="inlineStr">
        <is>
          <t>Total tagged</t>
        </is>
      </c>
      <c r="B37" s="14">
        <f>SUM(B24:B36)</f>
        <v/>
      </c>
      <c r="C37" s="14">
        <f>SUM(C24:C36)</f>
        <v/>
      </c>
      <c r="D37" s="14">
        <f>SUM(D24:D36)</f>
        <v/>
      </c>
      <c r="E37" s="14">
        <f>SUM(B37:D37)</f>
        <v/>
      </c>
    </row>
    <row r="38" ht="17" customHeight="1">
      <c r="A38" s="12" t="inlineStr">
        <is>
          <t>Check — each column must equal '# Failed' for that stage in Section 2</t>
        </is>
      </c>
      <c r="B38" s="14">
        <f>IF(E16="","",IF(B37=E16,"OK","CHECK"))</f>
        <v/>
      </c>
      <c r="C38" s="14">
        <f>IF(E17="","",IF(C37=E17,"OK","CHECK"))</f>
        <v/>
      </c>
      <c r="D38" s="14">
        <f>IF(E18="","",IF(D37=E18,"OK","CHECK"))</f>
        <v/>
      </c>
      <c r="E38" s="7" t="n"/>
    </row>
    <row r="40" ht="18" customHeight="1">
      <c r="A40" s="3" t="inlineStr">
        <is>
          <t>4 · NOTES — anything not captured above (lot issues, labeled units, line conditions, 'Other' descriptions)</t>
        </is>
      </c>
    </row>
    <row r="41">
      <c r="A41" s="18" t="n"/>
      <c r="B41" s="6" t="n"/>
      <c r="C41" s="6" t="n"/>
      <c r="D41" s="6" t="n"/>
      <c r="E41" s="6" t="n"/>
      <c r="F41" s="6" t="n"/>
      <c r="G41" s="6" t="n"/>
    </row>
    <row r="42">
      <c r="A42" s="6" t="n"/>
      <c r="B42" s="6" t="n"/>
      <c r="C42" s="6" t="n"/>
      <c r="D42" s="6" t="n"/>
      <c r="E42" s="6" t="n"/>
      <c r="F42" s="6" t="n"/>
      <c r="G42" s="6" t="n"/>
    </row>
    <row r="43">
      <c r="A43" s="6" t="n"/>
      <c r="B43" s="6" t="n"/>
      <c r="C43" s="6" t="n"/>
      <c r="D43" s="6" t="n"/>
      <c r="E43" s="6" t="n"/>
      <c r="F43" s="6" t="n"/>
      <c r="G43" s="6" t="n"/>
    </row>
    <row r="44">
      <c r="A44" s="6" t="n"/>
      <c r="B44" s="6" t="n"/>
      <c r="C44" s="6" t="n"/>
      <c r="D44" s="6" t="n"/>
      <c r="E44" s="6" t="n"/>
      <c r="F44" s="6" t="n"/>
      <c r="G44" s="6" t="n"/>
    </row>
    <row r="46">
      <c r="A46" s="8" t="inlineStr">
        <is>
          <t>Rules: counts must foot (all Check cells read OK) · every failed unit tagged in Section 3 · lot/batch # is required · 'Other' needs a written reason · first names only.</t>
        </is>
      </c>
    </row>
  </sheetData>
  <mergeCells count="24">
    <mergeCell ref="A14:G14"/>
    <mergeCell ref="B7:C7"/>
    <mergeCell ref="A22:G22"/>
    <mergeCell ref="A4:G4"/>
    <mergeCell ref="A20:G20"/>
    <mergeCell ref="F6:G6"/>
    <mergeCell ref="F7:G7"/>
    <mergeCell ref="D6:E6"/>
    <mergeCell ref="A40:G40"/>
    <mergeCell ref="A9:G9"/>
    <mergeCell ref="F5:G5"/>
    <mergeCell ref="A41:G44"/>
    <mergeCell ref="B8:C8"/>
    <mergeCell ref="A11:G11"/>
    <mergeCell ref="F8:G8"/>
    <mergeCell ref="A1:G1"/>
    <mergeCell ref="D7:E7"/>
    <mergeCell ref="C12:G12"/>
    <mergeCell ref="A46:G46"/>
    <mergeCell ref="D8:E8"/>
    <mergeCell ref="B6:C6"/>
    <mergeCell ref="B5:C5"/>
    <mergeCell ref="D5:E5"/>
    <mergeCell ref="A2:G2"/>
  </mergeCells>
  <dataValidations count="4">
    <dataValidation sqref="B16 B17" showDropDown="0" showInputMessage="0" showErrorMessage="0" allowBlank="1" type="list">
      <formula1>"Yes,No"</formula1>
    </dataValidation>
    <dataValidation sqref="B5" showDropDown="0" showInputMessage="0" showErrorMessage="0" allowBlank="1" type="list">
      <formula1>"Martins,Parks Family Meats,Nahunta,Other"</formula1>
    </dataValidation>
    <dataValidation sqref="B7" showDropDown="0" showInputMessage="0" showErrorMessage="0" allowBlank="1" type="list">
      <formula1>"666541,666506,666518,666521,Other"</formula1>
    </dataValidation>
    <dataValidation sqref="F8" showDropDown="0" showInputMessage="0" showErrorMessage="0" allowBlank="1" type="list">
      <formula1>"Pelvic,Thoracic,Other"</formula1>
    </dataValidation>
  </dataValidation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2026-09-17T13:34:54Z</dcterms:created>
  <dcterms:modified xmlns:dcterms="http://purl.org/dc/terms/" xmlns:xsi="http://www.w3.org/2001/XMLSchema-instance" xsi:type="dcterms:W3CDTF">2026-09-17T13:34:54Z</dcterms:modified>
</cp:coreProperties>
</file>