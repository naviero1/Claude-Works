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ote Analysis" sheetId="1" state="visible" r:id="rId1"/>
    <sheet name="Sensitivity" sheetId="2" state="visible" r:id="rId2"/>
    <sheet name="What To Do" sheetId="3" state="visible" r:id="rId3"/>
  </sheets>
  <definedNames/>
  <calcPr calcId="124519" fullCalcOnLoad="1"/>
</workbook>
</file>

<file path=xl/styles.xml><?xml version="1.0" encoding="utf-8"?>
<styleSheet xmlns="http://schemas.openxmlformats.org/spreadsheetml/2006/main">
  <numFmts count="3">
    <numFmt numFmtId="164" formatCode="$#,##0;($#,##0);-"/>
    <numFmt numFmtId="165" formatCode="$#,##0.00;($#,##0.00);-"/>
    <numFmt numFmtId="166" formatCode="0.0%"/>
  </numFmts>
  <fonts count="15">
    <font>
      <name val="Calibri"/>
      <family val="2"/>
      <color theme="1"/>
      <sz val="11"/>
      <scheme val="minor"/>
    </font>
    <font>
      <name val="Arial"/>
      <b val="1"/>
      <color rgb="001F3864"/>
      <sz val="15"/>
    </font>
    <font>
      <name val="Arial"/>
      <i val="1"/>
      <color rgb="00595959"/>
      <sz val="9"/>
    </font>
    <font>
      <name val="Arial"/>
      <b val="1"/>
      <color rgb="00FFFFFF"/>
      <sz val="11"/>
    </font>
    <font>
      <name val="Arial"/>
      <b val="1"/>
      <color rgb="001F3864"/>
      <sz val="10"/>
    </font>
    <font>
      <name val="Arial"/>
      <b val="1"/>
      <color rgb="00006100"/>
      <sz val="13"/>
    </font>
    <font>
      <name val="Arial"/>
      <sz val="10"/>
    </font>
    <font>
      <name val="Arial"/>
      <b val="1"/>
      <color rgb="00FFFFFF"/>
      <sz val="10"/>
    </font>
    <font>
      <name val="Arial"/>
      <b val="1"/>
      <sz val="10"/>
    </font>
    <font>
      <name val="Arial"/>
      <b val="1"/>
      <sz val="11"/>
    </font>
    <font>
      <name val="Arial"/>
      <color rgb="000000FF"/>
      <sz val="10"/>
    </font>
    <font>
      <name val="Arial"/>
      <b val="1"/>
      <color rgb="00008000"/>
      <sz val="10"/>
    </font>
    <font>
      <name val="Arial"/>
      <b val="1"/>
      <color rgb="001F3864"/>
      <sz val="11"/>
    </font>
    <font>
      <name val="Arial"/>
      <b val="1"/>
      <color rgb="00006100"/>
      <sz val="12"/>
    </font>
    <font>
      <name val="Arial"/>
      <b val="1"/>
      <color rgb="001F3864"/>
      <sz val="14"/>
    </font>
  </fonts>
  <fills count="10">
    <fill>
      <patternFill/>
    </fill>
    <fill>
      <patternFill patternType="gray125"/>
    </fill>
    <fill>
      <patternFill patternType="solid">
        <fgColor rgb="002E5C8A"/>
      </patternFill>
    </fill>
    <fill>
      <patternFill patternType="solid">
        <fgColor rgb="00E2EFDA"/>
      </patternFill>
    </fill>
    <fill>
      <patternFill patternType="solid">
        <fgColor rgb="001F3864"/>
      </patternFill>
    </fill>
    <fill>
      <patternFill patternType="solid">
        <fgColor rgb="00FFC7CE"/>
      </patternFill>
    </fill>
    <fill>
      <patternFill patternType="solid">
        <fgColor rgb="00FFEB9C"/>
      </patternFill>
    </fill>
    <fill>
      <patternFill patternType="solid">
        <fgColor rgb="00C6EFCE"/>
      </patternFill>
    </fill>
    <fill>
      <patternFill patternType="solid">
        <fgColor rgb="00DCE6F1"/>
      </patternFill>
    </fill>
    <fill>
      <patternFill patternType="solid">
        <fgColor rgb="00FFFF0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pivotButton="0" quotePrefix="0" xfId="0"/>
    <xf numFmtId="0" fontId="0" fillId="0" borderId="4" pivotButton="0" quotePrefix="0" xfId="0"/>
    <xf numFmtId="0" fontId="0" fillId="0" borderId="5" pivotButton="0" quotePrefix="0" xfId="0"/>
    <xf numFmtId="0" fontId="4" fillId="3" borderId="1" applyAlignment="1" pivotButton="0" quotePrefix="0" xfId="0">
      <alignment vertical="top" wrapText="1"/>
    </xf>
    <xf numFmtId="0" fontId="0" fillId="3" borderId="1" applyAlignment="1" pivotButton="0" quotePrefix="0" xfId="0">
      <alignment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164" fontId="9" fillId="0" borderId="1" applyAlignment="1" pivotButton="0" quotePrefix="0" xfId="0">
      <alignment horizontal="center" vertical="center" wrapText="1"/>
    </xf>
    <xf numFmtId="0" fontId="0" fillId="6" borderId="1" applyAlignment="1" pivotButton="0" quotePrefix="0" xfId="0">
      <alignment horizontal="center" vertical="center" wrapText="1"/>
    </xf>
    <xf numFmtId="0" fontId="6" fillId="0" borderId="1" applyAlignment="1" pivotButton="0" quotePrefix="0" xfId="0">
      <alignment vertical="top" wrapText="1"/>
    </xf>
    <xf numFmtId="0" fontId="8" fillId="6" borderId="1" applyAlignment="1" pivotButton="0" quotePrefix="0" xfId="0">
      <alignment horizontal="center" vertical="center" wrapText="1"/>
    </xf>
    <xf numFmtId="0" fontId="6" fillId="0"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8" fillId="0" borderId="1" applyAlignment="1" pivotButton="0" quotePrefix="0" xfId="0">
      <alignment horizontal="center" vertical="center" wrapText="1"/>
    </xf>
    <xf numFmtId="0" fontId="10" fillId="9" borderId="1" applyAlignment="1" pivotButton="0" quotePrefix="0" xfId="0">
      <alignment vertical="top" wrapText="1"/>
    </xf>
    <xf numFmtId="0" fontId="10" fillId="9" borderId="1" applyAlignment="1" pivotButton="0" quotePrefix="0" xfId="0">
      <alignment horizontal="center" vertical="center" wrapText="1"/>
    </xf>
    <xf numFmtId="165" fontId="10" fillId="9" borderId="1" applyAlignment="1" pivotButton="0" quotePrefix="0" xfId="0">
      <alignment horizontal="center" vertical="center" wrapText="1"/>
    </xf>
    <xf numFmtId="164" fontId="10" fillId="9" borderId="1" applyAlignment="1" pivotButton="0" quotePrefix="0" xfId="0">
      <alignment horizontal="center" vertical="center" wrapText="1"/>
    </xf>
    <xf numFmtId="164" fontId="11" fillId="0" borderId="1" applyAlignment="1" pivotButton="0" quotePrefix="0" xfId="0">
      <alignment horizontal="center" vertical="center" wrapText="1"/>
    </xf>
    <xf numFmtId="0" fontId="2" fillId="0" borderId="0" pivotButton="0" quotePrefix="0" xfId="0"/>
    <xf numFmtId="3" fontId="10" fillId="9" borderId="1" applyAlignment="1" pivotButton="0" quotePrefix="0" xfId="0">
      <alignment horizontal="center" vertical="center" wrapText="1"/>
    </xf>
    <xf numFmtId="2" fontId="0" fillId="0" borderId="1" applyAlignment="1" pivotButton="0" quotePrefix="0" xfId="0">
      <alignment horizontal="center" vertical="center" wrapText="1"/>
    </xf>
    <xf numFmtId="0" fontId="12" fillId="3" borderId="1" applyAlignment="1" pivotButton="0" quotePrefix="0" xfId="0">
      <alignment horizontal="center" vertical="center" wrapText="1"/>
    </xf>
    <xf numFmtId="164" fontId="13" fillId="3" borderId="1" applyAlignment="1" pivotButton="0" quotePrefix="0" xfId="0">
      <alignment horizontal="center" vertical="center" wrapText="1"/>
    </xf>
    <xf numFmtId="3" fontId="0" fillId="3" borderId="1" applyAlignment="1" pivotButton="0" quotePrefix="0" xfId="0">
      <alignment horizontal="center" vertical="center" wrapText="1"/>
    </xf>
    <xf numFmtId="165" fontId="0" fillId="3" borderId="1" applyAlignment="1" pivotButton="0" quotePrefix="0" xfId="0">
      <alignment horizontal="center" vertical="center" wrapText="1"/>
    </xf>
    <xf numFmtId="164" fontId="0" fillId="3" borderId="1" applyAlignment="1" pivotButton="0" quotePrefix="0" xfId="0">
      <alignment horizontal="center" vertical="center" wrapText="1"/>
    </xf>
    <xf numFmtId="166" fontId="0" fillId="3" borderId="1" applyAlignment="1" pivotButton="0" quotePrefix="0" xfId="0">
      <alignment horizontal="center" vertical="center" wrapText="1"/>
    </xf>
    <xf numFmtId="3" fontId="0" fillId="0" borderId="1" applyAlignment="1" pivotButton="0" quotePrefix="0" xfId="0">
      <alignment horizontal="center" vertical="center" wrapText="1"/>
    </xf>
    <xf numFmtId="165" fontId="0" fillId="0" borderId="1" applyAlignment="1" pivotButton="0" quotePrefix="0" xfId="0">
      <alignment horizontal="center" vertical="center" wrapText="1"/>
    </xf>
    <xf numFmtId="164" fontId="0" fillId="0" borderId="1" applyAlignment="1" pivotButton="0" quotePrefix="0" xfId="0">
      <alignment horizontal="center" vertical="center" wrapText="1"/>
    </xf>
    <xf numFmtId="166" fontId="0" fillId="0" borderId="1" applyAlignment="1" pivotButton="0" quotePrefix="0" xfId="0">
      <alignment horizontal="center" vertical="center" wrapText="1"/>
    </xf>
    <xf numFmtId="0" fontId="14" fillId="0" borderId="1" applyAlignment="1" pivotButton="0" quotePrefix="0" xfId="0">
      <alignment vertical="top" wrapText="1"/>
    </xf>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Your quotes against every reference point ($/MSF)</a:t>
            </a:r>
          </a:p>
        </rich>
      </tx>
    </title>
    <plotArea>
      <barChart>
        <barDir val="bar"/>
        <grouping val="clustered"/>
        <ser>
          <idx val="0"/>
          <order val="0"/>
          <tx>
            <strRef>
              <f>'Quote Analysis'!B12</f>
            </strRef>
          </tx>
          <spPr>
            <a:solidFill>
              <a:srgbClr val="2A78D6"/>
            </a:solidFill>
            <a:ln>
              <a:prstDash val="solid"/>
            </a:ln>
          </spPr>
          <dPt>
            <idx val="0"/>
            <spPr>
              <a:solidFill>
                <a:srgbClr val="2A78D6"/>
              </a:solidFill>
              <a:ln>
                <a:prstDash val="solid"/>
              </a:ln>
            </spPr>
          </dPt>
          <dPt>
            <idx val="1"/>
            <spPr>
              <a:solidFill>
                <a:srgbClr val="EB6834"/>
              </a:solidFill>
              <a:ln>
                <a:prstDash val="solid"/>
              </a:ln>
            </spPr>
          </dPt>
          <dPt>
            <idx val="2"/>
            <spPr>
              <a:solidFill>
                <a:srgbClr val="1BAF7A"/>
              </a:solidFill>
              <a:ln>
                <a:prstDash val="solid"/>
              </a:ln>
            </spPr>
          </dPt>
          <dPt>
            <idx val="3"/>
            <spPr>
              <a:solidFill>
                <a:srgbClr val="1BAF7A"/>
              </a:solidFill>
              <a:ln>
                <a:prstDash val="solid"/>
              </a:ln>
            </spPr>
          </dPt>
          <dPt>
            <idx val="4"/>
            <spPr>
              <a:solidFill>
                <a:srgbClr val="1BAF7A"/>
              </a:solidFill>
              <a:ln>
                <a:prstDash val="solid"/>
              </a:ln>
            </spPr>
          </dPt>
          <dPt>
            <idx val="5"/>
            <spPr>
              <a:solidFill>
                <a:srgbClr val="1BAF7A"/>
              </a:solidFill>
              <a:ln>
                <a:prstDash val="solid"/>
              </a:ln>
            </spPr>
          </dPt>
          <dPt>
            <idx val="6"/>
            <spPr>
              <a:solidFill>
                <a:srgbClr val="1BAF7A"/>
              </a:solidFill>
              <a:ln>
                <a:prstDash val="solid"/>
              </a:ln>
            </spPr>
          </dPt>
          <dPt>
            <idx val="7"/>
            <spPr>
              <a:solidFill>
                <a:srgbClr val="1BAF7A"/>
              </a:solidFill>
              <a:ln>
                <a:prstDash val="solid"/>
              </a:ln>
            </spPr>
          </dPt>
          <cat>
            <numRef>
              <f>'Quote Analysis'!$A$13:$A$20</f>
            </numRef>
          </cat>
          <val>
            <numRef>
              <f>'Quote Analysis'!$B$13:$B$20</f>
            </numRef>
          </val>
        </ser>
        <dLbls>
          <showVal val="1"/>
        </dLbls>
        <gapWidth val="150"/>
        <axId val="10"/>
        <axId val="100"/>
      </barChart>
      <catAx>
        <axId val="10"/>
        <scaling>
          <orientation val="minMax"/>
        </scaling>
        <axPos val="l"/>
        <title>
          <tx>
            <rich>
              <a:bodyPr/>
              <a:p>
                <a:pPr>
                  <a:defRPr/>
                </a:pPr>
                <a:r>
                  <a:t>$ per MSF</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Price per box as quantity rises - the fixed charge is what you are escaping</a:t>
            </a:r>
          </a:p>
        </rich>
      </tx>
    </title>
    <plotArea>
      <lineChart>
        <grouping val="standard"/>
        <ser>
          <idx val="0"/>
          <order val="0"/>
          <tx>
            <strRef>
              <f>'Sensitivity'!B15</f>
            </strRef>
          </tx>
          <spPr>
            <a:ln w="28575">
              <a:solidFill>
                <a:srgbClr val="2A78D6"/>
              </a:solidFill>
              <a:prstDash val="solid"/>
            </a:ln>
          </spPr>
          <marker>
            <symbol val="circle"/>
            <size val="7"/>
            <spPr>
              <a:solidFill>
                <a:srgbClr val="2A78D6"/>
              </a:solidFill>
              <a:ln>
                <a:prstDash val="solid"/>
              </a:ln>
            </spPr>
          </marker>
          <cat>
            <numRef>
              <f>'Sensitivity'!$A$16:$A$22</f>
            </numRef>
          </cat>
          <val>
            <numRef>
              <f>'Sensitivity'!$B$16:$B$22</f>
            </numRef>
          </val>
          <smooth val="0"/>
        </ser>
        <ser>
          <idx val="1"/>
          <order val="1"/>
          <tx>
            <strRef>
              <f>'Sensitivity'!C15</f>
            </strRef>
          </tx>
          <spPr>
            <a:ln w="28575">
              <a:solidFill>
                <a:srgbClr val="EB6834"/>
              </a:solidFill>
              <a:prstDash val="solid"/>
            </a:ln>
          </spPr>
          <marker>
            <symbol val="circle"/>
            <size val="7"/>
            <spPr>
              <a:solidFill>
                <a:srgbClr val="EB6834"/>
              </a:solidFill>
              <a:ln>
                <a:prstDash val="solid"/>
              </a:ln>
            </spPr>
          </marker>
          <cat>
            <numRef>
              <f>'Sensitivity'!$A$16:$A$22</f>
            </numRef>
          </cat>
          <val>
            <numRef>
              <f>'Sensitivity'!$C$16:$C$22</f>
            </numRef>
          </val>
          <smooth val="0"/>
        </ser>
        <dLbls>
          <showVal val="1"/>
        </dLbls>
        <axId val="10"/>
        <axId val="100"/>
      </lineChart>
      <catAx>
        <axId val="10"/>
        <scaling>
          <orientation val="minMax"/>
        </scaling>
        <axPos val="l"/>
        <title>
          <tx>
            <rich>
              <a:bodyPr/>
              <a:p>
                <a:pPr>
                  <a:defRPr/>
                </a:pPr>
                <a:r>
                  <a:t>Quantity ordered (each SKU)</a:t>
                </a:r>
              </a:p>
            </rich>
          </tx>
        </title>
        <majorTickMark val="none"/>
        <minorTickMark val="none"/>
        <crossAx val="100"/>
        <lblOffset val="100"/>
      </catAx>
      <valAx>
        <axId val="100"/>
        <scaling>
          <orientation val="minMax"/>
        </scaling>
        <axPos val="l"/>
        <majorGridlines/>
        <title>
          <tx>
            <rich>
              <a:bodyPr/>
              <a:p>
                <a:pPr>
                  <a:defRPr/>
                </a:pPr>
                <a:r>
                  <a:t>$ per box</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Board versus fixed charges - the fixed block never shrinks, it only spreads</a:t>
            </a:r>
          </a:p>
        </rich>
      </tx>
    </title>
    <plotArea>
      <barChart>
        <barDir val="col"/>
        <grouping val="stacked"/>
        <ser>
          <idx val="0"/>
          <order val="0"/>
          <tx>
            <strRef>
              <f>'Sensitivity'!B48</f>
            </strRef>
          </tx>
          <spPr>
            <a:solidFill>
              <a:srgbClr val="2A78D6"/>
            </a:solidFill>
            <a:ln>
              <a:prstDash val="solid"/>
            </a:ln>
          </spPr>
          <cat>
            <numRef>
              <f>'Sensitivity'!$A$49:$A$55</f>
            </numRef>
          </cat>
          <val>
            <numRef>
              <f>'Sensitivity'!$B$49:$B$55</f>
            </numRef>
          </val>
        </ser>
        <ser>
          <idx val="1"/>
          <order val="1"/>
          <tx>
            <strRef>
              <f>'Sensitivity'!C48</f>
            </strRef>
          </tx>
          <spPr>
            <a:solidFill>
              <a:srgbClr val="EB6834"/>
            </a:solidFill>
            <a:ln>
              <a:prstDash val="solid"/>
            </a:ln>
          </spPr>
          <cat>
            <numRef>
              <f>'Sensitivity'!$A$49:$A$55</f>
            </numRef>
          </cat>
          <val>
            <numRef>
              <f>'Sensitivity'!$C$49:$C$55</f>
            </numRef>
          </val>
        </ser>
        <gapWidth val="150"/>
        <overlap val="100"/>
        <axId val="10"/>
        <axId val="100"/>
      </barChart>
      <catAx>
        <axId val="10"/>
        <scaling>
          <orientation val="minMax"/>
        </scaling>
        <axPos val="l"/>
        <title>
          <tx>
            <rich>
              <a:bodyPr/>
              <a:p>
                <a:pPr>
                  <a:defRPr/>
                </a:pPr>
                <a:r>
                  <a:t>Quantity ordered (each SKU)</a:t>
                </a:r>
              </a:p>
            </rich>
          </tx>
        </title>
        <majorTickMark val="none"/>
        <minorTickMark val="none"/>
        <crossAx val="100"/>
        <lblOffset val="100"/>
      </catAx>
      <valAx>
        <axId val="100"/>
        <scaling>
          <orientation val="minMax"/>
        </scaling>
        <axPos val="l"/>
        <majorGridlines/>
        <title>
          <tx>
            <rich>
              <a:bodyPr/>
              <a:p>
                <a:pPr>
                  <a:defRPr/>
                </a:pPr>
                <a:r>
                  <a:t>$ total order</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 Type="http://schemas.openxmlformats.org/officeDocument/2006/relationships/chart" Target="/xl/charts/chart3.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21</row>
      <rowOff>0</rowOff>
    </from>
    <ext cx="8640000" cy="39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23</row>
      <rowOff>0</rowOff>
    </from>
    <ext cx="8640000" cy="396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56</row>
      <rowOff>0</rowOff>
    </from>
    <ext cx="8640000" cy="396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H55"/>
  <sheetViews>
    <sheetView showGridLines="0" workbookViewId="0">
      <selection activeCell="A1" sqref="A1"/>
    </sheetView>
  </sheetViews>
  <sheetFormatPr baseColWidth="8" defaultRowHeight="15"/>
  <cols>
    <col width="38" customWidth="1" min="1" max="1"/>
    <col width="12" customWidth="1" min="2" max="2"/>
    <col width="15" customWidth="1" min="3" max="3"/>
    <col width="15" customWidth="1" min="4" max="4"/>
    <col width="14" customWidth="1" min="5" max="5"/>
    <col width="15" customWidth="1" min="6" max="6"/>
    <col width="15" customWidth="1" min="7" max="7"/>
    <col width="15" customWidth="1" min="8" max="8"/>
  </cols>
  <sheetData>
    <row r="1" ht="22" customHeight="1">
      <c r="A1" s="1" t="inlineStr">
        <is>
          <t>Comparative Quote Analysis - where your two prices actually fall</t>
        </is>
      </c>
    </row>
    <row r="2" ht="50" customHeight="1">
      <c r="A2" s="2" t="inlineStr">
        <is>
          <t>Quoted: MEDIUM box (39 x 20 x 32) $30.22  |  LARGE box (46 x 39 x 36) $38.89, at 100 pieces each.   Corrugated is sold per MSF (thousand sq ft of board), so the only way to compare two different-sized boxes - or two suppliers - is to convert both to $/MSF. That is what this sheet does.   Blue cells are inputs: overwrite them with each new quote and everything recalculates.</t>
        </is>
      </c>
    </row>
    <row r="4" ht="20" customHeight="1">
      <c r="A4" s="3" t="inlineStr">
        <is>
          <t>1.  THE VERDICT</t>
        </is>
      </c>
      <c r="B4" s="4" t="n"/>
      <c r="C4" s="4" t="n"/>
      <c r="D4" s="4" t="n"/>
      <c r="E4" s="4" t="n"/>
      <c r="F4" s="4" t="n"/>
      <c r="G4" s="4" t="n"/>
      <c r="H4" s="5" t="n"/>
    </row>
    <row r="5" ht="32" customHeight="1">
      <c r="A5" s="6" t="inlineStr">
        <is>
          <t>MEDIUM box billed at</t>
        </is>
      </c>
      <c r="B5" s="7" t="n"/>
      <c r="C5" s="8" t="inlineStr">
        <is>
          <t>$702 / MSF</t>
        </is>
      </c>
      <c r="D5" s="9" t="inlineStr">
        <is>
          <t>58%% above retail catalogue ($444). This is the problem child.</t>
        </is>
      </c>
      <c r="E5" s="7" t="n"/>
      <c r="F5" s="7" t="n"/>
      <c r="G5" s="7" t="n"/>
      <c r="H5" s="7" t="n"/>
    </row>
    <row r="6" ht="32" customHeight="1">
      <c r="A6" s="6" t="inlineStr">
        <is>
          <t>LARGE box billed at</t>
        </is>
      </c>
      <c r="B6" s="7" t="n"/>
      <c r="C6" s="8" t="inlineStr">
        <is>
          <t>$436 / MSF</t>
        </is>
      </c>
      <c r="D6" s="9" t="inlineStr">
        <is>
          <t>Essentially AT retail ($444). Fair-ish at 100 pcs, not a bargain.</t>
        </is>
      </c>
      <c r="E6" s="7" t="n"/>
      <c r="F6" s="7" t="n"/>
      <c r="G6" s="7" t="n"/>
      <c r="H6" s="7" t="n"/>
    </row>
    <row r="7" ht="32" customHeight="1">
      <c r="A7" s="6" t="inlineStr">
        <is>
          <t>Why they differ so much</t>
        </is>
      </c>
      <c r="B7" s="7" t="n"/>
      <c r="C7" s="8" t="inlineStr">
        <is>
          <t>They shouldn't</t>
        </is>
      </c>
      <c r="D7" s="9" t="inlineStr">
        <is>
          <t>The large box holds 2.07x the board of the medium one, but costs only 1.29x as much. That gap is the tell - a big fixed charge is being spread over both.</t>
        </is>
      </c>
      <c r="E7" s="7" t="n"/>
      <c r="F7" s="7" t="n"/>
      <c r="G7" s="7" t="n"/>
      <c r="H7" s="7" t="n"/>
    </row>
    <row r="8" ht="32" customHeight="1">
      <c r="A8" s="6" t="inlineStr">
        <is>
          <t>Implied marginal board rate</t>
        </is>
      </c>
      <c r="B8" s="7" t="n"/>
      <c r="C8" s="8" t="inlineStr">
        <is>
          <t>$188 / MSF</t>
        </is>
      </c>
      <c r="D8" s="9" t="inlineStr">
        <is>
          <t>Strip the fixed charge out and the underlying rate is competitive - right in line with a 500-1,000 piece converter price.</t>
        </is>
      </c>
      <c r="E8" s="7" t="n"/>
      <c r="F8" s="7" t="n"/>
      <c r="G8" s="7" t="n"/>
      <c r="H8" s="7" t="n"/>
    </row>
    <row r="9" ht="32" customHeight="1">
      <c r="A9" s="6" t="inlineStr">
        <is>
          <t>Implied fixed charge</t>
        </is>
      </c>
      <c r="B9" s="7" t="n"/>
      <c r="C9" s="8" t="inlineStr">
        <is>
          <t>$2,213 per SKU</t>
        </is>
      </c>
      <c r="D9" s="9" t="inlineStr">
        <is>
          <t>Setup / minimum-order. At 100 pcs this is 64% of what you are paying.</t>
        </is>
      </c>
      <c r="E9" s="7" t="n"/>
      <c r="F9" s="7" t="n"/>
      <c r="G9" s="7" t="n"/>
      <c r="H9" s="7" t="n"/>
    </row>
    <row r="11" ht="20" customHeight="1">
      <c r="A11" s="3" t="inlineStr">
        <is>
          <t>2.  YOUR QUOTES vs THE MARKET  ($/MSF - lower is better)</t>
        </is>
      </c>
      <c r="B11" s="4" t="n"/>
      <c r="C11" s="4" t="n"/>
      <c r="D11" s="4" t="n"/>
      <c r="E11" s="4" t="n"/>
      <c r="F11" s="4" t="n"/>
      <c r="G11" s="4" t="n"/>
      <c r="H11" s="5" t="n"/>
    </row>
    <row r="12" ht="22" customHeight="1">
      <c r="A12" s="10" t="inlineStr">
        <is>
          <t>Reference point</t>
        </is>
      </c>
      <c r="B12" s="10" t="inlineStr">
        <is>
          <t>$/MSF</t>
        </is>
      </c>
      <c r="C12" s="10" t="inlineStr">
        <is>
          <t>Grade</t>
        </is>
      </c>
      <c r="D12" s="10" t="inlineStr">
        <is>
          <t>Basis</t>
        </is>
      </c>
      <c r="E12" t="inlineStr"/>
      <c r="F12" t="inlineStr"/>
      <c r="G12" t="inlineStr"/>
      <c r="H12" t="inlineStr"/>
    </row>
    <row r="13" ht="26" customHeight="1">
      <c r="A13" s="11" t="inlineStr">
        <is>
          <t>Your quote - MEDIUM box</t>
        </is>
      </c>
      <c r="B13" s="12" t="n">
        <v>701.77</v>
      </c>
      <c r="C13" s="13" t="inlineStr">
        <is>
          <t>Quoted</t>
        </is>
      </c>
      <c r="D13" s="14" t="inlineStr">
        <is>
          <t>As billed: $30.22 / 43.06 sq ft</t>
        </is>
      </c>
    </row>
    <row r="14" ht="26" customHeight="1">
      <c r="A14" s="15" t="inlineStr">
        <is>
          <t>Your quote - LARGE box</t>
        </is>
      </c>
      <c r="B14" s="12" t="n">
        <v>436.02</v>
      </c>
      <c r="C14" s="13" t="inlineStr">
        <is>
          <t>Quoted</t>
        </is>
      </c>
      <c r="D14" s="14" t="inlineStr">
        <is>
          <t>As billed: $38.89 / 89.19 sq ft</t>
        </is>
      </c>
    </row>
    <row r="15" ht="26" customHeight="1">
      <c r="A15" s="16" t="inlineStr">
        <is>
          <t>Retail catalogue, 48ECT DW @ 100</t>
        </is>
      </c>
      <c r="B15" s="12" t="n">
        <v>444</v>
      </c>
      <c r="C15" s="17" t="inlineStr">
        <is>
          <t>Published</t>
        </is>
      </c>
      <c r="D15" s="14" t="inlineStr">
        <is>
          <t>Median of 21 published catalogue prices</t>
        </is>
      </c>
    </row>
    <row r="16" ht="26" customHeight="1">
      <c r="A16" s="16" t="inlineStr">
        <is>
          <t>Retail catalogue, 48ECT DW @ 500</t>
        </is>
      </c>
      <c r="B16" s="12" t="n">
        <v>384</v>
      </c>
      <c r="C16" s="17" t="inlineStr">
        <is>
          <t>Published</t>
        </is>
      </c>
      <c r="D16" s="14" t="inlineStr">
        <is>
          <t>Same source set, 5x the quantity</t>
        </is>
      </c>
    </row>
    <row r="17" ht="26" customHeight="1">
      <c r="A17" s="16" t="inlineStr">
        <is>
          <t>Modelled converter-direct @ 100</t>
        </is>
      </c>
      <c r="B17" s="12" t="n">
        <v>310</v>
      </c>
      <c r="C17" s="18" t="inlineStr">
        <is>
          <t>Modelled</t>
        </is>
      </c>
      <c r="D17" s="14" t="inlineStr">
        <is>
          <t>Midpoint of the two converged routes</t>
        </is>
      </c>
    </row>
    <row r="18" ht="26" customHeight="1">
      <c r="A18" s="19" t="inlineStr">
        <is>
          <t>Implied MARGINAL rate of your quote</t>
        </is>
      </c>
      <c r="B18" s="12" t="n">
        <v>187.95</v>
      </c>
      <c r="C18" s="13" t="inlineStr">
        <is>
          <t>Derived</t>
        </is>
      </c>
      <c r="D18" s="14" t="inlineStr">
        <is>
          <t>Board rate once the fixed charge is stripped out</t>
        </is>
      </c>
    </row>
    <row r="19" ht="26" customHeight="1">
      <c r="A19" s="16" t="inlineStr">
        <is>
          <t>Atlas real contract @ 500 (DW-adj)</t>
        </is>
      </c>
      <c r="B19" s="12" t="n">
        <v>225</v>
      </c>
      <c r="C19" s="17" t="inlineStr">
        <is>
          <t>Published</t>
        </is>
      </c>
      <c r="D19" s="14" t="inlineStr">
        <is>
          <t>Atlas MCPS single-wall $125/MSF x 1.8 for DW</t>
        </is>
      </c>
    </row>
    <row r="20" ht="26" customHeight="1">
      <c r="A20" s="16" t="inlineStr">
        <is>
          <t>PCA industry average, all volumes</t>
        </is>
      </c>
      <c r="B20" s="12" t="n">
        <v>116.65</v>
      </c>
      <c r="C20" s="17" t="inlineStr">
        <is>
          <t>Published</t>
        </is>
      </c>
      <c r="D20" s="14" t="inlineStr">
        <is>
          <t>PCA 10-K FY2025 - the absolute floor</t>
        </is>
      </c>
    </row>
    <row r="45" ht="20" customHeight="1">
      <c r="A45" s="3" t="inlineStr">
        <is>
          <t>3.  QUOTE COMPARISON TEMPLATE - add a row per supplier as quotes arrive</t>
        </is>
      </c>
      <c r="B45" s="4" t="n"/>
      <c r="C45" s="4" t="n"/>
      <c r="D45" s="4" t="n"/>
      <c r="E45" s="4" t="n"/>
      <c r="F45" s="4" t="n"/>
      <c r="G45" s="4" t="n"/>
      <c r="H45" s="5" t="n"/>
    </row>
    <row r="46" ht="34" customHeight="1">
      <c r="A46" s="10" t="inlineStr">
        <is>
          <t>Supplier</t>
        </is>
      </c>
      <c r="B46" s="10" t="inlineStr">
        <is>
          <t>Qty quoted</t>
        </is>
      </c>
      <c r="C46" s="10" t="inlineStr">
        <is>
          <t>MEDIUM $/box</t>
        </is>
      </c>
      <c r="D46" s="10" t="inlineStr">
        <is>
          <t>LARGE $/box</t>
        </is>
      </c>
      <c r="E46" s="10" t="inlineStr">
        <is>
          <t>Setup quoted</t>
        </is>
      </c>
      <c r="F46" s="10" t="inlineStr">
        <is>
          <t>Freight quoted</t>
        </is>
      </c>
      <c r="G46" s="10" t="inlineStr">
        <is>
          <t>MEDIUM $/MSF</t>
        </is>
      </c>
      <c r="H46" s="10" t="inlineStr">
        <is>
          <t>LARGE $/MSF</t>
        </is>
      </c>
    </row>
    <row r="47" ht="22" customHeight="1">
      <c r="A47" s="20" t="inlineStr">
        <is>
          <t>Quote received (supplier?)</t>
        </is>
      </c>
      <c r="B47" s="21" t="n">
        <v>100</v>
      </c>
      <c r="C47" s="22" t="n">
        <v>30.22</v>
      </c>
      <c r="D47" s="22" t="n">
        <v>38.89</v>
      </c>
      <c r="E47" s="23" t="n"/>
      <c r="F47" s="23" t="n"/>
      <c r="G47" s="24">
        <f>IF(C47="","",C47/43.062500*1000)</f>
        <v>701.770682148</v>
      </c>
      <c r="H47" s="24">
        <f>IF(D47="","",D47/89.192708*1000)</f>
        <v>436.022189781</v>
      </c>
    </row>
    <row r="48" ht="22" customHeight="1">
      <c r="A48" s="20" t="n"/>
      <c r="B48" s="21" t="n">
        <v>100</v>
      </c>
      <c r="C48" s="22" t="n"/>
      <c r="D48" s="22" t="n"/>
      <c r="E48" s="23" t="n"/>
      <c r="F48" s="23" t="n"/>
      <c r="G48" s="24">
        <f>IF(C48="","",C48/43.062500*1000)</f>
      </c>
      <c r="H48" s="24">
        <f>IF(D48="","",D48/89.192708*1000)</f>
      </c>
    </row>
    <row r="49" ht="22" customHeight="1">
      <c r="A49" s="20" t="n"/>
      <c r="B49" s="21" t="n">
        <v>100</v>
      </c>
      <c r="C49" s="22" t="n"/>
      <c r="D49" s="22" t="n"/>
      <c r="E49" s="23" t="n"/>
      <c r="F49" s="23" t="n"/>
      <c r="G49" s="24">
        <f>IF(C49="","",C49/43.062500*1000)</f>
      </c>
      <c r="H49" s="24">
        <f>IF(D49="","",D49/89.192708*1000)</f>
      </c>
    </row>
    <row r="50" ht="22" customHeight="1">
      <c r="A50" s="20" t="n"/>
      <c r="B50" s="21" t="n">
        <v>100</v>
      </c>
      <c r="C50" s="22" t="n"/>
      <c r="D50" s="22" t="n"/>
      <c r="E50" s="23" t="n"/>
      <c r="F50" s="23" t="n"/>
      <c r="G50" s="24">
        <f>IF(C50="","",C50/43.062500*1000)</f>
      </c>
      <c r="H50" s="24">
        <f>IF(D50="","",D50/89.192708*1000)</f>
      </c>
    </row>
    <row r="51" ht="22" customHeight="1">
      <c r="A51" s="20" t="n"/>
      <c r="B51" s="21" t="n">
        <v>100</v>
      </c>
      <c r="C51" s="22" t="n"/>
      <c r="D51" s="22" t="n"/>
      <c r="E51" s="23" t="n"/>
      <c r="F51" s="23" t="n"/>
      <c r="G51" s="24">
        <f>IF(C51="","",C51/43.062500*1000)</f>
      </c>
      <c r="H51" s="24">
        <f>IF(D51="","",D51/89.192708*1000)</f>
      </c>
    </row>
    <row r="52" ht="22" customHeight="1">
      <c r="A52" s="20" t="n"/>
      <c r="B52" s="21" t="n">
        <v>100</v>
      </c>
      <c r="C52" s="22" t="n"/>
      <c r="D52" s="22" t="n"/>
      <c r="E52" s="23" t="n"/>
      <c r="F52" s="23" t="n"/>
      <c r="G52" s="24">
        <f>IF(C52="","",C52/43.062500*1000)</f>
      </c>
      <c r="H52" s="24">
        <f>IF(D52="","",D52/89.192708*1000)</f>
      </c>
    </row>
    <row r="53" ht="22" customHeight="1">
      <c r="A53" s="20" t="n"/>
      <c r="B53" s="21" t="n">
        <v>100</v>
      </c>
      <c r="C53" s="22" t="n"/>
      <c r="D53" s="22" t="n"/>
      <c r="E53" s="23" t="n"/>
      <c r="F53" s="23" t="n"/>
      <c r="G53" s="24">
        <f>IF(C53="","",C53/43.062500*1000)</f>
      </c>
      <c r="H53" s="24">
        <f>IF(D53="","",D53/89.192708*1000)</f>
      </c>
    </row>
    <row r="54" ht="22" customHeight="1">
      <c r="A54" s="20" t="n"/>
      <c r="B54" s="21" t="n">
        <v>100</v>
      </c>
      <c r="C54" s="22" t="n"/>
      <c r="D54" s="22" t="n"/>
      <c r="E54" s="23" t="n"/>
      <c r="F54" s="23" t="n"/>
      <c r="G54" s="24">
        <f>IF(C54="","",C54/43.062500*1000)</f>
      </c>
      <c r="H54" s="24">
        <f>IF(D54="","",D54/89.192708*1000)</f>
      </c>
    </row>
    <row r="55">
      <c r="A55" s="25" t="inlineStr">
        <is>
          <t>Fill the yellow cells. The two $/MSF columns compute themselves - compare them against section 2 to see instantly whether a quote is competitive.</t>
        </is>
      </c>
    </row>
  </sheetData>
  <mergeCells count="16">
    <mergeCell ref="A45:H45"/>
    <mergeCell ref="A4:H4"/>
    <mergeCell ref="D7:H7"/>
    <mergeCell ref="D8:H8"/>
    <mergeCell ref="D6:H6"/>
    <mergeCell ref="A55:H55"/>
    <mergeCell ref="A7:B7"/>
    <mergeCell ref="A2:H2"/>
    <mergeCell ref="A5:B5"/>
    <mergeCell ref="D5:H5"/>
    <mergeCell ref="A11:H11"/>
    <mergeCell ref="A1:H1"/>
    <mergeCell ref="A9:B9"/>
    <mergeCell ref="A8:B8"/>
    <mergeCell ref="A6:B6"/>
    <mergeCell ref="D9:H9"/>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H80"/>
  <sheetViews>
    <sheetView showGridLines="0" workbookViewId="0">
      <selection activeCell="A1" sqref="A1"/>
    </sheetView>
  </sheetViews>
  <sheetFormatPr baseColWidth="8" defaultRowHeight="15"/>
  <cols>
    <col width="26" customWidth="1" min="1" max="1"/>
    <col width="20" customWidth="1" min="2" max="2"/>
    <col width="22" customWidth="1" min="3" max="3"/>
    <col width="14" customWidth="1" min="4" max="4"/>
    <col width="14" customWidth="1" min="5" max="5"/>
    <col width="13" customWidth="1" min="6" max="6"/>
    <col width="13" customWidth="1" min="7" max="7"/>
    <col width="16" customWidth="1" min="8" max="8"/>
  </cols>
  <sheetData>
    <row r="1" ht="22" customHeight="1">
      <c r="A1" s="1" t="inlineStr">
        <is>
          <t>Sensitivity - what happens to these prices as quantity moves</t>
        </is>
      </c>
    </row>
    <row r="2" ht="44" customHeight="1">
      <c r="A2" s="2" t="inlineStr">
        <is>
          <t>Two quoted prices are enough to separate the FIXED part of a quote from the VARIABLE part, because the two boxes contain different amounts of board but carry the same setup. Solving the pair gives a marginal rate of $188/MSF and a fixed charge of about $2,213 per SKU. Everything below follows from that.</t>
        </is>
      </c>
    </row>
    <row r="4" ht="20" customHeight="1">
      <c r="A4" s="3" t="inlineStr">
        <is>
          <t>1.  THE DECOMPOSITION - solved from your two quotes</t>
        </is>
      </c>
      <c r="B4" s="4" t="n"/>
      <c r="C4" s="4" t="n"/>
      <c r="D4" s="4" t="n"/>
      <c r="E4" s="4" t="n"/>
      <c r="F4" s="4" t="n"/>
      <c r="G4" s="4" t="n"/>
      <c r="H4" s="5" t="n"/>
    </row>
    <row r="5" ht="22" customHeight="1">
      <c r="A5" s="10" t="inlineStr">
        <is>
          <t>Input / result</t>
        </is>
      </c>
      <c r="B5" s="10" t="inlineStr">
        <is>
          <t>Value</t>
        </is>
      </c>
      <c r="C5" s="10" t="inlineStr">
        <is>
          <t>How it is derived</t>
        </is>
      </c>
      <c r="D5" t="inlineStr"/>
      <c r="E5" t="inlineStr"/>
      <c r="F5" t="inlineStr"/>
      <c r="G5" t="inlineStr"/>
      <c r="H5" t="inlineStr"/>
    </row>
    <row r="6" ht="24" customHeight="1">
      <c r="A6" s="19" t="inlineStr">
        <is>
          <t>MEDIUM box quoted price</t>
        </is>
      </c>
      <c r="B6" s="22" t="n">
        <v>30.22</v>
      </c>
      <c r="C6" s="14" t="inlineStr">
        <is>
          <t>As quoted, per box at 100 pieces</t>
        </is>
      </c>
    </row>
    <row r="7" ht="24" customHeight="1">
      <c r="A7" s="19" t="inlineStr">
        <is>
          <t>LARGE box quoted price</t>
        </is>
      </c>
      <c r="B7" s="22" t="n">
        <v>38.89</v>
      </c>
      <c r="C7" s="14" t="inlineStr">
        <is>
          <t>As quoted, per box at 100 pieces</t>
        </is>
      </c>
    </row>
    <row r="8" ht="24" customHeight="1">
      <c r="A8" s="19" t="inlineStr">
        <is>
          <t>Quantity quoted</t>
        </is>
      </c>
      <c r="B8" s="26" t="n">
        <v>100</v>
      </c>
      <c r="C8" s="14" t="inlineStr">
        <is>
          <t>Pieces of each SKU</t>
        </is>
      </c>
    </row>
    <row r="9" ht="24" customHeight="1">
      <c r="A9" s="19" t="inlineStr">
        <is>
          <t>MEDIUM board area</t>
        </is>
      </c>
      <c r="B9" s="27" t="n">
        <v>43.0625</v>
      </c>
      <c r="C9" s="14" t="inlineStr">
        <is>
          <t>sq ft per box, from the blank: (2*(39+20)+1.25) x (32+20) / 144</t>
        </is>
      </c>
    </row>
    <row r="10" ht="24" customHeight="1">
      <c r="A10" s="19" t="inlineStr">
        <is>
          <t>LARGE board area</t>
        </is>
      </c>
      <c r="B10" s="27" t="n">
        <v>89.19270833333333</v>
      </c>
      <c r="C10" s="14" t="inlineStr">
        <is>
          <t>sq ft per box: (2*(46+39)+1.25) x (36+39) / 144</t>
        </is>
      </c>
    </row>
    <row r="11" ht="30" customHeight="1">
      <c r="A11" s="28" t="inlineStr">
        <is>
          <t>MARGINAL board rate</t>
        </is>
      </c>
      <c r="B11" s="29">
        <f>(B7-B6)/(B10-B9)*1000</f>
        <v>187.9462571977</v>
      </c>
      <c r="C11" s="9" t="inlineStr">
        <is>
          <t>(large price - medium price) / (large area - medium area) x 1000. The extra board between the two boxes, priced.</t>
        </is>
      </c>
    </row>
    <row r="12" ht="30" customHeight="1">
      <c r="A12" s="28" t="inlineStr">
        <is>
          <t>FIXED charge per SKU</t>
        </is>
      </c>
      <c r="B12" s="29">
        <f>(B6-B9*B11/1000)*B8</f>
        <v>2212.6564299424</v>
      </c>
      <c r="C12" s="9" t="inlineStr">
        <is>
          <t>What is left of the medium-box price once its board is paid for, times the quantity. Setup, make-ready, or a minimum-order floor.</t>
        </is>
      </c>
    </row>
    <row r="14" ht="20" customHeight="1">
      <c r="A14" s="3" t="inlineStr">
        <is>
          <t>2.  PRICE BY QUANTITY - holding the same rate and fixed charge</t>
        </is>
      </c>
      <c r="B14" s="4" t="n"/>
      <c r="C14" s="4" t="n"/>
      <c r="D14" s="4" t="n"/>
      <c r="E14" s="4" t="n"/>
      <c r="F14" s="4" t="n"/>
      <c r="G14" s="4" t="n"/>
      <c r="H14" s="5" t="n"/>
    </row>
    <row r="15" ht="34" customHeight="1">
      <c r="A15" s="10" t="inlineStr">
        <is>
          <t>Qty each</t>
        </is>
      </c>
      <c r="B15" s="10" t="inlineStr">
        <is>
          <t>MEDIUM $/box</t>
        </is>
      </c>
      <c r="C15" s="10" t="inlineStr">
        <is>
          <t>LARGE $/box</t>
        </is>
      </c>
      <c r="D15" s="10" t="inlineStr">
        <is>
          <t>$ per set</t>
        </is>
      </c>
      <c r="E15" s="10" t="inlineStr">
        <is>
          <t>Order total</t>
        </is>
      </c>
      <c r="F15" s="10" t="inlineStr">
        <is>
          <t>Fixed $/box</t>
        </is>
      </c>
      <c r="G15" s="10" t="inlineStr">
        <is>
          <t>Board $/box</t>
        </is>
      </c>
      <c r="H15" s="10" t="inlineStr">
        <is>
          <t>Fixed as % of price</t>
        </is>
      </c>
    </row>
    <row r="16" ht="22" customHeight="1">
      <c r="A16" s="30" t="n">
        <v>100</v>
      </c>
      <c r="B16" s="31">
        <f>$B$9*$B$11/1000+$B$12/A16</f>
        <v>30.22</v>
      </c>
      <c r="C16" s="31">
        <f>$B$10*$B$11/1000+$B$12/A16</f>
        <v>38.89</v>
      </c>
      <c r="D16" s="31">
        <f>B16+C16</f>
        <v>69.11</v>
      </c>
      <c r="E16" s="32">
        <f>A16*D16</f>
        <v>6911.0</v>
      </c>
      <c r="F16" s="31">
        <f>$B$12/A16</f>
        <v>22.1265642994</v>
      </c>
      <c r="G16" s="31">
        <f>B16-F16</f>
        <v>8.0934357006</v>
      </c>
      <c r="H16" s="33">
        <f>2*F16/D16</f>
        <v>0.6403288757</v>
      </c>
    </row>
    <row r="17" ht="22" customHeight="1">
      <c r="A17" s="34" t="n">
        <v>250</v>
      </c>
      <c r="B17" s="35">
        <f>$B$9*$B$11/1000+$B$12/A17</f>
        <v>16.9440614203</v>
      </c>
      <c r="C17" s="35">
        <f>$B$10*$B$11/1000+$B$12/A17</f>
        <v>25.6140614203</v>
      </c>
      <c r="D17" s="35">
        <f>B17+C17</f>
        <v>42.5581228407</v>
      </c>
      <c r="E17" s="36">
        <f>A17*D17</f>
        <v>10639.5307101727</v>
      </c>
      <c r="F17" s="35">
        <f>$B$12/A17</f>
        <v>8.8506257198</v>
      </c>
      <c r="G17" s="35">
        <f>B17-F17</f>
        <v>8.0934357006</v>
      </c>
      <c r="H17" s="37">
        <f>2*F17/D17</f>
        <v>0.4159312079</v>
      </c>
    </row>
    <row r="18" ht="22" customHeight="1">
      <c r="A18" s="34" t="n">
        <v>500</v>
      </c>
      <c r="B18" s="35">
        <f>$B$9*$B$11/1000+$B$12/A18</f>
        <v>12.5187485605</v>
      </c>
      <c r="C18" s="35">
        <f>$B$10*$B$11/1000+$B$12/A18</f>
        <v>21.1887485605</v>
      </c>
      <c r="D18" s="35">
        <f>B18+C18</f>
        <v>33.7074971209</v>
      </c>
      <c r="E18" s="36">
        <f>A18*D18</f>
        <v>16853.7485604607</v>
      </c>
      <c r="F18" s="35">
        <f>$B$12/A18</f>
        <v>4.4253128599</v>
      </c>
      <c r="G18" s="35">
        <f>B18-F18</f>
        <v>8.0934357006</v>
      </c>
      <c r="H18" s="37">
        <f>2*F18/D18</f>
        <v>0.26257143</v>
      </c>
    </row>
    <row r="19" ht="22" customHeight="1">
      <c r="A19" s="34" t="n">
        <v>1000</v>
      </c>
      <c r="B19" s="35">
        <f>$B$9*$B$11/1000+$B$12/A19</f>
        <v>10.3060921305</v>
      </c>
      <c r="C19" s="35">
        <f>$B$10*$B$11/1000+$B$12/A19</f>
        <v>18.9760921305</v>
      </c>
      <c r="D19" s="35">
        <f>B19+C19</f>
        <v>29.282184261</v>
      </c>
      <c r="E19" s="36">
        <f>A19*D19</f>
        <v>29282.1842610365</v>
      </c>
      <c r="F19" s="35">
        <f>$B$12/A19</f>
        <v>2.2126564299</v>
      </c>
      <c r="G19" s="35">
        <f>B19-F19</f>
        <v>8.0934357006</v>
      </c>
      <c r="H19" s="37">
        <f>2*F19/D19</f>
        <v>0.1511264604</v>
      </c>
    </row>
    <row r="20" ht="22" customHeight="1">
      <c r="A20" s="34" t="n">
        <v>2500</v>
      </c>
      <c r="B20" s="35">
        <f>$B$9*$B$11/1000+$B$12/A20</f>
        <v>8.9784982726</v>
      </c>
      <c r="C20" s="35">
        <f>$B$10*$B$11/1000+$B$12/A20</f>
        <v>17.6484982726</v>
      </c>
      <c r="D20" s="35">
        <f>B20+C20</f>
        <v>26.6269965451</v>
      </c>
      <c r="E20" s="36">
        <f>A20*D20</f>
        <v>66567.4913627639</v>
      </c>
      <c r="F20" s="35">
        <f>$B$12/A20</f>
        <v>0.885062572</v>
      </c>
      <c r="G20" s="35">
        <f>B20-F20</f>
        <v>8.0934357006</v>
      </c>
      <c r="H20" s="37">
        <f>2*F20/D20</f>
        <v>0.0664785884</v>
      </c>
    </row>
    <row r="21" ht="22" customHeight="1">
      <c r="A21" s="34" t="n">
        <v>5000</v>
      </c>
      <c r="B21" s="35">
        <f>$B$9*$B$11/1000+$B$12/A21</f>
        <v>8.5359669866</v>
      </c>
      <c r="C21" s="35">
        <f>$B$10*$B$11/1000+$B$12/A21</f>
        <v>17.2059669866</v>
      </c>
      <c r="D21" s="35">
        <f>B21+C21</f>
        <v>25.7419339731</v>
      </c>
      <c r="E21" s="36">
        <f>A21*D21</f>
        <v>128709.669865643</v>
      </c>
      <c r="F21" s="35">
        <f>$B$12/A21</f>
        <v>0.442531286</v>
      </c>
      <c r="G21" s="35">
        <f>B21-F21</f>
        <v>8.0934357006</v>
      </c>
      <c r="H21" s="37">
        <f>2*F21/D21</f>
        <v>0.034382132</v>
      </c>
    </row>
    <row r="22" ht="22" customHeight="1">
      <c r="A22" s="34" t="n">
        <v>10000</v>
      </c>
      <c r="B22" s="35">
        <f>$B$9*$B$11/1000+$B$12/A22</f>
        <v>8.3147013436</v>
      </c>
      <c r="C22" s="35">
        <f>$B$10*$B$11/1000+$B$12/A22</f>
        <v>16.9847013436</v>
      </c>
      <c r="D22" s="35">
        <f>B22+C22</f>
        <v>25.2994026871</v>
      </c>
      <c r="E22" s="36">
        <f>A22*D22</f>
        <v>252994.0268714012</v>
      </c>
      <c r="F22" s="35">
        <f>$B$12/A22</f>
        <v>0.221265643</v>
      </c>
      <c r="G22" s="35">
        <f>B22-F22</f>
        <v>8.0934357006</v>
      </c>
      <c r="H22" s="37">
        <f>2*F22/D22</f>
        <v>0.0174917681</v>
      </c>
    </row>
    <row r="47" ht="20" customHeight="1">
      <c r="A47" s="3" t="inlineStr">
        <is>
          <t>3.  WHAT YOU ARE ACTUALLY PAYING FOR</t>
        </is>
      </c>
      <c r="B47" s="4" t="n"/>
      <c r="C47" s="4" t="n"/>
      <c r="D47" s="4" t="n"/>
      <c r="E47" s="4" t="n"/>
      <c r="F47" s="4" t="n"/>
      <c r="G47" s="4" t="n"/>
      <c r="H47" s="5" t="n"/>
    </row>
    <row r="48" ht="22" customHeight="1">
      <c r="A48" s="10" t="inlineStr">
        <is>
          <t>Qty each</t>
        </is>
      </c>
      <c r="B48" s="10" t="inlineStr">
        <is>
          <t>Board cost, both SKUs</t>
        </is>
      </c>
      <c r="C48" s="10" t="inlineStr">
        <is>
          <t>Fixed charges, both SKUs</t>
        </is>
      </c>
      <c r="D48" t="inlineStr"/>
      <c r="E48" t="inlineStr"/>
      <c r="F48" t="inlineStr"/>
      <c r="G48" t="inlineStr"/>
      <c r="H48" t="inlineStr"/>
    </row>
    <row r="49" ht="20" customHeight="1">
      <c r="A49" s="34" t="n">
        <v>100</v>
      </c>
      <c r="B49" s="36">
        <f>A49*($B$9+$B$10)*$B$11/1000</f>
        <v>2485.6871401152</v>
      </c>
      <c r="C49" s="36">
        <f>2*$B$12</f>
        <v>4425.3128598848</v>
      </c>
    </row>
    <row r="50" ht="20" customHeight="1">
      <c r="A50" s="34" t="n">
        <v>250</v>
      </c>
      <c r="B50" s="36">
        <f>A50*($B$9+$B$10)*$B$11/1000</f>
        <v>6214.2178502879</v>
      </c>
      <c r="C50" s="36">
        <f>2*$B$12</f>
        <v>4425.3128598848</v>
      </c>
    </row>
    <row r="51" ht="20" customHeight="1">
      <c r="A51" s="34" t="n">
        <v>500</v>
      </c>
      <c r="B51" s="36">
        <f>A51*($B$9+$B$10)*$B$11/1000</f>
        <v>12428.4357005758</v>
      </c>
      <c r="C51" s="36">
        <f>2*$B$12</f>
        <v>4425.3128598848</v>
      </c>
    </row>
    <row r="52" ht="20" customHeight="1">
      <c r="A52" s="34" t="n">
        <v>1000</v>
      </c>
      <c r="B52" s="36">
        <f>A52*($B$9+$B$10)*$B$11/1000</f>
        <v>24856.8714011516</v>
      </c>
      <c r="C52" s="36">
        <f>2*$B$12</f>
        <v>4425.3128598848</v>
      </c>
    </row>
    <row r="53" ht="20" customHeight="1">
      <c r="A53" s="34" t="n">
        <v>2500</v>
      </c>
      <c r="B53" s="36">
        <f>A53*($B$9+$B$10)*$B$11/1000</f>
        <v>62142.1785028791</v>
      </c>
      <c r="C53" s="36">
        <f>2*$B$12</f>
        <v>4425.3128598848</v>
      </c>
    </row>
    <row r="54" ht="20" customHeight="1">
      <c r="A54" s="34" t="n">
        <v>5000</v>
      </c>
      <c r="B54" s="36">
        <f>A54*($B$9+$B$10)*$B$11/1000</f>
        <v>124284.3570057582</v>
      </c>
      <c r="C54" s="36">
        <f>2*$B$12</f>
        <v>4425.3128598848</v>
      </c>
    </row>
    <row r="55" ht="20" customHeight="1">
      <c r="A55" s="34" t="n">
        <v>10000</v>
      </c>
      <c r="B55" s="36">
        <f>A55*($B$9+$B$10)*$B$11/1000</f>
        <v>248568.7140115164</v>
      </c>
      <c r="C55" s="36">
        <f>2*$B$12</f>
        <v>4425.3128598848</v>
      </c>
    </row>
    <row r="80" ht="76" customHeight="1">
      <c r="A80" s="2" t="inlineStr">
        <is>
          <t>HOW TO READ THIS, AND ITS LIMITS. The decomposition fits two unknowns to two data points, so it matches your quotes exactly by construction - that is arithmetic, not evidence. It rests on one assumption: that both boxes carry the SAME fixed charge and the SAME board rate. That is the natural reading when one supplier quotes both on one sheet. If the two prices came from DIFFERENT suppliers, or if the large box carries an oversize premium in its rate, the split shifts - though the conclusion that a large fixed component exists survives either way, because the price ratio (1.29x) is so far below the board ratio (2.07x). The single most useful thing you can do is ask the supplier to state setup separately (requirement R14) and see whether their number lands near $2,213.</t>
        </is>
      </c>
    </row>
  </sheetData>
  <mergeCells count="6">
    <mergeCell ref="A4:H4"/>
    <mergeCell ref="A80:H80"/>
    <mergeCell ref="A2:H2"/>
    <mergeCell ref="A14:H14"/>
    <mergeCell ref="A47:H47"/>
    <mergeCell ref="A1:H1"/>
  </mergeCells>
  <pageMargins left="0.75" right="0.75" top="1" bottom="1" header="0.5" footer="0.5"/>
  <drawing r:id="rId1"/>
</worksheet>
</file>

<file path=xl/worksheets/sheet3.xml><?xml version="1.0" encoding="utf-8"?>
<worksheet xmlns="http://schemas.openxmlformats.org/spreadsheetml/2006/main">
  <sheetPr>
    <outlinePr summaryBelow="1" summaryRight="1"/>
    <pageSetUpPr/>
  </sheetPr>
  <dimension ref="A1:C8"/>
  <sheetViews>
    <sheetView showGridLines="0" workbookViewId="0">
      <selection activeCell="A1" sqref="A1"/>
    </sheetView>
  </sheetViews>
  <sheetFormatPr baseColWidth="8" defaultRowHeight="15"/>
  <cols>
    <col width="6" customWidth="1" min="1" max="1"/>
    <col width="40" customWidth="1" min="2" max="2"/>
    <col width="108" customWidth="1" min="3" max="3"/>
  </cols>
  <sheetData>
    <row r="1" ht="22" customHeight="1">
      <c r="A1" s="1" t="inlineStr">
        <is>
          <t>What to do about it</t>
        </is>
      </c>
    </row>
    <row r="2" ht="26" customHeight="1">
      <c r="A2" s="2" t="inlineStr">
        <is>
          <t>Five moves, ordered by how much they are worth. All follow directly from the decomposition on the Sensitivity tab.</t>
        </is>
      </c>
    </row>
    <row r="4" ht="72" customHeight="1">
      <c r="A4" s="38" t="inlineStr">
        <is>
          <t>1</t>
        </is>
      </c>
      <c r="B4" s="39" t="inlineStr">
        <is>
          <t>Make them break out setup separately</t>
        </is>
      </c>
      <c r="C4" s="14" t="inlineStr">
        <is>
          <t>Requirement R14 already asks for this. If their setup number lands near $2,213 per SKU, the decomposition is confirmed and you can negotiate that line specifically instead of arguing about the box price. If they say setup is zero, then the medium box is simply overpriced per square foot and you should say so with the $/MSF numbers in hand.</t>
        </is>
      </c>
    </row>
    <row r="5" ht="72" customHeight="1">
      <c r="A5" s="38" t="inlineStr">
        <is>
          <t>2</t>
        </is>
      </c>
      <c r="B5" s="39" t="inlineStr">
        <is>
          <t>Challenge the MEDIUM box specifically</t>
        </is>
      </c>
      <c r="C5" s="14" t="inlineStr">
        <is>
          <t>It bills at $702/MSF against a retail catalogue benchmark of $444 - you are paying 58% ABOVE retail for a custom box, which should not happen. The large box at $436/MSF is defensible; the medium one is not. Quote both numbers back to them.</t>
        </is>
      </c>
    </row>
    <row r="6" ht="72" customHeight="1">
      <c r="A6" s="38" t="inlineStr">
        <is>
          <t>3</t>
        </is>
      </c>
      <c r="B6" s="39" t="inlineStr">
        <is>
          <t>Price 250 and 500 before you commit</t>
        </is>
      </c>
      <c r="C6" s="14" t="inlineStr">
        <is>
          <t>Requirement R7 already asks for this. Moving from 100 to 500 takes the set from $69.11 to $33.71 - a 51% cut per unit - because the fixed charge spreads five ways. If you have any use for spares, the marginal boxes are nearly free: the 400 extra pieces cost only about $9,943 more in total.</t>
        </is>
      </c>
    </row>
    <row r="7" ht="72" customHeight="1">
      <c r="A7" s="38" t="inlineStr">
        <is>
          <t>4</t>
        </is>
      </c>
      <c r="B7" s="39" t="inlineStr">
        <is>
          <t>Ask whether one setup can cover both SKUs</t>
        </is>
      </c>
      <c r="C7" s="14" t="inlineStr">
        <is>
          <t>You are apparently paying the fixed charge TWICE, once per SKU. Both boxes are plain kraft RSCs in the same board on the same machine - if they can be run back to back on one make-ready, some of that second charge should disappear. Worth about $2,213 if it works.</t>
        </is>
      </c>
    </row>
    <row r="8" ht="72" customHeight="1">
      <c r="A8" s="38" t="inlineStr">
        <is>
          <t>5</t>
        </is>
      </c>
      <c r="B8" s="39" t="inlineStr">
        <is>
          <t>Get a second quote before accepting</t>
        </is>
      </c>
      <c r="C8" s="14" t="inlineStr">
        <is>
          <t>You have one data point. The Call Sheet has nine other suppliers with verified numbers, and the census tab in the main workbook lists 74 plants across VA and MD. A single competing quote is the cheapest leverage available - and the template on the Quote Analysis tab is built to hold them side by side.</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2026-09-01T18:12:31Z</dcterms:created>
  <dcterms:modified xsi:type="dcterms:W3CDTF">2026-09-01T18:12:31Z</dcterms:modified>
</cp:coreProperties>
</file>