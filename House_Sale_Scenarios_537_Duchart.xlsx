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Notes &amp; Assumptions" sheetId="2" state="visible" r:id="rId2"/>
    <sheet name="Chart — Cost vs Od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375623"/>
      </patternFill>
    </fill>
    <fill>
      <patternFill patternType="solid">
        <fgColor rgb="00BF8F00"/>
      </patternFill>
    </fill>
    <fill>
      <patternFill patternType="solid">
        <fgColor rgb="00DDEBF7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EDF7E9"/>
      </patternFill>
    </fill>
    <fill>
      <patternFill patternType="solid">
        <fgColor rgb="00FFE699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3" fontId="2" fillId="3" borderId="1" pivotButton="0" quotePrefix="0" xfId="0"/>
    <xf numFmtId="164" fontId="2" fillId="3" borderId="1" pivotButton="0" quotePrefix="0" xfId="0"/>
    <xf numFmtId="165" fontId="2" fillId="3" borderId="1" pivotButton="0" quotePrefix="0" xfId="0"/>
    <xf numFmtId="2" fontId="2" fillId="3" borderId="1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3" fontId="0" fillId="7" borderId="1" pivotButton="0" quotePrefix="0" xfId="0"/>
    <xf numFmtId="0" fontId="0" fillId="0" borderId="1" applyAlignment="1" pivotButton="0" quotePrefix="0" xfId="0">
      <alignment horizontal="left" vertical="center" wrapText="1"/>
    </xf>
    <xf numFmtId="164" fontId="0" fillId="0" borderId="1" pivotButton="0" quotePrefix="0" xfId="0"/>
    <xf numFmtId="3" fontId="0" fillId="0" borderId="1" pivotButton="0" quotePrefix="0" xfId="0"/>
    <xf numFmtId="3" fontId="2" fillId="0" borderId="1" pivotButton="0" quotePrefix="0" xfId="0"/>
    <xf numFmtId="3" fontId="2" fillId="8" borderId="1" pivotButton="0" quotePrefix="0" xfId="0"/>
    <xf numFmtId="3" fontId="0" fillId="9" borderId="1" pivotButton="0" quotePrefix="0" xfId="0"/>
    <xf numFmtId="2" fontId="0" fillId="0" borderId="1" pivotButton="0" quotePrefix="0" xfId="0"/>
    <xf numFmtId="9" fontId="2" fillId="10" borderId="1" pivotButton="0" quotePrefix="0" xfId="0"/>
    <xf numFmtId="9" fontId="0" fillId="10" borderId="1" pivotButton="0" quotePrefix="0" xfId="0"/>
    <xf numFmtId="0" fontId="0" fillId="0" borderId="1" pivotButton="0" quotePrefix="0" xfId="0"/>
    <xf numFmtId="3" fontId="0" fillId="11" borderId="1" pivotButton="0" quotePrefix="0" xfId="0"/>
    <xf numFmtId="0" fontId="0" fillId="11" borderId="1" applyAlignment="1" pivotButton="0" quotePrefix="0" xfId="0">
      <alignment horizontal="left" vertical="center" wrapText="1"/>
    </xf>
    <xf numFmtId="3" fontId="2" fillId="11" borderId="1" pivotButton="0" quotePrefix="0" xfId="0"/>
    <xf numFmtId="9" fontId="2" fillId="11" borderId="1" pivotButton="0" quotePrefix="0" xfId="0"/>
    <xf numFmtId="9" fontId="0" fillId="11" borderId="1" pivotButton="0" quotePrefix="0" xfId="0"/>
    <xf numFmtId="0" fontId="2" fillId="11" borderId="1" applyAlignment="1" pivotButton="0" quotePrefix="0" xfId="0">
      <alignment horizontal="left" vertical="center" wrapText="1"/>
    </xf>
    <xf numFmtId="0" fontId="3" fillId="4" borderId="0" pivotButton="0" quotePrefix="0" xfId="0"/>
    <xf numFmtId="3" fontId="2" fillId="9" borderId="1" pivotButton="0" quotePrefix="0" xfId="0"/>
    <xf numFmtId="0" fontId="2" fillId="7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7" borderId="1" applyAlignment="1" pivotButton="0" quotePrefix="0" xfId="0">
      <alignment horizontal="center" vertical="center" wrapText="1"/>
    </xf>
    <xf numFmtId="9" fontId="0" fillId="0" borderId="0" pivotButton="0" quotePrefix="0" xfId="0"/>
    <xf numFmtId="3" fontId="0" fillId="0" borderId="0" pivotButton="0" quotePrefix="0" xfId="0"/>
    <xf numFmtId="9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Oscar's cost vs. probability of sale by October</a:t>
            </a:r>
          </a:p>
        </rich>
      </tx>
    </title>
    <plotArea>
      <scatterChart>
        <ser>
          <idx val="0"/>
          <order val="0"/>
          <tx>
            <v>All 20 options</v>
          </tx>
          <spPr>
            <a:ln>
              <a:noFill/>
              <a:prstDash val="solid"/>
            </a:ln>
          </spPr>
          <marker>
            <symbol val="circle"/>
            <size val="6"/>
            <spPr>
              <a:ln>
                <a:prstDash val="solid"/>
              </a:ln>
            </spPr>
          </marker>
          <xVal>
            <numRef>
              <f>'Chart — Cost vs Odds'!$A$5:$A$24</f>
            </numRef>
          </xVal>
          <yVal>
            <numRef>
              <f>'Chart — Cost vs Odds'!$B$5:$B$24</f>
            </numRef>
          </yVal>
        </ser>
        <ser>
          <idx val="1"/>
          <order val="1"/>
          <tx>
            <v>★ Recommended</v>
          </tx>
          <spPr>
            <a:ln>
              <a:noFill/>
              <a:prstDash val="solid"/>
            </a:ln>
          </spPr>
          <marker>
            <symbol val="star"/>
            <size val="12"/>
            <spPr>
              <a:ln>
                <a:prstDash val="solid"/>
              </a:ln>
            </spPr>
          </marker>
          <xVal>
            <numRef>
              <f>'Chart — Cost vs Odds'!$D$5:$D$7</f>
            </numRef>
          </xVal>
          <yVal>
            <numRef>
              <f>'Chart — Cost vs Odds'!$E$5:$E$7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Probability sold by end of October</a:t>
                </a:r>
              </a:p>
            </rich>
          </tx>
        </title>
        <numFmt formatCode="0%" sourceLinked="0"/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Oscar's payment to Francie (@80%)</a:t>
                </a:r>
              </a:p>
            </rich>
          </tx>
        </title>
        <numFmt formatCode="$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2</row>
      <rowOff>0</rowOff>
    </from>
    <ext cx="792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8" customWidth="1" min="3" max="3"/>
    <col width="11" customWidth="1" min="4" max="4"/>
    <col width="10" customWidth="1" min="5" max="5"/>
    <col width="11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9" customWidth="1" min="13" max="13"/>
    <col width="9" customWidth="1" min="14" max="14"/>
    <col width="10" customWidth="1" min="15" max="15"/>
    <col width="10" customWidth="1" min="16" max="16"/>
    <col width="10" customWidth="1" min="17" max="17"/>
    <col width="10" customWidth="1" min="18" max="18"/>
    <col width="46" customWidth="1" min="19" max="19"/>
  </cols>
  <sheetData>
    <row r="1" ht="24" customHeight="1">
      <c r="A1" s="1" t="inlineStr">
        <is>
          <t>House Sale Scenarios + Probability of Sale — 537 Duchart Ln, Fuquay-Varina NC</t>
        </is>
      </c>
    </row>
    <row r="3">
      <c r="A3" s="2" t="inlineStr">
        <is>
          <t>DEAL INPUTS (edit yellow)</t>
        </is>
      </c>
      <c r="N3" s="2" t="inlineStr">
        <is>
          <t>PROBABILITY MODEL (edit yellow)</t>
        </is>
      </c>
    </row>
    <row r="4">
      <c r="A4" t="inlineStr">
        <is>
          <t>Purchase price (sold Mar 18 2024)</t>
        </is>
      </c>
      <c r="B4" s="3" t="n">
        <v>405700</v>
      </c>
      <c r="N4" t="inlineStr">
        <is>
          <t>Est. current market value</t>
        </is>
      </c>
      <c r="O4" s="3" t="n">
        <v>410000</v>
      </c>
    </row>
    <row r="5">
      <c r="A5" t="inlineStr">
        <is>
          <t>Down payment (her contribution)</t>
        </is>
      </c>
      <c r="B5" s="3" t="n">
        <v>48000</v>
      </c>
      <c r="N5" t="inlineStr">
        <is>
          <t>Base monthly sale chance (h0)</t>
        </is>
      </c>
      <c r="O5" s="4" t="n">
        <v>0.25</v>
      </c>
    </row>
    <row r="6">
      <c r="A6" t="inlineStr">
        <is>
          <t>Current mortgage balance / payoff</t>
        </is>
      </c>
      <c r="B6" s="3" t="n">
        <v>356149.76</v>
      </c>
      <c r="N6" t="inlineStr">
        <is>
          <t>Price sensitivity (k)</t>
        </is>
      </c>
      <c r="O6" s="5" t="n">
        <v>7</v>
      </c>
    </row>
    <row r="7">
      <c r="A7" t="inlineStr">
        <is>
          <t>Excise/transfer tax rate (NC)</t>
        </is>
      </c>
      <c r="B7" s="4" t="n">
        <v>0.002</v>
      </c>
      <c r="N7" t="inlineStr">
        <is>
          <t>Exposure: full-service agent</t>
        </is>
      </c>
      <c r="O7" s="6" t="n">
        <v>1.1</v>
      </c>
    </row>
    <row r="8">
      <c r="A8" t="inlineStr">
        <is>
          <t>Other closing costs (flat $)</t>
        </is>
      </c>
      <c r="B8" s="3" t="n">
        <v>2000</v>
      </c>
      <c r="N8" t="inlineStr">
        <is>
          <t>Exposure: typical agent</t>
        </is>
      </c>
      <c r="O8" s="6" t="n">
        <v>1.05</v>
      </c>
    </row>
    <row r="9">
      <c r="A9" t="inlineStr">
        <is>
          <t>HER recovery share — Option A</t>
        </is>
      </c>
      <c r="B9" s="4" t="n">
        <v>0.8</v>
      </c>
      <c r="N9" t="inlineStr">
        <is>
          <t>Exposure: FSBO + buyer agent 3%</t>
        </is>
      </c>
      <c r="O9" s="6" t="n">
        <v>0.9</v>
      </c>
    </row>
    <row r="10">
      <c r="A10" t="inlineStr">
        <is>
          <t>HER recovery share — Option B</t>
        </is>
      </c>
      <c r="B10" s="4" t="n">
        <v>0.7</v>
      </c>
      <c r="N10" t="inlineStr">
        <is>
          <t>Exposure: FSBO + buyer agent 2.5%</t>
        </is>
      </c>
      <c r="O10" s="6" t="n">
        <v>0.85</v>
      </c>
    </row>
    <row r="11">
      <c r="N11" t="inlineStr">
        <is>
          <t>Season — Jul 2026</t>
        </is>
      </c>
      <c r="O11" s="6" t="n">
        <v>1.05</v>
      </c>
    </row>
    <row r="12">
      <c r="N12" t="inlineStr">
        <is>
          <t>Season — Aug 2026</t>
        </is>
      </c>
      <c r="O12" s="6" t="n">
        <v>0.95</v>
      </c>
    </row>
    <row r="13">
      <c r="N13" t="inlineStr">
        <is>
          <t>Season — Sep 2026</t>
        </is>
      </c>
      <c r="O13" s="6" t="n">
        <v>0.85</v>
      </c>
    </row>
    <row r="14">
      <c r="N14" t="inlineStr">
        <is>
          <t>Season — Oct 2026</t>
        </is>
      </c>
      <c r="O14" s="6" t="n">
        <v>0.75</v>
      </c>
    </row>
    <row r="18" ht="42" customHeight="1">
      <c r="A18" s="7" t="inlineStr">
        <is>
          <t>Sale price</t>
        </is>
      </c>
      <c r="B18" s="7" t="inlineStr">
        <is>
          <t>Selling option</t>
        </is>
      </c>
      <c r="C18" s="7" t="inlineStr">
        <is>
          <t>Comm %</t>
        </is>
      </c>
      <c r="D18" s="7" t="inlineStr">
        <is>
          <t>Comm $</t>
        </is>
      </c>
      <c r="E18" s="7" t="inlineStr">
        <is>
          <t>Other
closing $</t>
        </is>
      </c>
      <c r="F18" s="7" t="inlineStr">
        <is>
          <t>Total
sell costs</t>
        </is>
      </c>
      <c r="G18" s="7" t="inlineStr">
        <is>
          <t>NET proceeds
(money back)</t>
        </is>
      </c>
      <c r="H18" s="7" t="inlineStr">
        <is>
          <t>Shortfall
vs $48k</t>
        </is>
      </c>
      <c r="I18" s="7" t="inlineStr">
        <is>
          <t>YOUR pay
@80%</t>
        </is>
      </c>
      <c r="J18" s="7" t="inlineStr">
        <is>
          <t>YOUR pay
@70%</t>
        </is>
      </c>
      <c r="K18" s="7" t="inlineStr">
        <is>
          <t>Her total
@80%</t>
        </is>
      </c>
      <c r="L18" s="7" t="inlineStr">
        <is>
          <t>Her total
@70%</t>
        </is>
      </c>
      <c r="M18" s="8" t="inlineStr">
        <is>
          <t>Price
factor</t>
        </is>
      </c>
      <c r="N18" s="8" t="inlineStr">
        <is>
          <t>Exposure
factor</t>
        </is>
      </c>
      <c r="O18" s="8" t="inlineStr">
        <is>
          <t>P(sold by
end Jul)</t>
        </is>
      </c>
      <c r="P18" s="8" t="inlineStr">
        <is>
          <t>P(sold by
end Aug)</t>
        </is>
      </c>
      <c r="Q18" s="8" t="inlineStr">
        <is>
          <t>P(sold by
end Sep)</t>
        </is>
      </c>
      <c r="R18" s="8" t="inlineStr">
        <is>
          <t>P(sold by
end Oct)</t>
        </is>
      </c>
      <c r="S18" s="9" t="inlineStr">
        <is>
          <t>★ RECOMMENDATION</t>
        </is>
      </c>
    </row>
    <row r="19">
      <c r="A19" s="10" t="n">
        <v>390000</v>
      </c>
      <c r="B19" s="11" t="inlineStr">
        <is>
          <t>Full-service agent (6%)</t>
        </is>
      </c>
      <c r="C19" s="12" t="n">
        <v>0.06</v>
      </c>
      <c r="D19" s="13">
        <f>A19*C19</f>
        <v/>
      </c>
      <c r="E19" s="13">
        <f>A19*$B$7+$B$8</f>
        <v/>
      </c>
      <c r="F19" s="13">
        <f>D19+E19</f>
        <v/>
      </c>
      <c r="G19" s="14">
        <f>A19-$B$6-F19</f>
        <v/>
      </c>
      <c r="H19" s="13">
        <f>MAX(0,$B$5-G19)</f>
        <v/>
      </c>
      <c r="I19" s="15">
        <f>H19*$B$9</f>
        <v/>
      </c>
      <c r="J19" s="15">
        <f>H19*$B$10</f>
        <v/>
      </c>
      <c r="K19" s="16">
        <f>G19+I19</f>
        <v/>
      </c>
      <c r="L19" s="16">
        <f>G19+J19</f>
        <v/>
      </c>
      <c r="M19" s="17">
        <f>EXP(-$O$6*(A19-$O$4)/$O$4)</f>
        <v/>
      </c>
      <c r="N19" s="17">
        <f>$O$7</f>
        <v/>
      </c>
      <c r="O19" s="18">
        <f>MIN(0.95,$O$5*M19*N19*$O$11)</f>
        <v/>
      </c>
      <c r="P19" s="19">
        <f>1-(1-O19)*(1-MIN(0.95,$O$5*M19*N19*$O$12))</f>
        <v/>
      </c>
      <c r="Q19" s="19">
        <f>1-(1-P19)*(1-MIN(0.95,$O$5*M19*N19*$O$13))</f>
        <v/>
      </c>
      <c r="R19" s="18">
        <f>1-(1-Q19)*(1-MIN(0.95,$O$5*M19*N19*$O$14))</f>
        <v/>
      </c>
      <c r="S19" s="20" t="inlineStr"/>
    </row>
    <row r="20">
      <c r="A20" s="10" t="n">
        <v>390000</v>
      </c>
      <c r="B20" s="11" t="inlineStr">
        <is>
          <t>Typical agent (5.5%)</t>
        </is>
      </c>
      <c r="C20" s="12" t="n">
        <v>0.055</v>
      </c>
      <c r="D20" s="13">
        <f>A20*C20</f>
        <v/>
      </c>
      <c r="E20" s="13">
        <f>A20*$B$7+$B$8</f>
        <v/>
      </c>
      <c r="F20" s="13">
        <f>D20+E20</f>
        <v/>
      </c>
      <c r="G20" s="14">
        <f>A20-$B$6-F20</f>
        <v/>
      </c>
      <c r="H20" s="13">
        <f>MAX(0,$B$5-G20)</f>
        <v/>
      </c>
      <c r="I20" s="15">
        <f>H20*$B$9</f>
        <v/>
      </c>
      <c r="J20" s="15">
        <f>H20*$B$10</f>
        <v/>
      </c>
      <c r="K20" s="16">
        <f>G20+I20</f>
        <v/>
      </c>
      <c r="L20" s="16">
        <f>G20+J20</f>
        <v/>
      </c>
      <c r="M20" s="17">
        <f>EXP(-$O$6*(A20-$O$4)/$O$4)</f>
        <v/>
      </c>
      <c r="N20" s="17">
        <f>$O$8</f>
        <v/>
      </c>
      <c r="O20" s="18">
        <f>MIN(0.95,$O$5*M20*N20*$O$11)</f>
        <v/>
      </c>
      <c r="P20" s="19">
        <f>1-(1-O20)*(1-MIN(0.95,$O$5*M20*N20*$O$12))</f>
        <v/>
      </c>
      <c r="Q20" s="19">
        <f>1-(1-P20)*(1-MIN(0.95,$O$5*M20*N20*$O$13))</f>
        <v/>
      </c>
      <c r="R20" s="18">
        <f>1-(1-Q20)*(1-MIN(0.95,$O$5*M20*N20*$O$14))</f>
        <v/>
      </c>
      <c r="S20" s="20" t="inlineStr"/>
    </row>
    <row r="21">
      <c r="A21" s="10" t="n">
        <v>390000</v>
      </c>
      <c r="B21" s="11" t="inlineStr">
        <is>
          <t>FSBO + buyer agent (3%)</t>
        </is>
      </c>
      <c r="C21" s="12" t="n">
        <v>0.03</v>
      </c>
      <c r="D21" s="13">
        <f>A21*C21</f>
        <v/>
      </c>
      <c r="E21" s="13">
        <f>A21*$B$7+$B$8</f>
        <v/>
      </c>
      <c r="F21" s="13">
        <f>D21+E21</f>
        <v/>
      </c>
      <c r="G21" s="14">
        <f>A21-$B$6-F21</f>
        <v/>
      </c>
      <c r="H21" s="13">
        <f>MAX(0,$B$5-G21)</f>
        <v/>
      </c>
      <c r="I21" s="15">
        <f>H21*$B$9</f>
        <v/>
      </c>
      <c r="J21" s="15">
        <f>H21*$B$10</f>
        <v/>
      </c>
      <c r="K21" s="16">
        <f>G21+I21</f>
        <v/>
      </c>
      <c r="L21" s="16">
        <f>G21+J21</f>
        <v/>
      </c>
      <c r="M21" s="17">
        <f>EXP(-$O$6*(A21-$O$4)/$O$4)</f>
        <v/>
      </c>
      <c r="N21" s="17">
        <f>$O$9</f>
        <v/>
      </c>
      <c r="O21" s="18">
        <f>MIN(0.95,$O$5*M21*N21*$O$11)</f>
        <v/>
      </c>
      <c r="P21" s="19">
        <f>1-(1-O21)*(1-MIN(0.95,$O$5*M21*N21*$O$12))</f>
        <v/>
      </c>
      <c r="Q21" s="19">
        <f>1-(1-P21)*(1-MIN(0.95,$O$5*M21*N21*$O$13))</f>
        <v/>
      </c>
      <c r="R21" s="18">
        <f>1-(1-Q21)*(1-MIN(0.95,$O$5*M21*N21*$O$14))</f>
        <v/>
      </c>
      <c r="S21" s="20" t="inlineStr"/>
    </row>
    <row r="22">
      <c r="A22" s="10" t="n">
        <v>390000</v>
      </c>
      <c r="B22" s="11" t="inlineStr">
        <is>
          <t>FSBO + buyer agent (2.5%)</t>
        </is>
      </c>
      <c r="C22" s="12" t="n">
        <v>0.025</v>
      </c>
      <c r="D22" s="13">
        <f>A22*C22</f>
        <v/>
      </c>
      <c r="E22" s="13">
        <f>A22*$B$7+$B$8</f>
        <v/>
      </c>
      <c r="F22" s="13">
        <f>D22+E22</f>
        <v/>
      </c>
      <c r="G22" s="14">
        <f>A22-$B$6-F22</f>
        <v/>
      </c>
      <c r="H22" s="13">
        <f>MAX(0,$B$5-G22)</f>
        <v/>
      </c>
      <c r="I22" s="15">
        <f>H22*$B$9</f>
        <v/>
      </c>
      <c r="J22" s="15">
        <f>H22*$B$10</f>
        <v/>
      </c>
      <c r="K22" s="16">
        <f>G22+I22</f>
        <v/>
      </c>
      <c r="L22" s="16">
        <f>G22+J22</f>
        <v/>
      </c>
      <c r="M22" s="17">
        <f>EXP(-$O$6*(A22-$O$4)/$O$4)</f>
        <v/>
      </c>
      <c r="N22" s="17">
        <f>$O$10</f>
        <v/>
      </c>
      <c r="O22" s="18">
        <f>MIN(0.95,$O$5*M22*N22*$O$11)</f>
        <v/>
      </c>
      <c r="P22" s="19">
        <f>1-(1-O22)*(1-MIN(0.95,$O$5*M22*N22*$O$12))</f>
        <v/>
      </c>
      <c r="Q22" s="19">
        <f>1-(1-P22)*(1-MIN(0.95,$O$5*M22*N22*$O$13))</f>
        <v/>
      </c>
      <c r="R22" s="18">
        <f>1-(1-Q22)*(1-MIN(0.95,$O$5*M22*N22*$O$14))</f>
        <v/>
      </c>
      <c r="S22" s="20" t="inlineStr"/>
    </row>
    <row r="23">
      <c r="A23" s="10" t="n">
        <v>395000</v>
      </c>
      <c r="B23" s="11" t="inlineStr">
        <is>
          <t>Full-service agent (6%)</t>
        </is>
      </c>
      <c r="C23" s="12" t="n">
        <v>0.06</v>
      </c>
      <c r="D23" s="13">
        <f>A23*C23</f>
        <v/>
      </c>
      <c r="E23" s="13">
        <f>A23*$B$7+$B$8</f>
        <v/>
      </c>
      <c r="F23" s="13">
        <f>D23+E23</f>
        <v/>
      </c>
      <c r="G23" s="14">
        <f>A23-$B$6-F23</f>
        <v/>
      </c>
      <c r="H23" s="13">
        <f>MAX(0,$B$5-G23)</f>
        <v/>
      </c>
      <c r="I23" s="15">
        <f>H23*$B$9</f>
        <v/>
      </c>
      <c r="J23" s="15">
        <f>H23*$B$10</f>
        <v/>
      </c>
      <c r="K23" s="16">
        <f>G23+I23</f>
        <v/>
      </c>
      <c r="L23" s="16">
        <f>G23+J23</f>
        <v/>
      </c>
      <c r="M23" s="17">
        <f>EXP(-$O$6*(A23-$O$4)/$O$4)</f>
        <v/>
      </c>
      <c r="N23" s="17">
        <f>$O$7</f>
        <v/>
      </c>
      <c r="O23" s="18">
        <f>MIN(0.95,$O$5*M23*N23*$O$11)</f>
        <v/>
      </c>
      <c r="P23" s="19">
        <f>1-(1-O23)*(1-MIN(0.95,$O$5*M23*N23*$O$12))</f>
        <v/>
      </c>
      <c r="Q23" s="19">
        <f>1-(1-P23)*(1-MIN(0.95,$O$5*M23*N23*$O$13))</f>
        <v/>
      </c>
      <c r="R23" s="18">
        <f>1-(1-Q23)*(1-MIN(0.95,$O$5*M23*N23*$O$14))</f>
        <v/>
      </c>
      <c r="S23" s="20" t="inlineStr"/>
    </row>
    <row r="24">
      <c r="A24" s="10" t="n">
        <v>395000</v>
      </c>
      <c r="B24" s="11" t="inlineStr">
        <is>
          <t>Typical agent (5.5%)</t>
        </is>
      </c>
      <c r="C24" s="12" t="n">
        <v>0.055</v>
      </c>
      <c r="D24" s="13">
        <f>A24*C24</f>
        <v/>
      </c>
      <c r="E24" s="13">
        <f>A24*$B$7+$B$8</f>
        <v/>
      </c>
      <c r="F24" s="13">
        <f>D24+E24</f>
        <v/>
      </c>
      <c r="G24" s="14">
        <f>A24-$B$6-F24</f>
        <v/>
      </c>
      <c r="H24" s="13">
        <f>MAX(0,$B$5-G24)</f>
        <v/>
      </c>
      <c r="I24" s="15">
        <f>H24*$B$9</f>
        <v/>
      </c>
      <c r="J24" s="15">
        <f>H24*$B$10</f>
        <v/>
      </c>
      <c r="K24" s="16">
        <f>G24+I24</f>
        <v/>
      </c>
      <c r="L24" s="16">
        <f>G24+J24</f>
        <v/>
      </c>
      <c r="M24" s="17">
        <f>EXP(-$O$6*(A24-$O$4)/$O$4)</f>
        <v/>
      </c>
      <c r="N24" s="17">
        <f>$O$8</f>
        <v/>
      </c>
      <c r="O24" s="18">
        <f>MIN(0.95,$O$5*M24*N24*$O$11)</f>
        <v/>
      </c>
      <c r="P24" s="19">
        <f>1-(1-O24)*(1-MIN(0.95,$O$5*M24*N24*$O$12))</f>
        <v/>
      </c>
      <c r="Q24" s="19">
        <f>1-(1-P24)*(1-MIN(0.95,$O$5*M24*N24*$O$13))</f>
        <v/>
      </c>
      <c r="R24" s="18">
        <f>1-(1-Q24)*(1-MIN(0.95,$O$5*M24*N24*$O$14))</f>
        <v/>
      </c>
      <c r="S24" s="20" t="inlineStr"/>
    </row>
    <row r="25">
      <c r="A25" s="10" t="n">
        <v>395000</v>
      </c>
      <c r="B25" s="11" t="inlineStr">
        <is>
          <t>FSBO + buyer agent (3%)</t>
        </is>
      </c>
      <c r="C25" s="12" t="n">
        <v>0.03</v>
      </c>
      <c r="D25" s="13">
        <f>A25*C25</f>
        <v/>
      </c>
      <c r="E25" s="13">
        <f>A25*$B$7+$B$8</f>
        <v/>
      </c>
      <c r="F25" s="13">
        <f>D25+E25</f>
        <v/>
      </c>
      <c r="G25" s="14">
        <f>A25-$B$6-F25</f>
        <v/>
      </c>
      <c r="H25" s="13">
        <f>MAX(0,$B$5-G25)</f>
        <v/>
      </c>
      <c r="I25" s="15">
        <f>H25*$B$9</f>
        <v/>
      </c>
      <c r="J25" s="15">
        <f>H25*$B$10</f>
        <v/>
      </c>
      <c r="K25" s="16">
        <f>G25+I25</f>
        <v/>
      </c>
      <c r="L25" s="16">
        <f>G25+J25</f>
        <v/>
      </c>
      <c r="M25" s="17">
        <f>EXP(-$O$6*(A25-$O$4)/$O$4)</f>
        <v/>
      </c>
      <c r="N25" s="17">
        <f>$O$9</f>
        <v/>
      </c>
      <c r="O25" s="18">
        <f>MIN(0.95,$O$5*M25*N25*$O$11)</f>
        <v/>
      </c>
      <c r="P25" s="19">
        <f>1-(1-O25)*(1-MIN(0.95,$O$5*M25*N25*$O$12))</f>
        <v/>
      </c>
      <c r="Q25" s="19">
        <f>1-(1-P25)*(1-MIN(0.95,$O$5*M25*N25*$O$13))</f>
        <v/>
      </c>
      <c r="R25" s="18">
        <f>1-(1-Q25)*(1-MIN(0.95,$O$5*M25*N25*$O$14))</f>
        <v/>
      </c>
      <c r="S25" s="20" t="inlineStr"/>
    </row>
    <row r="26">
      <c r="A26" s="10" t="n">
        <v>395000</v>
      </c>
      <c r="B26" s="11" t="inlineStr">
        <is>
          <t>FSBO + buyer agent (2.5%)</t>
        </is>
      </c>
      <c r="C26" s="12" t="n">
        <v>0.025</v>
      </c>
      <c r="D26" s="13">
        <f>A26*C26</f>
        <v/>
      </c>
      <c r="E26" s="13">
        <f>A26*$B$7+$B$8</f>
        <v/>
      </c>
      <c r="F26" s="13">
        <f>D26+E26</f>
        <v/>
      </c>
      <c r="G26" s="14">
        <f>A26-$B$6-F26</f>
        <v/>
      </c>
      <c r="H26" s="13">
        <f>MAX(0,$B$5-G26)</f>
        <v/>
      </c>
      <c r="I26" s="15">
        <f>H26*$B$9</f>
        <v/>
      </c>
      <c r="J26" s="15">
        <f>H26*$B$10</f>
        <v/>
      </c>
      <c r="K26" s="16">
        <f>G26+I26</f>
        <v/>
      </c>
      <c r="L26" s="16">
        <f>G26+J26</f>
        <v/>
      </c>
      <c r="M26" s="17">
        <f>EXP(-$O$6*(A26-$O$4)/$O$4)</f>
        <v/>
      </c>
      <c r="N26" s="17">
        <f>$O$10</f>
        <v/>
      </c>
      <c r="O26" s="18">
        <f>MIN(0.95,$O$5*M26*N26*$O$11)</f>
        <v/>
      </c>
      <c r="P26" s="19">
        <f>1-(1-O26)*(1-MIN(0.95,$O$5*M26*N26*$O$12))</f>
        <v/>
      </c>
      <c r="Q26" s="19">
        <f>1-(1-P26)*(1-MIN(0.95,$O$5*M26*N26*$O$13))</f>
        <v/>
      </c>
      <c r="R26" s="18">
        <f>1-(1-Q26)*(1-MIN(0.95,$O$5*M26*N26*$O$14))</f>
        <v/>
      </c>
      <c r="S26" s="20" t="inlineStr"/>
    </row>
    <row r="27">
      <c r="A27" s="10" t="n">
        <v>399000</v>
      </c>
      <c r="B27" s="11" t="inlineStr">
        <is>
          <t>Full-service agent (6%)</t>
        </is>
      </c>
      <c r="C27" s="12" t="n">
        <v>0.06</v>
      </c>
      <c r="D27" s="13">
        <f>A27*C27</f>
        <v/>
      </c>
      <c r="E27" s="13">
        <f>A27*$B$7+$B$8</f>
        <v/>
      </c>
      <c r="F27" s="13">
        <f>D27+E27</f>
        <v/>
      </c>
      <c r="G27" s="14">
        <f>A27-$B$6-F27</f>
        <v/>
      </c>
      <c r="H27" s="13">
        <f>MAX(0,$B$5-G27)</f>
        <v/>
      </c>
      <c r="I27" s="15">
        <f>H27*$B$9</f>
        <v/>
      </c>
      <c r="J27" s="15">
        <f>H27*$B$10</f>
        <v/>
      </c>
      <c r="K27" s="16">
        <f>G27+I27</f>
        <v/>
      </c>
      <c r="L27" s="16">
        <f>G27+J27</f>
        <v/>
      </c>
      <c r="M27" s="17">
        <f>EXP(-$O$6*(A27-$O$4)/$O$4)</f>
        <v/>
      </c>
      <c r="N27" s="17">
        <f>$O$7</f>
        <v/>
      </c>
      <c r="O27" s="18">
        <f>MIN(0.95,$O$5*M27*N27*$O$11)</f>
        <v/>
      </c>
      <c r="P27" s="19">
        <f>1-(1-O27)*(1-MIN(0.95,$O$5*M27*N27*$O$12))</f>
        <v/>
      </c>
      <c r="Q27" s="19">
        <f>1-(1-P27)*(1-MIN(0.95,$O$5*M27*N27*$O$13))</f>
        <v/>
      </c>
      <c r="R27" s="18">
        <f>1-(1-Q27)*(1-MIN(0.95,$O$5*M27*N27*$O$14))</f>
        <v/>
      </c>
      <c r="S27" s="20" t="inlineStr"/>
    </row>
    <row r="28">
      <c r="A28" s="21" t="n">
        <v>399000</v>
      </c>
      <c r="B28" s="22" t="inlineStr">
        <is>
          <t>Typical agent (5.5%)</t>
        </is>
      </c>
      <c r="C28" s="12" t="n">
        <v>0.055</v>
      </c>
      <c r="D28" s="13">
        <f>A28*C28</f>
        <v/>
      </c>
      <c r="E28" s="13">
        <f>A28*$B$7+$B$8</f>
        <v/>
      </c>
      <c r="F28" s="13">
        <f>D28+E28</f>
        <v/>
      </c>
      <c r="G28" s="14">
        <f>A28-$B$6-F28</f>
        <v/>
      </c>
      <c r="H28" s="13">
        <f>MAX(0,$B$5-G28)</f>
        <v/>
      </c>
      <c r="I28" s="23">
        <f>H28*$B$9</f>
        <v/>
      </c>
      <c r="J28" s="23">
        <f>H28*$B$10</f>
        <v/>
      </c>
      <c r="K28" s="16">
        <f>G28+I28</f>
        <v/>
      </c>
      <c r="L28" s="16">
        <f>G28+J28</f>
        <v/>
      </c>
      <c r="M28" s="17">
        <f>EXP(-$O$6*(A28-$O$4)/$O$4)</f>
        <v/>
      </c>
      <c r="N28" s="17">
        <f>$O$8</f>
        <v/>
      </c>
      <c r="O28" s="24">
        <f>MIN(0.95,$O$5*M28*N28*$O$11)</f>
        <v/>
      </c>
      <c r="P28" s="25">
        <f>1-(1-O28)*(1-MIN(0.95,$O$5*M28*N28*$O$12))</f>
        <v/>
      </c>
      <c r="Q28" s="25">
        <f>1-(1-P28)*(1-MIN(0.95,$O$5*M28*N28*$O$13))</f>
        <v/>
      </c>
      <c r="R28" s="24">
        <f>1-(1-Q28)*(1-MIN(0.95,$O$5*M28*N28*$O$14))</f>
        <v/>
      </c>
      <c r="S28" s="26" t="inlineStr">
        <is>
          <t>★ BEST ODDS / hands-off if you want it sold</t>
        </is>
      </c>
    </row>
    <row r="29">
      <c r="A29" s="10" t="n">
        <v>399000</v>
      </c>
      <c r="B29" s="11" t="inlineStr">
        <is>
          <t>FSBO + buyer agent (3%)</t>
        </is>
      </c>
      <c r="C29" s="12" t="n">
        <v>0.03</v>
      </c>
      <c r="D29" s="13">
        <f>A29*C29</f>
        <v/>
      </c>
      <c r="E29" s="13">
        <f>A29*$B$7+$B$8</f>
        <v/>
      </c>
      <c r="F29" s="13">
        <f>D29+E29</f>
        <v/>
      </c>
      <c r="G29" s="14">
        <f>A29-$B$6-F29</f>
        <v/>
      </c>
      <c r="H29" s="13">
        <f>MAX(0,$B$5-G29)</f>
        <v/>
      </c>
      <c r="I29" s="15">
        <f>H29*$B$9</f>
        <v/>
      </c>
      <c r="J29" s="15">
        <f>H29*$B$10</f>
        <v/>
      </c>
      <c r="K29" s="16">
        <f>G29+I29</f>
        <v/>
      </c>
      <c r="L29" s="16">
        <f>G29+J29</f>
        <v/>
      </c>
      <c r="M29" s="17">
        <f>EXP(-$O$6*(A29-$O$4)/$O$4)</f>
        <v/>
      </c>
      <c r="N29" s="17">
        <f>$O$9</f>
        <v/>
      </c>
      <c r="O29" s="18">
        <f>MIN(0.95,$O$5*M29*N29*$O$11)</f>
        <v/>
      </c>
      <c r="P29" s="19">
        <f>1-(1-O29)*(1-MIN(0.95,$O$5*M29*N29*$O$12))</f>
        <v/>
      </c>
      <c r="Q29" s="19">
        <f>1-(1-P29)*(1-MIN(0.95,$O$5*M29*N29*$O$13))</f>
        <v/>
      </c>
      <c r="R29" s="18">
        <f>1-(1-Q29)*(1-MIN(0.95,$O$5*M29*N29*$O$14))</f>
        <v/>
      </c>
      <c r="S29" s="20" t="inlineStr"/>
    </row>
    <row r="30">
      <c r="A30" s="10" t="n">
        <v>399000</v>
      </c>
      <c r="B30" s="11" t="inlineStr">
        <is>
          <t>FSBO + buyer agent (2.5%)</t>
        </is>
      </c>
      <c r="C30" s="12" t="n">
        <v>0.025</v>
      </c>
      <c r="D30" s="13">
        <f>A30*C30</f>
        <v/>
      </c>
      <c r="E30" s="13">
        <f>A30*$B$7+$B$8</f>
        <v/>
      </c>
      <c r="F30" s="13">
        <f>D30+E30</f>
        <v/>
      </c>
      <c r="G30" s="14">
        <f>A30-$B$6-F30</f>
        <v/>
      </c>
      <c r="H30" s="13">
        <f>MAX(0,$B$5-G30)</f>
        <v/>
      </c>
      <c r="I30" s="15">
        <f>H30*$B$9</f>
        <v/>
      </c>
      <c r="J30" s="15">
        <f>H30*$B$10</f>
        <v/>
      </c>
      <c r="K30" s="16">
        <f>G30+I30</f>
        <v/>
      </c>
      <c r="L30" s="16">
        <f>G30+J30</f>
        <v/>
      </c>
      <c r="M30" s="17">
        <f>EXP(-$O$6*(A30-$O$4)/$O$4)</f>
        <v/>
      </c>
      <c r="N30" s="17">
        <f>$O$10</f>
        <v/>
      </c>
      <c r="O30" s="18">
        <f>MIN(0.95,$O$5*M30*N30*$O$11)</f>
        <v/>
      </c>
      <c r="P30" s="19">
        <f>1-(1-O30)*(1-MIN(0.95,$O$5*M30*N30*$O$12))</f>
        <v/>
      </c>
      <c r="Q30" s="19">
        <f>1-(1-P30)*(1-MIN(0.95,$O$5*M30*N30*$O$13))</f>
        <v/>
      </c>
      <c r="R30" s="18">
        <f>1-(1-Q30)*(1-MIN(0.95,$O$5*M30*N30*$O$14))</f>
        <v/>
      </c>
      <c r="S30" s="20" t="inlineStr"/>
    </row>
    <row r="31">
      <c r="A31" s="10" t="n">
        <v>405000</v>
      </c>
      <c r="B31" s="11" t="inlineStr">
        <is>
          <t>Full-service agent (6%)</t>
        </is>
      </c>
      <c r="C31" s="12" t="n">
        <v>0.06</v>
      </c>
      <c r="D31" s="13">
        <f>A31*C31</f>
        <v/>
      </c>
      <c r="E31" s="13">
        <f>A31*$B$7+$B$8</f>
        <v/>
      </c>
      <c r="F31" s="13">
        <f>D31+E31</f>
        <v/>
      </c>
      <c r="G31" s="14">
        <f>A31-$B$6-F31</f>
        <v/>
      </c>
      <c r="H31" s="13">
        <f>MAX(0,$B$5-G31)</f>
        <v/>
      </c>
      <c r="I31" s="15">
        <f>H31*$B$9</f>
        <v/>
      </c>
      <c r="J31" s="15">
        <f>H31*$B$10</f>
        <v/>
      </c>
      <c r="K31" s="16">
        <f>G31+I31</f>
        <v/>
      </c>
      <c r="L31" s="16">
        <f>G31+J31</f>
        <v/>
      </c>
      <c r="M31" s="17">
        <f>EXP(-$O$6*(A31-$O$4)/$O$4)</f>
        <v/>
      </c>
      <c r="N31" s="17">
        <f>$O$7</f>
        <v/>
      </c>
      <c r="O31" s="18">
        <f>MIN(0.95,$O$5*M31*N31*$O$11)</f>
        <v/>
      </c>
      <c r="P31" s="19">
        <f>1-(1-O31)*(1-MIN(0.95,$O$5*M31*N31*$O$12))</f>
        <v/>
      </c>
      <c r="Q31" s="19">
        <f>1-(1-P31)*(1-MIN(0.95,$O$5*M31*N31*$O$13))</f>
        <v/>
      </c>
      <c r="R31" s="18">
        <f>1-(1-Q31)*(1-MIN(0.95,$O$5*M31*N31*$O$14))</f>
        <v/>
      </c>
      <c r="S31" s="20" t="inlineStr"/>
    </row>
    <row r="32">
      <c r="A32" s="10" t="n">
        <v>405000</v>
      </c>
      <c r="B32" s="11" t="inlineStr">
        <is>
          <t>Typical agent (5.5%)</t>
        </is>
      </c>
      <c r="C32" s="12" t="n">
        <v>0.055</v>
      </c>
      <c r="D32" s="13">
        <f>A32*C32</f>
        <v/>
      </c>
      <c r="E32" s="13">
        <f>A32*$B$7+$B$8</f>
        <v/>
      </c>
      <c r="F32" s="13">
        <f>D32+E32</f>
        <v/>
      </c>
      <c r="G32" s="14">
        <f>A32-$B$6-F32</f>
        <v/>
      </c>
      <c r="H32" s="13">
        <f>MAX(0,$B$5-G32)</f>
        <v/>
      </c>
      <c r="I32" s="15">
        <f>H32*$B$9</f>
        <v/>
      </c>
      <c r="J32" s="15">
        <f>H32*$B$10</f>
        <v/>
      </c>
      <c r="K32" s="16">
        <f>G32+I32</f>
        <v/>
      </c>
      <c r="L32" s="16">
        <f>G32+J32</f>
        <v/>
      </c>
      <c r="M32" s="17">
        <f>EXP(-$O$6*(A32-$O$4)/$O$4)</f>
        <v/>
      </c>
      <c r="N32" s="17">
        <f>$O$8</f>
        <v/>
      </c>
      <c r="O32" s="18">
        <f>MIN(0.95,$O$5*M32*N32*$O$11)</f>
        <v/>
      </c>
      <c r="P32" s="19">
        <f>1-(1-O32)*(1-MIN(0.95,$O$5*M32*N32*$O$12))</f>
        <v/>
      </c>
      <c r="Q32" s="19">
        <f>1-(1-P32)*(1-MIN(0.95,$O$5*M32*N32*$O$13))</f>
        <v/>
      </c>
      <c r="R32" s="18">
        <f>1-(1-Q32)*(1-MIN(0.95,$O$5*M32*N32*$O$14))</f>
        <v/>
      </c>
      <c r="S32" s="20" t="inlineStr"/>
    </row>
    <row r="33">
      <c r="A33" s="10" t="n">
        <v>405000</v>
      </c>
      <c r="B33" s="11" t="inlineStr">
        <is>
          <t>FSBO + buyer agent (3%)</t>
        </is>
      </c>
      <c r="C33" s="12" t="n">
        <v>0.03</v>
      </c>
      <c r="D33" s="13">
        <f>A33*C33</f>
        <v/>
      </c>
      <c r="E33" s="13">
        <f>A33*$B$7+$B$8</f>
        <v/>
      </c>
      <c r="F33" s="13">
        <f>D33+E33</f>
        <v/>
      </c>
      <c r="G33" s="14">
        <f>A33-$B$6-F33</f>
        <v/>
      </c>
      <c r="H33" s="13">
        <f>MAX(0,$B$5-G33)</f>
        <v/>
      </c>
      <c r="I33" s="15">
        <f>H33*$B$9</f>
        <v/>
      </c>
      <c r="J33" s="15">
        <f>H33*$B$10</f>
        <v/>
      </c>
      <c r="K33" s="16">
        <f>G33+I33</f>
        <v/>
      </c>
      <c r="L33" s="16">
        <f>G33+J33</f>
        <v/>
      </c>
      <c r="M33" s="17">
        <f>EXP(-$O$6*(A33-$O$4)/$O$4)</f>
        <v/>
      </c>
      <c r="N33" s="17">
        <f>$O$9</f>
        <v/>
      </c>
      <c r="O33" s="18">
        <f>MIN(0.95,$O$5*M33*N33*$O$11)</f>
        <v/>
      </c>
      <c r="P33" s="19">
        <f>1-(1-O33)*(1-MIN(0.95,$O$5*M33*N33*$O$12))</f>
        <v/>
      </c>
      <c r="Q33" s="19">
        <f>1-(1-P33)*(1-MIN(0.95,$O$5*M33*N33*$O$13))</f>
        <v/>
      </c>
      <c r="R33" s="18">
        <f>1-(1-Q33)*(1-MIN(0.95,$O$5*M33*N33*$O$14))</f>
        <v/>
      </c>
      <c r="S33" s="20" t="inlineStr"/>
    </row>
    <row r="34">
      <c r="A34" s="21" t="n">
        <v>405000</v>
      </c>
      <c r="B34" s="22" t="inlineStr">
        <is>
          <t>FSBO + buyer agent (2.5%)</t>
        </is>
      </c>
      <c r="C34" s="12" t="n">
        <v>0.025</v>
      </c>
      <c r="D34" s="13">
        <f>A34*C34</f>
        <v/>
      </c>
      <c r="E34" s="13">
        <f>A34*$B$7+$B$8</f>
        <v/>
      </c>
      <c r="F34" s="13">
        <f>D34+E34</f>
        <v/>
      </c>
      <c r="G34" s="14">
        <f>A34-$B$6-F34</f>
        <v/>
      </c>
      <c r="H34" s="13">
        <f>MAX(0,$B$5-G34)</f>
        <v/>
      </c>
      <c r="I34" s="23">
        <f>H34*$B$9</f>
        <v/>
      </c>
      <c r="J34" s="23">
        <f>H34*$B$10</f>
        <v/>
      </c>
      <c r="K34" s="16">
        <f>G34+I34</f>
        <v/>
      </c>
      <c r="L34" s="16">
        <f>G34+J34</f>
        <v/>
      </c>
      <c r="M34" s="17">
        <f>EXP(-$O$6*(A34-$O$4)/$O$4)</f>
        <v/>
      </c>
      <c r="N34" s="17">
        <f>$O$10</f>
        <v/>
      </c>
      <c r="O34" s="24">
        <f>MIN(0.95,$O$5*M34*N34*$O$11)</f>
        <v/>
      </c>
      <c r="P34" s="25">
        <f>1-(1-O34)*(1-MIN(0.95,$O$5*M34*N34*$O$12))</f>
        <v/>
      </c>
      <c r="Q34" s="25">
        <f>1-(1-P34)*(1-MIN(0.95,$O$5*M34*N34*$O$13))</f>
        <v/>
      </c>
      <c r="R34" s="24">
        <f>1-(1-Q34)*(1-MIN(0.95,$O$5*M34*N34*$O$14))</f>
        <v/>
      </c>
      <c r="S34" s="26" t="inlineStr">
        <is>
          <t>★ BEST VALUE — low cost to Oscar + decent odds</t>
        </is>
      </c>
    </row>
    <row r="35">
      <c r="A35" s="10" t="n">
        <v>409900</v>
      </c>
      <c r="B35" s="11" t="inlineStr">
        <is>
          <t>Full-service agent (6%)</t>
        </is>
      </c>
      <c r="C35" s="12" t="n">
        <v>0.06</v>
      </c>
      <c r="D35" s="13">
        <f>A35*C35</f>
        <v/>
      </c>
      <c r="E35" s="13">
        <f>A35*$B$7+$B$8</f>
        <v/>
      </c>
      <c r="F35" s="13">
        <f>D35+E35</f>
        <v/>
      </c>
      <c r="G35" s="14">
        <f>A35-$B$6-F35</f>
        <v/>
      </c>
      <c r="H35" s="13">
        <f>MAX(0,$B$5-G35)</f>
        <v/>
      </c>
      <c r="I35" s="15">
        <f>H35*$B$9</f>
        <v/>
      </c>
      <c r="J35" s="15">
        <f>H35*$B$10</f>
        <v/>
      </c>
      <c r="K35" s="16">
        <f>G35+I35</f>
        <v/>
      </c>
      <c r="L35" s="16">
        <f>G35+J35</f>
        <v/>
      </c>
      <c r="M35" s="17">
        <f>EXP(-$O$6*(A35-$O$4)/$O$4)</f>
        <v/>
      </c>
      <c r="N35" s="17">
        <f>$O$7</f>
        <v/>
      </c>
      <c r="O35" s="18">
        <f>MIN(0.95,$O$5*M35*N35*$O$11)</f>
        <v/>
      </c>
      <c r="P35" s="19">
        <f>1-(1-O35)*(1-MIN(0.95,$O$5*M35*N35*$O$12))</f>
        <v/>
      </c>
      <c r="Q35" s="19">
        <f>1-(1-P35)*(1-MIN(0.95,$O$5*M35*N35*$O$13))</f>
        <v/>
      </c>
      <c r="R35" s="18">
        <f>1-(1-Q35)*(1-MIN(0.95,$O$5*M35*N35*$O$14))</f>
        <v/>
      </c>
      <c r="S35" s="20" t="inlineStr"/>
    </row>
    <row r="36">
      <c r="A36" s="10" t="n">
        <v>409900</v>
      </c>
      <c r="B36" s="11" t="inlineStr">
        <is>
          <t>Typical agent (5.5%)</t>
        </is>
      </c>
      <c r="C36" s="12" t="n">
        <v>0.055</v>
      </c>
      <c r="D36" s="13">
        <f>A36*C36</f>
        <v/>
      </c>
      <c r="E36" s="13">
        <f>A36*$B$7+$B$8</f>
        <v/>
      </c>
      <c r="F36" s="13">
        <f>D36+E36</f>
        <v/>
      </c>
      <c r="G36" s="14">
        <f>A36-$B$6-F36</f>
        <v/>
      </c>
      <c r="H36" s="13">
        <f>MAX(0,$B$5-G36)</f>
        <v/>
      </c>
      <c r="I36" s="15">
        <f>H36*$B$9</f>
        <v/>
      </c>
      <c r="J36" s="15">
        <f>H36*$B$10</f>
        <v/>
      </c>
      <c r="K36" s="16">
        <f>G36+I36</f>
        <v/>
      </c>
      <c r="L36" s="16">
        <f>G36+J36</f>
        <v/>
      </c>
      <c r="M36" s="17">
        <f>EXP(-$O$6*(A36-$O$4)/$O$4)</f>
        <v/>
      </c>
      <c r="N36" s="17">
        <f>$O$8</f>
        <v/>
      </c>
      <c r="O36" s="18">
        <f>MIN(0.95,$O$5*M36*N36*$O$11)</f>
        <v/>
      </c>
      <c r="P36" s="19">
        <f>1-(1-O36)*(1-MIN(0.95,$O$5*M36*N36*$O$12))</f>
        <v/>
      </c>
      <c r="Q36" s="19">
        <f>1-(1-P36)*(1-MIN(0.95,$O$5*M36*N36*$O$13))</f>
        <v/>
      </c>
      <c r="R36" s="18">
        <f>1-(1-Q36)*(1-MIN(0.95,$O$5*M36*N36*$O$14))</f>
        <v/>
      </c>
      <c r="S36" s="20" t="inlineStr"/>
    </row>
    <row r="37">
      <c r="A37" s="10" t="n">
        <v>409900</v>
      </c>
      <c r="B37" s="11" t="inlineStr">
        <is>
          <t>FSBO + buyer agent (3%)</t>
        </is>
      </c>
      <c r="C37" s="12" t="n">
        <v>0.03</v>
      </c>
      <c r="D37" s="13">
        <f>A37*C37</f>
        <v/>
      </c>
      <c r="E37" s="13">
        <f>A37*$B$7+$B$8</f>
        <v/>
      </c>
      <c r="F37" s="13">
        <f>D37+E37</f>
        <v/>
      </c>
      <c r="G37" s="14">
        <f>A37-$B$6-F37</f>
        <v/>
      </c>
      <c r="H37" s="13">
        <f>MAX(0,$B$5-G37)</f>
        <v/>
      </c>
      <c r="I37" s="15">
        <f>H37*$B$9</f>
        <v/>
      </c>
      <c r="J37" s="15">
        <f>H37*$B$10</f>
        <v/>
      </c>
      <c r="K37" s="16">
        <f>G37+I37</f>
        <v/>
      </c>
      <c r="L37" s="16">
        <f>G37+J37</f>
        <v/>
      </c>
      <c r="M37" s="17">
        <f>EXP(-$O$6*(A37-$O$4)/$O$4)</f>
        <v/>
      </c>
      <c r="N37" s="17">
        <f>$O$9</f>
        <v/>
      </c>
      <c r="O37" s="18">
        <f>MIN(0.95,$O$5*M37*N37*$O$11)</f>
        <v/>
      </c>
      <c r="P37" s="19">
        <f>1-(1-O37)*(1-MIN(0.95,$O$5*M37*N37*$O$12))</f>
        <v/>
      </c>
      <c r="Q37" s="19">
        <f>1-(1-P37)*(1-MIN(0.95,$O$5*M37*N37*$O$13))</f>
        <v/>
      </c>
      <c r="R37" s="18">
        <f>1-(1-Q37)*(1-MIN(0.95,$O$5*M37*N37*$O$14))</f>
        <v/>
      </c>
      <c r="S37" s="20" t="inlineStr"/>
    </row>
    <row r="38">
      <c r="A38" s="21" t="n">
        <v>409900</v>
      </c>
      <c r="B38" s="22" t="inlineStr">
        <is>
          <t>FSBO + buyer agent (2.5%)</t>
        </is>
      </c>
      <c r="C38" s="12" t="n">
        <v>0.025</v>
      </c>
      <c r="D38" s="13">
        <f>A38*C38</f>
        <v/>
      </c>
      <c r="E38" s="13">
        <f>A38*$B$7+$B$8</f>
        <v/>
      </c>
      <c r="F38" s="13">
        <f>D38+E38</f>
        <v/>
      </c>
      <c r="G38" s="14">
        <f>A38-$B$6-F38</f>
        <v/>
      </c>
      <c r="H38" s="13">
        <f>MAX(0,$B$5-G38)</f>
        <v/>
      </c>
      <c r="I38" s="23">
        <f>H38*$B$9</f>
        <v/>
      </c>
      <c r="J38" s="23">
        <f>H38*$B$10</f>
        <v/>
      </c>
      <c r="K38" s="16">
        <f>G38+I38</f>
        <v/>
      </c>
      <c r="L38" s="16">
        <f>G38+J38</f>
        <v/>
      </c>
      <c r="M38" s="17">
        <f>EXP(-$O$6*(A38-$O$4)/$O$4)</f>
        <v/>
      </c>
      <c r="N38" s="17">
        <f>$O$10</f>
        <v/>
      </c>
      <c r="O38" s="24">
        <f>MIN(0.95,$O$5*M38*N38*$O$11)</f>
        <v/>
      </c>
      <c r="P38" s="25">
        <f>1-(1-O38)*(1-MIN(0.95,$O$5*M38*N38*$O$12))</f>
        <v/>
      </c>
      <c r="Q38" s="25">
        <f>1-(1-P38)*(1-MIN(0.95,$O$5*M38*N38*$O$13))</f>
        <v/>
      </c>
      <c r="R38" s="24">
        <f>1-(1-Q38)*(1-MIN(0.95,$O$5*M38*N38*$O$14))</f>
        <v/>
      </c>
      <c r="S38" s="26" t="inlineStr">
        <is>
          <t>★ CHEAPEST for Oscar — list high, cut later if needed</t>
        </is>
      </c>
    </row>
    <row r="40">
      <c r="A40" s="27" t="inlineStr">
        <is>
          <t>AVERAGE ACROSS ALL 20 SCENARIOS (equal weight)</t>
        </is>
      </c>
    </row>
    <row r="41">
      <c r="A41" s="2" t="inlineStr">
        <is>
          <t>Average loss of Francie's $48k capital (shortfall)</t>
        </is>
      </c>
      <c r="G41" s="28">
        <f>AVERAGE(H19:H38)</f>
        <v/>
      </c>
    </row>
    <row r="42">
      <c r="A42" s="2" t="inlineStr">
        <is>
          <t>Average she keeps of the $48k</t>
        </is>
      </c>
      <c r="G42" s="28">
        <f>$B$5-AVERAGE(H19:H38)</f>
        <v/>
      </c>
    </row>
    <row r="43">
      <c r="A43" s="2" t="inlineStr">
        <is>
          <t>Average COST TO OSCAR @ 80%</t>
        </is>
      </c>
      <c r="G43" s="15">
        <f>AVERAGE(I19:I38)</f>
        <v/>
      </c>
    </row>
    <row r="44">
      <c r="A44" s="2" t="inlineStr">
        <is>
          <t>Average COST TO OSCAR @ 70%</t>
        </is>
      </c>
      <c r="G44" s="15">
        <f>AVERAGE(J19:J38)</f>
        <v/>
      </c>
    </row>
    <row r="46">
      <c r="A46" s="27" t="inlineStr">
        <is>
          <t>AVERAGE COST TO OSCAR BY ROUTE (across the 5 prices)</t>
        </is>
      </c>
    </row>
    <row r="47">
      <c r="A47" s="29" t="inlineStr">
        <is>
          <t>Route</t>
        </is>
      </c>
      <c r="B47" s="30" t="n"/>
      <c r="C47" s="30" t="n"/>
      <c r="D47" s="31" t="n"/>
      <c r="E47" s="32" t="inlineStr">
        <is>
          <t>Avg loss of $48k</t>
        </is>
      </c>
      <c r="F47" s="31" t="n"/>
      <c r="G47" s="32" t="inlineStr">
        <is>
          <t>Oscar @80%</t>
        </is>
      </c>
      <c r="H47" s="32" t="inlineStr">
        <is>
          <t>Oscar @70%</t>
        </is>
      </c>
    </row>
    <row r="48">
      <c r="A48" s="11" t="inlineStr">
        <is>
          <t>Full-service agent (6%)</t>
        </is>
      </c>
      <c r="B48" s="30" t="n"/>
      <c r="C48" s="30" t="n"/>
      <c r="D48" s="31" t="n"/>
      <c r="E48" s="13">
        <f>AVERAGE(H19,H23,H27,H31,H35)</f>
        <v/>
      </c>
      <c r="F48" s="31" t="n"/>
      <c r="G48" s="15">
        <f>AVERAGE(I19,I23,I27,I31,I35)</f>
        <v/>
      </c>
      <c r="H48" s="15">
        <f>AVERAGE(J19,J23,J27,J31,J35)</f>
        <v/>
      </c>
    </row>
    <row r="49">
      <c r="A49" s="11" t="inlineStr">
        <is>
          <t>Typical agent (5.5%)</t>
        </is>
      </c>
      <c r="B49" s="30" t="n"/>
      <c r="C49" s="30" t="n"/>
      <c r="D49" s="31" t="n"/>
      <c r="E49" s="13">
        <f>AVERAGE(H20,H24,H28,H32,H36)</f>
        <v/>
      </c>
      <c r="F49" s="31" t="n"/>
      <c r="G49" s="15">
        <f>AVERAGE(I20,I24,I28,I32,I36)</f>
        <v/>
      </c>
      <c r="H49" s="15">
        <f>AVERAGE(J20,J24,J28,J32,J36)</f>
        <v/>
      </c>
    </row>
    <row r="50">
      <c r="A50" s="11" t="inlineStr">
        <is>
          <t>FSBO + buyer agent (3%)</t>
        </is>
      </c>
      <c r="B50" s="30" t="n"/>
      <c r="C50" s="30" t="n"/>
      <c r="D50" s="31" t="n"/>
      <c r="E50" s="13">
        <f>AVERAGE(H21,H25,H29,H33,H37)</f>
        <v/>
      </c>
      <c r="F50" s="31" t="n"/>
      <c r="G50" s="15">
        <f>AVERAGE(I21,I25,I29,I33,I37)</f>
        <v/>
      </c>
      <c r="H50" s="15">
        <f>AVERAGE(J21,J25,J29,J33,J37)</f>
        <v/>
      </c>
    </row>
    <row r="51">
      <c r="A51" s="11" t="inlineStr">
        <is>
          <t>FSBO + buyer agent (2.5%)</t>
        </is>
      </c>
      <c r="B51" s="30" t="n"/>
      <c r="C51" s="30" t="n"/>
      <c r="D51" s="31" t="n"/>
      <c r="E51" s="13">
        <f>AVERAGE(H22,H26,H30,H34,H38)</f>
        <v/>
      </c>
      <c r="F51" s="31" t="n"/>
      <c r="G51" s="15">
        <f>AVERAGE(I22,I26,I30,I34,I38)</f>
        <v/>
      </c>
      <c r="H51" s="15">
        <f>AVERAGE(J22,J26,J30,J34,J38)</f>
        <v/>
      </c>
    </row>
  </sheetData>
  <mergeCells count="17">
    <mergeCell ref="A41:F41"/>
    <mergeCell ref="E50:F50"/>
    <mergeCell ref="E51:F51"/>
    <mergeCell ref="A42:F42"/>
    <mergeCell ref="A46:F46"/>
    <mergeCell ref="A44:F44"/>
    <mergeCell ref="A50:D50"/>
    <mergeCell ref="A48:D48"/>
    <mergeCell ref="E49:F49"/>
    <mergeCell ref="A40:F40"/>
    <mergeCell ref="A1:R1"/>
    <mergeCell ref="A51:D51"/>
    <mergeCell ref="A49:D49"/>
    <mergeCell ref="E48:F48"/>
    <mergeCell ref="A47:D47"/>
    <mergeCell ref="E47:F47"/>
    <mergeCell ref="A43:F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5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 ht="24" customHeight="1">
      <c r="A1" s="1" t="inlineStr">
        <is>
          <t>House Sale Scenarios + Probability of Sale — Notes</t>
        </is>
      </c>
    </row>
    <row r="2">
      <c r="A2" t="inlineStr"/>
    </row>
    <row r="3">
      <c r="A3" s="2" t="inlineStr">
        <is>
          <t>PROPERTY (verified online)</t>
        </is>
      </c>
    </row>
    <row r="4">
      <c r="A4" t="inlineStr">
        <is>
          <t>• 537 Duchart Ln, Fuquay-Varina, NC 27526 — 3bd/2.5ba, 2,216 sqft, Lakestone Village.</t>
        </is>
      </c>
    </row>
    <row r="5">
      <c r="A5" t="inlineStr">
        <is>
          <t>• Recorded sale: Mar 18, 2024 for $405,700.  Currently listed $409,900.</t>
        </is>
      </c>
    </row>
    <row r="6">
      <c r="A6" t="inlineStr"/>
    </row>
    <row r="7">
      <c r="A7" s="2" t="inlineStr">
        <is>
          <t>MORTGAGE (from your screenshot, loan *5990)</t>
        </is>
      </c>
    </row>
    <row r="8">
      <c r="A8" t="inlineStr">
        <is>
          <t>• Payoff used: $356,149.76. Payment $3,050.77/mo. Get an official payoff quote — true payoff</t>
        </is>
      </c>
    </row>
    <row r="9">
      <c r="A9" t="inlineStr">
        <is>
          <t xml:space="preserve">  runs a bit higher (per-day interest). Only ~$1,550 principal paid since 2024 (normal this early).</t>
        </is>
      </c>
    </row>
    <row r="10">
      <c r="A10" t="inlineStr"/>
    </row>
    <row r="11">
      <c r="A11" s="2" t="inlineStr">
        <is>
          <t>DEAL MATH (unchanged from v1)</t>
        </is>
      </c>
    </row>
    <row r="12">
      <c r="A12" t="inlineStr">
        <is>
          <t>• NET proceeds = Sale price − payoff − selling costs = 'money back' toward her $48,000.</t>
        </is>
      </c>
    </row>
    <row r="13">
      <c r="A13" t="inlineStr">
        <is>
          <t>• Shortfall = $48,000 − NET proceeds.  YOUR payment = Shortfall × 80% (or 70%).</t>
        </is>
      </c>
    </row>
    <row r="14">
      <c r="A14" t="inlineStr"/>
    </row>
    <row r="15">
      <c r="A15" s="2" t="inlineStr">
        <is>
          <t>CURRENT MARKET — Fuquay-Varina (June 2026)</t>
        </is>
      </c>
    </row>
    <row r="16">
      <c r="A16" t="inlineStr">
        <is>
          <t>• Median days on market ≈ 85 days (flat vs a year ago) — a slow, normalizing market.</t>
        </is>
      </c>
    </row>
    <row r="17">
      <c r="A17" t="inlineStr">
        <is>
          <t>• Inventory elevated: ~700+ active listings. Prices down ~3–4% year-over-year.</t>
        </is>
      </c>
    </row>
    <row r="18">
      <c r="A18" t="inlineStr">
        <is>
          <t>• Net read: this is a BUYER-leaning market. Overpricing sits; competitive pricing moves.</t>
        </is>
      </c>
    </row>
    <row r="19">
      <c r="A19" t="inlineStr">
        <is>
          <t>• Your home has already sat ~2 weeks at $409,900 with no contract — consistent with the model's</t>
        </is>
      </c>
    </row>
    <row r="20">
      <c r="A20" t="inlineStr">
        <is>
          <t xml:space="preserve">  low near-term odds at the top price.</t>
        </is>
      </c>
    </row>
    <row r="21">
      <c r="A21" t="inlineStr"/>
    </row>
    <row r="22">
      <c r="A22" s="2" t="inlineStr">
        <is>
          <t>SEASONALITY (Triangle / Raleigh area) — answers 'when do odds rise?'</t>
        </is>
      </c>
    </row>
    <row r="23">
      <c r="A23" t="inlineStr">
        <is>
          <t>• Peak selling season is APRIL–JUNE (fastest sales, best prices). July still strong.</t>
        </is>
      </c>
    </row>
    <row r="24">
      <c r="A24" t="inlineStr">
        <is>
          <t>• Aug → Oct demand TAPERS; Nov–Jan is the slowest window; odds rebound Feb–Apr.</t>
        </is>
      </c>
    </row>
    <row r="25">
      <c r="A25" t="inlineStr">
        <is>
          <t>• So over your next 4 months (Jul→Oct 2026) the seasonal trend works AGAINST you — the monthly</t>
        </is>
      </c>
    </row>
    <row r="26">
      <c r="A26" t="inlineStr">
        <is>
          <t xml:space="preserve">  chance of selling DECLINES each month. The next natural uptick is ~Feb–Apr 2027.</t>
        </is>
      </c>
    </row>
    <row r="27">
      <c r="A27" t="inlineStr">
        <is>
          <t>• Bottom line: in the near term, PRICE and EXPOSURE (using an agent) are the levers that raise</t>
        </is>
      </c>
    </row>
    <row r="28">
      <c r="A28" t="inlineStr">
        <is>
          <t xml:space="preserve">  your odds — not waiting. Waiting into fall lowers them.</t>
        </is>
      </c>
    </row>
    <row r="29">
      <c r="A29" t="inlineStr"/>
    </row>
    <row r="30">
      <c r="A30" s="2" t="inlineStr">
        <is>
          <t>HOW THE PROBABILITY COLUMNS ARE BUILT (all factors editable on the Scenarios tab)</t>
        </is>
      </c>
    </row>
    <row r="31">
      <c r="A31" t="inlineStr">
        <is>
          <t>• Monthly chance of going UNDER CONTRACT = h0 × Price factor × Exposure factor × Season factor.</t>
        </is>
      </c>
    </row>
    <row r="32">
      <c r="A32" t="inlineStr">
        <is>
          <t>• h0 = 0.25/month: the baseline ~ derived from an ~85-day median time-to-contract.</t>
        </is>
      </c>
    </row>
    <row r="33">
      <c r="A33" t="inlineStr">
        <is>
          <t>• Price factor = EXP(−k × (price − market value)/market value), k=7. Pricing BELOW the ~$410k</t>
        </is>
      </c>
    </row>
    <row r="34">
      <c r="A34" t="inlineStr">
        <is>
          <t xml:space="preserve">  market value raises odds; pricing at/above lowers them. Adjust 'market value' and k to taste.</t>
        </is>
      </c>
    </row>
    <row r="35">
      <c r="A35" t="inlineStr">
        <is>
          <t>• Exposure factor: full-service 1.10, typical agent 1.05, FSBO+3% buyer agent 0.90, FSBO+2.5% 0.85.</t>
        </is>
      </c>
    </row>
    <row r="36">
      <c r="A36" t="inlineStr">
        <is>
          <t xml:space="preserve">  ASSUMPTION: the buyer always has a realtor, so you ALWAYS pay a buyer's-agent commission. 'FSBO'</t>
        </is>
      </c>
    </row>
    <row r="37">
      <c r="A37" t="inlineStr">
        <is>
          <t xml:space="preserve">  means you skip the LISTING agent only (saving ~3%) and still pay the buyer's agent — there is no</t>
        </is>
      </c>
    </row>
    <row r="38">
      <c r="A38" t="inlineStr">
        <is>
          <t xml:space="preserve">  0% / no-commission case. FSBO is penalized a little (amateur photos/marketing/negotiation), not a</t>
        </is>
      </c>
    </row>
    <row r="39">
      <c r="A39" t="inlineStr">
        <is>
          <t xml:space="preserve">  lot, because a competitive buyer-agent commission still gets the home shown.</t>
        </is>
      </c>
    </row>
    <row r="40">
      <c r="A40" t="inlineStr">
        <is>
          <t>• Season factor: Jul 1.05, Aug 0.95, Sep 0.85, Oct 0.75 (declining into fall, per above).</t>
        </is>
      </c>
    </row>
    <row r="41">
      <c r="A41" t="inlineStr">
        <is>
          <t>• The four 'P(sold by end of month)' columns are CUMULATIVE — the chance you're under contract</t>
        </is>
      </c>
    </row>
    <row r="42">
      <c r="A42" t="inlineStr">
        <is>
          <t xml:space="preserve">  by the end of that month. They rise across months because each month adds another chance,</t>
        </is>
      </c>
    </row>
    <row r="43">
      <c r="A43" t="inlineStr">
        <is>
          <t xml:space="preserve">  even though the per-month odds shrink seasonally.</t>
        </is>
      </c>
    </row>
    <row r="44">
      <c r="A44" t="inlineStr">
        <is>
          <t>• 'Sold' here = under contract / offer accepted, not the closing date (closing is ~30–45 days later).</t>
        </is>
      </c>
    </row>
    <row r="45">
      <c r="A45" t="inlineStr"/>
    </row>
    <row r="46">
      <c r="A46" s="2" t="inlineStr">
        <is>
          <t>TAGGED 'BEST' OPTIONS (★ on the Scenarios tab) — why these</t>
        </is>
      </c>
    </row>
    <row r="47">
      <c r="A47" t="inlineStr">
        <is>
          <t>• ★ CHEAPEST for Oscar: $409,900 FSBO + buyer agent 2.5% → you pay ~$5,900, ~57% sold by Oct.</t>
        </is>
      </c>
    </row>
    <row r="48">
      <c r="A48" t="inlineStr">
        <is>
          <t xml:space="preserve">  Logic: list high as FSBO; you can always cut the price later, but you can't un-cut it. Lowest cost.</t>
        </is>
      </c>
    </row>
    <row r="49">
      <c r="A49" t="inlineStr">
        <is>
          <t>• ★ BEST VALUE: $405,000 FSBO + buyer agent 2.5% → you pay ~$9,700, ~61% by Oct. A small price</t>
        </is>
      </c>
    </row>
    <row r="50">
      <c r="A50" t="inlineStr">
        <is>
          <t xml:space="preserve">  trim buys better odds while still skipping the listing commission — the best cost-vs-odds balance.</t>
        </is>
      </c>
    </row>
    <row r="51">
      <c r="A51" t="inlineStr">
        <is>
          <t>• ★ BEST ODDS / hands-off: $399,000 typical agent (5.5%) → you pay ~$23,900, ~74% by Oct. Pick</t>
        </is>
      </c>
    </row>
    <row r="52">
      <c r="A52" t="inlineStr">
        <is>
          <t xml:space="preserve">  this if a fast, certain, low-effort sale matters more than saving money. Costs you the most.</t>
        </is>
      </c>
    </row>
    <row r="53">
      <c r="A53" t="inlineStr">
        <is>
          <t>• Pattern: every $1 of commission or price cut comes straight out of Oscar's pocket via the 80/70</t>
        </is>
      </c>
    </row>
    <row r="54">
      <c r="A54" t="inlineStr">
        <is>
          <t xml:space="preserve">  split, because it shrinks the net proceeds that repay her $48k. FSBO is Oscar's biggest saver.</t>
        </is>
      </c>
    </row>
    <row r="55">
      <c r="A55" t="inlineStr"/>
    </row>
    <row r="56">
      <c r="A56" s="2" t="inlineStr">
        <is>
          <t>AVERAGE LOSS OF FRANCIE'S $48k (summary block under the table)</t>
        </is>
      </c>
    </row>
    <row r="57">
      <c r="A57" t="inlineStr">
        <is>
          <t>• Averaged equally across all 20 scenarios: ~$24,200 of her $48k is NOT returned by the sale</t>
        </is>
      </c>
    </row>
    <row r="58">
      <c r="A58" t="inlineStr">
        <is>
          <t xml:space="preserve">  (she gets back ~$23,800). Oscar's average cost is 80% of that ≈ $19,300 (or ~$16,900 at 70%).</t>
        </is>
      </c>
    </row>
    <row r="59">
      <c r="A59" t="inlineStr">
        <is>
          <t>• This equal-weight average spans cheap and expensive cases; your REAL number depends on the</t>
        </is>
      </c>
    </row>
    <row r="60">
      <c r="A60" t="inlineStr">
        <is>
          <t xml:space="preserve">  option you choose — see the per-route averages: FSBO routes cut Oscar's average cost to ~$14k,</t>
        </is>
      </c>
    </row>
    <row r="61">
      <c r="A61" t="inlineStr">
        <is>
          <t xml:space="preserve">  vs ~$25k with a full-service agent.</t>
        </is>
      </c>
    </row>
    <row r="62">
      <c r="A62" t="inlineStr"/>
    </row>
    <row r="63">
      <c r="A63" s="2" t="inlineStr">
        <is>
          <t>THE CORE TENSION</t>
        </is>
      </c>
    </row>
    <row r="64">
      <c r="A64" t="inlineStr">
        <is>
          <t>• Lower price / using an agent = HIGHER chance of selling soon, but LOWER net proceeds = you pay</t>
        </is>
      </c>
    </row>
    <row r="65">
      <c r="A65" t="inlineStr">
        <is>
          <t xml:space="preserve">  her MORE. Higher price / FSBO = you pay her less IF it sells, but lower odds it sells at all.</t>
        </is>
      </c>
    </row>
    <row r="66">
      <c r="A66" t="inlineStr">
        <is>
          <t>• Read the table as a trade-off: cross-reference 'YOUR pay' against 'P(sold by end Oct)' per row.</t>
        </is>
      </c>
    </row>
    <row r="67">
      <c r="A67" t="inlineStr"/>
    </row>
    <row r="68">
      <c r="A68" t="inlineStr">
        <is>
          <t>These are estimates to compare scenarios, not a guarantee, appraisal, or legal/financial advice.</t>
        </is>
      </c>
    </row>
    <row r="69">
      <c r="A69" t="inlineStr">
        <is>
          <t>Probabilities are modeled, not market-quoted. Confirm payoff &amp; costs with your servicer/attorney.</t>
        </is>
      </c>
    </row>
    <row r="70">
      <c r="A70" t="inlineStr"/>
    </row>
    <row r="71">
      <c r="A71" s="2" t="inlineStr">
        <is>
          <t>SOURCES</t>
        </is>
      </c>
    </row>
    <row r="72">
      <c r="A72" t="inlineStr">
        <is>
          <t>• Listing/sale history: Coldwell Banker &amp; Apartments.com (537 Duchart Ln).</t>
        </is>
      </c>
    </row>
    <row r="73">
      <c r="A73" t="inlineStr">
        <is>
          <t>• Market: Redfin &amp; Long&amp;Foster Market Minute (Fuquay-Varina DOM/inventory/prices, 2026).</t>
        </is>
      </c>
    </row>
    <row r="74">
      <c r="A74" t="inlineStr">
        <is>
          <t>• Seasonality: Houzeo, HomeLight, ListWithClever (best time to sell Raleigh/NC, 2025–2026).</t>
        </is>
      </c>
    </row>
    <row r="75">
      <c r="A75" t="inlineStr">
        <is>
          <t>• Closing costs: ListWithClever, Houzeo, Bankrate, Redfin (NC seller costs &amp; transfer tax).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4" max="4"/>
    <col width="15" customWidth="1" min="5" max="5"/>
    <col width="30" customWidth="1" min="6" max="6"/>
  </cols>
  <sheetData>
    <row r="1" ht="22" customHeight="1">
      <c r="A1" s="1" t="inlineStr">
        <is>
          <t>Trade-off: what Oscar pays (@80%) vs. odds the house is sold by end of October</t>
        </is>
      </c>
    </row>
    <row r="3">
      <c r="A3" s="2" t="inlineStr">
        <is>
          <t>All options</t>
        </is>
      </c>
      <c r="D3" s="2" t="inlineStr">
        <is>
          <t>★ Recommended picks</t>
        </is>
      </c>
    </row>
    <row r="4">
      <c r="A4" s="2" t="inlineStr">
        <is>
          <t>P(sold by Oct)</t>
        </is>
      </c>
      <c r="B4" s="2" t="inlineStr">
        <is>
          <t>Oscar pay @80%</t>
        </is>
      </c>
      <c r="D4" s="2" t="inlineStr">
        <is>
          <t>P(sold by Oct)</t>
        </is>
      </c>
      <c r="E4" s="2" t="inlineStr">
        <is>
          <t>Oscar pay @80%</t>
        </is>
      </c>
      <c r="F4" s="2" t="inlineStr">
        <is>
          <t>Label</t>
        </is>
      </c>
    </row>
    <row r="5">
      <c r="A5" s="33">
        <f>Scenarios!R19</f>
        <v/>
      </c>
      <c r="B5" s="34">
        <f>Scenarios!I19</f>
        <v/>
      </c>
      <c r="D5" s="33">
        <f>Scenarios!R34</f>
        <v/>
      </c>
      <c r="E5" s="34">
        <f>Scenarios!I34</f>
        <v/>
      </c>
      <c r="F5" t="inlineStr">
        <is>
          <t>BEST VALUE ($405k FSBO 2.5%)</t>
        </is>
      </c>
    </row>
    <row r="6">
      <c r="A6" s="33">
        <f>Scenarios!R20</f>
        <v/>
      </c>
      <c r="B6" s="34">
        <f>Scenarios!I20</f>
        <v/>
      </c>
      <c r="D6" s="33">
        <f>Scenarios!R38</f>
        <v/>
      </c>
      <c r="E6" s="34">
        <f>Scenarios!I38</f>
        <v/>
      </c>
      <c r="F6" t="inlineStr">
        <is>
          <t>CHEAPEST ($409.9k FSBO 2.5%)</t>
        </is>
      </c>
    </row>
    <row r="7">
      <c r="A7" s="33">
        <f>Scenarios!R21</f>
        <v/>
      </c>
      <c r="B7" s="34">
        <f>Scenarios!I21</f>
        <v/>
      </c>
      <c r="D7" s="33">
        <f>Scenarios!R28</f>
        <v/>
      </c>
      <c r="E7" s="34">
        <f>Scenarios!I28</f>
        <v/>
      </c>
      <c r="F7" t="inlineStr">
        <is>
          <t>BEST ODDS ($399k agent 5.5%)</t>
        </is>
      </c>
    </row>
    <row r="8">
      <c r="A8" s="33">
        <f>Scenarios!R22</f>
        <v/>
      </c>
      <c r="B8" s="34">
        <f>Scenarios!I22</f>
        <v/>
      </c>
    </row>
    <row r="9">
      <c r="A9" s="33">
        <f>Scenarios!R23</f>
        <v/>
      </c>
      <c r="B9" s="34">
        <f>Scenarios!I23</f>
        <v/>
      </c>
    </row>
    <row r="10">
      <c r="A10" s="33">
        <f>Scenarios!R24</f>
        <v/>
      </c>
      <c r="B10" s="34">
        <f>Scenarios!I24</f>
        <v/>
      </c>
    </row>
    <row r="11">
      <c r="A11" s="33">
        <f>Scenarios!R25</f>
        <v/>
      </c>
      <c r="B11" s="34">
        <f>Scenarios!I25</f>
        <v/>
      </c>
    </row>
    <row r="12">
      <c r="A12" s="33">
        <f>Scenarios!R26</f>
        <v/>
      </c>
      <c r="B12" s="34">
        <f>Scenarios!I26</f>
        <v/>
      </c>
    </row>
    <row r="13">
      <c r="A13" s="33">
        <f>Scenarios!R27</f>
        <v/>
      </c>
      <c r="B13" s="34">
        <f>Scenarios!I27</f>
        <v/>
      </c>
    </row>
    <row r="14">
      <c r="A14" s="33">
        <f>Scenarios!R28</f>
        <v/>
      </c>
      <c r="B14" s="34">
        <f>Scenarios!I28</f>
        <v/>
      </c>
    </row>
    <row r="15">
      <c r="A15" s="33">
        <f>Scenarios!R29</f>
        <v/>
      </c>
      <c r="B15" s="34">
        <f>Scenarios!I29</f>
        <v/>
      </c>
    </row>
    <row r="16">
      <c r="A16" s="33">
        <f>Scenarios!R30</f>
        <v/>
      </c>
      <c r="B16" s="34">
        <f>Scenarios!I30</f>
        <v/>
      </c>
    </row>
    <row r="17">
      <c r="A17" s="33">
        <f>Scenarios!R31</f>
        <v/>
      </c>
      <c r="B17" s="34">
        <f>Scenarios!I31</f>
        <v/>
      </c>
    </row>
    <row r="18">
      <c r="A18" s="33">
        <f>Scenarios!R32</f>
        <v/>
      </c>
      <c r="B18" s="34">
        <f>Scenarios!I32</f>
        <v/>
      </c>
    </row>
    <row r="19">
      <c r="A19" s="33">
        <f>Scenarios!R33</f>
        <v/>
      </c>
      <c r="B19" s="34">
        <f>Scenarios!I33</f>
        <v/>
      </c>
    </row>
    <row r="20">
      <c r="A20" s="33">
        <f>Scenarios!R34</f>
        <v/>
      </c>
      <c r="B20" s="34">
        <f>Scenarios!I34</f>
        <v/>
      </c>
    </row>
    <row r="21">
      <c r="A21" s="33">
        <f>Scenarios!R35</f>
        <v/>
      </c>
      <c r="B21" s="34">
        <f>Scenarios!I35</f>
        <v/>
      </c>
    </row>
    <row r="22">
      <c r="A22" s="35" t="inlineStr">
        <is>
          <t>Read it like this: down-and-to-the-right is ideal (cheap for Oscar AND likely to sell).</t>
        </is>
      </c>
      <c r="B22" s="34">
        <f>Scenarios!I36</f>
        <v/>
      </c>
    </row>
    <row r="23">
      <c r="A23" s="33" t="inlineStr">
        <is>
          <t>The ★ stars are the tagged picks. Points up high cost Oscar the most; points to the left are least likely to sell.</t>
        </is>
      </c>
      <c r="B23" s="34">
        <f>Scenarios!I37</f>
        <v/>
      </c>
    </row>
    <row r="24">
      <c r="A24" s="33">
        <f>Scenarios!R38</f>
        <v/>
      </c>
      <c r="B24" s="34">
        <f>Scenarios!I38</f>
        <v/>
      </c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2026-06-30T14:10:44Z</dcterms:created>
  <dcterms:modified xsi:type="dcterms:W3CDTF">2026-06-30T14:10:44Z</dcterms:modified>
</cp:coreProperties>
</file>