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enarios" sheetId="1" state="visible" r:id="rId1"/>
    <sheet name="Notes &amp; Assump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1" applyAlignment="1" pivotButton="0" quotePrefix="0" xfId="0">
      <alignment horizontal="center" vertical="center" wrapText="1"/>
    </xf>
    <xf numFmtId="3" fontId="0" fillId="5" borderId="1" pivotButton="0" quotePrefix="0" xfId="0"/>
    <xf numFmtId="0" fontId="0" fillId="0" borderId="1" applyAlignment="1" pivotButton="0" quotePrefix="0" xfId="0">
      <alignment horizontal="left" vertical="center" wrapText="1"/>
    </xf>
    <xf numFmtId="164" fontId="0" fillId="0" borderId="1" pivotButton="0" quotePrefix="0" xfId="0"/>
    <xf numFmtId="3" fontId="0" fillId="0" borderId="1" pivotButton="0" quotePrefix="0" xfId="0"/>
    <xf numFmtId="3" fontId="2" fillId="0" borderId="1" pivotButton="0" quotePrefix="0" xfId="0"/>
    <xf numFmtId="3" fontId="2" fillId="6" borderId="1" pivotButton="0" quotePrefix="0" xfId="0"/>
    <xf numFmtId="3" fontId="0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1" customWidth="1" min="3" max="3"/>
    <col width="12" customWidth="1" min="4" max="4"/>
    <col width="12" customWidth="1" min="5" max="5"/>
    <col width="12" customWidth="1" min="6" max="6"/>
    <col width="14" customWidth="1" min="7" max="7"/>
    <col width="11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24" customHeight="1">
      <c r="A1" s="1" t="inlineStr">
        <is>
          <t>House Sale Scenarios — 537 Duchart Ln, Fuquay-Varina NC</t>
        </is>
      </c>
    </row>
    <row r="3">
      <c r="A3" s="2" t="inlineStr">
        <is>
          <t>INPUTS (edit yellow cells — everything recalculates)</t>
        </is>
      </c>
    </row>
    <row r="4">
      <c r="A4" t="inlineStr">
        <is>
          <t>Purchase price (sold Mar 18, 2024)</t>
        </is>
      </c>
      <c r="B4" s="3" t="n">
        <v>405700</v>
      </c>
    </row>
    <row r="5">
      <c r="A5" t="inlineStr">
        <is>
          <t>Down payment (her contribution)</t>
        </is>
      </c>
      <c r="B5" s="3" t="n">
        <v>48000</v>
      </c>
    </row>
    <row r="6">
      <c r="A6" t="inlineStr">
        <is>
          <t>Current mortgage balance / payoff</t>
        </is>
      </c>
      <c r="B6" s="3" t="n">
        <v>356149.76</v>
      </c>
    </row>
    <row r="7">
      <c r="A7" t="inlineStr">
        <is>
          <t>Excise/transfer tax rate (NC = $1 per $500)</t>
        </is>
      </c>
      <c r="B7" s="4" t="n">
        <v>0.002</v>
      </c>
    </row>
    <row r="8">
      <c r="A8" t="inlineStr">
        <is>
          <t>Other closing costs - attorney/title/misc (flat $)</t>
        </is>
      </c>
      <c r="B8" s="3" t="n">
        <v>2000</v>
      </c>
    </row>
    <row r="9">
      <c r="A9" t="inlineStr">
        <is>
          <t>HER recovery share — Option A</t>
        </is>
      </c>
      <c r="B9" s="4" t="n">
        <v>0.8</v>
      </c>
    </row>
    <row r="10">
      <c r="A10" t="inlineStr">
        <is>
          <t>HER recovery share — Option B</t>
        </is>
      </c>
      <c r="B10" s="4" t="n">
        <v>0.7</v>
      </c>
    </row>
    <row r="13" ht="42" customHeight="1">
      <c r="A13" s="5" t="inlineStr">
        <is>
          <t>Sale price</t>
        </is>
      </c>
      <c r="B13" s="5" t="inlineStr">
        <is>
          <t>Selling option</t>
        </is>
      </c>
      <c r="C13" s="5" t="inlineStr">
        <is>
          <t>Commission %</t>
        </is>
      </c>
      <c r="D13" s="5" t="inlineStr">
        <is>
          <t>Commission $</t>
        </is>
      </c>
      <c r="E13" s="5" t="inlineStr">
        <is>
          <t>Other closing $</t>
        </is>
      </c>
      <c r="F13" s="5" t="inlineStr">
        <is>
          <t>Total selling costs</t>
        </is>
      </c>
      <c r="G13" s="5" t="inlineStr">
        <is>
          <t>NET proceeds
(money back to her)</t>
        </is>
      </c>
      <c r="H13" s="5" t="inlineStr">
        <is>
          <t>Shortfall
vs $48k</t>
        </is>
      </c>
      <c r="I13" s="5" t="inlineStr">
        <is>
          <t>YOUR payment
@ 80%</t>
        </is>
      </c>
      <c r="J13" s="5" t="inlineStr">
        <is>
          <t>YOUR payment
@ 70%</t>
        </is>
      </c>
      <c r="K13" s="5" t="inlineStr">
        <is>
          <t>Her total
recovery @80%</t>
        </is>
      </c>
      <c r="L13" s="5" t="inlineStr">
        <is>
          <t>Her total
recovery @70%</t>
        </is>
      </c>
    </row>
    <row r="14">
      <c r="A14" s="6" t="n">
        <v>390000</v>
      </c>
      <c r="B14" s="7" t="inlineStr">
        <is>
          <t>Full-service agent (6%)</t>
        </is>
      </c>
      <c r="C14" s="8" t="n">
        <v>0.06</v>
      </c>
      <c r="D14" s="9">
        <f>A14*C14</f>
        <v/>
      </c>
      <c r="E14" s="9">
        <f>A14*$B$7+$B$8</f>
        <v/>
      </c>
      <c r="F14" s="9">
        <f>D14+E14</f>
        <v/>
      </c>
      <c r="G14" s="10">
        <f>A14-$B$6-F14</f>
        <v/>
      </c>
      <c r="H14" s="9">
        <f>MAX(0,$B$5-G14)</f>
        <v/>
      </c>
      <c r="I14" s="11">
        <f>H14*$B$9</f>
        <v/>
      </c>
      <c r="J14" s="11">
        <f>H14*$B$10</f>
        <v/>
      </c>
      <c r="K14" s="12">
        <f>G14+I14</f>
        <v/>
      </c>
      <c r="L14" s="12">
        <f>G14+J14</f>
        <v/>
      </c>
    </row>
    <row r="15">
      <c r="A15" s="6" t="n">
        <v>390000</v>
      </c>
      <c r="B15" s="7" t="inlineStr">
        <is>
          <t>Typical agent (5.5%)</t>
        </is>
      </c>
      <c r="C15" s="8" t="n">
        <v>0.055</v>
      </c>
      <c r="D15" s="9">
        <f>A15*C15</f>
        <v/>
      </c>
      <c r="E15" s="9">
        <f>A15*$B$7+$B$8</f>
        <v/>
      </c>
      <c r="F15" s="9">
        <f>D15+E15</f>
        <v/>
      </c>
      <c r="G15" s="10">
        <f>A15-$B$6-F15</f>
        <v/>
      </c>
      <c r="H15" s="9">
        <f>MAX(0,$B$5-G15)</f>
        <v/>
      </c>
      <c r="I15" s="11">
        <f>H15*$B$9</f>
        <v/>
      </c>
      <c r="J15" s="11">
        <f>H15*$B$10</f>
        <v/>
      </c>
      <c r="K15" s="12">
        <f>G15+I15</f>
        <v/>
      </c>
      <c r="L15" s="12">
        <f>G15+J15</f>
        <v/>
      </c>
    </row>
    <row r="16">
      <c r="A16" s="6" t="n">
        <v>390000</v>
      </c>
      <c r="B16" s="7" t="inlineStr">
        <is>
          <t>FSBO + buyer agent only (2.5%)</t>
        </is>
      </c>
      <c r="C16" s="8" t="n">
        <v>0.025</v>
      </c>
      <c r="D16" s="9">
        <f>A16*C16</f>
        <v/>
      </c>
      <c r="E16" s="9">
        <f>A16*$B$7+$B$8</f>
        <v/>
      </c>
      <c r="F16" s="9">
        <f>D16+E16</f>
        <v/>
      </c>
      <c r="G16" s="10">
        <f>A16-$B$6-F16</f>
        <v/>
      </c>
      <c r="H16" s="9">
        <f>MAX(0,$B$5-G16)</f>
        <v/>
      </c>
      <c r="I16" s="11">
        <f>H16*$B$9</f>
        <v/>
      </c>
      <c r="J16" s="11">
        <f>H16*$B$10</f>
        <v/>
      </c>
      <c r="K16" s="12">
        <f>G16+I16</f>
        <v/>
      </c>
      <c r="L16" s="12">
        <f>G16+J16</f>
        <v/>
      </c>
    </row>
    <row r="17">
      <c r="A17" s="6" t="n">
        <v>390000</v>
      </c>
      <c r="B17" s="7" t="inlineStr">
        <is>
          <t>Full FSBO — no agents (0%)</t>
        </is>
      </c>
      <c r="C17" s="8" t="n">
        <v>0</v>
      </c>
      <c r="D17" s="9">
        <f>A17*C17</f>
        <v/>
      </c>
      <c r="E17" s="9">
        <f>A17*$B$7+$B$8</f>
        <v/>
      </c>
      <c r="F17" s="9">
        <f>D17+E17</f>
        <v/>
      </c>
      <c r="G17" s="10">
        <f>A17-$B$6-F17</f>
        <v/>
      </c>
      <c r="H17" s="9">
        <f>MAX(0,$B$5-G17)</f>
        <v/>
      </c>
      <c r="I17" s="11">
        <f>H17*$B$9</f>
        <v/>
      </c>
      <c r="J17" s="11">
        <f>H17*$B$10</f>
        <v/>
      </c>
      <c r="K17" s="12">
        <f>G17+I17</f>
        <v/>
      </c>
      <c r="L17" s="12">
        <f>G17+J17</f>
        <v/>
      </c>
    </row>
    <row r="18">
      <c r="A18" s="6" t="n">
        <v>395000</v>
      </c>
      <c r="B18" s="7" t="inlineStr">
        <is>
          <t>Full-service agent (6%)</t>
        </is>
      </c>
      <c r="C18" s="8" t="n">
        <v>0.06</v>
      </c>
      <c r="D18" s="9">
        <f>A18*C18</f>
        <v/>
      </c>
      <c r="E18" s="9">
        <f>A18*$B$7+$B$8</f>
        <v/>
      </c>
      <c r="F18" s="9">
        <f>D18+E18</f>
        <v/>
      </c>
      <c r="G18" s="10">
        <f>A18-$B$6-F18</f>
        <v/>
      </c>
      <c r="H18" s="9">
        <f>MAX(0,$B$5-G18)</f>
        <v/>
      </c>
      <c r="I18" s="11">
        <f>H18*$B$9</f>
        <v/>
      </c>
      <c r="J18" s="11">
        <f>H18*$B$10</f>
        <v/>
      </c>
      <c r="K18" s="12">
        <f>G18+I18</f>
        <v/>
      </c>
      <c r="L18" s="12">
        <f>G18+J18</f>
        <v/>
      </c>
    </row>
    <row r="19">
      <c r="A19" s="6" t="n">
        <v>395000</v>
      </c>
      <c r="B19" s="7" t="inlineStr">
        <is>
          <t>Typical agent (5.5%)</t>
        </is>
      </c>
      <c r="C19" s="8" t="n">
        <v>0.055</v>
      </c>
      <c r="D19" s="9">
        <f>A19*C19</f>
        <v/>
      </c>
      <c r="E19" s="9">
        <f>A19*$B$7+$B$8</f>
        <v/>
      </c>
      <c r="F19" s="9">
        <f>D19+E19</f>
        <v/>
      </c>
      <c r="G19" s="10">
        <f>A19-$B$6-F19</f>
        <v/>
      </c>
      <c r="H19" s="9">
        <f>MAX(0,$B$5-G19)</f>
        <v/>
      </c>
      <c r="I19" s="11">
        <f>H19*$B$9</f>
        <v/>
      </c>
      <c r="J19" s="11">
        <f>H19*$B$10</f>
        <v/>
      </c>
      <c r="K19" s="12">
        <f>G19+I19</f>
        <v/>
      </c>
      <c r="L19" s="12">
        <f>G19+J19</f>
        <v/>
      </c>
    </row>
    <row r="20">
      <c r="A20" s="6" t="n">
        <v>395000</v>
      </c>
      <c r="B20" s="7" t="inlineStr">
        <is>
          <t>FSBO + buyer agent only (2.5%)</t>
        </is>
      </c>
      <c r="C20" s="8" t="n">
        <v>0.025</v>
      </c>
      <c r="D20" s="9">
        <f>A20*C20</f>
        <v/>
      </c>
      <c r="E20" s="9">
        <f>A20*$B$7+$B$8</f>
        <v/>
      </c>
      <c r="F20" s="9">
        <f>D20+E20</f>
        <v/>
      </c>
      <c r="G20" s="10">
        <f>A20-$B$6-F20</f>
        <v/>
      </c>
      <c r="H20" s="9">
        <f>MAX(0,$B$5-G20)</f>
        <v/>
      </c>
      <c r="I20" s="11">
        <f>H20*$B$9</f>
        <v/>
      </c>
      <c r="J20" s="11">
        <f>H20*$B$10</f>
        <v/>
      </c>
      <c r="K20" s="12">
        <f>G20+I20</f>
        <v/>
      </c>
      <c r="L20" s="12">
        <f>G20+J20</f>
        <v/>
      </c>
    </row>
    <row r="21">
      <c r="A21" s="6" t="n">
        <v>395000</v>
      </c>
      <c r="B21" s="7" t="inlineStr">
        <is>
          <t>Full FSBO — no agents (0%)</t>
        </is>
      </c>
      <c r="C21" s="8" t="n">
        <v>0</v>
      </c>
      <c r="D21" s="9">
        <f>A21*C21</f>
        <v/>
      </c>
      <c r="E21" s="9">
        <f>A21*$B$7+$B$8</f>
        <v/>
      </c>
      <c r="F21" s="9">
        <f>D21+E21</f>
        <v/>
      </c>
      <c r="G21" s="10">
        <f>A21-$B$6-F21</f>
        <v/>
      </c>
      <c r="H21" s="9">
        <f>MAX(0,$B$5-G21)</f>
        <v/>
      </c>
      <c r="I21" s="11">
        <f>H21*$B$9</f>
        <v/>
      </c>
      <c r="J21" s="11">
        <f>H21*$B$10</f>
        <v/>
      </c>
      <c r="K21" s="12">
        <f>G21+I21</f>
        <v/>
      </c>
      <c r="L21" s="12">
        <f>G21+J21</f>
        <v/>
      </c>
    </row>
    <row r="22">
      <c r="A22" s="6" t="n">
        <v>399000</v>
      </c>
      <c r="B22" s="7" t="inlineStr">
        <is>
          <t>Full-service agent (6%)</t>
        </is>
      </c>
      <c r="C22" s="8" t="n">
        <v>0.06</v>
      </c>
      <c r="D22" s="9">
        <f>A22*C22</f>
        <v/>
      </c>
      <c r="E22" s="9">
        <f>A22*$B$7+$B$8</f>
        <v/>
      </c>
      <c r="F22" s="9">
        <f>D22+E22</f>
        <v/>
      </c>
      <c r="G22" s="10">
        <f>A22-$B$6-F22</f>
        <v/>
      </c>
      <c r="H22" s="9">
        <f>MAX(0,$B$5-G22)</f>
        <v/>
      </c>
      <c r="I22" s="11">
        <f>H22*$B$9</f>
        <v/>
      </c>
      <c r="J22" s="11">
        <f>H22*$B$10</f>
        <v/>
      </c>
      <c r="K22" s="12">
        <f>G22+I22</f>
        <v/>
      </c>
      <c r="L22" s="12">
        <f>G22+J22</f>
        <v/>
      </c>
    </row>
    <row r="23">
      <c r="A23" s="6" t="n">
        <v>399000</v>
      </c>
      <c r="B23" s="7" t="inlineStr">
        <is>
          <t>Typical agent (5.5%)</t>
        </is>
      </c>
      <c r="C23" s="8" t="n">
        <v>0.055</v>
      </c>
      <c r="D23" s="9">
        <f>A23*C23</f>
        <v/>
      </c>
      <c r="E23" s="9">
        <f>A23*$B$7+$B$8</f>
        <v/>
      </c>
      <c r="F23" s="9">
        <f>D23+E23</f>
        <v/>
      </c>
      <c r="G23" s="10">
        <f>A23-$B$6-F23</f>
        <v/>
      </c>
      <c r="H23" s="9">
        <f>MAX(0,$B$5-G23)</f>
        <v/>
      </c>
      <c r="I23" s="11">
        <f>H23*$B$9</f>
        <v/>
      </c>
      <c r="J23" s="11">
        <f>H23*$B$10</f>
        <v/>
      </c>
      <c r="K23" s="12">
        <f>G23+I23</f>
        <v/>
      </c>
      <c r="L23" s="12">
        <f>G23+J23</f>
        <v/>
      </c>
    </row>
    <row r="24">
      <c r="A24" s="6" t="n">
        <v>399000</v>
      </c>
      <c r="B24" s="7" t="inlineStr">
        <is>
          <t>FSBO + buyer agent only (2.5%)</t>
        </is>
      </c>
      <c r="C24" s="8" t="n">
        <v>0.025</v>
      </c>
      <c r="D24" s="9">
        <f>A24*C24</f>
        <v/>
      </c>
      <c r="E24" s="9">
        <f>A24*$B$7+$B$8</f>
        <v/>
      </c>
      <c r="F24" s="9">
        <f>D24+E24</f>
        <v/>
      </c>
      <c r="G24" s="10">
        <f>A24-$B$6-F24</f>
        <v/>
      </c>
      <c r="H24" s="9">
        <f>MAX(0,$B$5-G24)</f>
        <v/>
      </c>
      <c r="I24" s="11">
        <f>H24*$B$9</f>
        <v/>
      </c>
      <c r="J24" s="11">
        <f>H24*$B$10</f>
        <v/>
      </c>
      <c r="K24" s="12">
        <f>G24+I24</f>
        <v/>
      </c>
      <c r="L24" s="12">
        <f>G24+J24</f>
        <v/>
      </c>
    </row>
    <row r="25">
      <c r="A25" s="6" t="n">
        <v>399000</v>
      </c>
      <c r="B25" s="7" t="inlineStr">
        <is>
          <t>Full FSBO — no agents (0%)</t>
        </is>
      </c>
      <c r="C25" s="8" t="n">
        <v>0</v>
      </c>
      <c r="D25" s="9">
        <f>A25*C25</f>
        <v/>
      </c>
      <c r="E25" s="9">
        <f>A25*$B$7+$B$8</f>
        <v/>
      </c>
      <c r="F25" s="9">
        <f>D25+E25</f>
        <v/>
      </c>
      <c r="G25" s="10">
        <f>A25-$B$6-F25</f>
        <v/>
      </c>
      <c r="H25" s="9">
        <f>MAX(0,$B$5-G25)</f>
        <v/>
      </c>
      <c r="I25" s="11">
        <f>H25*$B$9</f>
        <v/>
      </c>
      <c r="J25" s="11">
        <f>H25*$B$10</f>
        <v/>
      </c>
      <c r="K25" s="12">
        <f>G25+I25</f>
        <v/>
      </c>
      <c r="L25" s="12">
        <f>G25+J25</f>
        <v/>
      </c>
    </row>
    <row r="26">
      <c r="A26" s="6" t="n">
        <v>405000</v>
      </c>
      <c r="B26" s="7" t="inlineStr">
        <is>
          <t>Full-service agent (6%)</t>
        </is>
      </c>
      <c r="C26" s="8" t="n">
        <v>0.06</v>
      </c>
      <c r="D26" s="9">
        <f>A26*C26</f>
        <v/>
      </c>
      <c r="E26" s="9">
        <f>A26*$B$7+$B$8</f>
        <v/>
      </c>
      <c r="F26" s="9">
        <f>D26+E26</f>
        <v/>
      </c>
      <c r="G26" s="10">
        <f>A26-$B$6-F26</f>
        <v/>
      </c>
      <c r="H26" s="9">
        <f>MAX(0,$B$5-G26)</f>
        <v/>
      </c>
      <c r="I26" s="11">
        <f>H26*$B$9</f>
        <v/>
      </c>
      <c r="J26" s="11">
        <f>H26*$B$10</f>
        <v/>
      </c>
      <c r="K26" s="12">
        <f>G26+I26</f>
        <v/>
      </c>
      <c r="L26" s="12">
        <f>G26+J26</f>
        <v/>
      </c>
    </row>
    <row r="27">
      <c r="A27" s="6" t="n">
        <v>405000</v>
      </c>
      <c r="B27" s="7" t="inlineStr">
        <is>
          <t>Typical agent (5.5%)</t>
        </is>
      </c>
      <c r="C27" s="8" t="n">
        <v>0.055</v>
      </c>
      <c r="D27" s="9">
        <f>A27*C27</f>
        <v/>
      </c>
      <c r="E27" s="9">
        <f>A27*$B$7+$B$8</f>
        <v/>
      </c>
      <c r="F27" s="9">
        <f>D27+E27</f>
        <v/>
      </c>
      <c r="G27" s="10">
        <f>A27-$B$6-F27</f>
        <v/>
      </c>
      <c r="H27" s="9">
        <f>MAX(0,$B$5-G27)</f>
        <v/>
      </c>
      <c r="I27" s="11">
        <f>H27*$B$9</f>
        <v/>
      </c>
      <c r="J27" s="11">
        <f>H27*$B$10</f>
        <v/>
      </c>
      <c r="K27" s="12">
        <f>G27+I27</f>
        <v/>
      </c>
      <c r="L27" s="12">
        <f>G27+J27</f>
        <v/>
      </c>
    </row>
    <row r="28">
      <c r="A28" s="6" t="n">
        <v>405000</v>
      </c>
      <c r="B28" s="7" t="inlineStr">
        <is>
          <t>FSBO + buyer agent only (2.5%)</t>
        </is>
      </c>
      <c r="C28" s="8" t="n">
        <v>0.025</v>
      </c>
      <c r="D28" s="9">
        <f>A28*C28</f>
        <v/>
      </c>
      <c r="E28" s="9">
        <f>A28*$B$7+$B$8</f>
        <v/>
      </c>
      <c r="F28" s="9">
        <f>D28+E28</f>
        <v/>
      </c>
      <c r="G28" s="10">
        <f>A28-$B$6-F28</f>
        <v/>
      </c>
      <c r="H28" s="9">
        <f>MAX(0,$B$5-G28)</f>
        <v/>
      </c>
      <c r="I28" s="11">
        <f>H28*$B$9</f>
        <v/>
      </c>
      <c r="J28" s="11">
        <f>H28*$B$10</f>
        <v/>
      </c>
      <c r="K28" s="12">
        <f>G28+I28</f>
        <v/>
      </c>
      <c r="L28" s="12">
        <f>G28+J28</f>
        <v/>
      </c>
    </row>
    <row r="29">
      <c r="A29" s="6" t="n">
        <v>405000</v>
      </c>
      <c r="B29" s="7" t="inlineStr">
        <is>
          <t>Full FSBO — no agents (0%)</t>
        </is>
      </c>
      <c r="C29" s="8" t="n">
        <v>0</v>
      </c>
      <c r="D29" s="9">
        <f>A29*C29</f>
        <v/>
      </c>
      <c r="E29" s="9">
        <f>A29*$B$7+$B$8</f>
        <v/>
      </c>
      <c r="F29" s="9">
        <f>D29+E29</f>
        <v/>
      </c>
      <c r="G29" s="10">
        <f>A29-$B$6-F29</f>
        <v/>
      </c>
      <c r="H29" s="9">
        <f>MAX(0,$B$5-G29)</f>
        <v/>
      </c>
      <c r="I29" s="11">
        <f>H29*$B$9</f>
        <v/>
      </c>
      <c r="J29" s="11">
        <f>H29*$B$10</f>
        <v/>
      </c>
      <c r="K29" s="12">
        <f>G29+I29</f>
        <v/>
      </c>
      <c r="L29" s="12">
        <f>G29+J29</f>
        <v/>
      </c>
    </row>
    <row r="30">
      <c r="A30" s="6" t="n">
        <v>409900</v>
      </c>
      <c r="B30" s="7" t="inlineStr">
        <is>
          <t>Full-service agent (6%)</t>
        </is>
      </c>
      <c r="C30" s="8" t="n">
        <v>0.06</v>
      </c>
      <c r="D30" s="9">
        <f>A30*C30</f>
        <v/>
      </c>
      <c r="E30" s="9">
        <f>A30*$B$7+$B$8</f>
        <v/>
      </c>
      <c r="F30" s="9">
        <f>D30+E30</f>
        <v/>
      </c>
      <c r="G30" s="10">
        <f>A30-$B$6-F30</f>
        <v/>
      </c>
      <c r="H30" s="9">
        <f>MAX(0,$B$5-G30)</f>
        <v/>
      </c>
      <c r="I30" s="11">
        <f>H30*$B$9</f>
        <v/>
      </c>
      <c r="J30" s="11">
        <f>H30*$B$10</f>
        <v/>
      </c>
      <c r="K30" s="12">
        <f>G30+I30</f>
        <v/>
      </c>
      <c r="L30" s="12">
        <f>G30+J30</f>
        <v/>
      </c>
    </row>
    <row r="31">
      <c r="A31" s="6" t="n">
        <v>409900</v>
      </c>
      <c r="B31" s="7" t="inlineStr">
        <is>
          <t>Typical agent (5.5%)</t>
        </is>
      </c>
      <c r="C31" s="8" t="n">
        <v>0.055</v>
      </c>
      <c r="D31" s="9">
        <f>A31*C31</f>
        <v/>
      </c>
      <c r="E31" s="9">
        <f>A31*$B$7+$B$8</f>
        <v/>
      </c>
      <c r="F31" s="9">
        <f>D31+E31</f>
        <v/>
      </c>
      <c r="G31" s="10">
        <f>A31-$B$6-F31</f>
        <v/>
      </c>
      <c r="H31" s="9">
        <f>MAX(0,$B$5-G31)</f>
        <v/>
      </c>
      <c r="I31" s="11">
        <f>H31*$B$9</f>
        <v/>
      </c>
      <c r="J31" s="11">
        <f>H31*$B$10</f>
        <v/>
      </c>
      <c r="K31" s="12">
        <f>G31+I31</f>
        <v/>
      </c>
      <c r="L31" s="12">
        <f>G31+J31</f>
        <v/>
      </c>
    </row>
    <row r="32">
      <c r="A32" s="6" t="n">
        <v>409900</v>
      </c>
      <c r="B32" s="7" t="inlineStr">
        <is>
          <t>FSBO + buyer agent only (2.5%)</t>
        </is>
      </c>
      <c r="C32" s="8" t="n">
        <v>0.025</v>
      </c>
      <c r="D32" s="9">
        <f>A32*C32</f>
        <v/>
      </c>
      <c r="E32" s="9">
        <f>A32*$B$7+$B$8</f>
        <v/>
      </c>
      <c r="F32" s="9">
        <f>D32+E32</f>
        <v/>
      </c>
      <c r="G32" s="10">
        <f>A32-$B$6-F32</f>
        <v/>
      </c>
      <c r="H32" s="9">
        <f>MAX(0,$B$5-G32)</f>
        <v/>
      </c>
      <c r="I32" s="11">
        <f>H32*$B$9</f>
        <v/>
      </c>
      <c r="J32" s="11">
        <f>H32*$B$10</f>
        <v/>
      </c>
      <c r="K32" s="12">
        <f>G32+I32</f>
        <v/>
      </c>
      <c r="L32" s="12">
        <f>G32+J32</f>
        <v/>
      </c>
    </row>
    <row r="33">
      <c r="A33" s="6" t="n">
        <v>409900</v>
      </c>
      <c r="B33" s="7" t="inlineStr">
        <is>
          <t>Full FSBO — no agents (0%)</t>
        </is>
      </c>
      <c r="C33" s="8" t="n">
        <v>0</v>
      </c>
      <c r="D33" s="9">
        <f>A33*C33</f>
        <v/>
      </c>
      <c r="E33" s="9">
        <f>A33*$B$7+$B$8</f>
        <v/>
      </c>
      <c r="F33" s="9">
        <f>D33+E33</f>
        <v/>
      </c>
      <c r="G33" s="10">
        <f>A33-$B$6-F33</f>
        <v/>
      </c>
      <c r="H33" s="9">
        <f>MAX(0,$B$5-G33)</f>
        <v/>
      </c>
      <c r="I33" s="11">
        <f>H33*$B$9</f>
        <v/>
      </c>
      <c r="J33" s="11">
        <f>H33*$B$10</f>
        <v/>
      </c>
      <c r="K33" s="12">
        <f>G33+I33</f>
        <v/>
      </c>
      <c r="L33" s="12">
        <f>G33+J33</f>
        <v/>
      </c>
    </row>
  </sheetData>
  <mergeCells count="1">
    <mergeCell ref="A1: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24" customHeight="1">
      <c r="A1" s="1" t="inlineStr">
        <is>
          <t>House Sale Scenarios — Notes &amp; Assumptions</t>
        </is>
      </c>
    </row>
    <row r="2">
      <c r="A2" t="inlineStr"/>
    </row>
    <row r="3">
      <c r="A3" s="2" t="inlineStr">
        <is>
          <t>PROPERTY (verified online)</t>
        </is>
      </c>
    </row>
    <row r="4">
      <c r="A4" t="inlineStr">
        <is>
          <t>• 537 Duchart Ln, Fuquay-Varina, NC 27526 — 3 bd / 2.5 ba, 2,216 sq ft, Lakestone Village.</t>
        </is>
      </c>
    </row>
    <row r="5">
      <c r="A5" t="inlineStr">
        <is>
          <t>• Recorded sale: March 18, 2024 for $405,700 (you recalled ~April 2024 / ~$407,500 — very close).</t>
        </is>
      </c>
    </row>
    <row r="6">
      <c r="A6" t="inlineStr">
        <is>
          <t>• Currently listed on Zillow at $409,900.</t>
        </is>
      </c>
    </row>
    <row r="7">
      <c r="A7" t="inlineStr"/>
    </row>
    <row r="8">
      <c r="A8" s="2" t="inlineStr">
        <is>
          <t>MORTGAGE (from your screenshot, loan *5990)</t>
        </is>
      </c>
    </row>
    <row r="9">
      <c r="A9" t="inlineStr">
        <is>
          <t>• Current balance / payoff used: $356,149.76.</t>
        </is>
      </c>
    </row>
    <row r="10">
      <c r="A10" t="inlineStr">
        <is>
          <t>• Monthly payment: $3,050.77 (with a recurring -$712.80 escrow advance refund line).</t>
        </is>
      </c>
    </row>
    <row r="11">
      <c r="A11" t="inlineStr">
        <is>
          <t>• Original loan was ~$357,700 (405,700 - 48,000). After ~26 months you've paid down only ~$1,550 of</t>
        </is>
      </c>
    </row>
    <row r="12">
      <c r="A12" t="inlineStr">
        <is>
          <t xml:space="preserve">  principal — normal this early in a loan (almost all of each payment is interest + escrow).</t>
        </is>
      </c>
    </row>
    <row r="13">
      <c r="A13" t="inlineStr">
        <is>
          <t>• NOTE: the true payoff figure is usually a bit higher than the screen balance (per-day interest +</t>
        </is>
      </c>
    </row>
    <row r="14">
      <c r="A14" t="inlineStr">
        <is>
          <t xml:space="preserve">  any fees). Get an official 'payoff quote' from the servicer before relying on exact net numbers.</t>
        </is>
      </c>
    </row>
    <row r="15">
      <c r="A15" t="inlineStr"/>
    </row>
    <row r="16">
      <c r="A16" s="2" t="inlineStr">
        <is>
          <t>HOW THE NUMBERS WORK</t>
        </is>
      </c>
    </row>
    <row r="17">
      <c r="A17" t="inlineStr">
        <is>
          <t>• NET proceeds = Sale price − Mortgage payoff − Total selling costs. This is the cash left at closing</t>
        </is>
      </c>
    </row>
    <row r="18">
      <c r="A18" t="inlineStr">
        <is>
          <t xml:space="preserve">  = the 'money back from the house sale' that goes toward recovering her $48,000.</t>
        </is>
      </c>
    </row>
    <row r="19">
      <c r="A19" t="inlineStr">
        <is>
          <t>• Shortfall = $48,000 − NET proceeds (the part of her down payment the sale did NOT return).</t>
        </is>
      </c>
    </row>
    <row r="20">
      <c r="A20" t="inlineStr">
        <is>
          <t>• YOUR payment to her = Shortfall × 80% (Option A) or × 70% (Option B), per her proposed deal.</t>
        </is>
      </c>
    </row>
    <row r="21">
      <c r="A21" t="inlineStr">
        <is>
          <t>• Her total recovery = NET proceeds + YOUR payment.</t>
        </is>
      </c>
    </row>
    <row r="22">
      <c r="A22" t="inlineStr"/>
    </row>
    <row r="23">
      <c r="A23" s="2" t="inlineStr">
        <is>
          <t>SELLING-COST ASSUMPTIONS (NC averages)</t>
        </is>
      </c>
    </row>
    <row r="24">
      <c r="A24" t="inlineStr">
        <is>
          <t>• Agent commission: full-service ≈ 5.5%–6% total (split listing + buyer agent). Modeled at 6%, 5.5%,</t>
        </is>
      </c>
    </row>
    <row r="25">
      <c r="A25" t="inlineStr">
        <is>
          <t xml:space="preserve">  a FSBO case where you still offer the buyer's agent 2.5%, and a pure FSBO at 0%.</t>
        </is>
      </c>
    </row>
    <row r="26">
      <c r="A26" t="inlineStr">
        <is>
          <t>• Other closing costs: NC excise/transfer tax = $1 per $500 (0.2%) + ~$2,000 flat for attorney,</t>
        </is>
      </c>
    </row>
    <row r="27">
      <c r="A27" t="inlineStr">
        <is>
          <t xml:space="preserve">  title, recording &amp; misc. (NC non-commission seller costs average ~2.5%, but much of that is</t>
        </is>
      </c>
    </row>
    <row r="28">
      <c r="A28" t="inlineStr">
        <is>
          <t xml:space="preserve">  optional concessions/prorations — adjust the flat $ and rate cells to taste.)</t>
        </is>
      </c>
    </row>
    <row r="29">
      <c r="A29" t="inlineStr">
        <is>
          <t>• NOT included: any seller concessions to the buyer, home-warranty, repairs, or staging. Add them to</t>
        </is>
      </c>
    </row>
    <row r="30">
      <c r="A30" t="inlineStr">
        <is>
          <t xml:space="preserve">  the 'Other closing costs' input if you expect them.</t>
        </is>
      </c>
    </row>
    <row r="31">
      <c r="A31" t="inlineStr"/>
    </row>
    <row r="32">
      <c r="A32" s="2" t="inlineStr">
        <is>
          <t>BIG PICTURE</t>
        </is>
      </c>
    </row>
    <row r="33">
      <c r="A33" t="inlineStr">
        <is>
          <t>• At a sale price below ~$406k you are essentially selling near/under what you owe once costs are</t>
        </is>
      </c>
    </row>
    <row r="34">
      <c r="A34" t="inlineStr">
        <is>
          <t xml:space="preserve">  added, so net proceeds are small — meaning a large shortfall against the $48k, and a larger payment</t>
        </is>
      </c>
    </row>
    <row r="35">
      <c r="A35" t="inlineStr">
        <is>
          <t xml:space="preserve">  from you. The lower the price AND the higher the commission, the more YOU pay her.</t>
        </is>
      </c>
    </row>
    <row r="36">
      <c r="A36" t="inlineStr">
        <is>
          <t>• Going FSBO (no/low commission) is the single biggest lever to shrink your payment — see the table.</t>
        </is>
      </c>
    </row>
    <row r="37">
      <c r="A37" t="inlineStr"/>
    </row>
    <row r="38">
      <c r="A38" s="2" t="inlineStr">
        <is>
          <t>SOURCES</t>
        </is>
      </c>
    </row>
    <row r="39">
      <c r="A39" t="inlineStr">
        <is>
          <t>• Coldwell Banker / Apartments.com listing for 537 Duchart Ln (sale history &amp; current list price).</t>
        </is>
      </c>
    </row>
    <row r="40">
      <c r="A40" t="inlineStr">
        <is>
          <t>• ListWithClever, Houzeo, Bankrate, Redfin — NC seller closing costs &amp; transfer tax (2024–2026).</t>
        </is>
      </c>
    </row>
    <row r="41">
      <c r="A41" t="inlineStr"/>
    </row>
    <row r="42">
      <c r="A42" t="inlineStr">
        <is>
          <t>This is an estimate to compare scenarios, not legal/financial/tax advice. Confirm payoff and closing</t>
        </is>
      </c>
    </row>
    <row r="43">
      <c r="A43" t="inlineStr">
        <is>
          <t>costs with your mortgage servicer and a NC closing attorney before finalizing any agreement.</t>
        </is>
      </c>
    </row>
  </sheetData>
  <mergeCells count="1">
    <mergeCell ref="A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2026-06-30T12:59:43Z</dcterms:created>
  <dcterms:modified xsi:type="dcterms:W3CDTF">2026-06-30T12:59:43Z</dcterms:modified>
</cp:coreProperties>
</file>