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 &amp; Assumptions" sheetId="1" state="visible" r:id="rId1"/>
    <sheet name="Split Scenarios" sheetId="2" state="visible" r:id="rId2"/>
    <sheet name="APV Price Sensitivity" sheetId="3" state="visible" r:id="rId3"/>
    <sheet name="SNP Re-pricing Risk" sheetId="4" state="visible" r:id="rId4"/>
    <sheet name="Supplier Capacity" sheetId="5" state="visible" r:id="rId5"/>
  </sheets>
  <definedNames>
    <definedName name="DrumGal">'Inputs &amp; Assumptions'!$C$6</definedName>
    <definedName name="DrumLb">'Inputs &amp; Assumptions'!$C$7</definedName>
    <definedName name="WeeksYr">'Inputs &amp; Assumptions'!$C$8</definedName>
    <definedName name="DrumsWk">'Inputs &amp; Assumptions'!$C$9</definedName>
    <definedName name="SNPlb">'Inputs &amp; Assumptions'!$C$10</definedName>
    <definedName name="SNPdrum">'Inputs &amp; Assumptions'!$C$11</definedName>
    <definedName name="DrumsYr">'Inputs &amp; Assumptions'!$C$12</definedName>
    <definedName name="GalYr">'Inputs &amp; Assumptions'!$C$13</definedName>
    <definedName name="BaselineSpend">'Inputs &amp; Assumptions'!$C$14</definedName>
    <definedName name="APVminGal">'Inputs &amp; Assumptions'!$C$17</definedName>
    <definedName name="APVlow">'Inputs &amp; Assumptions'!$C$18</definedName>
    <definedName name="APVlikely">'Inputs &amp; Assumptions'!$C$19</definedName>
    <definedName name="APVhigh">'Inputs &amp; Assumptions'!$C$20</definedName>
    <definedName name="SNPsurch">'Inputs &amp; Assumptions'!$C$23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0.00"/>
    <numFmt numFmtId="166" formatCode="$#,##0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b val="1"/>
      <color rgb="007F6000"/>
    </font>
    <font>
      <b val="1"/>
      <color rgb="00375623"/>
    </font>
    <font>
      <b val="1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1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wrapText="1"/>
    </xf>
    <xf numFmtId="9" fontId="7" fillId="5" borderId="1" applyAlignment="1" pivotButton="0" quotePrefix="0" xfId="0">
      <alignment horizontal="center" vertical="center"/>
    </xf>
    <xf numFmtId="0" fontId="6" fillId="0" borderId="0" pivotButton="0" quotePrefix="0" xfId="0"/>
    <xf numFmtId="166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14" customWidth="1" min="4" max="4"/>
    <col width="60" customWidth="1" min="5" max="5"/>
  </cols>
  <sheetData>
    <row r="2">
      <c r="B2" s="1" t="inlineStr">
        <is>
          <t>PVA Second-Source — Volume &amp; Pricing Model</t>
        </is>
      </c>
    </row>
    <row r="3">
      <c r="B3" s="2" t="inlineStr">
        <is>
          <t>Working model. Edit only the YELLOW cells; green cells are calculated. Built 2026-06-26.</t>
        </is>
      </c>
    </row>
    <row r="5">
      <c r="B5" s="3" t="inlineStr">
        <is>
          <t>1) ACCOUNT FUNDAMENTALS</t>
        </is>
      </c>
      <c r="C5" s="3" t="n"/>
      <c r="D5" s="3" t="inlineStr"/>
    </row>
    <row r="6">
      <c r="B6" s="4" t="inlineStr">
        <is>
          <t>Drum size (gallons)</t>
        </is>
      </c>
      <c r="C6" s="5" t="n">
        <v>55</v>
      </c>
      <c r="E6" s="6" t="inlineStr">
        <is>
          <t>Standard 55-gal drum.</t>
        </is>
      </c>
    </row>
    <row r="7">
      <c r="B7" s="4" t="inlineStr">
        <is>
          <t>Drum net weight (lb)</t>
        </is>
      </c>
      <c r="C7" s="5" t="n">
        <v>450</v>
      </c>
      <c r="E7" s="6" t="inlineStr">
        <is>
          <t>From SNP quote: '1/450 lb. drum'. ~1.0 density solution.</t>
        </is>
      </c>
    </row>
    <row r="8">
      <c r="B8" s="4" t="inlineStr">
        <is>
          <t>Weeks per year</t>
        </is>
      </c>
      <c r="C8" s="5" t="n">
        <v>52</v>
      </c>
    </row>
    <row r="9">
      <c r="B9" s="4" t="inlineStr">
        <is>
          <t>TOTAL demand (drums / week)  &lt;-- KEY INPUT</t>
        </is>
      </c>
      <c r="C9" s="7" t="n">
        <v>1</v>
      </c>
      <c r="E9" s="6" t="inlineStr">
        <is>
          <t>DISCREPANCY: Notion RFQ says ~4 drums/wk (220 gal). Recent APV framing says ~1 drum/wk (55 gal) TOTAL. Flip this to test both.</t>
        </is>
      </c>
    </row>
    <row r="10">
      <c r="B10" s="4" t="inlineStr">
        <is>
          <t>SNP price ($/lb)</t>
        </is>
      </c>
      <c r="C10" s="8" t="n">
        <v>0.75</v>
      </c>
      <c r="E10" s="6" t="inlineStr">
        <is>
          <t>From SNP Estimate 012726-1, item 5TT-11A.</t>
        </is>
      </c>
    </row>
    <row r="11">
      <c r="B11" s="4" t="inlineStr">
        <is>
          <t>SNP price per drum ($)</t>
        </is>
      </c>
      <c r="C11" s="9">
        <f>SNPlb*DrumLb</f>
        <v/>
      </c>
      <c r="E11" s="6">
        <f> $/lb x drum lb</f>
        <v/>
      </c>
    </row>
    <row r="12">
      <c r="B12" s="4" t="inlineStr">
        <is>
          <t>Total drums per year</t>
        </is>
      </c>
      <c r="C12" s="10">
        <f>DrumsWk*WeeksYr</f>
        <v/>
      </c>
    </row>
    <row r="13">
      <c r="B13" s="4" t="inlineStr">
        <is>
          <t>Total gallons per year</t>
        </is>
      </c>
      <c r="C13" s="11">
        <f>DrumsYr*DrumGal</f>
        <v/>
      </c>
    </row>
    <row r="14">
      <c r="B14" s="4" t="inlineStr">
        <is>
          <t>CURRENT all-SNP annual spend ($)</t>
        </is>
      </c>
      <c r="C14" s="9">
        <f>DrumsYr*SNPdrum</f>
        <v/>
      </c>
      <c r="E14" s="6" t="inlineStr">
        <is>
          <t>Baseline: 100% to SNP.</t>
        </is>
      </c>
    </row>
    <row r="16">
      <c r="B16" s="3" t="inlineStr">
        <is>
          <t>2) APV / SECOND-SOURCE PRICE ASSUMPTIONS (placeholders until real quote)</t>
        </is>
      </c>
      <c r="C16" s="3" t="n"/>
      <c r="D16" s="3" t="n"/>
    </row>
    <row r="17">
      <c r="B17" s="4" t="inlineStr">
        <is>
          <t>APV minimum batch (gallons)</t>
        </is>
      </c>
      <c r="C17" s="5" t="n">
        <v>100</v>
      </c>
      <c r="E17" s="6" t="inlineStr">
        <is>
          <t>APV Engineered Coatings advertises 100-8,700 gal batches. A single 55-gal drum is BELOW min -&gt; order in 2-drum (110 gal) runs to be efficient.</t>
        </is>
      </c>
    </row>
    <row r="18">
      <c r="B18" s="4" t="inlineStr">
        <is>
          <t>APV price/drum - LOW (best case)</t>
        </is>
      </c>
      <c r="C18" s="12">
        <f>SNPdrum</f>
        <v/>
      </c>
      <c r="E18" s="6" t="inlineStr">
        <is>
          <t>Parity with SNP. Unlikely at low volume; optimistic floor.</t>
        </is>
      </c>
    </row>
    <row r="19">
      <c r="B19" s="4" t="inlineStr">
        <is>
          <t>APV price/drum - LIKELY</t>
        </is>
      </c>
      <c r="C19" s="12">
        <f>ROUND(SNPdrum*1.5,2)</f>
        <v/>
      </c>
      <c r="E19" s="6" t="inlineStr">
        <is>
          <t>+50% small-batch premium. ADJUST when APV quotes.</t>
        </is>
      </c>
    </row>
    <row r="20">
      <c r="B20" s="4" t="inlineStr">
        <is>
          <t>APV price/drum - HIGH (single-drum penalty)</t>
        </is>
      </c>
      <c r="C20" s="12">
        <f>ROUND(SNPdrum*2,2)</f>
        <v/>
      </c>
      <c r="E20" s="6" t="inlineStr">
        <is>
          <t>+100%: pays for ~100-gal min batch to make one drum.</t>
        </is>
      </c>
    </row>
    <row r="22">
      <c r="B22" s="3" t="inlineStr">
        <is>
          <t>3) SNP RE-PRICING RISK (if SNP loses volume to a 2nd source)</t>
        </is>
      </c>
      <c r="C22" s="3" t="n"/>
      <c r="D22" s="3" t="n"/>
    </row>
    <row r="23">
      <c r="B23" s="4" t="inlineStr">
        <is>
          <t>SNP surcharge if volume reduced (%)</t>
        </is>
      </c>
      <c r="C23" s="13" t="n">
        <v>0</v>
      </c>
      <c r="E23" s="6" t="inlineStr">
        <is>
          <t>Set e.g. 10% to test: does SNP raise the rate on remaining drums once they lose the full account? Used in scenarios.</t>
        </is>
      </c>
    </row>
    <row r="25">
      <c r="B25" s="14" t="inlineStr">
        <is>
          <t>HOW TO USE:</t>
        </is>
      </c>
    </row>
    <row r="26">
      <c r="B26" s="6" t="inlineStr">
        <is>
          <t xml:space="preserve">  - Tab 'Split Scenarios': compare giving APV 0/10/20/25/33/50% of volume at the LIKELY price.</t>
        </is>
      </c>
    </row>
    <row r="27">
      <c r="B27" s="6" t="inlineStr">
        <is>
          <t xml:space="preserve">  - Tab 'APV Price Sensitivity': how total cost moves with APV's real quote x the split.</t>
        </is>
      </c>
    </row>
    <row r="28">
      <c r="B28" s="6" t="inlineStr">
        <is>
          <t xml:space="preserve">  - Tab 'SNP Re-pricing Risk': the breakeven - how big an SNP surcharge erases the value of a 2nd source.</t>
        </is>
      </c>
    </row>
    <row r="29">
      <c r="B29" s="6" t="inlineStr">
        <is>
          <t xml:space="preserve">  - Tab 'Supplier Capacity': who is big/small and whether a single-drum account fits them.</t>
        </is>
      </c>
    </row>
    <row r="30">
      <c r="B30" s="6" t="inlineStr">
        <is>
          <t>DECIDED: fixed split ~20-25% to APV (~quote per drum, recurring rotation). Highlighted in Split Scenarios.</t>
        </is>
      </c>
    </row>
    <row r="31">
      <c r="B31" s="6" t="inlineStr">
        <is>
          <t>REMEMBER: real viscosity target is still pending from SNP CoA history - APV cannot finalize a firm quote without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  <col width="9" customWidth="1" min="10" max="10"/>
  </cols>
  <sheetData>
    <row r="1">
      <c r="A1" s="1" t="inlineStr">
        <is>
          <t>Volume-Split Scenarios  (APV priced at LIKELY; SNP includes any surcharge from Inputs)</t>
        </is>
      </c>
    </row>
    <row r="2">
      <c r="A2" s="2" t="inlineStr">
        <is>
          <t>Each row = a different share of total annual drums sent to APV (2nd source). SNP keeps the rest.</t>
        </is>
      </c>
    </row>
    <row r="4" ht="30" customHeight="1">
      <c r="A4" s="15" t="inlineStr">
        <is>
          <t>Split % to APV</t>
        </is>
      </c>
      <c r="B4" s="15" t="inlineStr">
        <is>
          <t>APV drums/yr</t>
        </is>
      </c>
      <c r="C4" s="15" t="inlineStr">
        <is>
          <t>SNP drums/yr</t>
        </is>
      </c>
      <c r="D4" s="15" t="inlineStr">
        <is>
          <t>SNP $/drum
(w/ surcharge)</t>
        </is>
      </c>
      <c r="E4" s="15" t="inlineStr">
        <is>
          <t>APV $/drum
(Likely)</t>
        </is>
      </c>
      <c r="F4" s="15" t="inlineStr">
        <is>
          <t>SNP annual $</t>
        </is>
      </c>
      <c r="G4" s="15" t="inlineStr">
        <is>
          <t>APV annual $</t>
        </is>
      </c>
      <c r="H4" s="15" t="inlineStr">
        <is>
          <t>TOTAL annual $</t>
        </is>
      </c>
      <c r="I4" s="15" t="inlineStr">
        <is>
          <t>Δ vs all-SNP $</t>
        </is>
      </c>
      <c r="J4" s="15" t="inlineStr">
        <is>
          <t>Δ %</t>
        </is>
      </c>
    </row>
    <row r="5">
      <c r="A5" s="16" t="n">
        <v>0</v>
      </c>
      <c r="B5" s="17">
        <f>ROUND(DrumsYr*A5,1)</f>
        <v/>
      </c>
      <c r="C5" s="17">
        <f>ROUND(DrumsYr*(1-A5),1)</f>
        <v/>
      </c>
      <c r="D5" s="18">
        <f>IF(A5&gt;0,SNPdrum*(1+SNPsurch),SNPdrum)</f>
        <v/>
      </c>
      <c r="E5" s="18">
        <f>APVlikely</f>
        <v/>
      </c>
      <c r="F5" s="18">
        <f>C5*D5</f>
        <v/>
      </c>
      <c r="G5" s="18">
        <f>B5*E5</f>
        <v/>
      </c>
      <c r="H5" s="18">
        <f>F5+G5</f>
        <v/>
      </c>
      <c r="I5" s="18">
        <f>H5-BaselineSpend</f>
        <v/>
      </c>
      <c r="J5" s="19">
        <f>IF(BaselineSpend=0,0,I5/BaselineSpend)</f>
        <v/>
      </c>
    </row>
    <row r="6">
      <c r="A6" s="16" t="n">
        <v>0.1</v>
      </c>
      <c r="B6" s="17">
        <f>ROUND(DrumsYr*A6,1)</f>
        <v/>
      </c>
      <c r="C6" s="17">
        <f>ROUND(DrumsYr*(1-A6),1)</f>
        <v/>
      </c>
      <c r="D6" s="18">
        <f>IF(A6&gt;0,SNPdrum*(1+SNPsurch),SNPdrum)</f>
        <v/>
      </c>
      <c r="E6" s="18">
        <f>APVlikely</f>
        <v/>
      </c>
      <c r="F6" s="18">
        <f>C6*D6</f>
        <v/>
      </c>
      <c r="G6" s="18">
        <f>B6*E6</f>
        <v/>
      </c>
      <c r="H6" s="18">
        <f>F6+G6</f>
        <v/>
      </c>
      <c r="I6" s="18">
        <f>H6-BaselineSpend</f>
        <v/>
      </c>
      <c r="J6" s="19">
        <f>IF(BaselineSpend=0,0,I6/BaselineSpend)</f>
        <v/>
      </c>
    </row>
    <row r="7">
      <c r="A7" s="20" t="n">
        <v>0.2</v>
      </c>
      <c r="B7" s="21">
        <f>ROUND(DrumsYr*A7,1)</f>
        <v/>
      </c>
      <c r="C7" s="21">
        <f>ROUND(DrumsYr*(1-A7),1)</f>
        <v/>
      </c>
      <c r="D7" s="22">
        <f>IF(A7&gt;0,SNPdrum*(1+SNPsurch),SNPdrum)</f>
        <v/>
      </c>
      <c r="E7" s="22">
        <f>APVlikely</f>
        <v/>
      </c>
      <c r="F7" s="22">
        <f>C7*D7</f>
        <v/>
      </c>
      <c r="G7" s="22">
        <f>B7*E7</f>
        <v/>
      </c>
      <c r="H7" s="22">
        <f>F7+G7</f>
        <v/>
      </c>
      <c r="I7" s="22">
        <f>H7-BaselineSpend</f>
        <v/>
      </c>
      <c r="J7" s="23">
        <f>IF(BaselineSpend=0,0,I7/BaselineSpend)</f>
        <v/>
      </c>
    </row>
    <row r="8">
      <c r="A8" s="20" t="n">
        <v>0.25</v>
      </c>
      <c r="B8" s="21">
        <f>ROUND(DrumsYr*A8,1)</f>
        <v/>
      </c>
      <c r="C8" s="21">
        <f>ROUND(DrumsYr*(1-A8),1)</f>
        <v/>
      </c>
      <c r="D8" s="22">
        <f>IF(A8&gt;0,SNPdrum*(1+SNPsurch),SNPdrum)</f>
        <v/>
      </c>
      <c r="E8" s="22">
        <f>APVlikely</f>
        <v/>
      </c>
      <c r="F8" s="22">
        <f>C8*D8</f>
        <v/>
      </c>
      <c r="G8" s="22">
        <f>B8*E8</f>
        <v/>
      </c>
      <c r="H8" s="22">
        <f>F8+G8</f>
        <v/>
      </c>
      <c r="I8" s="22">
        <f>H8-BaselineSpend</f>
        <v/>
      </c>
      <c r="J8" s="23">
        <f>IF(BaselineSpend=0,0,I8/BaselineSpend)</f>
        <v/>
      </c>
    </row>
    <row r="9">
      <c r="A9" s="16" t="n">
        <v>0.33</v>
      </c>
      <c r="B9" s="17">
        <f>ROUND(DrumsYr*A9,1)</f>
        <v/>
      </c>
      <c r="C9" s="17">
        <f>ROUND(DrumsYr*(1-A9),1)</f>
        <v/>
      </c>
      <c r="D9" s="18">
        <f>IF(A9&gt;0,SNPdrum*(1+SNPsurch),SNPdrum)</f>
        <v/>
      </c>
      <c r="E9" s="18">
        <f>APVlikely</f>
        <v/>
      </c>
      <c r="F9" s="18">
        <f>C9*D9</f>
        <v/>
      </c>
      <c r="G9" s="18">
        <f>B9*E9</f>
        <v/>
      </c>
      <c r="H9" s="18">
        <f>F9+G9</f>
        <v/>
      </c>
      <c r="I9" s="18">
        <f>H9-BaselineSpend</f>
        <v/>
      </c>
      <c r="J9" s="19">
        <f>IF(BaselineSpend=0,0,I9/BaselineSpend)</f>
        <v/>
      </c>
    </row>
    <row r="10">
      <c r="A10" s="16" t="n">
        <v>0.5</v>
      </c>
      <c r="B10" s="17">
        <f>ROUND(DrumsYr*A10,1)</f>
        <v/>
      </c>
      <c r="C10" s="17">
        <f>ROUND(DrumsYr*(1-A10),1)</f>
        <v/>
      </c>
      <c r="D10" s="18">
        <f>IF(A10&gt;0,SNPdrum*(1+SNPsurch),SNPdrum)</f>
        <v/>
      </c>
      <c r="E10" s="18">
        <f>APVlikely</f>
        <v/>
      </c>
      <c r="F10" s="18">
        <f>C10*D10</f>
        <v/>
      </c>
      <c r="G10" s="18">
        <f>B10*E10</f>
        <v/>
      </c>
      <c r="H10" s="18">
        <f>F10+G10</f>
        <v/>
      </c>
      <c r="I10" s="18">
        <f>H10-BaselineSpend</f>
        <v/>
      </c>
      <c r="J10" s="19">
        <f>IF(BaselineSpend=0,0,I10/BaselineSpend)</f>
        <v/>
      </c>
    </row>
    <row r="12">
      <c r="A12" s="2" t="inlineStr">
        <is>
          <t>Highlighted rows (20% / 25%) = the decided fixed-split range. 'Δ vs all-SNP' is the annual cost of redundancy.</t>
        </is>
      </c>
    </row>
  </sheetData>
  <mergeCells count="3">
    <mergeCell ref="A1:J1"/>
    <mergeCell ref="A12:J12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APV Price Sensitivity — TOTAL annual cost ($)</t>
        </is>
      </c>
    </row>
    <row r="2">
      <c r="A2" s="2" t="inlineStr">
        <is>
          <t>Rows = APV's actual price per drum (fill in once they quote). Cols = % of volume to APV. SNP at base (no surcharge here).</t>
        </is>
      </c>
    </row>
    <row r="4">
      <c r="A4" s="24" t="inlineStr">
        <is>
          <t>APV $/drum  ↓   Split →</t>
        </is>
      </c>
      <c r="B4" s="25" t="n">
        <v>0.1</v>
      </c>
      <c r="C4" s="25" t="n">
        <v>0.2</v>
      </c>
      <c r="D4" s="25" t="n">
        <v>0.25</v>
      </c>
      <c r="E4" s="25" t="n">
        <v>0.33</v>
      </c>
      <c r="F4" s="25" t="n">
        <v>0.5</v>
      </c>
    </row>
    <row r="5">
      <c r="A5" s="12" t="n">
        <v>337.5</v>
      </c>
      <c r="B5" s="18">
        <f>DrumsYr*(1-0.1)*SNPdrum + DrumsYr*0.1*$A5</f>
        <v/>
      </c>
      <c r="C5" s="18">
        <f>DrumsYr*(1-0.2)*SNPdrum + DrumsYr*0.2*$A5</f>
        <v/>
      </c>
      <c r="D5" s="18">
        <f>DrumsYr*(1-0.25)*SNPdrum + DrumsYr*0.25*$A5</f>
        <v/>
      </c>
      <c r="E5" s="18">
        <f>DrumsYr*(1-0.33)*SNPdrum + DrumsYr*0.33*$A5</f>
        <v/>
      </c>
      <c r="F5" s="18">
        <f>DrumsYr*(1-0.5)*SNPdrum + DrumsYr*0.5*$A5</f>
        <v/>
      </c>
    </row>
    <row r="6">
      <c r="A6" s="12" t="n">
        <v>400</v>
      </c>
      <c r="B6" s="18">
        <f>DrumsYr*(1-0.1)*SNPdrum + DrumsYr*0.1*$A6</f>
        <v/>
      </c>
      <c r="C6" s="18">
        <f>DrumsYr*(1-0.2)*SNPdrum + DrumsYr*0.2*$A6</f>
        <v/>
      </c>
      <c r="D6" s="18">
        <f>DrumsYr*(1-0.25)*SNPdrum + DrumsYr*0.25*$A6</f>
        <v/>
      </c>
      <c r="E6" s="18">
        <f>DrumsYr*(1-0.33)*SNPdrum + DrumsYr*0.33*$A6</f>
        <v/>
      </c>
      <c r="F6" s="18">
        <f>DrumsYr*(1-0.5)*SNPdrum + DrumsYr*0.5*$A6</f>
        <v/>
      </c>
    </row>
    <row r="7">
      <c r="A7" s="12" t="n">
        <v>450</v>
      </c>
      <c r="B7" s="18">
        <f>DrumsYr*(1-0.1)*SNPdrum + DrumsYr*0.1*$A7</f>
        <v/>
      </c>
      <c r="C7" s="18">
        <f>DrumsYr*(1-0.2)*SNPdrum + DrumsYr*0.2*$A7</f>
        <v/>
      </c>
      <c r="D7" s="18">
        <f>DrumsYr*(1-0.25)*SNPdrum + DrumsYr*0.25*$A7</f>
        <v/>
      </c>
      <c r="E7" s="18">
        <f>DrumsYr*(1-0.33)*SNPdrum + DrumsYr*0.33*$A7</f>
        <v/>
      </c>
      <c r="F7" s="18">
        <f>DrumsYr*(1-0.5)*SNPdrum + DrumsYr*0.5*$A7</f>
        <v/>
      </c>
    </row>
    <row r="8">
      <c r="A8" s="12" t="n">
        <v>506.25</v>
      </c>
      <c r="B8" s="18">
        <f>DrumsYr*(1-0.1)*SNPdrum + DrumsYr*0.1*$A8</f>
        <v/>
      </c>
      <c r="C8" s="18">
        <f>DrumsYr*(1-0.2)*SNPdrum + DrumsYr*0.2*$A8</f>
        <v/>
      </c>
      <c r="D8" s="18">
        <f>DrumsYr*(1-0.25)*SNPdrum + DrumsYr*0.25*$A8</f>
        <v/>
      </c>
      <c r="E8" s="18">
        <f>DrumsYr*(1-0.33)*SNPdrum + DrumsYr*0.33*$A8</f>
        <v/>
      </c>
      <c r="F8" s="18">
        <f>DrumsYr*(1-0.5)*SNPdrum + DrumsYr*0.5*$A8</f>
        <v/>
      </c>
    </row>
    <row r="9">
      <c r="A9" s="12" t="n">
        <v>600</v>
      </c>
      <c r="B9" s="18">
        <f>DrumsYr*(1-0.1)*SNPdrum + DrumsYr*0.1*$A9</f>
        <v/>
      </c>
      <c r="C9" s="18">
        <f>DrumsYr*(1-0.2)*SNPdrum + DrumsYr*0.2*$A9</f>
        <v/>
      </c>
      <c r="D9" s="18">
        <f>DrumsYr*(1-0.25)*SNPdrum + DrumsYr*0.25*$A9</f>
        <v/>
      </c>
      <c r="E9" s="18">
        <f>DrumsYr*(1-0.33)*SNPdrum + DrumsYr*0.33*$A9</f>
        <v/>
      </c>
      <c r="F9" s="18">
        <f>DrumsYr*(1-0.5)*SNPdrum + DrumsYr*0.5*$A9</f>
        <v/>
      </c>
    </row>
    <row r="10">
      <c r="A10" s="12" t="n">
        <v>675</v>
      </c>
      <c r="B10" s="18">
        <f>DrumsYr*(1-0.1)*SNPdrum + DrumsYr*0.1*$A10</f>
        <v/>
      </c>
      <c r="C10" s="18">
        <f>DrumsYr*(1-0.2)*SNPdrum + DrumsYr*0.2*$A10</f>
        <v/>
      </c>
      <c r="D10" s="18">
        <f>DrumsYr*(1-0.25)*SNPdrum + DrumsYr*0.25*$A10</f>
        <v/>
      </c>
      <c r="E10" s="18">
        <f>DrumsYr*(1-0.33)*SNPdrum + DrumsYr*0.33*$A10</f>
        <v/>
      </c>
      <c r="F10" s="18">
        <f>DrumsYr*(1-0.5)*SNPdrum + DrumsYr*0.5*$A10</f>
        <v/>
      </c>
    </row>
    <row r="11">
      <c r="A11" s="12" t="n">
        <v>750</v>
      </c>
      <c r="B11" s="18">
        <f>DrumsYr*(1-0.1)*SNPdrum + DrumsYr*0.1*$A11</f>
        <v/>
      </c>
      <c r="C11" s="18">
        <f>DrumsYr*(1-0.2)*SNPdrum + DrumsYr*0.2*$A11</f>
        <v/>
      </c>
      <c r="D11" s="18">
        <f>DrumsYr*(1-0.25)*SNPdrum + DrumsYr*0.25*$A11</f>
        <v/>
      </c>
      <c r="E11" s="18">
        <f>DrumsYr*(1-0.33)*SNPdrum + DrumsYr*0.33*$A11</f>
        <v/>
      </c>
      <c r="F11" s="18">
        <f>DrumsYr*(1-0.5)*SNPdrum + DrumsYr*0.5*$A11</f>
        <v/>
      </c>
    </row>
    <row r="13">
      <c r="A13" s="26" t="inlineStr">
        <is>
          <t>Baseline all-SNP for reference:</t>
        </is>
      </c>
      <c r="C13" s="27">
        <f>BaselineSpend</f>
        <v/>
      </c>
    </row>
    <row r="14">
      <c r="A14" s="2" t="inlineStr">
        <is>
          <t>Yellow column = type APV's real per-drum quote here to read total cost across splits.</t>
        </is>
      </c>
    </row>
  </sheetData>
  <mergeCells count="3">
    <mergeCell ref="A14:F1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30" customWidth="1" min="7" max="7"/>
  </cols>
  <sheetData>
    <row r="1">
      <c r="A1" s="1" t="inlineStr">
        <is>
          <t>SNP Re-pricing Risk — what if SNP raises its rate after losing volume?</t>
        </is>
      </c>
    </row>
    <row r="2">
      <c r="A2" s="2" t="inlineStr">
        <is>
          <t>Scenario: 25% to APV at LIKELY price; SNP applies a surcharge on its remaining 75%. Shows when a 2nd source turns net-negative.</t>
        </is>
      </c>
    </row>
    <row r="4" ht="28" customHeight="1">
      <c r="A4" s="15" t="inlineStr">
        <is>
          <t>SNP surcharge %</t>
        </is>
      </c>
      <c r="B4" s="15" t="inlineStr">
        <is>
          <t>SNP $/drum</t>
        </is>
      </c>
      <c r="C4" s="15" t="inlineStr">
        <is>
          <t>SNP annual (75%)</t>
        </is>
      </c>
      <c r="D4" s="15" t="inlineStr">
        <is>
          <t>APV annual (25%)</t>
        </is>
      </c>
      <c r="E4" s="15" t="inlineStr">
        <is>
          <t>TOTAL annual</t>
        </is>
      </c>
      <c r="F4" s="15" t="inlineStr">
        <is>
          <t>Δ vs all-SNP</t>
        </is>
      </c>
      <c r="G4" s="15" t="inlineStr">
        <is>
          <t>Verdict</t>
        </is>
      </c>
    </row>
    <row r="5">
      <c r="A5" s="16" t="n">
        <v>0</v>
      </c>
      <c r="B5" s="18">
        <f>SNPdrum*(1+A5)</f>
        <v/>
      </c>
      <c r="C5" s="18">
        <f>DrumsYr*(1-0.25)*B5</f>
        <v/>
      </c>
      <c r="D5" s="18">
        <f>DrumsYr*0.25*APVlikely</f>
        <v/>
      </c>
      <c r="E5" s="18">
        <f>C5+D5</f>
        <v/>
      </c>
      <c r="F5" s="18">
        <f>E5-BaselineSpend</f>
        <v/>
      </c>
      <c r="G5" s="28">
        <f>IF(F5&lt;=0,"Cheaper than baseline","Premium for redundancy: "&amp;TEXT(F5,"$#,##0"))</f>
        <v/>
      </c>
    </row>
    <row r="6">
      <c r="A6" s="16" t="n">
        <v>0.05</v>
      </c>
      <c r="B6" s="18">
        <f>SNPdrum*(1+A6)</f>
        <v/>
      </c>
      <c r="C6" s="18">
        <f>DrumsYr*(1-0.25)*B6</f>
        <v/>
      </c>
      <c r="D6" s="18">
        <f>DrumsYr*0.25*APVlikely</f>
        <v/>
      </c>
      <c r="E6" s="18">
        <f>C6+D6</f>
        <v/>
      </c>
      <c r="F6" s="18">
        <f>E6-BaselineSpend</f>
        <v/>
      </c>
      <c r="G6" s="28">
        <f>IF(F6&lt;=0,"Cheaper than baseline","Premium for redundancy: "&amp;TEXT(F6,"$#,##0"))</f>
        <v/>
      </c>
    </row>
    <row r="7">
      <c r="A7" s="16" t="n">
        <v>0.1</v>
      </c>
      <c r="B7" s="18">
        <f>SNPdrum*(1+A7)</f>
        <v/>
      </c>
      <c r="C7" s="18">
        <f>DrumsYr*(1-0.25)*B7</f>
        <v/>
      </c>
      <c r="D7" s="18">
        <f>DrumsYr*0.25*APVlikely</f>
        <v/>
      </c>
      <c r="E7" s="18">
        <f>C7+D7</f>
        <v/>
      </c>
      <c r="F7" s="18">
        <f>E7-BaselineSpend</f>
        <v/>
      </c>
      <c r="G7" s="28">
        <f>IF(F7&lt;=0,"Cheaper than baseline","Premium for redundancy: "&amp;TEXT(F7,"$#,##0"))</f>
        <v/>
      </c>
    </row>
    <row r="8">
      <c r="A8" s="16" t="n">
        <v>0.15</v>
      </c>
      <c r="B8" s="18">
        <f>SNPdrum*(1+A8)</f>
        <v/>
      </c>
      <c r="C8" s="18">
        <f>DrumsYr*(1-0.25)*B8</f>
        <v/>
      </c>
      <c r="D8" s="18">
        <f>DrumsYr*0.25*APVlikely</f>
        <v/>
      </c>
      <c r="E8" s="18">
        <f>C8+D8</f>
        <v/>
      </c>
      <c r="F8" s="18">
        <f>E8-BaselineSpend</f>
        <v/>
      </c>
      <c r="G8" s="28">
        <f>IF(F8&lt;=0,"Cheaper than baseline","Premium for redundancy: "&amp;TEXT(F8,"$#,##0"))</f>
        <v/>
      </c>
    </row>
    <row r="9">
      <c r="A9" s="16" t="n">
        <v>0.2</v>
      </c>
      <c r="B9" s="18">
        <f>SNPdrum*(1+A9)</f>
        <v/>
      </c>
      <c r="C9" s="18">
        <f>DrumsYr*(1-0.25)*B9</f>
        <v/>
      </c>
      <c r="D9" s="18">
        <f>DrumsYr*0.25*APVlikely</f>
        <v/>
      </c>
      <c r="E9" s="18">
        <f>C9+D9</f>
        <v/>
      </c>
      <c r="F9" s="18">
        <f>E9-BaselineSpend</f>
        <v/>
      </c>
      <c r="G9" s="28">
        <f>IF(F9&lt;=0,"Cheaper than baseline","Premium for redundancy: "&amp;TEXT(F9,"$#,##0"))</f>
        <v/>
      </c>
    </row>
    <row r="10">
      <c r="A10" s="16" t="n">
        <v>0.25</v>
      </c>
      <c r="B10" s="18">
        <f>SNPdrum*(1+A10)</f>
        <v/>
      </c>
      <c r="C10" s="18">
        <f>DrumsYr*(1-0.25)*B10</f>
        <v/>
      </c>
      <c r="D10" s="18">
        <f>DrumsYr*0.25*APVlikely</f>
        <v/>
      </c>
      <c r="E10" s="18">
        <f>C10+D10</f>
        <v/>
      </c>
      <c r="F10" s="18">
        <f>E10-BaselineSpend</f>
        <v/>
      </c>
      <c r="G10" s="28">
        <f>IF(F10&lt;=0,"Cheaper than baseline","Premium for redundancy: "&amp;TEXT(F10,"$#,##0"))</f>
        <v/>
      </c>
    </row>
    <row r="12">
      <c r="A12" s="2" t="inlineStr">
        <is>
          <t>Read: the redundancy 'premium' = APV's higher price + any SNP surcharge. This quantifies the insurance cost of a 2nd source.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52" customWidth="1" min="8" max="8"/>
  </cols>
  <sheetData>
    <row r="1">
      <c r="A1" s="1" t="inlineStr">
        <is>
          <t>Supplier Size &amp; Small-Account Fit</t>
        </is>
      </c>
    </row>
    <row r="2">
      <c r="A2" s="2" t="inlineStr">
        <is>
          <t>Will a tiny (~$5k-$35k/yr), intermittent single-drum account be attractive? Sizes are rough public estimates.</t>
        </is>
      </c>
    </row>
    <row r="4" ht="30" customHeight="1">
      <c r="A4" s="15" t="inlineStr">
        <is>
          <t>Supplier</t>
        </is>
      </c>
      <c r="B4" s="15" t="inlineStr">
        <is>
          <t>Type</t>
        </is>
      </c>
      <c r="C4" s="15" t="inlineStr">
        <is>
          <t>Location</t>
        </is>
      </c>
      <c r="D4" s="15" t="inlineStr">
        <is>
          <t>Est. size</t>
        </is>
      </c>
      <c r="E4" s="15" t="inlineStr">
        <is>
          <t>Min batch</t>
        </is>
      </c>
      <c r="F4" s="15" t="inlineStr">
        <is>
          <t>Meets single-drum order?</t>
        </is>
      </c>
      <c r="G4" s="15" t="inlineStr">
        <is>
          <t>Small-acct fit</t>
        </is>
      </c>
      <c r="H4" s="15" t="inlineStr">
        <is>
          <t>Notes</t>
        </is>
      </c>
    </row>
    <row r="5">
      <c r="A5" s="28" t="inlineStr">
        <is>
          <t>SNP (incumbent)</t>
        </is>
      </c>
      <c r="B5" s="28" t="inlineStr">
        <is>
          <t>Specialty chem / PVA maker</t>
        </is>
      </c>
      <c r="C5" s="28" t="inlineStr">
        <is>
          <t>Durham, NC</t>
        </is>
      </c>
      <c r="D5" s="28" t="inlineStr">
        <is>
          <t>~$4M, ~small</t>
        </is>
      </c>
      <c r="E5" s="28" t="inlineStr">
        <is>
          <t>n/a (incumbent)</t>
        </is>
      </c>
      <c r="F5" s="28" t="inlineStr">
        <is>
          <t>Yes</t>
        </is>
      </c>
      <c r="G5" s="29" t="inlineStr">
        <is>
          <t>Good</t>
        </is>
      </c>
      <c r="H5" s="28" t="inlineStr">
        <is>
          <t>PVA + alginates are core products; already your supplier. Best natural fit; main risk is small-vendor continuity.</t>
        </is>
      </c>
    </row>
    <row r="6">
      <c r="A6" s="28" t="inlineStr">
        <is>
          <t>APV Engineered Coatings</t>
        </is>
      </c>
      <c r="B6" s="28" t="inlineStr">
        <is>
          <t>Coatings maker + contract mfg</t>
        </is>
      </c>
      <c r="C6" s="28" t="inlineStr">
        <is>
          <t>Akron, OH</t>
        </is>
      </c>
      <c r="D6" s="28" t="inlineStr">
        <is>
          <t>~$28M, ~50-200 emp</t>
        </is>
      </c>
      <c r="E6" s="28" t="inlineStr">
        <is>
          <t>100 gal (~2 drums)</t>
        </is>
      </c>
      <c r="F6" s="28" t="inlineStr">
        <is>
          <t>Below min for 1 drum; order 2-drum runs</t>
        </is>
      </c>
      <c r="G6" s="30" t="inlineStr">
        <is>
          <t>Neutral / verify</t>
        </is>
      </c>
      <c r="H6" s="28" t="inlineStr">
        <is>
          <t>Confirmed 95C heating (gate cleared). 100-gal min batch + own product lines -&gt; may price single drums at a premium. STRONGEST new lead on capability.</t>
        </is>
      </c>
    </row>
    <row r="7">
      <c r="A7" s="28" t="inlineStr">
        <is>
          <t>ArroChem</t>
        </is>
      </c>
      <c r="B7" s="28" t="inlineStr">
        <is>
          <t>Family toll blender</t>
        </is>
      </c>
      <c r="C7" s="28" t="inlineStr">
        <is>
          <t>Mt Holly, NC</t>
        </is>
      </c>
      <c r="D7" s="28" t="inlineStr">
        <is>
          <t>family-owned, 1 site</t>
        </is>
      </c>
      <c r="E7" s="28" t="inlineStr">
        <is>
          <t>55 gal (1 drum)</t>
        </is>
      </c>
      <c r="F7" s="28" t="inlineStr">
        <is>
          <t>Yes - exact match</t>
        </is>
      </c>
      <c r="G7" s="29" t="inlineStr">
        <is>
          <t>Good (capability TBD)</t>
        </is>
      </c>
      <c r="H7" s="28" t="inlineStr">
        <is>
          <t>Advertised 55-5,000 gal batches = single drum is their floor. BUT failed trial: could not reach 95C. Re-confirm heating before relying on them.</t>
        </is>
      </c>
    </row>
    <row r="8">
      <c r="A8" s="28" t="inlineStr">
        <is>
          <t>Carolina Solvents</t>
        </is>
      </c>
      <c r="B8" s="28" t="inlineStr">
        <is>
          <t>Small solvent/coating shop</t>
        </is>
      </c>
      <c r="C8" s="28" t="inlineStr">
        <is>
          <t>Hickory, NC</t>
        </is>
      </c>
      <c r="D8" s="28" t="inlineStr">
        <is>
          <t>&lt;$5M, &lt;25 emp</t>
        </is>
      </c>
      <c r="E8" s="28" t="inlineStr">
        <is>
          <t>unknown (small)</t>
        </is>
      </c>
      <c r="F8" s="28" t="inlineStr">
        <is>
          <t>Likely yes</t>
        </is>
      </c>
      <c r="G8" s="29" t="inlineStr">
        <is>
          <t>Good / verify process</t>
        </is>
      </c>
      <c r="H8" s="28" t="inlineStr">
        <is>
          <t>Smallest -&gt; would value the account. Solvent/ambient focus; CONFIRM heated aqueous 95C capability. Not yet contacted.</t>
        </is>
      </c>
    </row>
    <row r="9">
      <c r="A9" s="28" t="inlineStr">
        <is>
          <t>Piedmont Chemical</t>
        </is>
      </c>
      <c r="B9" s="28" t="inlineStr">
        <is>
          <t>Custom synthesis/polymer</t>
        </is>
      </c>
      <c r="C9" s="28" t="inlineStr">
        <is>
          <t>High Point, NC</t>
        </is>
      </c>
      <c r="D9" s="28" t="inlineStr">
        <is>
          <t>~$35M, ~64-180 emp</t>
        </is>
      </c>
      <c r="E9" s="28" t="inlineStr">
        <is>
          <t>unknown (larger)</t>
        </is>
      </c>
      <c r="F9" s="28" t="inlineStr">
        <is>
          <t>Probably below their sweet spot</t>
        </is>
      </c>
      <c r="G9" s="30" t="inlineStr">
        <is>
          <t>Caution / lean too big</t>
        </is>
      </c>
      <c r="H9" s="28" t="inlineStr">
        <is>
          <t>Synthesis orientation wants bigger campaigns; a single-drum blend likely under-prioritized or premium-priced.</t>
        </is>
      </c>
    </row>
    <row r="10">
      <c r="A10" s="28" t="inlineStr">
        <is>
          <t>ILC Dover</t>
        </is>
      </c>
      <c r="B10" s="28" t="inlineStr">
        <is>
          <t>Pharma/aerospace (Ingersoll Rand)</t>
        </is>
      </c>
      <c r="C10" s="28" t="inlineStr">
        <is>
          <t>Frederica, DE</t>
        </is>
      </c>
      <c r="D10" s="28" t="inlineStr">
        <is>
          <t>$80M-$450M, ~2,100 emp</t>
        </is>
      </c>
      <c r="E10" s="28" t="inlineStr">
        <is>
          <t>n/a - equipment/services</t>
        </is>
      </c>
      <c r="F10" s="28" t="inlineStr">
        <is>
          <t>No - wrong category</t>
        </is>
      </c>
      <c r="G10" s="31" t="inlineStr">
        <is>
          <t>Too big / wrong type</t>
        </is>
      </c>
      <c r="H10" s="28" t="inlineStr">
        <is>
          <t>Could NOT reach 95C and is an equipment/containment firm, not a drum toll blender. Recommend deprioritize/close out.</t>
        </is>
      </c>
    </row>
    <row r="12">
      <c r="A12" s="3" t="inlineStr">
        <is>
          <t>RESIN SUPPLIERS &amp; DISTRIBUTORS (raw PVA, not toll-blended solution)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28" t="inlineStr">
        <is>
          <t>Brenntag</t>
        </is>
      </c>
      <c r="B13" s="28" t="inlineStr">
        <is>
          <t>World's largest chem distributor</t>
        </is>
      </c>
      <c r="C13" s="28" t="inlineStr">
        <is>
          <t>Essen, DE / US-wide</t>
        </is>
      </c>
      <c r="D13" s="28" t="inlineStr">
        <is>
          <t>~EUR15B, ~17k emp</t>
        </is>
      </c>
      <c r="E13" s="28" t="inlineStr">
        <is>
          <t>single drums (core)</t>
        </is>
      </c>
      <c r="F13" s="28" t="inlineStr">
        <is>
          <t>Yes</t>
        </is>
      </c>
      <c r="G13" s="30" t="inlineStr">
        <is>
          <t>Neutral (serve, no VIP)</t>
        </is>
      </c>
      <c r="H13" s="28" t="inlineStr">
        <is>
          <t>Already lists Sekisui Selvol PVA -&gt; easiest source of genuine resin in drums. You'll be a small/transactional account; possible small-order premium.</t>
        </is>
      </c>
    </row>
    <row r="14">
      <c r="A14" s="28" t="inlineStr">
        <is>
          <t>Tilley Distribution</t>
        </is>
      </c>
      <c r="B14" s="28" t="inlineStr">
        <is>
          <t>Regional specialty distributor (PE-backed)</t>
        </is>
      </c>
      <c r="C14" s="28" t="inlineStr">
        <is>
          <t>Baltimore, MD</t>
        </is>
      </c>
      <c r="D14" s="28" t="inlineStr">
        <is>
          <t>~$40M, ~120-180 emp</t>
        </is>
      </c>
      <c r="E14" s="28" t="inlineStr">
        <is>
          <t>drums/small lots</t>
        </is>
      </c>
      <c r="F14" s="28" t="inlineStr">
        <is>
          <t>Yes</t>
        </is>
      </c>
      <c r="G14" s="29" t="inlineStr">
        <is>
          <t>Good (best relationship fit)</t>
        </is>
      </c>
      <c r="H14" s="28" t="inlineStr">
        <is>
          <t>$25k account is meaningful to them; relationship-oriented. OPEN: confirm they actually source a PVA brand. Was already flagged as slow/maybe can't meet.</t>
        </is>
      </c>
    </row>
    <row r="15">
      <c r="A15" s="28" t="inlineStr">
        <is>
          <t>Palmer Holland</t>
        </is>
      </c>
      <c r="B15" s="28" t="inlineStr">
        <is>
          <t>Mid-size NA distributor (ESOP)</t>
        </is>
      </c>
      <c r="C15" s="28" t="inlineStr">
        <is>
          <t>Westlake, OH</t>
        </is>
      </c>
      <c r="D15" s="28" t="inlineStr">
        <is>
          <t>~250 emp, national</t>
        </is>
      </c>
      <c r="E15" s="28" t="inlineStr">
        <is>
          <t>drums/specialty lots</t>
        </is>
      </c>
      <c r="F15" s="28" t="inlineStr">
        <is>
          <t>Yes</t>
        </is>
      </c>
      <c r="G15" s="29" t="inlineStr">
        <is>
          <t>Good-Neutral</t>
        </is>
      </c>
      <c r="H15" s="28" t="inlineStr">
        <is>
          <t>Employee-owned, relationship-driven, workable size. OPEN: confirm they carry a PVA principal (unverified).</t>
        </is>
      </c>
    </row>
    <row r="16">
      <c r="A16" s="28" t="inlineStr">
        <is>
          <t>Barentz</t>
        </is>
      </c>
      <c r="B16" s="28" t="inlineStr">
        <is>
          <t>Large global specialty distributor</t>
        </is>
      </c>
      <c r="C16" s="28" t="inlineStr">
        <is>
          <t>Hoofddorp, NL / NA</t>
        </is>
      </c>
      <c r="D16" s="28" t="inlineStr">
        <is>
          <t>~EUR2.4B, ~2,700 emp</t>
        </is>
      </c>
      <c r="E16" s="28" t="inlineStr">
        <is>
          <t>drums (focus skews large)</t>
        </is>
      </c>
      <c r="F16" s="28" t="inlineStr">
        <is>
          <t>Yes</t>
        </is>
      </c>
      <c r="G16" s="31" t="inlineStr">
        <is>
          <t>Likely too big to prioritize</t>
        </is>
      </c>
      <c r="H16" s="28" t="inlineStr">
        <is>
          <t>Lists PVA and can serve, but a tiny industrial-drum account isn't their priority segment.</t>
        </is>
      </c>
    </row>
    <row r="17">
      <c r="A17" s="28" t="inlineStr">
        <is>
          <t>Sekisui Specialty Chem</t>
        </is>
      </c>
      <c r="B17" s="28" t="inlineStr">
        <is>
          <t>PVA PRODUCER (Selvol)</t>
        </is>
      </c>
      <c r="C17" s="28" t="inlineStr">
        <is>
          <t>Dallas, TX</t>
        </is>
      </c>
      <c r="D17" s="28" t="inlineStr">
        <is>
          <t>~$186M US, ~260-400 emp</t>
        </is>
      </c>
      <c r="E17" s="28" t="inlineStr">
        <is>
          <t>bulk; NOT direct</t>
        </is>
      </c>
      <c r="F17" s="28" t="inlineStr">
        <is>
          <t>No (via distributor)</t>
        </is>
      </c>
      <c r="G17" s="31" t="inlineStr">
        <is>
          <t>Too small to buy direct</t>
        </is>
      </c>
      <c r="H17" s="28" t="inlineStr">
        <is>
          <t>It IS Selvol (your reference resin). Won't sell factory-direct at your volume -&gt; routes you to Brenntag etc.</t>
        </is>
      </c>
    </row>
    <row r="18">
      <c r="A18" s="28" t="inlineStr">
        <is>
          <t>Kuraray</t>
        </is>
      </c>
      <c r="B18" s="28" t="inlineStr">
        <is>
          <t>World's largest PVA PRODUCER</t>
        </is>
      </c>
      <c r="C18" s="28" t="inlineStr">
        <is>
          <t>Tokyo / Houston TX</t>
        </is>
      </c>
      <c r="D18" s="28" t="inlineStr">
        <is>
          <t>~$5.4B, ~12k emp</t>
        </is>
      </c>
      <c r="E18" s="28" t="inlineStr">
        <is>
          <t>bulk; NOT direct</t>
        </is>
      </c>
      <c r="F18" s="28" t="inlineStr">
        <is>
          <t>No (via distributor)</t>
        </is>
      </c>
      <c r="G18" s="31" t="inlineStr">
        <is>
          <t>Too small to buy direct</t>
        </is>
      </c>
      <c r="H18" s="28" t="inlineStr">
        <is>
          <t>Poval/Elvanol brand owner. Buy via named distributors: dar-tech (Buffalo NY, closest East Coast) or Associated Agencies.</t>
        </is>
      </c>
    </row>
    <row r="19">
      <c r="A19" s="28" t="inlineStr">
        <is>
          <t>Aldon Corp</t>
        </is>
      </c>
      <c r="B19" s="28" t="inlineStr">
        <is>
          <t>Lab/education chem + contract blender</t>
        </is>
      </c>
      <c r="C19" s="28" t="inlineStr">
        <is>
          <t>Avon, NY</t>
        </is>
      </c>
      <c r="D19" s="28" t="inlineStr">
        <is>
          <t>small, private</t>
        </is>
      </c>
      <c r="E19" s="28" t="inlineStr">
        <is>
          <t>lab bottles, not drums</t>
        </is>
      </c>
      <c r="F19" s="28" t="inlineStr">
        <is>
          <t>No</t>
        </is>
      </c>
      <c r="G19" s="31" t="inlineStr">
        <is>
          <t>Poor / wrong type</t>
        </is>
      </c>
      <c r="H19" s="28" t="inlineStr">
        <is>
          <t>Education &amp; private-label LAB-grade PVA solutions only. Not an industrial drum-resin source. Close out.</t>
        </is>
      </c>
    </row>
    <row r="21">
      <c r="A21" s="6" t="inlineStr">
        <is>
          <t>NOTE: Producers (Sekisui, Kuraray) won't sell direct at this volume -&gt; go through a distributor. Brenntag already stocks Selvol. Distributors supply RAW RESIN; you still need a toll blender (top section) to make the liquid solution.</t>
        </is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2026-06-26T15:18:30Z</dcterms:created>
  <dcterms:modified xsi:type="dcterms:W3CDTF">2026-06-26T15:18:30Z</dcterms:modified>
</cp:coreProperties>
</file>