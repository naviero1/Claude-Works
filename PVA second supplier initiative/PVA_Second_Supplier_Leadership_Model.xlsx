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puts" sheetId="1" state="visible" r:id="rId1"/>
    <sheet xmlns:r="http://schemas.openxmlformats.org/officeDocument/2006/relationships" name="Supplier Quotes" sheetId="2" state="visible" r:id="rId2"/>
    <sheet xmlns:r="http://schemas.openxmlformats.org/officeDocument/2006/relationships" name="PCI Quote Scenarios" sheetId="3" state="visible" r:id="rId3"/>
    <sheet xmlns:r="http://schemas.openxmlformats.org/officeDocument/2006/relationships" name="PCI Experiment" sheetId="4" state="visible" r:id="rId4"/>
    <sheet xmlns:r="http://schemas.openxmlformats.org/officeDocument/2006/relationships" name="5-Year" sheetId="5" state="visible" r:id="rId5"/>
    <sheet xmlns:r="http://schemas.openxmlformats.org/officeDocument/2006/relationships" name="Sensitivity" sheetId="6" state="visible" r:id="rId6"/>
    <sheet xmlns:r="http://schemas.openxmlformats.org/officeDocument/2006/relationships" name="SNP Re-price" sheetId="7" state="visible" r:id="rId7"/>
    <sheet xmlns:r="http://schemas.openxmlformats.org/officeDocument/2006/relationships" name="Break-even" sheetId="8" state="visible" r:id="rId8"/>
    <sheet xmlns:r="http://schemas.openxmlformats.org/officeDocument/2006/relationships" name="Options" sheetId="9" state="visible" r:id="rId9"/>
  </sheets>
  <definedNames>
    <definedName name="DrumLb">Inputs!$C$6</definedName>
    <definedName name="SNPlb">Inputs!$C$7</definedName>
    <definedName name="LbWk">Inputs!$C$8</definedName>
    <definedName name="Weeks">Inputs!$C$9</definedName>
    <definedName name="Growth">Inputs!$C$10</definedName>
    <definedName name="MinDrumsWk">Inputs!$C$11</definedName>
    <definedName name="MinShare">Inputs!$C$12</definedName>
    <definedName name="Share">Inputs!$C$13</definedName>
    <definedName name="EffShare">Inputs!$C$14</definedName>
    <definedName name="PCIlo">Inputs!$C$15</definedName>
    <definedName name="PCImid">Inputs!$C$16</definedName>
    <definedName name="PCIhi">Inputs!$C$17</definedName>
    <definedName name="MktLo">Inputs!$C$18</definedName>
    <definedName name="MktBase">Inputs!$C$19</definedName>
    <definedName name="MktHi">Inputs!$C$20</definedName>
    <definedName name="CJBlb">Inputs!$C$21</definedName>
    <definedName name="QualCost">Inputs!$C$22</definedName>
    <definedName name="Pdis">Inputs!$C$23</definedName>
    <definedName name="Dcost">Inputs!$C$24</definedName>
    <definedName name="PCIq">Inputs!$C$27</definedName>
    <definedName name="PCIsub">Inputs!$C$28</definedName>
    <definedName name="PCIbatch">Inputs!$C$29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&quot;$&quot;#,##0.00"/>
    <numFmt numFmtId="165" formatCode="0.0%"/>
    <numFmt numFmtId="166" formatCode="&quot;$&quot;#,##0"/>
    <numFmt numFmtId="167" formatCode="0.0&quot;x&quot;"/>
    <numFmt numFmtId="168" formatCode="0.00&quot;x&quot;"/>
    <numFmt numFmtId="169" formatCode="0.0"/>
  </numFmts>
  <fonts count="10">
    <font>
      <name val="Calibri"/>
      <family val="2"/>
      <color theme="1"/>
      <sz val="11"/>
      <scheme val="minor"/>
    </font>
    <font>
      <name val="Arial"/>
      <b val="1"/>
      <color rgb="001F3864"/>
      <sz val="14"/>
    </font>
    <font>
      <name val="Arial"/>
      <i val="1"/>
      <color rgb="00595959"/>
      <sz val="9"/>
    </font>
    <font>
      <name val="Arial"/>
      <b val="1"/>
      <color rgb="00FFFFFF"/>
      <sz val="10"/>
    </font>
    <font>
      <name val="Arial"/>
      <color rgb="00000000"/>
      <sz val="10"/>
    </font>
    <font>
      <name val="Arial"/>
      <b val="1"/>
      <color rgb="00000000"/>
      <sz val="10"/>
    </font>
    <font>
      <name val="Arial"/>
      <color rgb="00595959"/>
      <sz val="9"/>
    </font>
    <font>
      <name val="Arial"/>
      <b val="1"/>
      <color rgb="001F3864"/>
      <sz val="9"/>
    </font>
    <font>
      <name val="Arial"/>
      <b val="1"/>
      <color rgb="001F3864"/>
      <sz val="10"/>
    </font>
    <font>
      <name val="Arial"/>
      <b val="1"/>
      <color rgb="001F3864"/>
      <sz val="11"/>
    </font>
  </fonts>
  <fills count="9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F2CC"/>
      </patternFill>
    </fill>
    <fill>
      <patternFill patternType="solid">
        <fgColor rgb="00F2F2F2"/>
      </patternFill>
    </fill>
    <fill>
      <patternFill patternType="solid">
        <fgColor rgb="00D6DCE5"/>
      </patternFill>
    </fill>
    <fill>
      <patternFill patternType="solid">
        <fgColor rgb="00FFC7CE"/>
      </patternFill>
    </fill>
    <fill>
      <patternFill patternType="solid">
        <fgColor rgb="00C6EFCE"/>
      </patternFill>
    </fill>
    <fill>
      <patternFill patternType="solid">
        <fgColor rgb="00FFEB9C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5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0" borderId="0" pivotButton="0" quotePrefix="0" xfId="0"/>
    <xf numFmtId="3" fontId="5" fillId="3" borderId="1" pivotButton="0" quotePrefix="0" xfId="0"/>
    <xf numFmtId="164" fontId="5" fillId="3" borderId="1" pivotButton="0" quotePrefix="0" xfId="0"/>
    <xf numFmtId="9" fontId="5" fillId="3" borderId="1" pivotButton="0" quotePrefix="0" xfId="0"/>
    <xf numFmtId="165" fontId="5" fillId="4" borderId="1" pivotButton="0" quotePrefix="0" xfId="0"/>
    <xf numFmtId="165" fontId="5" fillId="3" borderId="1" pivotButton="0" quotePrefix="0" xfId="0"/>
    <xf numFmtId="166" fontId="5" fillId="3" borderId="1" pivotButton="0" quotePrefix="0" xfId="0"/>
    <xf numFmtId="0" fontId="5" fillId="0" borderId="1" pivotButton="0" quotePrefix="0" xfId="0"/>
    <xf numFmtId="3" fontId="0" fillId="0" borderId="1" pivotButton="0" quotePrefix="0" xfId="0"/>
    <xf numFmtId="165" fontId="0" fillId="0" borderId="1" pivotButton="0" quotePrefix="0" xfId="0"/>
    <xf numFmtId="2" fontId="0" fillId="0" borderId="1" pivotButton="0" quotePrefix="0" xfId="0"/>
    <xf numFmtId="166" fontId="0" fillId="0" borderId="1" pivotButton="0" quotePrefix="0" xfId="0"/>
    <xf numFmtId="166" fontId="0" fillId="4" borderId="1" pivotButton="0" quotePrefix="0" xfId="0"/>
    <xf numFmtId="0" fontId="5" fillId="0" borderId="0" pivotButton="0" quotePrefix="0" xfId="0"/>
    <xf numFmtId="3" fontId="5" fillId="5" borderId="1" pivotButton="0" quotePrefix="0" xfId="0"/>
    <xf numFmtId="166" fontId="5" fillId="5" borderId="1" pivotButton="0" quotePrefix="0" xfId="0"/>
    <xf numFmtId="166" fontId="0" fillId="0" borderId="0" pivotButton="0" quotePrefix="0" xfId="0"/>
    <xf numFmtId="164" fontId="0" fillId="0" borderId="1" pivotButton="0" quotePrefix="0" xfId="0"/>
    <xf numFmtId="0" fontId="6" fillId="0" borderId="1" pivotButton="0" quotePrefix="0" xfId="0"/>
    <xf numFmtId="167" fontId="0" fillId="0" borderId="1" pivotButton="0" quotePrefix="0" xfId="0"/>
    <xf numFmtId="9" fontId="0" fillId="0" borderId="1" pivotButton="0" quotePrefix="0" xfId="0"/>
    <xf numFmtId="0" fontId="0" fillId="6" borderId="1" pivotButton="0" quotePrefix="0" xfId="0"/>
    <xf numFmtId="166" fontId="0" fillId="6" borderId="1" pivotButton="0" quotePrefix="0" xfId="0"/>
    <xf numFmtId="0" fontId="0" fillId="0" borderId="1" pivotButton="0" quotePrefix="0" xfId="0"/>
    <xf numFmtId="0" fontId="7" fillId="0" borderId="0" pivotButton="0" quotePrefix="0" xfId="0"/>
    <xf numFmtId="166" fontId="0" fillId="0" borderId="1" applyAlignment="1" pivotButton="0" quotePrefix="0" xfId="0">
      <alignment vertical="top" wrapText="1"/>
    </xf>
    <xf numFmtId="0" fontId="0" fillId="0" borderId="1" applyAlignment="1" pivotButton="0" quotePrefix="0" xfId="0">
      <alignment vertical="top" wrapText="1"/>
    </xf>
    <xf numFmtId="0" fontId="8" fillId="0" borderId="0" pivotButton="0" quotePrefix="0" xfId="0"/>
    <xf numFmtId="0" fontId="5" fillId="7" borderId="1" applyAlignment="1" pivotButton="0" quotePrefix="0" xfId="0">
      <alignment vertical="top" wrapText="1"/>
    </xf>
    <xf numFmtId="164" fontId="4" fillId="7" borderId="1" applyAlignment="1" pivotButton="0" quotePrefix="0" xfId="0">
      <alignment vertical="top" wrapText="1"/>
    </xf>
    <xf numFmtId="0" fontId="4" fillId="7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4" fontId="4" fillId="4" borderId="1" applyAlignment="1" pivotButton="0" quotePrefix="0" xfId="0">
      <alignment vertical="top" wrapText="1"/>
    </xf>
    <xf numFmtId="0" fontId="4" fillId="4" borderId="1" applyAlignment="1" pivotButton="0" quotePrefix="0" xfId="0">
      <alignment vertical="top" wrapText="1"/>
    </xf>
    <xf numFmtId="0" fontId="5" fillId="8" borderId="1" applyAlignment="1" pivotButton="0" quotePrefix="0" xfId="0">
      <alignment vertical="top" wrapText="1"/>
    </xf>
    <xf numFmtId="164" fontId="4" fillId="8" borderId="1" applyAlignment="1" pivotButton="0" quotePrefix="0" xfId="0">
      <alignment vertical="top" wrapText="1"/>
    </xf>
    <xf numFmtId="0" fontId="4" fillId="8" borderId="1" applyAlignment="1" pivotButton="0" quotePrefix="0" xfId="0">
      <alignment vertical="top" wrapText="1"/>
    </xf>
    <xf numFmtId="168" fontId="0" fillId="0" borderId="1" pivotButton="0" quotePrefix="0" xfId="0"/>
    <xf numFmtId="0" fontId="5" fillId="8" borderId="1" pivotButton="0" quotePrefix="0" xfId="0"/>
    <xf numFmtId="3" fontId="0" fillId="8" borderId="1" pivotButton="0" quotePrefix="0" xfId="0"/>
    <xf numFmtId="164" fontId="0" fillId="8" borderId="1" pivotButton="0" quotePrefix="0" xfId="0"/>
    <xf numFmtId="166" fontId="0" fillId="8" borderId="1" pivotButton="0" quotePrefix="0" xfId="0"/>
    <xf numFmtId="168" fontId="0" fillId="8" borderId="1" pivotButton="0" quotePrefix="0" xfId="0"/>
    <xf numFmtId="0" fontId="9" fillId="0" borderId="0" pivotButton="0" quotePrefix="0" xfId="0"/>
    <xf numFmtId="169" fontId="0" fillId="0" borderId="1" pivotButton="0" quotePrefix="0" xfId="0"/>
    <xf numFmtId="0" fontId="5" fillId="6" borderId="1" applyAlignment="1" pivotButton="0" quotePrefix="0" xfId="0">
      <alignment vertical="top" wrapText="1"/>
    </xf>
    <xf numFmtId="0" fontId="4" fillId="6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D30"/>
  <sheetViews>
    <sheetView workbookViewId="0">
      <selection activeCell="A1" sqref="A1"/>
    </sheetView>
  </sheetViews>
  <sheetFormatPr baseColWidth="8" defaultRowHeight="15"/>
  <cols>
    <col width="52" customWidth="1" min="2" max="2"/>
    <col width="14" customWidth="1" min="3" max="3"/>
    <col width="78" customWidth="1" min="4" max="4"/>
  </cols>
  <sheetData>
    <row r="2">
      <c r="B2" s="1" t="inlineStr">
        <is>
          <t>Second-Supplier Decision — Inputs</t>
        </is>
      </c>
    </row>
    <row r="3">
      <c r="B3" s="2" t="inlineStr">
        <is>
          <t>Yellow = editable. PVA = polyvinyl alcohol. SNP Inc. = incumbent. PCI Manufacturing = candidate second source. The second source gets the LARGER of 1/3 of demand and its 1-drum/week minimum — or nothing.</t>
        </is>
      </c>
    </row>
    <row r="5" ht="30" customHeight="1">
      <c r="B5" s="3" t="inlineStr">
        <is>
          <t>Input</t>
        </is>
      </c>
      <c r="C5" s="3" t="inlineStr">
        <is>
          <t>Value</t>
        </is>
      </c>
      <c r="D5" s="3" t="inlineStr">
        <is>
          <t>Source / note</t>
        </is>
      </c>
    </row>
    <row r="6">
      <c r="B6" s="4" t="inlineStr">
        <is>
          <t>Drum net weight (lb)</t>
        </is>
      </c>
      <c r="C6" s="5" t="n">
        <v>450</v>
      </c>
      <c r="D6" s="2" t="inlineStr">
        <is>
          <t>Confirmed (SNP Inc.: 1/450-lb drum)</t>
        </is>
      </c>
    </row>
    <row r="7">
      <c r="B7" s="4" t="inlineStr">
        <is>
          <t>SNP Inc. price ($/lb delivered, all-in)</t>
        </is>
      </c>
      <c r="C7" s="6" t="n">
        <v>0.75</v>
      </c>
      <c r="D7" s="2" t="inlineStr">
        <is>
          <t>Real quote — SNP Estimate 012726-1</t>
        </is>
      </c>
    </row>
    <row r="8">
      <c r="B8" s="4" t="inlineStr">
        <is>
          <t>Demand today (lb/week)</t>
        </is>
      </c>
      <c r="C8" s="5" t="n">
        <v>1300</v>
      </c>
      <c r="D8" s="2" t="inlineStr">
        <is>
          <t>Confirmed 2026-06-26</t>
        </is>
      </c>
    </row>
    <row r="9">
      <c r="B9" s="4" t="inlineStr">
        <is>
          <t>Weeks / year</t>
        </is>
      </c>
      <c r="C9" s="5" t="n">
        <v>52</v>
      </c>
      <c r="D9" s="2" t="inlineStr"/>
    </row>
    <row r="10">
      <c r="B10" s="4" t="inlineStr">
        <is>
          <t>Volume growth per year</t>
        </is>
      </c>
      <c r="C10" s="7" t="n">
        <v>0.1</v>
      </c>
      <c r="D10" s="2" t="inlineStr">
        <is>
          <t>Leadership assumption</t>
        </is>
      </c>
    </row>
    <row r="11">
      <c r="B11" s="4" t="inlineStr">
        <is>
          <t>Smallest volume a second source will accept (drums/week)</t>
        </is>
      </c>
      <c r="C11" s="5" t="n">
        <v>1</v>
      </c>
      <c r="D11" s="2" t="inlineStr">
        <is>
          <t>Supplier condition — below this they will not engage</t>
        </is>
      </c>
    </row>
    <row r="12">
      <c r="B12" s="4" t="inlineStr">
        <is>
          <t xml:space="preserve">  = share of today's demand</t>
        </is>
      </c>
      <c r="C12" s="8">
        <f>MinDrumsWk*DrumLb/LbWk</f>
        <v/>
      </c>
      <c r="D12" s="2" t="inlineStr">
        <is>
          <t>~35%. This is the smallest insurance available.</t>
        </is>
      </c>
    </row>
    <row r="13">
      <c r="B13" s="4" t="inlineStr">
        <is>
          <t>Target share of demand (Option A)</t>
        </is>
      </c>
      <c r="C13" s="9" t="n">
        <v>0.3333333333333333</v>
      </c>
      <c r="D13" s="2" t="inlineStr">
        <is>
          <t>One-third. Year 1: 1/3 = 0.96 drums/wk, so the minimum (1.0) governs; from Year 2 the 1/3 governs.</t>
        </is>
      </c>
    </row>
    <row r="14">
      <c r="B14" s="4" t="inlineStr">
        <is>
          <t xml:space="preserve">  = effective share, Year 1</t>
        </is>
      </c>
      <c r="C14" s="8">
        <f>MAX(Share,MinShare)</f>
        <v/>
      </c>
      <c r="D14" s="2" t="inlineStr">
        <is>
          <t>max(target, minimum)</t>
        </is>
      </c>
    </row>
    <row r="15">
      <c r="B15" s="4" t="inlineStr">
        <is>
          <t>PCI price — LOW ($/lb)</t>
        </is>
      </c>
      <c r="C15" s="6" t="n">
        <v>2.5</v>
      </c>
      <c r="D15" s="2" t="inlineStr">
        <is>
          <t>Forecast floor</t>
        </is>
      </c>
    </row>
    <row r="16">
      <c r="B16" s="4" t="inlineStr">
        <is>
          <t>PCI price — MID ($/lb)</t>
        </is>
      </c>
      <c r="C16" s="6" t="n">
        <v>3.75</v>
      </c>
      <c r="D16" s="2" t="inlineStr">
        <is>
          <t>Midpoint of range</t>
        </is>
      </c>
    </row>
    <row r="17">
      <c r="B17" s="4" t="inlineStr">
        <is>
          <t>PCI price — HIGH ($/lb)</t>
        </is>
      </c>
      <c r="C17" s="6" t="n">
        <v>5</v>
      </c>
      <c r="D17" s="2" t="inlineStr">
        <is>
          <t>Forecast ceiling</t>
        </is>
      </c>
    </row>
    <row r="18">
      <c r="B18" s="4" t="inlineStr">
        <is>
          <t>Market reference — LOW ($/lb)</t>
        </is>
      </c>
      <c r="C18" s="6" t="n">
        <v>0.85</v>
      </c>
      <c r="D18" s="2" t="inlineStr">
        <is>
          <t>Triangulated (resin floor + labor bottom-up)</t>
        </is>
      </c>
    </row>
    <row r="19">
      <c r="B19" s="4" t="inlineStr">
        <is>
          <t>Market reference — BASE ($/lb)</t>
        </is>
      </c>
      <c r="C19" s="6" t="n">
        <v>1.4</v>
      </c>
      <c r="D19" s="2" t="inlineStr">
        <is>
          <t>Triangulated</t>
        </is>
      </c>
    </row>
    <row r="20">
      <c r="B20" s="4" t="inlineStr">
        <is>
          <t>Market reference — HIGH ($/lb)</t>
        </is>
      </c>
      <c r="C20" s="6" t="n">
        <v>2.55</v>
      </c>
      <c r="D20" s="2" t="inlineStr">
        <is>
          <t>Triangulated (retail ceiling)</t>
        </is>
      </c>
    </row>
    <row r="21">
      <c r="B21" s="4" t="inlineStr">
        <is>
          <t>CJB Applied Technologies quote, landed ($/lb) — reference</t>
        </is>
      </c>
      <c r="C21" s="6" t="n">
        <v>8.42</v>
      </c>
      <c r="D21" s="2" t="inlineStr">
        <is>
          <t>$8-8.50 toll excl. materials + $75/drum resin; ~11x SNP</t>
        </is>
      </c>
    </row>
    <row r="22">
      <c r="B22" s="4" t="inlineStr">
        <is>
          <t>One-time qualification cost ($)</t>
        </is>
      </c>
      <c r="C22" s="10" t="n">
        <v>15000</v>
      </c>
      <c r="D22" s="2" t="inlineStr">
        <is>
          <t>PLACEHOLDER — engineering hrs, samples, hydrogel tests, quality agreement. Confirm.</t>
        </is>
      </c>
    </row>
    <row r="23">
      <c r="B23" s="4" t="inlineStr">
        <is>
          <t>Disruption probability per year (for break-even)</t>
        </is>
      </c>
      <c r="C23" s="7" t="n">
        <v>0.05</v>
      </c>
      <c r="D23" s="2" t="inlineStr">
        <is>
          <t>PLACEHOLDER — leadership judgement</t>
        </is>
      </c>
    </row>
    <row r="24">
      <c r="B24" s="4" t="inlineStr">
        <is>
          <t>Cost of a 6-month SNP Inc. outage ($)</t>
        </is>
      </c>
      <c r="C24" s="10" t="n">
        <v>500000</v>
      </c>
      <c r="D24" s="2" t="inlineStr">
        <is>
          <t>PLACEHOLDER — revenue at risk + expedite + line-down. NEEDED FROM FINANCE/OPS.</t>
        </is>
      </c>
    </row>
    <row r="26">
      <c r="B26" s="31" t="inlineStr">
        <is>
          <t>PCI MANUFACTURING — REAL QUOTE (2026-09-28)</t>
        </is>
      </c>
    </row>
    <row r="27">
      <c r="B27" s="4" t="inlineStr">
        <is>
          <t>PCI quoted price — one batch of 5 drums ($/lb)</t>
        </is>
      </c>
      <c r="C27" s="6" t="n">
        <v>3.5</v>
      </c>
      <c r="D27" s="2" t="inlineStr">
        <is>
          <t>Real quote. CONFIRM: delivered? materials, drum, freight included? validity period?</t>
        </is>
      </c>
    </row>
    <row r="28">
      <c r="B28" s="4" t="inlineStr">
        <is>
          <t>PCI price — orders below one batch ($/lb)</t>
        </is>
      </c>
      <c r="C28" s="6" t="n">
        <v>6</v>
      </c>
      <c r="D28" s="2" t="inlineStr">
        <is>
          <t>Real quote. Makes any sub-batch (e.g. 1 drum/week) uneconomic.</t>
        </is>
      </c>
    </row>
    <row r="29">
      <c r="B29" s="4" t="inlineStr">
        <is>
          <t>PCI batch size (drums)</t>
        </is>
      </c>
      <c r="C29" s="5" t="n">
        <v>5</v>
      </c>
      <c r="D29" s="2" t="inlineStr">
        <is>
          <t>One batch = 5 drums = 2,250 lb = ~12 days of full demand</t>
        </is>
      </c>
    </row>
    <row r="30">
      <c r="B30" s="2" t="inlineStr">
        <is>
          <t>The $2.50 / $3.75 / $5.00 rows above were the pre-quote forecast; keep for history. The quote ($3.50) sits at the forecast mid.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G15"/>
  <sheetViews>
    <sheetView workbookViewId="0">
      <selection activeCell="A1" sqref="A1"/>
    </sheetView>
  </sheetViews>
  <sheetFormatPr baseColWidth="8" defaultRowHeight="15"/>
  <cols>
    <col width="44" customWidth="1" min="2" max="2"/>
    <col width="13" customWidth="1" min="3" max="3"/>
    <col width="58" customWidth="1" min="4" max="4"/>
    <col width="14" customWidth="1" min="5" max="5"/>
    <col width="34" customWidth="1" min="6" max="6"/>
    <col width="30" customWidth="1" min="7" max="7"/>
  </cols>
  <sheetData>
    <row r="2">
      <c r="B2" s="1" t="inlineStr">
        <is>
          <t>All price points on the table — real quotes vs references</t>
        </is>
      </c>
    </row>
    <row r="3">
      <c r="B3" s="2" t="inlineStr">
        <is>
          <t>One place for every $/lb figure used anywhere in the analysis, with its basis. Real quotes in green; references in grey; superseded assumptions in amber.</t>
        </is>
      </c>
    </row>
    <row r="5" ht="30" customHeight="1">
      <c r="B5" s="3" t="inlineStr">
        <is>
          <t>Source</t>
        </is>
      </c>
      <c r="C5" s="3" t="inlineStr">
        <is>
          <t>$/lb finished</t>
        </is>
      </c>
      <c r="D5" s="3" t="inlineStr">
        <is>
          <t>Basis / terms</t>
        </is>
      </c>
      <c r="E5" s="3" t="inlineStr">
        <is>
          <t>Type</t>
        </is>
      </c>
      <c r="F5" s="3" t="inlineStr">
        <is>
          <t>Status</t>
        </is>
      </c>
      <c r="G5" s="3" t="inlineStr">
        <is>
          <t>Date / reference</t>
        </is>
      </c>
    </row>
    <row r="6">
      <c r="B6" s="32" t="inlineStr">
        <is>
          <t>SNP Inc. (Durham, NC) — incumbent</t>
        </is>
      </c>
      <c r="C6" s="33" t="n">
        <v>0.75</v>
      </c>
      <c r="D6" s="34" t="inlineStr">
        <is>
          <t>Delivered, all-in. 1/450-lb drum. ~2.9 drums/week today.</t>
        </is>
      </c>
      <c r="E6" s="34" t="inlineStr">
        <is>
          <t>REAL QUOTE</t>
        </is>
      </c>
      <c r="F6" s="34" t="inlineStr">
        <is>
          <t>Active sole source</t>
        </is>
      </c>
      <c r="G6" s="34" t="inlineStr">
        <is>
          <t>SNP Estimate 012726-1</t>
        </is>
      </c>
    </row>
    <row r="7">
      <c r="B7" s="32" t="inlineStr">
        <is>
          <t>PCI Manufacturing (St. Louis, MO) — one 5-drum batch</t>
        </is>
      </c>
      <c r="C7" s="33" t="n">
        <v>3.5</v>
      </c>
      <c r="D7" s="34" t="inlineStr">
        <is>
          <t>One batch = 5 drums (2,250 lb). Confirm delivered/all-in and validity.</t>
        </is>
      </c>
      <c r="E7" s="34" t="inlineStr">
        <is>
          <t>REAL QUOTE</t>
        </is>
      </c>
      <c r="F7" s="34" t="inlineStr">
        <is>
          <t>Capable — experiment successful; not yet contracted</t>
        </is>
      </c>
      <c r="G7" s="34" t="inlineStr">
        <is>
          <t>2026-09-28</t>
        </is>
      </c>
    </row>
    <row r="8">
      <c r="B8" s="32" t="inlineStr">
        <is>
          <t>PCI Manufacturing — below one batch</t>
        </is>
      </c>
      <c r="C8" s="33" t="n">
        <v>6</v>
      </c>
      <c r="D8" s="34" t="inlineStr">
        <is>
          <t>Any order smaller than 5 drums (e.g. 1 drum/week).</t>
        </is>
      </c>
      <c r="E8" s="34" t="inlineStr">
        <is>
          <t>REAL QUOTE</t>
        </is>
      </c>
      <c r="F8" s="34" t="inlineStr">
        <is>
          <t>Uneconomic version</t>
        </is>
      </c>
      <c r="G8" s="34" t="inlineStr">
        <is>
          <t>2026-09-28</t>
        </is>
      </c>
    </row>
    <row r="9">
      <c r="B9" s="32" t="inlineStr">
        <is>
          <t>CJB Applied Technologies (Valdosta, GA)</t>
        </is>
      </c>
      <c r="C9" s="33" t="n">
        <v>8.42</v>
      </c>
      <c r="D9" s="34" t="inlineStr">
        <is>
          <t>$8.00–8.50/lb toll EXCLUDING materials + ~$75/drum resin = ~$8.42 landed. Qual fee $4,900.</t>
        </is>
      </c>
      <c r="E9" s="34" t="inlineStr">
        <is>
          <t>REAL QUOTE</t>
        </is>
      </c>
      <c r="F9" s="34" t="inlineStr">
        <is>
          <t>Eliminated on price (~11x SNP)</t>
        </is>
      </c>
      <c r="G9" s="34" t="inlineStr">
        <is>
          <t>CJB email 'RE: mix test'</t>
        </is>
      </c>
    </row>
    <row r="10">
      <c r="B10" s="35" t="inlineStr">
        <is>
          <t>Market reference — LOW</t>
        </is>
      </c>
      <c r="C10" s="36" t="n">
        <v>0.85</v>
      </c>
      <c r="D10" s="37" t="inlineStr">
        <is>
          <t>Resin floor + lean labor ($40/hr, 25% margin) + regional 1-drum freight</t>
        </is>
      </c>
      <c r="E10" s="37" t="inlineStr">
        <is>
          <t>TRIANGULATED</t>
        </is>
      </c>
      <c r="F10" s="37" t="inlineStr">
        <is>
          <t>Reference</t>
        </is>
      </c>
      <c r="G10" s="37" t="inlineStr">
        <is>
          <t>Market Research tab (cost-scenarios workbook)</t>
        </is>
      </c>
    </row>
    <row r="11">
      <c r="B11" s="35" t="inlineStr">
        <is>
          <t>Market reference — BASE</t>
        </is>
      </c>
      <c r="C11" s="36" t="n">
        <v>1.4</v>
      </c>
      <c r="D11" s="37" t="inlineStr">
        <is>
          <t>Same build-up at typical conversion</t>
        </is>
      </c>
      <c r="E11" s="37" t="inlineStr">
        <is>
          <t>TRIANGULATED</t>
        </is>
      </c>
      <c r="F11" s="37" t="inlineStr">
        <is>
          <t>Reference</t>
        </is>
      </c>
      <c r="G11" s="37" t="inlineStr"/>
    </row>
    <row r="12">
      <c r="B12" s="35" t="inlineStr">
        <is>
          <t>Market reference — HIGH</t>
        </is>
      </c>
      <c r="C12" s="36" t="n">
        <v>2.55</v>
      </c>
      <c r="D12" s="37" t="inlineStr">
        <is>
          <t>Anchored by retail comp ~$2.03/lb bulk PVA solution + freight</t>
        </is>
      </c>
      <c r="E12" s="37" t="inlineStr">
        <is>
          <t>TRIANGULATED</t>
        </is>
      </c>
      <c r="F12" s="37" t="inlineStr">
        <is>
          <t>Reference</t>
        </is>
      </c>
      <c r="G12" s="37" t="inlineStr"/>
    </row>
    <row r="13">
      <c r="B13" s="35" t="inlineStr">
        <is>
          <t>Material floor</t>
        </is>
      </c>
      <c r="C13" s="36" t="n">
        <v>0.18</v>
      </c>
      <c r="D13" s="37" t="inlineStr">
        <is>
          <t>PVA resin $1.26–1.60/lb x 11% solids = $0.16–0.20</t>
        </is>
      </c>
      <c r="E13" s="37" t="inlineStr">
        <is>
          <t>DERIVED</t>
        </is>
      </c>
      <c r="F13" s="37" t="inlineStr">
        <is>
          <t>Reference</t>
        </is>
      </c>
      <c r="G13" s="37" t="inlineStr">
        <is>
          <t>ChemAnalyst / IMARC 2026</t>
        </is>
      </c>
    </row>
    <row r="14">
      <c r="B14" s="38" t="inlineStr">
        <is>
          <t>July 2026 assumption (KPI deck)</t>
        </is>
      </c>
      <c r="C14" s="39" t="n">
        <v>1.125</v>
      </c>
      <c r="D14" s="40" t="inlineStr">
        <is>
          <t>'$1.00–1.25/lb, ~35% share, ~$6–12k/yr insurance'</t>
        </is>
      </c>
      <c r="E14" s="40" t="inlineStr">
        <is>
          <t>ASSUMPTION</t>
        </is>
      </c>
      <c r="F14" s="40" t="inlineStr">
        <is>
          <t>SUPERSEDED by PCI quote</t>
        </is>
      </c>
      <c r="G14" s="40" t="inlineStr">
        <is>
          <t>KPI review deck 2026-07-09</t>
        </is>
      </c>
    </row>
    <row r="15">
      <c r="B15" s="38" t="inlineStr">
        <is>
          <t>Pre-quote forecast (this deck, Sept)</t>
        </is>
      </c>
      <c r="C15" s="39" t="n">
        <v>3.75</v>
      </c>
      <c r="D15" s="40" t="inlineStr">
        <is>
          <t>$2.50 low / $3.75 mid / $5.00 high</t>
        </is>
      </c>
      <c r="E15" s="40" t="inlineStr">
        <is>
          <t>ASSUMPTION</t>
        </is>
      </c>
      <c r="F15" s="40" t="inlineStr">
        <is>
          <t>SUPERSEDED by PCI quote (quote = mid)</t>
        </is>
      </c>
      <c r="G15" s="40" t="inlineStr">
        <is>
          <t>2026-09-22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I31"/>
  <sheetViews>
    <sheetView workbookViewId="0">
      <selection activeCell="A1" sqref="A1"/>
    </sheetView>
  </sheetViews>
  <sheetFormatPr baseColWidth="8" defaultRowHeight="15"/>
  <cols>
    <col width="46" customWidth="1" min="2" max="2"/>
    <col width="16" customWidth="1" min="3" max="3"/>
    <col width="12" customWidth="1" min="4" max="4"/>
    <col width="16" customWidth="1" min="5" max="5"/>
    <col width="20" customWidth="1" min="6" max="6"/>
    <col width="14" customWidth="1" min="7" max="7"/>
    <col width="18" customWidth="1" min="8" max="8"/>
    <col width="12" customWidth="1" min="9" max="9"/>
  </cols>
  <sheetData>
    <row r="2">
      <c r="B2" s="1" t="inlineStr">
        <is>
          <t>What PCI's real quote means — Year 1 and five years</t>
        </is>
      </c>
    </row>
    <row r="3">
      <c r="B3" s="2" t="inlineStr">
        <is>
          <t>Second source at one-third of demand = 50 drums/yr = 10 batches of 5. Formulas reference Inputs.</t>
        </is>
      </c>
    </row>
    <row r="5" ht="30" customHeight="1">
      <c r="B5" s="3" t="inlineStr">
        <is>
          <t>Scenario</t>
        </is>
      </c>
      <c r="C5" s="3" t="inlineStr">
        <is>
          <t>Drums to PCI / yr</t>
        </is>
      </c>
      <c r="D5" s="3" t="inlineStr">
        <is>
          <t>PCI $/lb</t>
        </is>
      </c>
      <c r="E5" s="3" t="inlineStr">
        <is>
          <t>PCI annual $</t>
        </is>
      </c>
      <c r="F5" s="3" t="inlineStr">
        <is>
          <t>SNP annual $ (retained)</t>
        </is>
      </c>
      <c r="G5" s="3" t="inlineStr">
        <is>
          <t>Total $</t>
        </is>
      </c>
      <c r="H5" s="3" t="inlineStr">
        <is>
          <t>Premium vs all-SNP</t>
        </is>
      </c>
      <c r="I5" s="3" t="inlineStr">
        <is>
          <t>x today's spend</t>
        </is>
      </c>
    </row>
    <row r="6">
      <c r="B6" s="11" t="inlineStr">
        <is>
          <t>All-SNP (today)</t>
        </is>
      </c>
      <c r="C6" s="12" t="n">
        <v>0</v>
      </c>
      <c r="D6" s="21">
        <f>SNPlb</f>
        <v/>
      </c>
      <c r="E6" s="15">
        <f>C6*DrumLb*D6</f>
        <v/>
      </c>
      <c r="F6" s="15">
        <f>(LbWk*Weeks-C6*DrumLb)*SNPlb</f>
        <v/>
      </c>
      <c r="G6" s="15">
        <f>E6+F6</f>
        <v/>
      </c>
      <c r="H6" s="15">
        <f>G6-LbWk*Weeks*SNPlb</f>
        <v/>
      </c>
      <c r="I6" s="41">
        <f>H6/(LbWk*Weeks*SNPlb)</f>
        <v/>
      </c>
    </row>
    <row r="7">
      <c r="B7" s="42" t="inlineStr">
        <is>
          <t>A — PCI at 1/3, 5-drum batches (10/yr)</t>
        </is>
      </c>
      <c r="C7" s="43" t="n">
        <v>50</v>
      </c>
      <c r="D7" s="44">
        <f>PCIq</f>
        <v/>
      </c>
      <c r="E7" s="45">
        <f>C7*DrumLb*D7</f>
        <v/>
      </c>
      <c r="F7" s="45">
        <f>(LbWk*Weeks-C7*DrumLb)*SNPlb</f>
        <v/>
      </c>
      <c r="G7" s="45">
        <f>E7+F7</f>
        <v/>
      </c>
      <c r="H7" s="45">
        <f>G7-LbWk*Weeks*SNPlb</f>
        <v/>
      </c>
      <c r="I7" s="46">
        <f>H7/(LbWk*Weeks*SNPlb)</f>
        <v/>
      </c>
    </row>
    <row r="8">
      <c r="B8" s="11" t="inlineStr">
        <is>
          <t>A — PCI 1 drum/week, below-batch price</t>
        </is>
      </c>
      <c r="C8" s="12" t="n">
        <v>52</v>
      </c>
      <c r="D8" s="21">
        <f>PCIsub</f>
        <v/>
      </c>
      <c r="E8" s="15">
        <f>C8*DrumLb*D8</f>
        <v/>
      </c>
      <c r="F8" s="15">
        <f>(LbWk*Weeks-C8*DrumLb)*SNPlb</f>
        <v/>
      </c>
      <c r="G8" s="15">
        <f>E8+F8</f>
        <v/>
      </c>
      <c r="H8" s="15">
        <f>G8-LbWk*Weeks*SNPlb</f>
        <v/>
      </c>
      <c r="I8" s="41">
        <f>H8/(LbWk*Weeks*SNPlb)</f>
        <v/>
      </c>
    </row>
    <row r="9">
      <c r="B9" s="11" t="inlineStr">
        <is>
          <t>A — PCI at 1/3 but below-batch price (for reference)</t>
        </is>
      </c>
      <c r="C9" s="12" t="n">
        <v>50</v>
      </c>
      <c r="D9" s="21">
        <f>PCIsub</f>
        <v/>
      </c>
      <c r="E9" s="15">
        <f>C9*DrumLb*D9</f>
        <v/>
      </c>
      <c r="F9" s="15">
        <f>(LbWk*Weeks-C9*DrumLb)*SNPlb</f>
        <v/>
      </c>
      <c r="G9" s="15">
        <f>E9+F9</f>
        <v/>
      </c>
      <c r="H9" s="15">
        <f>G9-LbWk*Weeks*SNPlb</f>
        <v/>
      </c>
      <c r="I9" s="41">
        <f>H9/(LbWk*Weeks*SNPlb)</f>
        <v/>
      </c>
    </row>
    <row r="10">
      <c r="B10" s="11" t="inlineStr">
        <is>
          <t>CJB at 1/3 (for scale)</t>
        </is>
      </c>
      <c r="C10" s="12" t="n">
        <v>50</v>
      </c>
      <c r="D10" s="21">
        <f>CJBlb</f>
        <v/>
      </c>
      <c r="E10" s="15">
        <f>C10*DrumLb*D10</f>
        <v/>
      </c>
      <c r="F10" s="15">
        <f>(LbWk*Weeks-C10*DrumLb)*SNPlb</f>
        <v/>
      </c>
      <c r="G10" s="15">
        <f>E10+F10</f>
        <v/>
      </c>
      <c r="H10" s="15">
        <f>G10-LbWk*Weeks*SNPlb</f>
        <v/>
      </c>
      <c r="I10" s="41">
        <f>H10/(LbWk*Weeks*SNPlb)</f>
        <v/>
      </c>
    </row>
    <row r="12">
      <c r="B12" s="47" t="inlineStr">
        <is>
          <t>Five years at 1/3 share, PCI $3.50, volume +10%/yr</t>
        </is>
      </c>
    </row>
    <row r="13" ht="30" customHeight="1">
      <c r="B13" s="3" t="inlineStr">
        <is>
          <t>Year</t>
        </is>
      </c>
      <c r="C13" s="3" t="inlineStr">
        <is>
          <t>Volume (lb)</t>
        </is>
      </c>
      <c r="D13" s="3" t="inlineStr">
        <is>
          <t>Lb to PCI (1/3)</t>
        </is>
      </c>
      <c r="E13" s="3" t="inlineStr">
        <is>
          <t>Batches of 5 (rounded)</t>
        </is>
      </c>
      <c r="F13" s="3" t="inlineStr">
        <is>
          <t>Premium ($2.75/lb x lb to PCI)</t>
        </is>
      </c>
      <c r="G13" s="3" t="inlineStr">
        <is>
          <t>Cumulative</t>
        </is>
      </c>
    </row>
    <row r="14">
      <c r="B14" s="11" t="n">
        <v>1</v>
      </c>
      <c r="C14" s="12">
        <f>LbWk*Weeks*(1+Growth)^(1-1)</f>
        <v/>
      </c>
      <c r="D14" s="12">
        <f>C14/3</f>
        <v/>
      </c>
      <c r="E14" s="12">
        <f>ROUND(D14/DrumLb/PCIbatch,0)</f>
        <v/>
      </c>
      <c r="F14" s="15">
        <f>D14*(PCIq-SNPlb)</f>
        <v/>
      </c>
      <c r="G14" s="15">
        <f>F14</f>
        <v/>
      </c>
    </row>
    <row r="15">
      <c r="B15" s="11" t="n">
        <v>2</v>
      </c>
      <c r="C15" s="12">
        <f>LbWk*Weeks*(1+Growth)^(2-1)</f>
        <v/>
      </c>
      <c r="D15" s="12">
        <f>C15/3</f>
        <v/>
      </c>
      <c r="E15" s="12">
        <f>ROUND(D15/DrumLb/PCIbatch,0)</f>
        <v/>
      </c>
      <c r="F15" s="15">
        <f>D15*(PCIq-SNPlb)</f>
        <v/>
      </c>
      <c r="G15" s="15">
        <f>G14+F15</f>
        <v/>
      </c>
    </row>
    <row r="16">
      <c r="B16" s="11" t="n">
        <v>3</v>
      </c>
      <c r="C16" s="12">
        <f>LbWk*Weeks*(1+Growth)^(3-1)</f>
        <v/>
      </c>
      <c r="D16" s="12">
        <f>C16/3</f>
        <v/>
      </c>
      <c r="E16" s="12">
        <f>ROUND(D16/DrumLb/PCIbatch,0)</f>
        <v/>
      </c>
      <c r="F16" s="15">
        <f>D16*(PCIq-SNPlb)</f>
        <v/>
      </c>
      <c r="G16" s="15">
        <f>G15+F16</f>
        <v/>
      </c>
    </row>
    <row r="17">
      <c r="B17" s="11" t="n">
        <v>4</v>
      </c>
      <c r="C17" s="12">
        <f>LbWk*Weeks*(1+Growth)^(4-1)</f>
        <v/>
      </c>
      <c r="D17" s="12">
        <f>C17/3</f>
        <v/>
      </c>
      <c r="E17" s="12">
        <f>ROUND(D17/DrumLb/PCIbatch,0)</f>
        <v/>
      </c>
      <c r="F17" s="15">
        <f>D17*(PCIq-SNPlb)</f>
        <v/>
      </c>
      <c r="G17" s="15">
        <f>G16+F17</f>
        <v/>
      </c>
    </row>
    <row r="18">
      <c r="B18" s="11" t="n">
        <v>5</v>
      </c>
      <c r="C18" s="12">
        <f>LbWk*Weeks*(1+Growth)^(5-1)</f>
        <v/>
      </c>
      <c r="D18" s="12">
        <f>C18/3</f>
        <v/>
      </c>
      <c r="E18" s="12">
        <f>ROUND(D18/DrumLb/PCIbatch,0)</f>
        <v/>
      </c>
      <c r="F18" s="15">
        <f>D18*(PCIq-SNPlb)</f>
        <v/>
      </c>
      <c r="G18" s="15">
        <f>G17+F18</f>
        <v/>
      </c>
    </row>
    <row r="20">
      <c r="B20" s="47" t="inlineStr">
        <is>
          <t>Break-even — outage cost that justifies the premium</t>
        </is>
      </c>
    </row>
    <row r="21" ht="30" customHeight="1">
      <c r="B21" s="3" t="inlineStr">
        <is>
          <t>Premium (Y1)</t>
        </is>
      </c>
      <c r="C21" s="3" t="inlineStr">
        <is>
          <t>p = 2%</t>
        </is>
      </c>
      <c r="D21" s="3" t="inlineStr">
        <is>
          <t>p = 5%</t>
        </is>
      </c>
      <c r="E21" s="3" t="inlineStr">
        <is>
          <t>p = 10%</t>
        </is>
      </c>
      <c r="F21" s="3" t="inlineStr">
        <is>
          <t>p = 20%</t>
        </is>
      </c>
    </row>
    <row r="22">
      <c r="B22" s="15">
        <f>H7</f>
        <v/>
      </c>
      <c r="C22" s="15">
        <f>B22/0.02</f>
        <v/>
      </c>
      <c r="D22" s="15">
        <f>B22/0.05</f>
        <v/>
      </c>
      <c r="E22" s="15">
        <f>B22/0.1</f>
        <v/>
      </c>
      <c r="F22" s="15">
        <f>B22/0.2</f>
        <v/>
      </c>
    </row>
    <row r="24">
      <c r="B24" s="47" t="inlineStr">
        <is>
          <t>Block-rotation logistics of a 5-drum batch (shelf life 18 days)</t>
        </is>
      </c>
    </row>
    <row r="25">
      <c r="B25" s="17" t="inlineStr">
        <is>
          <t>Batch size (lb)</t>
        </is>
      </c>
      <c r="C25" s="12">
        <f>PCIbatch*DrumLb</f>
        <v/>
      </c>
      <c r="D25" s="2" t="inlineStr"/>
    </row>
    <row r="26">
      <c r="B26" s="17" t="inlineStr">
        <is>
          <t>Days of FULL demand in one batch</t>
        </is>
      </c>
      <c r="C26" s="48">
        <f>B25/(LbWk/7)</f>
        <v/>
      </c>
      <c r="D26" s="2" t="inlineStr">
        <is>
          <t>Must be consumed within the 18-day shelf life -&gt; use at full rate on receipt</t>
        </is>
      </c>
    </row>
    <row r="27">
      <c r="B27" s="17" t="inlineStr">
        <is>
          <t>Cycle length at 1/3 share (weeks)</t>
        </is>
      </c>
      <c r="C27" s="48">
        <f>B25/(LbWk/3)</f>
        <v/>
      </c>
      <c r="D27" s="2" t="inlineStr">
        <is>
          <t>One PCI batch every ~5 weeks</t>
        </is>
      </c>
    </row>
    <row r="28">
      <c r="B28" s="17" t="inlineStr">
        <is>
          <t>Weeks on SNP material per cycle</t>
        </is>
      </c>
      <c r="C28" s="48">
        <f>B27-B25/LbWk</f>
        <v/>
      </c>
      <c r="D28" s="2" t="inlineStr">
        <is>
          <t>SNP sees a ~12-day gap every cycle: LUMPY demand</t>
        </is>
      </c>
    </row>
    <row r="29">
      <c r="B29" s="17" t="inlineStr">
        <is>
          <t>Days to consume a batch at 2/3 rate (needs 30-day shelf life)</t>
        </is>
      </c>
      <c r="C29" s="48">
        <f>B25/(LbWk*2/3/7)</f>
        <v/>
      </c>
      <c r="D29" s="2" t="inlineStr">
        <is>
          <t>With a validated 30-day life, SNP can keep supplying at 1/3 rate during a PCI batch -&gt; smoother</t>
        </is>
      </c>
    </row>
    <row r="30">
      <c r="B30" s="17" t="inlineStr">
        <is>
          <t>One qualification batch — cost</t>
        </is>
      </c>
      <c r="C30" s="15">
        <f>B25*PCIq</f>
        <v/>
      </c>
      <c r="D30" s="2" t="inlineStr">
        <is>
          <t>A single production-scale batch (Option B-plus)</t>
        </is>
      </c>
    </row>
    <row r="31">
      <c r="B31" s="17" t="inlineStr">
        <is>
          <t>One qualification batch — premium over SNP</t>
        </is>
      </c>
      <c r="C31" s="15">
        <f>B25*(PCIq-SNPlb)</f>
        <v/>
      </c>
      <c r="D31" s="2" t="inlineStr">
        <is>
          <t>~4% of annual volume; invisible to SNP's year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D16"/>
  <sheetViews>
    <sheetView workbookViewId="0">
      <selection activeCell="A1" sqref="A1"/>
    </sheetView>
  </sheetViews>
  <sheetFormatPr baseColWidth="8" defaultRowHeight="15"/>
  <cols>
    <col width="34" customWidth="1" min="2" max="2"/>
    <col width="20" customWidth="1" min="3" max="3"/>
    <col width="100" customWidth="1" min="4" max="4"/>
  </cols>
  <sheetData>
    <row r="2">
      <c r="B2" s="1" t="inlineStr">
        <is>
          <t>PCI Manufacturing — qualification experiment record</t>
        </is>
      </c>
    </row>
    <row r="3">
      <c r="B3" s="2" t="inlineStr">
        <is>
          <t>What was tested, what was found, what is still open. Source: email-chain summary 2026-09-22 + quote 2026-09-28.</t>
        </is>
      </c>
    </row>
    <row r="5" ht="30" customHeight="1">
      <c r="B5" s="3" t="inlineStr">
        <is>
          <t>Attribute</t>
        </is>
      </c>
      <c r="C5" s="3" t="inlineStr">
        <is>
          <t>Status</t>
        </is>
      </c>
      <c r="D5" s="3" t="inlineStr">
        <is>
          <t>Result / detail</t>
        </is>
      </c>
    </row>
    <row r="6" ht="32" customHeight="1">
      <c r="B6" s="32" t="inlineStr">
        <is>
          <t>Capability — 90–95 °C cook</t>
        </is>
      </c>
      <c r="C6" s="34" t="inlineStr">
        <is>
          <t>PROVEN</t>
        </is>
      </c>
      <c r="D6" s="34" t="inlineStr">
        <is>
          <t>Lab batches produced; dissolution achieved</t>
        </is>
      </c>
    </row>
    <row r="7" ht="32" customHeight="1">
      <c r="B7" s="32" t="inlineStr">
        <is>
          <t>Viscosity (primary concern)</t>
        </is>
      </c>
      <c r="C7" s="34" t="inlineStr">
        <is>
          <t>ROOT CAUSE FOUND</t>
        </is>
      </c>
      <c r="D7" s="34" t="inlineStr">
        <is>
          <t>First sample 2,420 cP vs ~1,000 target; dilution to 10.8% solids -&gt; 1,590 cP; cause = elevated solids from water loss during processing; fix = water adjustment at end of mix</t>
        </is>
      </c>
    </row>
    <row r="8" ht="32" customHeight="1">
      <c r="B8" s="32" t="inlineStr">
        <is>
          <t>Agreed fresh-material spec</t>
        </is>
      </c>
      <c r="C8" s="34" t="inlineStr">
        <is>
          <t>LOCKED</t>
        </is>
      </c>
      <c r="D8" s="34" t="inlineStr">
        <is>
          <t>11% total solids; 900–1,100 cP fresh (Brookfield #3, 10 rpm, 25 °C); &lt;2,500 cP ceiling</t>
        </is>
      </c>
    </row>
    <row r="9" ht="32" customHeight="1">
      <c r="B9" s="38" t="inlineStr">
        <is>
          <t>Colour</t>
        </is>
      </c>
      <c r="C9" s="40" t="inlineStr">
        <is>
          <t>NOT A CRITERION</t>
        </is>
      </c>
      <c r="D9" s="40" t="inlineStr">
        <is>
          <t>No formal spec; minor mismatch acceptable</t>
        </is>
      </c>
    </row>
    <row r="10" ht="32" customHeight="1">
      <c r="B10" s="38" t="inlineStr">
        <is>
          <t>Shelf-life study</t>
        </is>
      </c>
      <c r="C10" s="40" t="inlineStr">
        <is>
          <t>REQUESTED</t>
        </is>
      </c>
      <c r="D10" s="40" t="inlineStr">
        <is>
          <t>Viscosity every 3–5 days; trend to usable life (18 vs 30 days matters for batch logistics)</t>
        </is>
      </c>
    </row>
    <row r="11" ht="32" customHeight="1">
      <c r="B11" s="38" t="inlineStr">
        <is>
          <t>Hydrogel compression strength</t>
        </is>
      </c>
      <c r="C11" s="40" t="inlineStr">
        <is>
          <t>PLANNED</t>
        </is>
      </c>
      <c r="D11" s="40" t="inlineStr">
        <is>
          <t>vs current material — must hold on 100% PCI material under block rotation</t>
        </is>
      </c>
    </row>
    <row r="12" ht="32" customHeight="1">
      <c r="B12" s="49" t="inlineStr">
        <is>
          <t>Cleaning / residual film</t>
        </is>
      </c>
      <c r="C12" s="50" t="inlineStr">
        <is>
          <t>OPEN</t>
        </is>
      </c>
      <c r="D12" s="50" t="inlineStr">
        <is>
          <t>Film observed during processing; vinegar partially effective; procedure not final</t>
        </is>
      </c>
    </row>
    <row r="13" ht="32" customHeight="1">
      <c r="B13" s="49" t="inlineStr">
        <is>
          <t>Viscometer method basis</t>
        </is>
      </c>
      <c r="C13" s="50" t="inlineStr">
        <is>
          <t>OPEN</t>
        </is>
      </c>
      <c r="D13" s="50" t="inlineStr">
        <is>
          <t>10 vs 60 rpm, LV vs RV series — all cP comparisons depend on it</t>
        </is>
      </c>
    </row>
    <row r="14" ht="32" customHeight="1">
      <c r="B14" s="32" t="inlineStr">
        <is>
          <t>Commercial — price</t>
        </is>
      </c>
      <c r="C14" s="34" t="inlineStr">
        <is>
          <t>QUOTED</t>
        </is>
      </c>
      <c r="D14" s="34" t="inlineStr">
        <is>
          <t>$3.50/lb at one 5-drum batch; $6.00/lb below a batch</t>
        </is>
      </c>
    </row>
    <row r="15" ht="32" customHeight="1">
      <c r="B15" s="49" t="inlineStr">
        <is>
          <t>Commercial — terms to confirm</t>
        </is>
      </c>
      <c r="C15" s="50" t="inlineStr">
        <is>
          <t>OPEN</t>
        </is>
      </c>
      <c r="D15" s="50" t="inlineStr">
        <is>
          <t>Delivered/all-in? Validity? ~10 batches/yr on a ~5-week rhythm acceptable? Crisis ramp to ~3 batches/month? Resin grade/producer (sub-tier convergence with SNP)?</t>
        </is>
      </c>
    </row>
    <row r="16" ht="32" customHeight="1">
      <c r="B16" s="38" t="inlineStr">
        <is>
          <t>What PCI has invested (unpaid)</t>
        </is>
      </c>
      <c r="C16" s="40" t="inlineStr">
        <is>
          <t>NOTED</t>
        </is>
      </c>
      <c r="D16" s="40" t="inlineStr">
        <is>
          <t>Two+ lab batches, dilution study, method work, revised process — months of engineering on a ~$50k/yr account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M13"/>
  <sheetViews>
    <sheetView workbookViewId="0">
      <selection activeCell="A1" sqref="A1"/>
    </sheetView>
  </sheetViews>
  <sheetFormatPr baseColWidth="8" defaultRowHeight="15"/>
  <cols>
    <col width="8" customWidth="1" min="2" max="2"/>
    <col width="13" customWidth="1" min="3" max="3"/>
    <col width="9" customWidth="1" min="4" max="4"/>
    <col width="12" customWidth="1" min="5" max="5"/>
    <col width="12" customWidth="1" min="6" max="6"/>
    <col width="16" customWidth="1" min="7" max="7"/>
    <col width="18" customWidth="1" min="8" max="8"/>
    <col width="18" customWidth="1" min="9" max="9"/>
    <col width="18" customWidth="1" min="10" max="10"/>
    <col width="14" customWidth="1" min="11" max="11"/>
    <col width="14" customWidth="1" min="12" max="12"/>
    <col width="14" customWidth="1" min="13" max="13"/>
  </cols>
  <sheetData>
    <row r="2">
      <c r="B2" s="1" t="inlineStr">
        <is>
          <t>Five-year cost of Option A</t>
        </is>
      </c>
    </row>
    <row r="3">
      <c r="B3" s="2" t="inlineStr">
        <is>
          <t>Each year the second source gets max(1/3 of demand, 1 drum/week). Premium = share x (PCI price - SNP price) x annual lb; it grows with volume.</t>
        </is>
      </c>
    </row>
    <row r="5" ht="30" customHeight="1">
      <c r="B5" s="3" t="inlineStr">
        <is>
          <t>Year</t>
        </is>
      </c>
      <c r="C5" s="3" t="inlineStr">
        <is>
          <t>Volume (lb)</t>
        </is>
      </c>
      <c r="D5" s="3" t="inlineStr">
        <is>
          <t>Drums</t>
        </is>
      </c>
      <c r="E5" s="3" t="inlineStr">
        <is>
          <t>Effective share</t>
        </is>
      </c>
      <c r="F5" s="3" t="inlineStr">
        <is>
          <t>Drums/wk to PCI</t>
        </is>
      </c>
      <c r="G5" s="3" t="inlineStr">
        <is>
          <t>All-SNP baseline</t>
        </is>
      </c>
      <c r="H5" s="3" t="inlineStr">
        <is>
          <t>Option A @ PCI LOW</t>
        </is>
      </c>
      <c r="I5" s="3" t="inlineStr">
        <is>
          <t>Option A @ PCI MID</t>
        </is>
      </c>
      <c r="J5" s="3" t="inlineStr">
        <is>
          <t>Option A @ PCI HIGH</t>
        </is>
      </c>
      <c r="K5" s="3" t="inlineStr">
        <is>
          <t>Premium LOW</t>
        </is>
      </c>
      <c r="L5" s="3" t="inlineStr">
        <is>
          <t>Premium MID</t>
        </is>
      </c>
      <c r="M5" s="3" t="inlineStr">
        <is>
          <t>Premium HIGH</t>
        </is>
      </c>
    </row>
    <row r="6">
      <c r="B6" s="11" t="n">
        <v>1</v>
      </c>
      <c r="C6" s="12">
        <f>LbWk*Weeks*(1+Growth)^(1-1)</f>
        <v/>
      </c>
      <c r="D6" s="12">
        <f>C6/DrumLb</f>
        <v/>
      </c>
      <c r="E6" s="13">
        <f>MAX(Share,MinDrumsWk*Weeks*DrumLb/C6)</f>
        <v/>
      </c>
      <c r="F6" s="14">
        <f>D6*E6/Weeks</f>
        <v/>
      </c>
      <c r="G6" s="15">
        <f>C6*SNPlb</f>
        <v/>
      </c>
      <c r="H6" s="15">
        <f>C6*(1-E6)*SNPlb+C6*E6*PCIlo</f>
        <v/>
      </c>
      <c r="I6" s="15">
        <f>C6*(1-E6)*SNPlb+C6*E6*PCImid</f>
        <v/>
      </c>
      <c r="J6" s="15">
        <f>C6*(1-E6)*SNPlb+C6*E6*PCIhi</f>
        <v/>
      </c>
      <c r="K6" s="16">
        <f>H6-G6</f>
        <v/>
      </c>
      <c r="L6" s="16">
        <f>I6-G6</f>
        <v/>
      </c>
      <c r="M6" s="16">
        <f>J6-G6</f>
        <v/>
      </c>
    </row>
    <row r="7">
      <c r="B7" s="11" t="n">
        <v>2</v>
      </c>
      <c r="C7" s="12">
        <f>LbWk*Weeks*(1+Growth)^(2-1)</f>
        <v/>
      </c>
      <c r="D7" s="12">
        <f>C7/DrumLb</f>
        <v/>
      </c>
      <c r="E7" s="13">
        <f>MAX(Share,MinDrumsWk*Weeks*DrumLb/C7)</f>
        <v/>
      </c>
      <c r="F7" s="14">
        <f>D7*E7/Weeks</f>
        <v/>
      </c>
      <c r="G7" s="15">
        <f>C7*SNPlb</f>
        <v/>
      </c>
      <c r="H7" s="15">
        <f>C7*(1-E7)*SNPlb+C7*E7*PCIlo</f>
        <v/>
      </c>
      <c r="I7" s="15">
        <f>C7*(1-E7)*SNPlb+C7*E7*PCImid</f>
        <v/>
      </c>
      <c r="J7" s="15">
        <f>C7*(1-E7)*SNPlb+C7*E7*PCIhi</f>
        <v/>
      </c>
      <c r="K7" s="16">
        <f>H7-G7</f>
        <v/>
      </c>
      <c r="L7" s="16">
        <f>I7-G7</f>
        <v/>
      </c>
      <c r="M7" s="16">
        <f>J7-G7</f>
        <v/>
      </c>
    </row>
    <row r="8">
      <c r="B8" s="11" t="n">
        <v>3</v>
      </c>
      <c r="C8" s="12">
        <f>LbWk*Weeks*(1+Growth)^(3-1)</f>
        <v/>
      </c>
      <c r="D8" s="12">
        <f>C8/DrumLb</f>
        <v/>
      </c>
      <c r="E8" s="13">
        <f>MAX(Share,MinDrumsWk*Weeks*DrumLb/C8)</f>
        <v/>
      </c>
      <c r="F8" s="14">
        <f>D8*E8/Weeks</f>
        <v/>
      </c>
      <c r="G8" s="15">
        <f>C8*SNPlb</f>
        <v/>
      </c>
      <c r="H8" s="15">
        <f>C8*(1-E8)*SNPlb+C8*E8*PCIlo</f>
        <v/>
      </c>
      <c r="I8" s="15">
        <f>C8*(1-E8)*SNPlb+C8*E8*PCImid</f>
        <v/>
      </c>
      <c r="J8" s="15">
        <f>C8*(1-E8)*SNPlb+C8*E8*PCIhi</f>
        <v/>
      </c>
      <c r="K8" s="16">
        <f>H8-G8</f>
        <v/>
      </c>
      <c r="L8" s="16">
        <f>I8-G8</f>
        <v/>
      </c>
      <c r="M8" s="16">
        <f>J8-G8</f>
        <v/>
      </c>
    </row>
    <row r="9">
      <c r="B9" s="11" t="n">
        <v>4</v>
      </c>
      <c r="C9" s="12">
        <f>LbWk*Weeks*(1+Growth)^(4-1)</f>
        <v/>
      </c>
      <c r="D9" s="12">
        <f>C9/DrumLb</f>
        <v/>
      </c>
      <c r="E9" s="13">
        <f>MAX(Share,MinDrumsWk*Weeks*DrumLb/C9)</f>
        <v/>
      </c>
      <c r="F9" s="14">
        <f>D9*E9/Weeks</f>
        <v/>
      </c>
      <c r="G9" s="15">
        <f>C9*SNPlb</f>
        <v/>
      </c>
      <c r="H9" s="15">
        <f>C9*(1-E9)*SNPlb+C9*E9*PCIlo</f>
        <v/>
      </c>
      <c r="I9" s="15">
        <f>C9*(1-E9)*SNPlb+C9*E9*PCImid</f>
        <v/>
      </c>
      <c r="J9" s="15">
        <f>C9*(1-E9)*SNPlb+C9*E9*PCIhi</f>
        <v/>
      </c>
      <c r="K9" s="16">
        <f>H9-G9</f>
        <v/>
      </c>
      <c r="L9" s="16">
        <f>I9-G9</f>
        <v/>
      </c>
      <c r="M9" s="16">
        <f>J9-G9</f>
        <v/>
      </c>
    </row>
    <row r="10">
      <c r="B10" s="11" t="n">
        <v>5</v>
      </c>
      <c r="C10" s="12">
        <f>LbWk*Weeks*(1+Growth)^(5-1)</f>
        <v/>
      </c>
      <c r="D10" s="12">
        <f>C10/DrumLb</f>
        <v/>
      </c>
      <c r="E10" s="13">
        <f>MAX(Share,MinDrumsWk*Weeks*DrumLb/C10)</f>
        <v/>
      </c>
      <c r="F10" s="14">
        <f>D10*E10/Weeks</f>
        <v/>
      </c>
      <c r="G10" s="15">
        <f>C10*SNPlb</f>
        <v/>
      </c>
      <c r="H10" s="15">
        <f>C10*(1-E10)*SNPlb+C10*E10*PCIlo</f>
        <v/>
      </c>
      <c r="I10" s="15">
        <f>C10*(1-E10)*SNPlb+C10*E10*PCImid</f>
        <v/>
      </c>
      <c r="J10" s="15">
        <f>C10*(1-E10)*SNPlb+C10*E10*PCIhi</f>
        <v/>
      </c>
      <c r="K10" s="16">
        <f>H10-G10</f>
        <v/>
      </c>
      <c r="L10" s="16">
        <f>I10-G10</f>
        <v/>
      </c>
      <c r="M10" s="16">
        <f>J10-G10</f>
        <v/>
      </c>
    </row>
    <row r="11">
      <c r="B11" s="17" t="inlineStr">
        <is>
          <t>5-yr total</t>
        </is>
      </c>
      <c r="C11" s="18">
        <f>SUM(C6:C10)</f>
        <v/>
      </c>
      <c r="D11" s="18">
        <f>SUM(D6:D10)</f>
        <v/>
      </c>
      <c r="G11" s="19">
        <f>SUM(G6:G10)</f>
        <v/>
      </c>
      <c r="H11" s="19">
        <f>SUM(H6:H10)</f>
        <v/>
      </c>
      <c r="I11" s="19">
        <f>SUM(I6:I10)</f>
        <v/>
      </c>
      <c r="J11" s="19">
        <f>SUM(J6:J10)</f>
        <v/>
      </c>
      <c r="K11" s="19">
        <f>SUM(K6:K10)</f>
        <v/>
      </c>
      <c r="L11" s="19">
        <f>SUM(L6:L10)</f>
        <v/>
      </c>
      <c r="M11" s="19">
        <f>SUM(M6:M10)</f>
        <v/>
      </c>
    </row>
    <row r="13">
      <c r="B13" s="2" t="inlineStr">
        <is>
          <t>Plus one-time qualification cost (Inputs):</t>
        </is>
      </c>
      <c r="G13" s="20">
        <f>QualCost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E24"/>
  <sheetViews>
    <sheetView workbookViewId="0">
      <selection activeCell="A1" sqref="A1"/>
    </sheetView>
  </sheetViews>
  <sheetFormatPr baseColWidth="8" defaultRowHeight="15"/>
  <cols>
    <col width="20" customWidth="1" min="2" max="2"/>
    <col width="26" customWidth="1" min="3" max="3"/>
    <col width="34" customWidth="1" min="4" max="4"/>
    <col width="20" customWidth="1" min="5" max="5"/>
  </cols>
  <sheetData>
    <row r="2">
      <c r="B2" s="1" t="inlineStr">
        <is>
          <t>What drives the premium (Year 1, at the supplier minimum ≈ 1/3)</t>
        </is>
      </c>
    </row>
    <row r="3">
      <c r="B3" s="2" t="inlineStr">
        <is>
          <t>Price is what the market gives us. Share is NOT a free lever: anything below the supplier minimum is not available.</t>
        </is>
      </c>
    </row>
    <row r="5" ht="30" customHeight="1">
      <c r="B5" s="3" t="inlineStr">
        <is>
          <t>2nd-source $/lb</t>
        </is>
      </c>
      <c r="C5" s="3" t="inlineStr">
        <is>
          <t>Basis</t>
        </is>
      </c>
      <c r="D5" s="3" t="inlineStr">
        <is>
          <t>Premium (Year 1)</t>
        </is>
      </c>
      <c r="E5" s="3" t="inlineStr">
        <is>
          <t>x today's PVA spend</t>
        </is>
      </c>
    </row>
    <row r="6">
      <c r="B6" s="21">
        <f>MktLo</f>
        <v/>
      </c>
      <c r="C6" s="22" t="inlineStr">
        <is>
          <t>Market LOW</t>
        </is>
      </c>
      <c r="D6" s="15">
        <f>LbWk*Weeks*EffShare*(B6-SNPlb)</f>
        <v/>
      </c>
      <c r="E6" s="23">
        <f>D6/(LbWk*Weeks*SNPlb)</f>
        <v/>
      </c>
    </row>
    <row r="7">
      <c r="B7" s="21" t="n">
        <v>1</v>
      </c>
      <c r="C7" s="22" t="inlineStr">
        <is>
          <t>Upside case / assumed in July (low)</t>
        </is>
      </c>
      <c r="D7" s="15">
        <f>LbWk*Weeks*EffShare*(B7-SNPlb)</f>
        <v/>
      </c>
      <c r="E7" s="23">
        <f>D7/(LbWk*Weeks*SNPlb)</f>
        <v/>
      </c>
    </row>
    <row r="8">
      <c r="B8" s="21" t="n">
        <v>1.25</v>
      </c>
      <c r="C8" s="22" t="inlineStr">
        <is>
          <t>Upside case / assumed in July (high)</t>
        </is>
      </c>
      <c r="D8" s="15">
        <f>LbWk*Weeks*EffShare*(B8-SNPlb)</f>
        <v/>
      </c>
      <c r="E8" s="23">
        <f>D8/(LbWk*Weeks*SNPlb)</f>
        <v/>
      </c>
    </row>
    <row r="9">
      <c r="B9" s="21">
        <f>MktBase</f>
        <v/>
      </c>
      <c r="C9" s="22" t="inlineStr">
        <is>
          <t>Market BASE</t>
        </is>
      </c>
      <c r="D9" s="15">
        <f>LbWk*Weeks*EffShare*(B9-SNPlb)</f>
        <v/>
      </c>
      <c r="E9" s="23">
        <f>D9/(LbWk*Weeks*SNPlb)</f>
        <v/>
      </c>
    </row>
    <row r="10">
      <c r="B10" s="21" t="n">
        <v>1.5</v>
      </c>
      <c r="C10" s="22" t="inlineStr">
        <is>
          <t>Upside case — trigger price</t>
        </is>
      </c>
      <c r="D10" s="15">
        <f>LbWk*Weeks*EffShare*(B10-SNPlb)</f>
        <v/>
      </c>
      <c r="E10" s="23">
        <f>D10/(LbWk*Weeks*SNPlb)</f>
        <v/>
      </c>
    </row>
    <row r="11">
      <c r="B11" s="21" t="n">
        <v>2</v>
      </c>
      <c r="C11" s="22" t="inlineStr">
        <is>
          <t>Upside case — borderline</t>
        </is>
      </c>
      <c r="D11" s="15">
        <f>LbWk*Weeks*EffShare*(B11-SNPlb)</f>
        <v/>
      </c>
      <c r="E11" s="23">
        <f>D11/(LbWk*Weeks*SNPlb)</f>
        <v/>
      </c>
    </row>
    <row r="12">
      <c r="B12" s="21">
        <f>MktHi</f>
        <v/>
      </c>
      <c r="C12" s="22" t="inlineStr">
        <is>
          <t>Market HIGH</t>
        </is>
      </c>
      <c r="D12" s="15">
        <f>LbWk*Weeks*EffShare*(B12-SNPlb)</f>
        <v/>
      </c>
      <c r="E12" s="23">
        <f>D12/(LbWk*Weeks*SNPlb)</f>
        <v/>
      </c>
    </row>
    <row r="13">
      <c r="B13" s="21">
        <f>PCIlo</f>
        <v/>
      </c>
      <c r="C13" s="22" t="inlineStr">
        <is>
          <t>PCI LOW</t>
        </is>
      </c>
      <c r="D13" s="15">
        <f>LbWk*Weeks*EffShare*(B13-SNPlb)</f>
        <v/>
      </c>
      <c r="E13" s="23">
        <f>D13/(LbWk*Weeks*SNPlb)</f>
        <v/>
      </c>
    </row>
    <row r="14">
      <c r="B14" s="21">
        <f>PCImid</f>
        <v/>
      </c>
      <c r="C14" s="22" t="inlineStr">
        <is>
          <t>PCI MID</t>
        </is>
      </c>
      <c r="D14" s="15">
        <f>LbWk*Weeks*EffShare*(B14-SNPlb)</f>
        <v/>
      </c>
      <c r="E14" s="23">
        <f>D14/(LbWk*Weeks*SNPlb)</f>
        <v/>
      </c>
    </row>
    <row r="15">
      <c r="B15" s="21">
        <f>PCIhi</f>
        <v/>
      </c>
      <c r="C15" s="22" t="inlineStr">
        <is>
          <t>PCI HIGH</t>
        </is>
      </c>
      <c r="D15" s="15">
        <f>LbWk*Weeks*EffShare*(B15-SNPlb)</f>
        <v/>
      </c>
      <c r="E15" s="23">
        <f>D15/(LbWk*Weeks*SNPlb)</f>
        <v/>
      </c>
    </row>
    <row r="16">
      <c r="B16" s="21">
        <f>CJBlb</f>
        <v/>
      </c>
      <c r="C16" s="22" t="inlineStr">
        <is>
          <t>CJB quote (landed)</t>
        </is>
      </c>
      <c r="D16" s="15">
        <f>LbWk*Weeks*EffShare*(B16-SNPlb)</f>
        <v/>
      </c>
      <c r="E16" s="23">
        <f>D16/(LbWk*Weeks*SNPlb)</f>
        <v/>
      </c>
    </row>
    <row r="17" ht="30" customHeight="1">
      <c r="B17" s="3" t="inlineStr">
        <is>
          <t>Share to 2nd source</t>
        </is>
      </c>
      <c r="C17" s="3" t="inlineStr">
        <is>
          <t>Drums/week</t>
        </is>
      </c>
      <c r="D17" s="3" t="inlineStr">
        <is>
          <t>Available?</t>
        </is>
      </c>
      <c r="E17" s="3" t="inlineStr">
        <is>
          <t>Premium @ PCI MID</t>
        </is>
      </c>
    </row>
    <row r="18">
      <c r="B18" s="24" t="n">
        <v>0.05</v>
      </c>
      <c r="C18" s="14">
        <f>LbWk*B18/DrumLb</f>
        <v/>
      </c>
      <c r="D18" s="25">
        <f>IF(C18&gt;=MinDrumsWk,"Yes",IF(B18&gt;=0.3,"Rounds up to the 1-drum minimum","NO — below supplier minimum"))</f>
        <v/>
      </c>
      <c r="E18" s="26">
        <f>IF(B18&gt;=0.3,LbWk*Weeks*MAX(B18,MinShare)*(PCImid-SNPlb),"n/a")</f>
        <v/>
      </c>
    </row>
    <row r="19">
      <c r="B19" s="24" t="n">
        <v>0.1</v>
      </c>
      <c r="C19" s="14">
        <f>LbWk*B19/DrumLb</f>
        <v/>
      </c>
      <c r="D19" s="25">
        <f>IF(C19&gt;=MinDrumsWk,"Yes",IF(B19&gt;=0.3,"Rounds up to the 1-drum minimum","NO — below supplier minimum"))</f>
        <v/>
      </c>
      <c r="E19" s="26">
        <f>IF(B19&gt;=0.3,LbWk*Weeks*MAX(B19,MinShare)*(PCImid-SNPlb),"n/a")</f>
        <v/>
      </c>
    </row>
    <row r="20">
      <c r="B20" s="24" t="n">
        <v>0.2</v>
      </c>
      <c r="C20" s="14">
        <f>LbWk*B20/DrumLb</f>
        <v/>
      </c>
      <c r="D20" s="25">
        <f>IF(C20&gt;=MinDrumsWk,"Yes",IF(B20&gt;=0.3,"Rounds up to the 1-drum minimum","NO — below supplier minimum"))</f>
        <v/>
      </c>
      <c r="E20" s="26">
        <f>IF(B20&gt;=0.3,LbWk*Weeks*MAX(B20,MinShare)*(PCImid-SNPlb),"n/a")</f>
        <v/>
      </c>
    </row>
    <row r="21">
      <c r="B21" s="24" t="n">
        <v>0.3333333333333333</v>
      </c>
      <c r="C21" s="14">
        <f>LbWk*B21/DrumLb</f>
        <v/>
      </c>
      <c r="D21" s="27">
        <f>IF(C21&gt;=MinDrumsWk,"Yes",IF(B21&gt;=0.3,"Rounds up to the 1-drum minimum","NO — below supplier minimum"))</f>
        <v/>
      </c>
      <c r="E21" s="15">
        <f>IF(B21&gt;=0.3,LbWk*Weeks*MAX(B21,MinShare)*(PCImid-SNPlb),"n/a")</f>
        <v/>
      </c>
    </row>
    <row r="22">
      <c r="B22" s="24" t="n">
        <v>0.5</v>
      </c>
      <c r="C22" s="14">
        <f>LbWk*B22/DrumLb</f>
        <v/>
      </c>
      <c r="D22" s="27">
        <f>IF(C22&gt;=MinDrumsWk,"Yes",IF(B22&gt;=0.3,"Rounds up to the 1-drum minimum","NO — below supplier minimum"))</f>
        <v/>
      </c>
      <c r="E22" s="15">
        <f>IF(B22&gt;=0.3,LbWk*Weeks*MAX(B22,MinShare)*(PCImid-SNPlb),"n/a")</f>
        <v/>
      </c>
    </row>
    <row r="24">
      <c r="B24" s="28" t="inlineStr">
        <is>
          <t>This is why there is no 'low-cost insurance' version of Option A: the smallest second source anyone will sell us is one drum a week.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B2:G10"/>
  <sheetViews>
    <sheetView workbookViewId="0">
      <selection activeCell="A1" sqref="A1"/>
    </sheetView>
  </sheetViews>
  <sheetFormatPr baseColWidth="8" defaultRowHeight="15"/>
  <cols>
    <col width="16" customWidth="1" min="2" max="2"/>
    <col width="12" customWidth="1" min="3" max="3"/>
    <col width="20" customWidth="1" min="4" max="4"/>
    <col width="18" customWidth="1" min="5" max="5"/>
    <col width="14" customWidth="1" min="6" max="6"/>
    <col width="18" customWidth="1" min="7" max="7"/>
  </cols>
  <sheetData>
    <row r="2">
      <c r="B2" s="1" t="inlineStr">
        <is>
          <t>If SNP Inc. raises price on the volume it keeps (Year 1, PCI MID)</t>
        </is>
      </c>
    </row>
    <row r="3">
      <c r="B3" s="2" t="inlineStr">
        <is>
          <t>Losing a third of our volume may cost SNP its batch efficiency. A surcharge on the retained ~2/3 compounds the premium.</t>
        </is>
      </c>
    </row>
    <row r="5" ht="30" customHeight="1">
      <c r="B5" s="3" t="inlineStr">
        <is>
          <t>SNP surcharge</t>
        </is>
      </c>
      <c r="C5" s="3" t="inlineStr">
        <is>
          <t>SNP $/lb</t>
        </is>
      </c>
      <c r="D5" s="3" t="inlineStr">
        <is>
          <t>SNP annual (retained)</t>
        </is>
      </c>
      <c r="E5" s="3" t="inlineStr">
        <is>
          <t>PCI annual</t>
        </is>
      </c>
      <c r="F5" s="3" t="inlineStr">
        <is>
          <t>Total</t>
        </is>
      </c>
      <c r="G5" s="3" t="inlineStr">
        <is>
          <t>Premium vs today</t>
        </is>
      </c>
    </row>
    <row r="6">
      <c r="B6" s="24" t="n">
        <v>0</v>
      </c>
      <c r="C6" s="21">
        <f>SNPlb*(1+B6)</f>
        <v/>
      </c>
      <c r="D6" s="15">
        <f>LbWk*Weeks*(1-EffShare)*C6</f>
        <v/>
      </c>
      <c r="E6" s="15">
        <f>LbWk*Weeks*EffShare*PCImid</f>
        <v/>
      </c>
      <c r="F6" s="15">
        <f>D6+E6</f>
        <v/>
      </c>
      <c r="G6" s="15">
        <f>F6-LbWk*Weeks*SNPlb</f>
        <v/>
      </c>
    </row>
    <row r="7">
      <c r="B7" s="24" t="n">
        <v>0.05</v>
      </c>
      <c r="C7" s="21">
        <f>SNPlb*(1+B7)</f>
        <v/>
      </c>
      <c r="D7" s="15">
        <f>LbWk*Weeks*(1-EffShare)*C7</f>
        <v/>
      </c>
      <c r="E7" s="15">
        <f>LbWk*Weeks*EffShare*PCImid</f>
        <v/>
      </c>
      <c r="F7" s="15">
        <f>D7+E7</f>
        <v/>
      </c>
      <c r="G7" s="15">
        <f>F7-LbWk*Weeks*SNPlb</f>
        <v/>
      </c>
    </row>
    <row r="8">
      <c r="B8" s="24" t="n">
        <v>0.1</v>
      </c>
      <c r="C8" s="21">
        <f>SNPlb*(1+B8)</f>
        <v/>
      </c>
      <c r="D8" s="15">
        <f>LbWk*Weeks*(1-EffShare)*C8</f>
        <v/>
      </c>
      <c r="E8" s="15">
        <f>LbWk*Weeks*EffShare*PCImid</f>
        <v/>
      </c>
      <c r="F8" s="15">
        <f>D8+E8</f>
        <v/>
      </c>
      <c r="G8" s="15">
        <f>F8-LbWk*Weeks*SNPlb</f>
        <v/>
      </c>
    </row>
    <row r="9">
      <c r="B9" s="24" t="n">
        <v>0.2</v>
      </c>
      <c r="C9" s="21">
        <f>SNPlb*(1+B9)</f>
        <v/>
      </c>
      <c r="D9" s="15">
        <f>LbWk*Weeks*(1-EffShare)*C9</f>
        <v/>
      </c>
      <c r="E9" s="15">
        <f>LbWk*Weeks*EffShare*PCImid</f>
        <v/>
      </c>
      <c r="F9" s="15">
        <f>D9+E9</f>
        <v/>
      </c>
      <c r="G9" s="15">
        <f>F9-LbWk*Weeks*SNPlb</f>
        <v/>
      </c>
    </row>
    <row r="10">
      <c r="B10" s="24" t="n">
        <v>0.33</v>
      </c>
      <c r="C10" s="21">
        <f>SNPlb*(1+B10)</f>
        <v/>
      </c>
      <c r="D10" s="15">
        <f>LbWk*Weeks*(1-EffShare)*C10</f>
        <v/>
      </c>
      <c r="E10" s="15">
        <f>LbWk*Weeks*EffShare*PCImid</f>
        <v/>
      </c>
      <c r="F10" s="15">
        <f>D10+E10</f>
        <v/>
      </c>
      <c r="G10" s="15">
        <f>F10-LbWk*Weeks*SNPlb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2:G13"/>
  <sheetViews>
    <sheetView workbookViewId="0">
      <selection activeCell="A1" sqref="A1"/>
    </sheetView>
  </sheetViews>
  <sheetFormatPr baseColWidth="8" defaultRowHeight="15"/>
  <cols>
    <col width="24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</cols>
  <sheetData>
    <row r="2">
      <c r="B2" s="1" t="inlineStr">
        <is>
          <t>Is the insurance worth it? Premium vs (probability x avoided loss)</t>
        </is>
      </c>
    </row>
    <row r="3">
      <c r="B3" s="2" t="inlineStr">
        <is>
          <t>Option A is justified only if: annual premium &lt;= P(SNP disruption in a year) x loss the second source would AVOID. ~2/3 of volume is still exposed until PCI can ramp.</t>
        </is>
      </c>
    </row>
    <row r="5" ht="30" customHeight="1">
      <c r="B5" s="3" t="inlineStr">
        <is>
          <t>Option A price case</t>
        </is>
      </c>
      <c r="C5" s="3" t="inlineStr">
        <is>
          <t>Annual premium</t>
        </is>
      </c>
      <c r="D5" s="3" t="inlineStr">
        <is>
          <t>p = 2%</t>
        </is>
      </c>
      <c r="E5" s="3" t="inlineStr">
        <is>
          <t>p = 5%</t>
        </is>
      </c>
      <c r="F5" s="3" t="inlineStr">
        <is>
          <t>p = 10%</t>
        </is>
      </c>
      <c r="G5" s="3" t="inlineStr">
        <is>
          <t>p = 20%</t>
        </is>
      </c>
    </row>
    <row r="6">
      <c r="B6" s="11" t="inlineStr">
        <is>
          <t>PCI LOW $2.50</t>
        </is>
      </c>
      <c r="C6" s="15">
        <f>LbWk*Weeks*EffShare*(PCIlo-SNPlb)</f>
        <v/>
      </c>
      <c r="D6" s="15">
        <f>C6/0.02</f>
        <v/>
      </c>
      <c r="E6" s="15">
        <f>C6/0.05</f>
        <v/>
      </c>
      <c r="F6" s="15">
        <f>C6/0.1</f>
        <v/>
      </c>
      <c r="G6" s="15">
        <f>C6/0.2</f>
        <v/>
      </c>
    </row>
    <row r="7">
      <c r="B7" s="11" t="inlineStr">
        <is>
          <t>PCI MID $3.75</t>
        </is>
      </c>
      <c r="C7" s="15">
        <f>LbWk*Weeks*EffShare*(PCImid-SNPlb)</f>
        <v/>
      </c>
      <c r="D7" s="15">
        <f>C7/0.02</f>
        <v/>
      </c>
      <c r="E7" s="15">
        <f>C7/0.05</f>
        <v/>
      </c>
      <c r="F7" s="15">
        <f>C7/0.1</f>
        <v/>
      </c>
      <c r="G7" s="15">
        <f>C7/0.2</f>
        <v/>
      </c>
    </row>
    <row r="8">
      <c r="B8" s="11" t="inlineStr">
        <is>
          <t>PCI HIGH $5.00</t>
        </is>
      </c>
      <c r="C8" s="15">
        <f>LbWk*Weeks*EffShare*(PCIhi-SNPlb)</f>
        <v/>
      </c>
      <c r="D8" s="15">
        <f>C8/0.02</f>
        <v/>
      </c>
      <c r="E8" s="15">
        <f>C8/0.05</f>
        <v/>
      </c>
      <c r="F8" s="15">
        <f>C8/0.1</f>
        <v/>
      </c>
      <c r="G8" s="15">
        <f>C8/0.2</f>
        <v/>
      </c>
    </row>
    <row r="10">
      <c r="B10" s="2" t="inlineStr">
        <is>
          <t>Read: each cell = the avoided loss an SNP outage would have to cause for the premium to pay off. Compare to Inputs 'Cost of a 6-month SNP Inc. outage'.</t>
        </is>
      </c>
    </row>
    <row r="12">
      <c r="B12" s="17" t="inlineStr">
        <is>
          <t>Expected annual loss with NO second source = Pdis x Dcost:</t>
        </is>
      </c>
      <c r="D12" s="20">
        <f>Pdis*Dcost</f>
        <v/>
      </c>
    </row>
    <row r="13">
      <c r="B13" s="17" t="inlineStr">
        <is>
          <t>Verdict @ PCI MID:</t>
        </is>
      </c>
      <c r="D13">
        <f>IF(D12&gt;=C7,"Option A is justified","Premium exceeds expected loss — Option B")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B2:D13"/>
  <sheetViews>
    <sheetView workbookViewId="0">
      <selection activeCell="A1" sqref="A1"/>
    </sheetView>
  </sheetViews>
  <sheetFormatPr baseColWidth="8" defaultRowHeight="15"/>
  <cols>
    <col width="30" customWidth="1" min="2" max="2"/>
    <col width="42" customWidth="1" min="3" max="3"/>
    <col width="42" customWidth="1" min="4" max="4"/>
  </cols>
  <sheetData>
    <row r="2">
      <c r="B2" s="1" t="inlineStr">
        <is>
          <t>The two options, side by side (Year 1, PCI MID unless noted)</t>
        </is>
      </c>
    </row>
    <row r="3">
      <c r="B3" s="2" t="inlineStr">
        <is>
          <t>There is no smaller version of A: the supplier minimum is one drum a week.</t>
        </is>
      </c>
    </row>
    <row r="5" ht="30" customHeight="1">
      <c r="B5" s="3" t="inlineStr"/>
      <c r="C5" s="3" t="inlineStr">
        <is>
          <t>A — Second source (PCI Manufacturing) at ~1/3</t>
        </is>
      </c>
      <c r="D5" s="3" t="inlineStr">
        <is>
          <t>B — Single source (SNP Inc.) + strengthen</t>
        </is>
      </c>
    </row>
    <row r="6">
      <c r="B6" s="17" t="inlineStr">
        <is>
          <t>Annual purchase cost</t>
        </is>
      </c>
      <c r="C6" s="29">
        <f>LbWk*Weeks*(1-EffShare)*SNPlb+LbWk*Weeks*EffShare*PCImid</f>
        <v/>
      </c>
      <c r="D6" s="29">
        <f>LbWk*Weeks*SNPlb</f>
        <v/>
      </c>
    </row>
    <row r="7">
      <c r="B7" s="17" t="inlineStr">
        <is>
          <t>Premium vs today</t>
        </is>
      </c>
      <c r="C7" s="29">
        <f>B6-LbWk*Weeks*SNPlb</f>
        <v/>
      </c>
      <c r="D7" s="30" t="inlineStr">
        <is>
          <t>0 (+ small continuity spend)</t>
        </is>
      </c>
    </row>
    <row r="8">
      <c r="B8" s="17" t="inlineStr">
        <is>
          <t>One-time qualification</t>
        </is>
      </c>
      <c r="C8" s="29">
        <f>QualCost</f>
        <v/>
      </c>
      <c r="D8" s="30" t="inlineStr">
        <is>
          <t>0 (plan/document only)</t>
        </is>
      </c>
    </row>
    <row r="9">
      <c r="B9" s="17" t="inlineStr">
        <is>
          <t>5-yr premium (10% growth)</t>
        </is>
      </c>
      <c r="C9" s="29">
        <f>'5-Year'!L11</f>
        <v/>
      </c>
      <c r="D9" s="30" t="inlineStr">
        <is>
          <t>0</t>
        </is>
      </c>
    </row>
    <row r="10">
      <c r="B10" s="17" t="inlineStr">
        <is>
          <t>Volume still exposed if SNP fails</t>
        </is>
      </c>
      <c r="C10" s="30" t="inlineStr">
        <is>
          <t>~2/3 (until PCI ramps — unconfirmed)</t>
        </is>
      </c>
      <c r="D10" s="30" t="inlineStr">
        <is>
          <t>100%</t>
        </is>
      </c>
    </row>
    <row r="11">
      <c r="B11" s="17" t="inlineStr">
        <is>
          <t>Time to recover if SNP fails</t>
        </is>
      </c>
      <c r="C11" s="30" t="inlineStr">
        <is>
          <t>weeks (PCI ramp)</t>
        </is>
      </c>
      <c r="D11" s="30" t="inlineStr">
        <is>
          <t>6-12 months cold start; 3-4 with kit current</t>
        </is>
      </c>
    </row>
    <row r="12">
      <c r="B12" s="17" t="inlineStr">
        <is>
          <t>Signal to SNP Inc.</t>
        </is>
      </c>
      <c r="C12" s="30" t="inlineStr">
        <is>
          <t>Lost a third of its volume</t>
        </is>
      </c>
      <c r="D12" s="30" t="inlineStr">
        <is>
          <t>Deeper partnership</t>
        </is>
      </c>
    </row>
    <row r="13">
      <c r="B13" s="17" t="inlineStr">
        <is>
          <t>Compliance posture</t>
        </is>
      </c>
      <c r="C13" s="30" t="inlineStr">
        <is>
          <t>Strong</t>
        </is>
      </c>
      <c r="D13" s="30" t="inlineStr">
        <is>
          <t>Defensible if risk + plan documented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2026-09-22T17:57:25Z</dcterms:created>
  <dcterms:modified xmlns:dcterms="http://purl.org/dc/terms/" xmlns:xsi="http://www.w3.org/2001/XMLSchema-instance" xsi:type="dcterms:W3CDTF">2026-09-28T16:23:56Z</dcterms:modified>
</cp:coreProperties>
</file>