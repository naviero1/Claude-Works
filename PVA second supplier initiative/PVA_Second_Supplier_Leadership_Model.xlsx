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Brenntag (distributor) — trial blends, Nov 2025 onward</t>
        </is>
      </c>
      <c r="C10" s="36" t="inlineStr">
        <is>
          <t>pending</t>
        </is>
      </c>
      <c r="D10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0" s="37" t="inlineStr">
        <is>
          <t>NO QUOTE</t>
        </is>
      </c>
      <c r="F10" s="37" t="inlineStr">
        <is>
          <t>Never met viscosity; no quote</t>
        </is>
      </c>
      <c r="G10" s="37" t="inlineStr">
        <is>
          <t>Sam (Brenntag) emails</t>
        </is>
      </c>
    </row>
    <row r="11">
      <c r="B11" s="60" t="inlineStr">
        <is>
          <t>Market — COMPETITIVE quantity (drum scale, 30–55 gal)</t>
        </is>
      </c>
      <c r="C11" s="61" t="n">
        <v>2.32</v>
      </c>
      <c r="D11" s="62" t="inlineStr">
        <is>
          <t>Inferred from comparable pre-mixed PVA solutions sold today; range 2.20-5.03; n=7</t>
        </is>
      </c>
      <c r="E11" s="62" t="inlineStr">
        <is>
          <t>MARKET STUDY</t>
        </is>
      </c>
      <c r="F11" s="62" t="inlineStr">
        <is>
          <t>Reference — see Market Study tab</t>
        </is>
      </c>
      <c r="G11" s="62" t="inlineStr">
        <is>
          <t>Verified market study 2026-09-28</t>
        </is>
      </c>
    </row>
    <row r="12">
      <c r="B12" s="60" t="inlineStr">
        <is>
          <t>Market — LOW quantity (pints to 5-gal pails)</t>
        </is>
      </c>
      <c r="C12" s="61" t="n">
        <v>4.55</v>
      </c>
      <c r="D12" s="62" t="inlineStr">
        <is>
          <t>Retail/lab packs; range 3.19-5.87; n=32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HIGH quantity (totes / bulk / tonnage)</t>
        </is>
      </c>
      <c r="C13" s="61" t="n">
        <v>1.01</v>
      </c>
      <c r="D13" s="62" t="inlineStr">
        <is>
          <t>Bulk and contract pricing; range 0.28-1.04; n=5. Quality/regulatory context differs.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35" t="inlineStr">
        <is>
          <t>— Superseded / historical references (kept for the record) —</t>
        </is>
      </c>
      <c r="C14" s="36" t="inlineStr"/>
      <c r="D14" s="37" t="inlineStr"/>
      <c r="E14" s="37" t="inlineStr"/>
      <c r="F14" s="37" t="inlineStr"/>
      <c r="G14" s="37" t="inlineStr"/>
    </row>
    <row r="15">
      <c r="B15" s="35" t="inlineStr">
        <is>
          <t>Triangulated market LOW / BASE / HIGH (Sept)</t>
        </is>
      </c>
      <c r="C15" s="36" t="n">
        <v>1.4</v>
      </c>
      <c r="D15" s="37" t="inlineStr">
        <is>
          <t>$0.85 / $1.40 / $2.55 — resin floor + labor build-up + retail ceiling</t>
        </is>
      </c>
      <c r="E15" s="37" t="inlineStr">
        <is>
          <t>TRIANGULATED</t>
        </is>
      </c>
      <c r="F15" s="37" t="inlineStr">
        <is>
          <t>SUPERSEDED by market study</t>
        </is>
      </c>
      <c r="G15" s="37" t="inlineStr">
        <is>
          <t>Market Research tab (cost-scenarios workbook)</t>
        </is>
      </c>
    </row>
    <row r="16">
      <c r="B16" s="35" t="inlineStr">
        <is>
          <t>Material floor</t>
        </is>
      </c>
      <c r="C16" s="36" t="n">
        <v>0.18</v>
      </c>
      <c r="D16" s="37" t="inlineStr">
        <is>
          <t>PVA resin $1.26–1.60/lb x 11% solids = $0.14–0.18 (upper bound plotted)</t>
        </is>
      </c>
      <c r="E16" s="37" t="inlineStr">
        <is>
          <t>DERIVED</t>
        </is>
      </c>
      <c r="F16" s="37" t="inlineStr">
        <is>
          <t>Reference only</t>
        </is>
      </c>
      <c r="G16" s="37" t="inlineStr">
        <is>
          <t>ChemAnalyst / IMARC 2026</t>
        </is>
      </c>
    </row>
    <row r="17">
      <c r="B17" s="38" t="inlineStr">
        <is>
          <t>July 2026 assumption (key performance indicator (KPI) review deck)</t>
        </is>
      </c>
      <c r="C17" s="39" t="n">
        <v>1.125</v>
      </c>
      <c r="D17" s="40" t="inlineStr">
        <is>
          <t>'$1.00–1.25/lb, ~35% share, ~$6–12k/yr insurance'</t>
        </is>
      </c>
      <c r="E17" s="40" t="inlineStr">
        <is>
          <t>ASSUMPTION</t>
        </is>
      </c>
      <c r="F17" s="40" t="inlineStr">
        <is>
          <t>SUPERSEDED by PCI quote</t>
        </is>
      </c>
      <c r="G17" s="40" t="inlineStr">
        <is>
          <t>KPI review deck 2026-07-09</t>
        </is>
      </c>
    </row>
    <row r="18">
      <c r="B18" s="38" t="inlineStr">
        <is>
          <t>Pre-quote forecast (this deck, Sept)</t>
        </is>
      </c>
      <c r="C18" s="39" t="n">
        <v>3.75</v>
      </c>
      <c r="D18" s="40" t="inlineStr">
        <is>
          <t>$2.50 low / $3.75 mid / $5.00 high</t>
        </is>
      </c>
      <c r="E18" s="40" t="inlineStr">
        <is>
          <t>ASSUMPTION</t>
        </is>
      </c>
      <c r="F18" s="40" t="inlineStr">
        <is>
          <t>SUPERSEDED by PCI quote (quote = mid)</t>
        </is>
      </c>
      <c r="G18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2026-09-28T18:01:56Z</dcterms:modified>
</cp:coreProperties>
</file>