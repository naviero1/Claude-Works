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upplier Quotes" sheetId="3" state="visible" r:id="rId3"/>
    <sheet xmlns:r="http://schemas.openxmlformats.org/officeDocument/2006/relationships" name="Market Study" sheetId="4" state="visible" r:id="rId4"/>
    <sheet xmlns:r="http://schemas.openxmlformats.org/officeDocument/2006/relationships" name="PCI Quote Scenarios" sheetId="5" state="visible" r:id="rId5"/>
    <sheet xmlns:r="http://schemas.openxmlformats.org/officeDocument/2006/relationships" name="PCI Experiment" sheetId="6" state="visible" r:id="rId6"/>
    <sheet xmlns:r="http://schemas.openxmlformats.org/officeDocument/2006/relationships" name="5-Year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SNP Re-price" sheetId="9" state="visible" r:id="rId9"/>
    <sheet xmlns:r="http://schemas.openxmlformats.org/officeDocument/2006/relationships" name="Break-even" sheetId="10" state="visible" r:id="rId10"/>
    <sheet xmlns:r="http://schemas.openxmlformats.org/officeDocument/2006/relationships" name="Options" sheetId="11" state="visible" r:id="rId11"/>
  </sheets>
  <definedNames>
    <definedName name="DrumLb">Inputs!$C$6</definedName>
    <definedName name="SNPlb">Inputs!$C$7</definedName>
    <definedName name="LbWk">Inputs!$C$8</definedName>
    <definedName name="Weeks">Inputs!$C$9</definedName>
    <definedName name="Growth">Inputs!$C$10</definedName>
    <definedName name="MinDrumsWk">Inputs!$C$11</definedName>
    <definedName name="MinShare">Inputs!$C$12</definedName>
    <definedName name="Share">Inputs!$C$13</definedName>
    <definedName name="EffShare">Inputs!$C$14</definedName>
    <definedName name="PCIlo">Inputs!$C$15</definedName>
    <definedName name="PCImid">Inputs!$C$16</definedName>
    <definedName name="PCIhi">Inputs!$C$17</definedName>
    <definedName name="MktLo">Inputs!$C$18</definedName>
    <definedName name="MktBase">Inputs!$C$19</definedName>
    <definedName name="MktHi">Inputs!$C$20</definedName>
    <definedName name="CJBlb">Inputs!$C$21</definedName>
    <definedName name="QualCost">Inputs!$C$22</definedName>
    <definedName name="Pdis">Inputs!$C$23</definedName>
    <definedName name="Dcost">Inputs!$C$24</definedName>
    <definedName name="PCIq">Inputs!$C$27</definedName>
    <definedName name="PCIsub">Inputs!$C$28</definedName>
    <definedName name="PCIbatch">Inputs!$C$29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&quot;$&quot;#,##0"/>
    <numFmt numFmtId="167" formatCode="0.0&quot;x&quot;"/>
    <numFmt numFmtId="168" formatCode="0.00&quot;x&quot;"/>
    <numFmt numFmtId="169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595959"/>
      <sz val="9"/>
    </font>
    <font>
      <name val="Arial"/>
      <b val="1"/>
      <color rgb="001F3864"/>
      <sz val="9"/>
    </font>
    <font>
      <name val="Arial"/>
      <b val="1"/>
      <color rgb="001F3864"/>
      <sz val="10"/>
    </font>
    <font>
      <name val="Arial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6DCE5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5" fillId="3" borderId="1" pivotButton="0" quotePrefix="0" xfId="0"/>
    <xf numFmtId="164" fontId="5" fillId="3" borderId="1" pivotButton="0" quotePrefix="0" xfId="0"/>
    <xf numFmtId="9" fontId="5" fillId="3" borderId="1" pivotButton="0" quotePrefix="0" xfId="0"/>
    <xf numFmtId="165" fontId="5" fillId="4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6" fontId="0" fillId="4" borderId="1" pivotButton="0" quotePrefix="0" xfId="0"/>
    <xf numFmtId="0" fontId="5" fillId="0" borderId="0" pivotButton="0" quotePrefix="0" xfId="0"/>
    <xf numFmtId="3" fontId="5" fillId="5" borderId="1" pivotButton="0" quotePrefix="0" xfId="0"/>
    <xf numFmtId="166" fontId="5" fillId="5" borderId="1" pivotButton="0" quotePrefix="0" xfId="0"/>
    <xf numFmtId="166" fontId="0" fillId="0" borderId="0" pivotButton="0" quotePrefix="0" xfId="0"/>
    <xf numFmtId="164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1" pivotButton="0" quotePrefix="0" xfId="0"/>
    <xf numFmtId="0" fontId="0" fillId="6" borderId="1" pivotButton="0" quotePrefix="0" xfId="0"/>
    <xf numFmtId="166" fontId="0" fillId="6" borderId="1" pivotButton="0" quotePrefix="0" xfId="0"/>
    <xf numFmtId="0" fontId="0" fillId="0" borderId="1" pivotButton="0" quotePrefix="0" xfId="0"/>
    <xf numFmtId="0" fontId="7" fillId="0" borderId="0" pivotButton="0" quotePrefix="0" xfId="0"/>
    <xf numFmtId="166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0" pivotButton="0" quotePrefix="0" xfId="0"/>
    <xf numFmtId="0" fontId="5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164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168" fontId="0" fillId="0" borderId="1" pivotButton="0" quotePrefix="0" xfId="0"/>
    <xf numFmtId="0" fontId="5" fillId="8" borderId="1" pivotButton="0" quotePrefix="0" xfId="0"/>
    <xf numFmtId="3" fontId="0" fillId="8" borderId="1" pivotButton="0" quotePrefix="0" xfId="0"/>
    <xf numFmtId="164" fontId="0" fillId="8" borderId="1" pivotButton="0" quotePrefix="0" xfId="0"/>
    <xf numFmtId="166" fontId="0" fillId="8" borderId="1" pivotButton="0" quotePrefix="0" xfId="0"/>
    <xf numFmtId="168" fontId="0" fillId="8" borderId="1" pivotButton="0" quotePrefix="0" xfId="0"/>
    <xf numFmtId="0" fontId="9" fillId="0" borderId="0" pivotButton="0" quotePrefix="0" xfId="0"/>
    <xf numFmtId="169" fontId="0" fillId="0" borderId="1" pivotButton="0" quotePrefix="0" xfId="0"/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3" fontId="4" fillId="0" borderId="1" pivotButton="0" quotePrefix="0" xfId="0"/>
    <xf numFmtId="0" fontId="4" fillId="0" borderId="1" pivotButton="0" quotePrefix="0" xfId="0"/>
    <xf numFmtId="1" fontId="4" fillId="0" borderId="1" pivotButton="0" quotePrefix="0" xfId="0"/>
    <xf numFmtId="166" fontId="4" fillId="0" borderId="1" pivotButton="0" quotePrefix="0" xfId="0"/>
    <xf numFmtId="166" fontId="4" fillId="8" borderId="1" pivotButton="0" quotePrefix="0" xfId="0"/>
    <xf numFmtId="0" fontId="4" fillId="8" borderId="1" pivotButton="0" quotePrefix="0" xfId="0"/>
    <xf numFmtId="9" fontId="4" fillId="0" borderId="1" pivotButton="0" quotePrefix="0" xfId="0"/>
    <xf numFmtId="165" fontId="4" fillId="0" borderId="1" pivotButton="0" quotePrefix="0" xfId="0"/>
    <xf numFmtId="169" fontId="4" fillId="0" borderId="1" pivotButton="0" quotePrefix="0" xfId="0"/>
    <xf numFmtId="0" fontId="5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" fontId="0" fillId="3" borderId="1" pivotButton="0" quotePrefix="0" xfId="0"/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9"/>
  <sheetViews>
    <sheetView workbookViewId="0">
      <selection activeCell="A1" sqref="A1"/>
    </sheetView>
  </sheetViews>
  <sheetFormatPr baseColWidth="8" defaultRowHeight="15"/>
  <cols>
    <col width="58" customWidth="1" min="2" max="2"/>
    <col width="20" customWidth="1" min="3" max="3"/>
    <col width="34" customWidth="1" min="4" max="4"/>
  </cols>
  <sheetData>
    <row r="2">
      <c r="B2" s="1" t="inlineStr">
        <is>
          <t>Summary — the figures on the leadership slides (all formulas; change Inputs and this tab follows)</t>
        </is>
      </c>
    </row>
    <row r="3">
      <c r="B3" s="2" t="inlineStr">
        <is>
          <t>Second source = one-third of demand rounded down to whole 5-drum batches (Year 1: 10 batches = 50 drums = 22,500 lb), identical in every option. Internal hours and one-time costs are on the slides, not here.</t>
        </is>
      </c>
    </row>
    <row r="5" ht="30" customHeight="1">
      <c r="B5" s="3" t="inlineStr">
        <is>
          <t>Figure</t>
        </is>
      </c>
      <c r="C5" s="3" t="inlineStr">
        <is>
          <t>Value</t>
        </is>
      </c>
      <c r="D5" s="3" t="inlineStr">
        <is>
          <t>Where it is used</t>
        </is>
      </c>
    </row>
    <row r="6">
      <c r="B6" s="11" t="inlineStr">
        <is>
          <t>Demand, Year 1 (lb)</t>
        </is>
      </c>
      <c r="C6" s="51">
        <f>LbWk*Weeks</f>
        <v/>
      </c>
      <c r="D6" s="52" t="inlineStr">
        <is>
          <t>Annual-cost slide — identical in every bar</t>
        </is>
      </c>
    </row>
    <row r="7">
      <c r="B7" s="11" t="inlineStr">
        <is>
          <t>Demand, Year 1 (drums)</t>
        </is>
      </c>
      <c r="C7" s="53">
        <f>LbWk*Weeks/DrumLb</f>
        <v/>
      </c>
      <c r="D7" s="52" t="inlineStr">
        <is>
          <t>Annual-cost slide</t>
        </is>
      </c>
    </row>
    <row r="8">
      <c r="B8" s="11" t="inlineStr">
        <is>
          <t>Second source, Year 1 (lb)</t>
        </is>
      </c>
      <c r="C8" s="51">
        <f>EffShare*LbWk*Weeks</f>
        <v/>
      </c>
      <c r="D8" s="52" t="inlineStr">
        <is>
          <t>Annual-cost slide — every option</t>
        </is>
      </c>
    </row>
    <row r="9">
      <c r="B9" s="11" t="inlineStr">
        <is>
          <t>Second source (drums / batches)</t>
        </is>
      </c>
      <c r="C9" s="52">
        <f>ROUND(EffShare*LbWk*Weeks/DrumLb,0)&amp;" drums / "&amp;ROUND(EffShare*LbWk*Weeks/(DrumLb*PCIbatch),0)&amp;" batches of 5"</f>
        <v/>
      </c>
      <c r="D9" s="52" t="inlineStr">
        <is>
          <t>Annual-cost, logistics, options slides</t>
        </is>
      </c>
    </row>
    <row r="10">
      <c r="B10" s="11" t="inlineStr">
        <is>
          <t>All-SNP annual spend (today)</t>
        </is>
      </c>
      <c r="C10" s="54">
        <f>LbWk*Weeks*SNPlb</f>
        <v/>
      </c>
      <c r="D10" s="52" t="inlineStr">
        <is>
          <t>Annual-cost slide</t>
        </is>
      </c>
    </row>
    <row r="11">
      <c r="B11" s="11" t="inlineStr">
        <is>
          <t>SNP Inc. retained spend (2/3) — same in every option</t>
        </is>
      </c>
      <c r="C11" s="54">
        <f>(1-EffShare)*LbWk*Weeks*SNPlb</f>
        <v/>
      </c>
      <c r="D11" s="52" t="inlineStr">
        <is>
          <t>Annual-cost slide</t>
        </is>
      </c>
    </row>
    <row r="12">
      <c r="B12" s="11" t="inlineStr">
        <is>
          <t>Option A annual — PCI $3.50</t>
        </is>
      </c>
      <c r="C12" s="54">
        <f>(1-EffShare)*LbWk*Weeks*SNPlb+EffShare*LbWk*Weeks*PCIq</f>
        <v/>
      </c>
      <c r="D12" s="52" t="inlineStr">
        <is>
          <t>Annual-cost and options slides</t>
        </is>
      </c>
    </row>
    <row r="13">
      <c r="B13" s="42" t="inlineStr">
        <is>
          <t>Premium vs today (Year 1)</t>
        </is>
      </c>
      <c r="C13" s="55">
        <f>B12-B10</f>
        <v/>
      </c>
      <c r="D13" s="56" t="inlineStr">
        <is>
          <t>Annual-cost, chronology, options, recommendation slides</t>
        </is>
      </c>
    </row>
    <row r="14">
      <c r="B14" s="11" t="inlineStr">
        <is>
          <t>Premium as % of today's spend</t>
        </is>
      </c>
      <c r="C14" s="57">
        <f>B13/B10</f>
        <v/>
      </c>
      <c r="D14" s="52" t="inlineStr">
        <is>
          <t>Annual-cost slide</t>
        </is>
      </c>
    </row>
    <row r="15">
      <c r="B15" s="11" t="inlineStr">
        <is>
          <t>Same 1/3 at PCI's below-batch price $6.00</t>
        </is>
      </c>
      <c r="C15" s="54">
        <f>(1-EffShare)*LbWk*Weeks*SNPlb+EffShare*LbWk*Weeks*PCIsub</f>
        <v/>
      </c>
      <c r="D15" s="52" t="inlineStr">
        <is>
          <t>Annual-cost slide</t>
        </is>
      </c>
    </row>
    <row r="16">
      <c r="B16" s="11" t="inlineStr">
        <is>
          <t>Same 1/3 at CJB $8.42 (for scale)</t>
        </is>
      </c>
      <c r="C16" s="54">
        <f>(1-EffShare)*LbWk*Weeks*SNPlb+EffShare*LbWk*Weeks*CJBlb</f>
        <v/>
      </c>
      <c r="D16" s="52" t="inlineStr">
        <is>
          <t>Annual-cost slide</t>
        </is>
      </c>
    </row>
    <row r="17">
      <c r="B17" s="11" t="inlineStr">
        <is>
          <t>Five-year premium at $3.50 (exact third, +10%/yr, undiscounted)</t>
        </is>
      </c>
      <c r="C17" s="54">
        <f>'5-Year'!L11</f>
        <v/>
      </c>
      <c r="D17" s="52" t="inlineStr">
        <is>
          <t>Chronology and options slides</t>
        </is>
      </c>
    </row>
    <row r="18">
      <c r="B18" s="11" t="inlineStr">
        <is>
          <t>Break-even avoided loss @ p = 10%/yr</t>
        </is>
      </c>
      <c r="C18" s="54">
        <f>B13/0.10</f>
        <v/>
      </c>
      <c r="D18" s="52" t="inlineStr">
        <is>
          <t>Recommendation slide</t>
        </is>
      </c>
    </row>
    <row r="19">
      <c r="B19" s="11" t="inlineStr">
        <is>
          <t>Break-even avoided loss @ p = 5%/yr</t>
        </is>
      </c>
      <c r="C19" s="54">
        <f>B13/0.05</f>
        <v/>
      </c>
      <c r="D19" s="52" t="inlineStr">
        <is>
          <t>Recommendation slide</t>
        </is>
      </c>
    </row>
    <row r="20">
      <c r="B20" s="11" t="inlineStr">
        <is>
          <t>Break-even avoided loss @ p = 2%/yr</t>
        </is>
      </c>
      <c r="C20" s="54">
        <f>B13/0.02</f>
        <v/>
      </c>
      <c r="D20" s="52" t="inlineStr">
        <is>
          <t>Appendix</t>
        </is>
      </c>
    </row>
    <row r="21">
      <c r="B21" s="11" t="inlineStr">
        <is>
          <t>One 5-drum batch — cost (gross)</t>
        </is>
      </c>
      <c r="C21" s="54">
        <f>PCIbatch*DrumLb*PCIq</f>
        <v/>
      </c>
      <c r="D21" s="52" t="inlineStr">
        <is>
          <t>Chronology, options, keep-alive, recommendation slides</t>
        </is>
      </c>
    </row>
    <row r="22">
      <c r="B22" s="11" t="inlineStr">
        <is>
          <t>One 5-drum batch — premium over SNP</t>
        </is>
      </c>
      <c r="C22" s="54">
        <f>PCIbatch*DrumLb*(PCIq-SNPlb)</f>
        <v/>
      </c>
      <c r="D22" s="52" t="inlineStr">
        <is>
          <t>Chronology and keep-alive slides</t>
        </is>
      </c>
    </row>
    <row r="23">
      <c r="B23" s="11" t="inlineStr">
        <is>
          <t>One batch as % of annual volume</t>
        </is>
      </c>
      <c r="C23" s="58">
        <f>PCIbatch*DrumLb/(LbWk*Weeks)</f>
        <v/>
      </c>
      <c r="D23" s="52" t="inlineStr">
        <is>
          <t>Chronology and options slides</t>
        </is>
      </c>
    </row>
    <row r="24">
      <c r="B24" s="11" t="inlineStr">
        <is>
          <t>Batch = days of full demand</t>
        </is>
      </c>
      <c r="C24" s="59">
        <f>PCIbatch*DrumLb/(LbWk/7)</f>
        <v/>
      </c>
      <c r="D24" s="52" t="inlineStr">
        <is>
          <t>Logistics slide</t>
        </is>
      </c>
    </row>
    <row r="25">
      <c r="B25" s="11" t="inlineStr">
        <is>
          <t>Cycle at one-third (weeks)</t>
        </is>
      </c>
      <c r="C25" s="59">
        <f>PCIbatch*DrumLb/(LbWk/3)</f>
        <v/>
      </c>
      <c r="D25" s="52" t="inlineStr">
        <is>
          <t>Logistics slide</t>
        </is>
      </c>
    </row>
    <row r="26">
      <c r="B26" s="11" t="inlineStr">
        <is>
          <t>Premium if PCI were $1.50/lb (trigger)</t>
        </is>
      </c>
      <c r="C26" s="54">
        <f>EffShare*LbWk*Weeks*(1.5-SNPlb)</f>
        <v/>
      </c>
      <c r="D26" s="52" t="inlineStr">
        <is>
          <t>Recommendation slide</t>
        </is>
      </c>
    </row>
    <row r="27">
      <c r="B27" s="11" t="inlineStr">
        <is>
          <t>Option 3 — one batch/yr: gross / premium</t>
        </is>
      </c>
      <c r="C27" s="52">
        <f>PCIbatch*DrumLb*PCIq&amp;" / "&amp;PCIbatch*DrumLb*(PCIq-SNPlb)</f>
        <v/>
      </c>
      <c r="D27" s="52" t="inlineStr">
        <is>
          <t>Chronology, options, keep-alive, recommendation slides</t>
        </is>
      </c>
    </row>
    <row r="28">
      <c r="B28" s="11" t="inlineStr">
        <is>
          <t>Option 3 — two batches/yr: gross / premium</t>
        </is>
      </c>
      <c r="C28" s="52">
        <f>2*PCIbatch*DrumLb*PCIq&amp;" / "&amp;2*PCIbatch*DrumLb*(PCIq-SNPlb)</f>
        <v/>
      </c>
      <c r="D28" s="52" t="inlineStr">
        <is>
          <t>Options and keep-alive slides</t>
        </is>
      </c>
    </row>
    <row r="29">
      <c r="B29" s="11" t="inlineStr">
        <is>
          <t>Option 3 — share of volume at 1 / 2 batches</t>
        </is>
      </c>
      <c r="C29" s="52">
        <f>TEXT(PCIbatch*DrumLb/(LbWk*Weeks),"0.0%")&amp;" / "&amp;TEXT(2*PCIbatch*DrumLb/(LbWk*Weeks),"0.0%")</f>
        <v/>
      </c>
      <c r="D29" s="52" t="inlineStr">
        <is>
          <t>Options slide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0"/>
  <sheetViews>
    <sheetView workbookViewId="0">
      <selection activeCell="A1" sqref="A1"/>
    </sheetView>
  </sheetViews>
  <sheetFormatPr baseColWidth="8" defaultRowHeight="15"/>
  <cols>
    <col width="52" customWidth="1" min="2" max="2"/>
    <col width="14" customWidth="1" min="3" max="3"/>
    <col width="78" customWidth="1" min="4" max="4"/>
  </cols>
  <sheetData>
    <row r="2">
      <c r="B2" s="1" t="inlineStr">
        <is>
          <t>Second-Supplier Decision — Inputs</t>
        </is>
      </c>
    </row>
    <row r="3">
      <c r="B3" s="2" t="inlineStr">
        <is>
          <t>Yellow = editable. PVA = polyvinyl alcohol. SNP Inc. = incumbent. PCI Manufacturing = candidate second source. The second source gets the LARGER of 1/3 of demand and its 1-drum/week minimum — or nothing.</t>
        </is>
      </c>
    </row>
    <row r="5" ht="30" customHeight="1">
      <c r="B5" s="3" t="inlineStr">
        <is>
          <t>Input</t>
        </is>
      </c>
      <c r="C5" s="3" t="inlineStr">
        <is>
          <t>Value</t>
        </is>
      </c>
      <c r="D5" s="3" t="inlineStr">
        <is>
          <t>Source / note</t>
        </is>
      </c>
    </row>
    <row r="6">
      <c r="B6" s="4" t="inlineStr">
        <is>
          <t>Drum net weight (lb)</t>
        </is>
      </c>
      <c r="C6" s="5" t="n">
        <v>450</v>
      </c>
      <c r="D6" s="2" t="inlineStr">
        <is>
          <t>Confirmed (SNP Inc.: 1/450-lb drum)</t>
        </is>
      </c>
    </row>
    <row r="7">
      <c r="B7" s="4" t="inlineStr">
        <is>
          <t>SNP Inc. price ($/lb delivered, all-in)</t>
        </is>
      </c>
      <c r="C7" s="6" t="n">
        <v>0.75</v>
      </c>
      <c r="D7" s="2" t="inlineStr">
        <is>
          <t>Real quote — SNP Estimate 012726-1</t>
        </is>
      </c>
    </row>
    <row r="8">
      <c r="B8" s="4" t="inlineStr">
        <is>
          <t>Demand today (lb/week)</t>
        </is>
      </c>
      <c r="C8" s="5" t="n">
        <v>1300</v>
      </c>
      <c r="D8" s="2" t="inlineStr">
        <is>
          <t>Confirmed 2026-06-26</t>
        </is>
      </c>
    </row>
    <row r="9">
      <c r="B9" s="4" t="inlineStr">
        <is>
          <t>Weeks / year</t>
        </is>
      </c>
      <c r="C9" s="5" t="n">
        <v>52</v>
      </c>
      <c r="D9" s="2" t="inlineStr"/>
    </row>
    <row r="10">
      <c r="B10" s="4" t="inlineStr">
        <is>
          <t>Volume growth per year</t>
        </is>
      </c>
      <c r="C10" s="7" t="n">
        <v>0.1</v>
      </c>
      <c r="D10" s="2" t="inlineStr">
        <is>
          <t>Leadership assumption</t>
        </is>
      </c>
    </row>
    <row r="11">
      <c r="B11" s="4" t="inlineStr">
        <is>
          <t>Legacy: pre-quote supplier minimum (drums/week) — superseded by batch pricing (rows 27–29)</t>
        </is>
      </c>
      <c r="C11" s="5" t="n">
        <v>1</v>
      </c>
      <c r="D11" s="2" t="inlineStr">
        <is>
          <t>Kept for history. The real constraint is whole 5-drum batches at $3.50; anything smaller is $6.00/lb.</t>
        </is>
      </c>
    </row>
    <row r="12">
      <c r="B12" s="4" t="inlineStr">
        <is>
          <t xml:space="preserve">  = share of today's demand</t>
        </is>
      </c>
      <c r="C12" s="8">
        <f>MinDrumsWk*DrumLb/LbWk</f>
        <v/>
      </c>
      <c r="D12" s="2" t="inlineStr">
        <is>
          <t>Legacy (34.6%). Not used by any headline figure.</t>
        </is>
      </c>
    </row>
    <row r="13">
      <c r="B13" s="4" t="inlineStr">
        <is>
          <t>Target share of demand (Option A)</t>
        </is>
      </c>
      <c r="C13" s="9" t="n">
        <v>0.3333333333333333</v>
      </c>
      <c r="D13" s="2" t="inlineStr">
        <is>
          <t>One-third of demand is the target share for Option A.</t>
        </is>
      </c>
    </row>
    <row r="14">
      <c r="B14" s="4" t="inlineStr">
        <is>
          <t xml:space="preserve">  = effective share, Year 1</t>
        </is>
      </c>
      <c r="C14" s="8">
        <f>ROUNDDOWN(Share*LbWk*Weeks/(DrumLb*PCIbatch),0)*DrumLb*PCIbatch/(LbWk*Weeks)</f>
        <v/>
      </c>
      <c r="D14" s="2" t="inlineStr">
        <is>
          <t>One-third rounded DOWN to whole 5-drum batches: Year 1 = 10 batches = 50 drums = 22,500 lb = 33.3% — the figure on the slides.</t>
        </is>
      </c>
    </row>
    <row r="15">
      <c r="B15" s="4" t="inlineStr">
        <is>
          <t>PCI price — LOW ($/lb)</t>
        </is>
      </c>
      <c r="C15" s="6" t="n">
        <v>2.5</v>
      </c>
      <c r="D15" s="2" t="inlineStr">
        <is>
          <t>Sensitivity band below the quote</t>
        </is>
      </c>
    </row>
    <row r="16">
      <c r="B16" s="4" t="inlineStr">
        <is>
          <t>PCI price — MID ($/lb)</t>
        </is>
      </c>
      <c r="C16" s="6">
        <f>PCIq</f>
        <v/>
      </c>
      <c r="D16" s="2">
        <f> the real quote (row 27). Every 'MID' figure in the legacy tabs now uses $3.50.</f>
        <v/>
      </c>
    </row>
    <row r="17">
      <c r="B17" s="4" t="inlineStr">
        <is>
          <t>PCI price — HIGH ($/lb)</t>
        </is>
      </c>
      <c r="C17" s="6" t="n">
        <v>5</v>
      </c>
      <c r="D17" s="2" t="inlineStr">
        <is>
          <t>Sensitivity band above the quote</t>
        </is>
      </c>
    </row>
    <row r="18">
      <c r="B18" s="4" t="inlineStr">
        <is>
          <t>Market — HIGH quantity, bulk/tote ($/lb)</t>
        </is>
      </c>
      <c r="C18" s="6" t="n">
        <v>1.01</v>
      </c>
      <c r="D18" s="2" t="inlineStr">
        <is>
          <t>Verified market study 2026-09-28 — comparable pre-mixed PVA solutions; range 0.28-1.04, n=5</t>
        </is>
      </c>
    </row>
    <row r="19">
      <c r="B19" s="4" t="inlineStr">
        <is>
          <t>Market — COMPETITIVE quantity, drum scale ($/lb)</t>
        </is>
      </c>
      <c r="C19" s="6" t="n">
        <v>2.32</v>
      </c>
      <c r="D19" s="2" t="inlineStr">
        <is>
          <t>Verified market study 2026-09-28 — comparable pre-mixed PVA solutions; range 2.20-5.03, n=7</t>
        </is>
      </c>
    </row>
    <row r="20">
      <c r="B20" s="4" t="inlineStr">
        <is>
          <t>Market — LOW quantity, small packs ($/lb)</t>
        </is>
      </c>
      <c r="C20" s="6" t="n">
        <v>4.55</v>
      </c>
      <c r="D20" s="2" t="inlineStr">
        <is>
          <t>Verified market study 2026-09-28 — comparable pre-mixed PVA solutions; range 3.19-5.87, n=32</t>
        </is>
      </c>
    </row>
    <row r="21">
      <c r="B21" s="4" t="inlineStr">
        <is>
          <t>CJB Applied Technologies quote, landed ($/lb) — reference</t>
        </is>
      </c>
      <c r="C21" s="6" t="n">
        <v>8.42</v>
      </c>
      <c r="D21" s="2" t="inlineStr">
        <is>
          <t>$8-8.50 toll excl. materials + $75/drum resin; ~11x SNP</t>
        </is>
      </c>
    </row>
    <row r="22">
      <c r="B22" s="4" t="inlineStr">
        <is>
          <t>One-time qualification cost ($)</t>
        </is>
      </c>
      <c r="C22" s="10" t="n">
        <v>15000</v>
      </c>
      <c r="D22" s="2" t="inlineStr">
        <is>
          <t>PLACEHOLDER — engineering hrs, samples, hydrogel tests, quality agreement. Confirm.</t>
        </is>
      </c>
    </row>
    <row r="23">
      <c r="B23" s="4" t="inlineStr">
        <is>
          <t>Disruption probability per year (for break-even)</t>
        </is>
      </c>
      <c r="C23" s="7" t="n">
        <v>0.05</v>
      </c>
      <c r="D23" s="2" t="inlineStr">
        <is>
          <t>PLACEHOLDER — leadership judgement</t>
        </is>
      </c>
    </row>
    <row r="24">
      <c r="B24" s="4" t="inlineStr">
        <is>
          <t>Cost of a 6-month SNP Inc. outage ($)</t>
        </is>
      </c>
      <c r="C24" s="10" t="n">
        <v>500000</v>
      </c>
      <c r="D24" s="2" t="inlineStr">
        <is>
          <t>PLACEHOLDER — revenue at risk + expedite + line-down. NEEDED FROM FINANCE/OPS.</t>
        </is>
      </c>
    </row>
    <row r="26">
      <c r="B26" s="31" t="inlineStr">
        <is>
          <t>PCI MANUFACTURING — REAL QUOTE (2026-09-28)</t>
        </is>
      </c>
    </row>
    <row r="27">
      <c r="B27" s="4" t="inlineStr">
        <is>
          <t>PCI quoted price — one batch of 5 drums ($/lb)</t>
        </is>
      </c>
      <c r="C27" s="6" t="n">
        <v>3.5</v>
      </c>
      <c r="D27" s="2" t="inlineStr">
        <is>
          <t>Real quote. CONFIRM: delivered? materials, drum, freight included? validity period?</t>
        </is>
      </c>
    </row>
    <row r="28">
      <c r="B28" s="4" t="inlineStr">
        <is>
          <t>PCI price — orders below one batch ($/lb)</t>
        </is>
      </c>
      <c r="C28" s="6" t="n">
        <v>6</v>
      </c>
      <c r="D28" s="2" t="inlineStr">
        <is>
          <t>Real quote. Makes any sub-batch (e.g. 1 drum/week) uneconomic.</t>
        </is>
      </c>
    </row>
    <row r="29">
      <c r="B29" s="4" t="inlineStr">
        <is>
          <t>PCI batch size (drums)</t>
        </is>
      </c>
      <c r="C29" s="5" t="n">
        <v>5</v>
      </c>
      <c r="D29" s="2" t="inlineStr">
        <is>
          <t>One batch = 5 drums = 2,250 lb = ~12 days of full demand</t>
        </is>
      </c>
    </row>
    <row r="30">
      <c r="B30" s="2" t="inlineStr">
        <is>
          <t>The $2.50 / $5.00 rows are kept as a sensitivity band; MID points at the real quote ($3.50), within 7% of the pre-quote mid-case ($3.75).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8"/>
  <sheetViews>
    <sheetView workbookViewId="0">
      <selection activeCell="A1" sqref="A1"/>
    </sheetView>
  </sheetViews>
  <sheetFormatPr baseColWidth="8" defaultRowHeight="15"/>
  <cols>
    <col width="44" customWidth="1" min="2" max="2"/>
    <col width="13" customWidth="1" min="3" max="3"/>
    <col width="58" customWidth="1" min="4" max="4"/>
    <col width="14" customWidth="1" min="5" max="5"/>
    <col width="34" customWidth="1" min="6" max="6"/>
    <col width="30" customWidth="1" min="7" max="7"/>
  </cols>
  <sheetData>
    <row r="2">
      <c r="B2" s="1" t="inlineStr">
        <is>
          <t>All price points on the table — real quotes vs references</t>
        </is>
      </c>
    </row>
    <row r="3">
      <c r="B3" s="2" t="inlineStr">
        <is>
          <t>One place for every $/lb figure used anywhere in the analysis, with its basis. Real quotes in green; references in grey; superseded assumptions in amber.</t>
        </is>
      </c>
    </row>
    <row r="5" ht="30" customHeight="1">
      <c r="B5" s="3" t="inlineStr">
        <is>
          <t>Source</t>
        </is>
      </c>
      <c r="C5" s="3" t="inlineStr">
        <is>
          <t>$/lb finished</t>
        </is>
      </c>
      <c r="D5" s="3" t="inlineStr">
        <is>
          <t>Basis / terms</t>
        </is>
      </c>
      <c r="E5" s="3" t="inlineStr">
        <is>
          <t>Type</t>
        </is>
      </c>
      <c r="F5" s="3" t="inlineStr">
        <is>
          <t>Status</t>
        </is>
      </c>
      <c r="G5" s="3" t="inlineStr">
        <is>
          <t>Date / reference</t>
        </is>
      </c>
    </row>
    <row r="6">
      <c r="B6" s="32" t="inlineStr">
        <is>
          <t>SNP Inc. (Durham, NC) — incumbent</t>
        </is>
      </c>
      <c r="C6" s="33" t="n">
        <v>0.75</v>
      </c>
      <c r="D6" s="34" t="inlineStr">
        <is>
          <t>Delivered, all-in. 1/450-lb drum. ~2.9 drums/week today.</t>
        </is>
      </c>
      <c r="E6" s="34" t="inlineStr">
        <is>
          <t>REAL QUOTE</t>
        </is>
      </c>
      <c r="F6" s="34" t="inlineStr">
        <is>
          <t>Active sole source</t>
        </is>
      </c>
      <c r="G6" s="34" t="inlineStr">
        <is>
          <t>SNP Estimate 012726-1</t>
        </is>
      </c>
    </row>
    <row r="7">
      <c r="B7" s="32" t="inlineStr">
        <is>
          <t>PCI Manufacturing (St. Louis, MO) — one 5-drum batch</t>
        </is>
      </c>
      <c r="C7" s="33" t="n">
        <v>3.5</v>
      </c>
      <c r="D7" s="34" t="inlineStr">
        <is>
          <t>One batch = 5 drums (2,250 lb). Confirm delivered/all-in and validity.</t>
        </is>
      </c>
      <c r="E7" s="34" t="inlineStr">
        <is>
          <t>REAL QUOTE</t>
        </is>
      </c>
      <c r="F7" s="34" t="inlineStr">
        <is>
          <t>Capable — experiment successful; not yet contracted</t>
        </is>
      </c>
      <c r="G7" s="34" t="inlineStr">
        <is>
          <t>2026-09-28</t>
        </is>
      </c>
    </row>
    <row r="8">
      <c r="B8" s="32" t="inlineStr">
        <is>
          <t>PCI Manufacturing — below one batch</t>
        </is>
      </c>
      <c r="C8" s="33" t="n">
        <v>6</v>
      </c>
      <c r="D8" s="34" t="inlineStr">
        <is>
          <t>Any order smaller than 5 drums (e.g. 1 drum/week).</t>
        </is>
      </c>
      <c r="E8" s="34" t="inlineStr">
        <is>
          <t>REAL QUOTE</t>
        </is>
      </c>
      <c r="F8" s="34" t="inlineStr">
        <is>
          <t>Uneconomic version</t>
        </is>
      </c>
      <c r="G8" s="34" t="inlineStr">
        <is>
          <t>2026-09-28</t>
        </is>
      </c>
    </row>
    <row r="9">
      <c r="B9" s="32" t="inlineStr">
        <is>
          <t>CJB Applied Technologies (Valdosta, GA)</t>
        </is>
      </c>
      <c r="C9" s="33" t="n">
        <v>8.42</v>
      </c>
      <c r="D9" s="34" t="inlineStr">
        <is>
          <t>$8.00–8.50/lb toll EXCLUDING materials + ~$75/drum resin = ~$8.42 landed. Their trial would have cost $6,400 (per Oscar, 28 Sep; the email thread recorded a $4,900 qualification fee + $700 x 7 batch credit) — we declined, so their capability was never corroborated.</t>
        </is>
      </c>
      <c r="E9" s="34" t="inlineStr">
        <is>
          <t>REAL QUOTE</t>
        </is>
      </c>
      <c r="F9" s="34" t="inlineStr">
        <is>
          <t>Eliminated on price 2026-08-04 (~11x SNP); trial declined</t>
        </is>
      </c>
      <c r="G9" s="34" t="inlineStr">
        <is>
          <t>CJB email 'RE: mix test'</t>
        </is>
      </c>
    </row>
    <row r="10">
      <c r="B10" s="35" t="inlineStr">
        <is>
          <t>Brenntag (distributor) — trial blends, Nov 2025 onward</t>
        </is>
      </c>
      <c r="C10" s="36" t="inlineStr">
        <is>
          <t>pending</t>
        </is>
      </c>
      <c r="D10" s="37" t="inlineStr">
        <is>
          <t>Tried our formula (125 grade and the requested grade): viscosity above range, unreadable on their viscometer. They stalled; no quote was ever received. Mar 2026: sent us a 125-grade resin sample instead.</t>
        </is>
      </c>
      <c r="E10" s="37" t="inlineStr">
        <is>
          <t>NO QUOTE</t>
        </is>
      </c>
      <c r="F10" s="37" t="inlineStr">
        <is>
          <t>Never met viscosity; no quote</t>
        </is>
      </c>
      <c r="G10" s="37" t="inlineStr">
        <is>
          <t>Sam (Brenntag) emails</t>
        </is>
      </c>
    </row>
    <row r="11">
      <c r="B11" s="60" t="inlineStr">
        <is>
          <t>Market — COMPETITIVE quantity (drum scale, 30–55 gal)</t>
        </is>
      </c>
      <c r="C11" s="61" t="n">
        <v>2.32</v>
      </c>
      <c r="D11" s="62" t="inlineStr">
        <is>
          <t>Inferred from comparable pre-mixed PVA solutions sold today; range 2.20-5.03; n=7</t>
        </is>
      </c>
      <c r="E11" s="62" t="inlineStr">
        <is>
          <t>MARKET STUDY</t>
        </is>
      </c>
      <c r="F11" s="62" t="inlineStr">
        <is>
          <t>Reference — see Market Study tab</t>
        </is>
      </c>
      <c r="G11" s="62" t="inlineStr">
        <is>
          <t>Verified market study 2026-09-28</t>
        </is>
      </c>
    </row>
    <row r="12">
      <c r="B12" s="60" t="inlineStr">
        <is>
          <t>Market — LOW quantity (pints to 5-gal pails)</t>
        </is>
      </c>
      <c r="C12" s="61" t="n">
        <v>4.55</v>
      </c>
      <c r="D12" s="62" t="inlineStr">
        <is>
          <t>Retail/lab packs; range 3.19-5.87; n=32</t>
        </is>
      </c>
      <c r="E12" s="62" t="inlineStr">
        <is>
          <t>MARKET STUDY</t>
        </is>
      </c>
      <c r="F12" s="62" t="inlineStr">
        <is>
          <t>Reference — see Market Study tab</t>
        </is>
      </c>
      <c r="G12" s="62" t="inlineStr">
        <is>
          <t>Verified market study 2026-09-28</t>
        </is>
      </c>
    </row>
    <row r="13">
      <c r="B13" s="60" t="inlineStr">
        <is>
          <t>Market — HIGH quantity (totes / bulk / tonnage)</t>
        </is>
      </c>
      <c r="C13" s="61" t="n">
        <v>1.01</v>
      </c>
      <c r="D13" s="62" t="inlineStr">
        <is>
          <t>Bulk and contract pricing; range 0.28-1.04; n=5. Quality/regulatory context differs.</t>
        </is>
      </c>
      <c r="E13" s="62" t="inlineStr">
        <is>
          <t>MARKET STUDY</t>
        </is>
      </c>
      <c r="F13" s="62" t="inlineStr">
        <is>
          <t>Reference — see Market Study tab</t>
        </is>
      </c>
      <c r="G13" s="62" t="inlineStr">
        <is>
          <t>Verified market study 2026-09-28</t>
        </is>
      </c>
    </row>
    <row r="14">
      <c r="B14" s="35" t="inlineStr">
        <is>
          <t>— Superseded / historical references (kept for the record) —</t>
        </is>
      </c>
      <c r="C14" s="36" t="inlineStr"/>
      <c r="D14" s="37" t="inlineStr"/>
      <c r="E14" s="37" t="inlineStr"/>
      <c r="F14" s="37" t="inlineStr"/>
      <c r="G14" s="37" t="inlineStr"/>
    </row>
    <row r="15">
      <c r="B15" s="35" t="inlineStr">
        <is>
          <t>Triangulated market LOW / BASE / HIGH (Sept)</t>
        </is>
      </c>
      <c r="C15" s="36" t="n">
        <v>1.4</v>
      </c>
      <c r="D15" s="37" t="inlineStr">
        <is>
          <t>$0.85 / $1.40 / $2.55 — resin floor + labor build-up + retail ceiling</t>
        </is>
      </c>
      <c r="E15" s="37" t="inlineStr">
        <is>
          <t>TRIANGULATED</t>
        </is>
      </c>
      <c r="F15" s="37" t="inlineStr">
        <is>
          <t>SUPERSEDED by market study</t>
        </is>
      </c>
      <c r="G15" s="37" t="inlineStr">
        <is>
          <t>Market Research tab (cost-scenarios workbook)</t>
        </is>
      </c>
    </row>
    <row r="16">
      <c r="B16" s="35" t="inlineStr">
        <is>
          <t>Material floor</t>
        </is>
      </c>
      <c r="C16" s="36" t="n">
        <v>0.18</v>
      </c>
      <c r="D16" s="37" t="inlineStr">
        <is>
          <t>PVA resin $1.26–1.60/lb x 11% solids = $0.14–0.18 (upper bound plotted)</t>
        </is>
      </c>
      <c r="E16" s="37" t="inlineStr">
        <is>
          <t>DERIVED</t>
        </is>
      </c>
      <c r="F16" s="37" t="inlineStr">
        <is>
          <t>Reference only</t>
        </is>
      </c>
      <c r="G16" s="37" t="inlineStr">
        <is>
          <t>ChemAnalyst / IMARC 2026</t>
        </is>
      </c>
    </row>
    <row r="17">
      <c r="B17" s="38" t="inlineStr">
        <is>
          <t>July 2026 assumption (key performance indicator (KPI) review deck)</t>
        </is>
      </c>
      <c r="C17" s="39" t="n">
        <v>1.125</v>
      </c>
      <c r="D17" s="40" t="inlineStr">
        <is>
          <t>'$1.00–1.25/lb, ~35% share, ~$6–12k/yr insurance'</t>
        </is>
      </c>
      <c r="E17" s="40" t="inlineStr">
        <is>
          <t>ASSUMPTION</t>
        </is>
      </c>
      <c r="F17" s="40" t="inlineStr">
        <is>
          <t>SUPERSEDED by PCI quote</t>
        </is>
      </c>
      <c r="G17" s="40" t="inlineStr">
        <is>
          <t>KPI review deck 2026-07-09</t>
        </is>
      </c>
    </row>
    <row r="18">
      <c r="B18" s="38" t="inlineStr">
        <is>
          <t>Pre-quote forecast (this deck, Sept)</t>
        </is>
      </c>
      <c r="C18" s="39" t="n">
        <v>3.75</v>
      </c>
      <c r="D18" s="40" t="inlineStr">
        <is>
          <t>$2.50 low / $3.75 mid / $5.00 high</t>
        </is>
      </c>
      <c r="E18" s="40" t="inlineStr">
        <is>
          <t>ASSUMPTION</t>
        </is>
      </c>
      <c r="F18" s="40" t="inlineStr">
        <is>
          <t>SUPERSEDED by PCI quote (quote = mid)</t>
        </is>
      </c>
      <c r="G18" s="40" t="inlineStr">
        <is>
          <t>2026-09-22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83"/>
  <sheetViews>
    <sheetView workbookViewId="0">
      <selection activeCell="A1" sqref="A1"/>
    </sheetView>
  </sheetViews>
  <sheetFormatPr baseColWidth="8" defaultRowHeight="15"/>
  <cols>
    <col width="40" customWidth="1" min="2" max="2"/>
    <col width="22" customWidth="1" min="3" max="3"/>
    <col width="14" customWidth="1" min="4" max="4"/>
    <col width="9" customWidth="1" min="5" max="5"/>
    <col width="14" customWidth="1" min="6" max="6"/>
    <col width="9" customWidth="1" min="7" max="7"/>
    <col width="10" customWidth="1" min="8" max="8"/>
    <col width="9" customWidth="1" min="9" max="9"/>
    <col width="13" customWidth="1" min="10" max="10"/>
    <col width="11" customWidth="1" min="11" max="11"/>
    <col width="60" customWidth="1" min="12" max="12"/>
  </cols>
  <sheetData>
    <row r="2">
      <c r="B2" s="1" t="inlineStr">
        <is>
          <t>Market study — comparable pre-mixed PVA solutions, by quantity tier</t>
        </is>
      </c>
    </row>
    <row r="3">
      <c r="B3" s="2" t="inlineStr">
        <is>
          <t>Every data point verified against its URL; $/lb of SOLUTION (8.5 lb/gal unless weight given). Polyvinyl ALCOHOL only — acetate glues, resin powder and films excluded.</t>
        </is>
      </c>
    </row>
    <row r="5" ht="30" customHeight="1">
      <c r="B5" s="3" t="inlineStr">
        <is>
          <t>Tier</t>
        </is>
      </c>
      <c r="C5" s="3" t="inlineStr">
        <is>
          <t>Recommended $/lb for chart</t>
        </is>
      </c>
      <c r="D5" s="3" t="inlineStr">
        <is>
          <t>Range</t>
        </is>
      </c>
      <c r="E5" s="3" t="inlineStr">
        <is>
          <t>n</t>
        </is>
      </c>
      <c r="F5" s="3" t="inlineStr">
        <is>
          <t>Basis</t>
        </is>
      </c>
    </row>
    <row r="6">
      <c r="B6" s="64" t="inlineStr">
        <is>
          <t>COMPETITIVE quantity — drum scale (30–55 gal)</t>
        </is>
      </c>
      <c r="C6" s="65" t="n">
        <v>2.32</v>
      </c>
      <c r="D6" s="66" t="inlineStr">
        <is>
          <t>2.20-5.03</t>
        </is>
      </c>
      <c r="E6" s="66" t="n">
        <v>7</v>
      </c>
      <c r="F6" s="66" t="inlineStr">
        <is>
          <t>Largest openly priced US trade lot of pre-mixed PVA solution (20 gal, US Composites); 4–20 gal US trade lots n=7, min–max $2.20–5.03; a 55-gal drum can only sit at or below this</t>
        </is>
      </c>
    </row>
    <row r="7">
      <c r="B7" s="64" t="inlineStr">
        <is>
          <t>LOW quantity — pints to 5-gal pails</t>
        </is>
      </c>
      <c r="C7" s="65" t="n">
        <v>4.55</v>
      </c>
      <c r="D7" s="66" t="inlineStr">
        <is>
          <t>3.19-5.87</t>
        </is>
      </c>
      <c r="E7" s="66" t="n">
        <v>32</v>
      </c>
      <c r="F7" s="66" t="inlineStr">
        <is>
          <t>Median of 32 US unit-pack prices (1 gal and smaller) of 7–13% PVA composites-release solutions; whisker = interquartile range; shipping excluded</t>
        </is>
      </c>
    </row>
    <row r="8">
      <c r="B8" s="64" t="inlineStr">
        <is>
          <t>HIGH quantity — totes / bulk / tonnage</t>
        </is>
      </c>
      <c r="C8" s="65" t="n">
        <v>1.01</v>
      </c>
      <c r="D8" s="66" t="inlineStr">
        <is>
          <t>0.28-1.04</t>
        </is>
      </c>
      <c r="E8" s="66" t="n">
        <v>5</v>
      </c>
      <c r="F8" s="66" t="inlineStr">
        <is>
          <t>Median of 5 ton-scale offers (FOB China / ex-works India, 1,000-kg MOQ) before ocean freight, duty and packaging; no US/EU vendor publishes tote pricing</t>
        </is>
      </c>
    </row>
    <row r="11" ht="30" customHeight="1">
      <c r="B11" s="3" t="inlineStr">
        <is>
          <t>Product</t>
        </is>
      </c>
      <c r="C11" s="3" t="inlineStr">
        <is>
          <t>Vendor</t>
        </is>
      </c>
      <c r="D11" s="3" t="inlineStr">
        <is>
          <t>Chemistry</t>
        </is>
      </c>
      <c r="E11" s="3" t="inlineStr">
        <is>
          <t>Solids %</t>
        </is>
      </c>
      <c r="F11" s="3" t="inlineStr">
        <is>
          <t>Pack</t>
        </is>
      </c>
      <c r="G11" s="3" t="inlineStr">
        <is>
          <t>Pack lb</t>
        </is>
      </c>
      <c r="H11" s="3" t="inlineStr">
        <is>
          <t>Price $</t>
        </is>
      </c>
      <c r="I11" s="3" t="inlineStr">
        <is>
          <t>$ / lb</t>
        </is>
      </c>
      <c r="J11" s="3" t="inlineStr">
        <is>
          <t>Tier</t>
        </is>
      </c>
      <c r="K11" s="3" t="inlineStr">
        <is>
          <t>Verdict</t>
        </is>
      </c>
      <c r="L11" s="3" t="inlineStr">
        <is>
          <t>URL</t>
        </is>
      </c>
    </row>
    <row r="12">
      <c r="B12" s="52" t="inlineStr">
        <is>
          <t>Partall PVA Parting Film #10 (PVA-104)</t>
        </is>
      </c>
      <c r="C12" s="52" t="inlineStr">
        <is>
          <t>Merritt Supply</t>
        </is>
      </c>
      <c r="D12" s="52" t="inlineStr">
        <is>
          <t>PVA solution</t>
        </is>
      </c>
      <c r="E12" s="52" t="inlineStr">
        <is>
          <t>7-8%</t>
        </is>
      </c>
      <c r="F12" s="52" t="inlineStr">
        <is>
          <t>1 gal</t>
        </is>
      </c>
      <c r="G12" s="51" t="n">
        <v>7.9</v>
      </c>
      <c r="H12" s="67" t="n">
        <v>17.89</v>
      </c>
      <c r="I12" s="67" t="n">
        <v>2.26</v>
      </c>
      <c r="J12" s="52" t="inlineStr">
        <is>
          <t>LOW</t>
        </is>
      </c>
      <c r="K12" s="52" t="inlineStr">
        <is>
          <t>PLAUSIBLE (captcha-blocked)</t>
        </is>
      </c>
      <c r="L12" s="52" t="inlineStr">
        <is>
          <t>https://merrittsupply.com/product/partall-pva-parting-film-gallon-pn-pva-104/</t>
        </is>
      </c>
    </row>
    <row r="13">
      <c r="B13" s="52" t="inlineStr">
        <is>
          <t>Partall Coverall Film (REXC-CF128)</t>
        </is>
      </c>
      <c r="C13" s="52" t="inlineStr">
        <is>
          <t>US Composites</t>
        </is>
      </c>
      <c r="D13" s="52" t="inlineStr">
        <is>
          <t>PVA solution</t>
        </is>
      </c>
      <c r="E13" s="52" t="inlineStr">
        <is>
          <t>11-13%</t>
        </is>
      </c>
      <c r="F13" s="52" t="inlineStr">
        <is>
          <t>1 gal</t>
        </is>
      </c>
      <c r="G13" s="51" t="n">
        <v>8.5</v>
      </c>
      <c r="H13" s="67" t="n">
        <v>21.5</v>
      </c>
      <c r="I13" s="67" t="n">
        <v>2.53</v>
      </c>
      <c r="J13" s="52" t="inlineStr">
        <is>
          <t>LOW</t>
        </is>
      </c>
      <c r="K13" s="52" t="inlineStr">
        <is>
          <t>CONFIRMED</t>
        </is>
      </c>
      <c r="L13" s="52" t="inlineStr">
        <is>
          <t>https://www.uscomposites.com/moldrelease.html</t>
        </is>
      </c>
    </row>
    <row r="14">
      <c r="B14" s="52" t="inlineStr">
        <is>
          <t>Partall Coverall Film Purple</t>
        </is>
      </c>
      <c r="C14" s="52" t="inlineStr">
        <is>
          <t>Fiberglass Supply Depot</t>
        </is>
      </c>
      <c r="D14" s="52" t="inlineStr">
        <is>
          <t>PVA solution</t>
        </is>
      </c>
      <c r="E14" s="52" t="inlineStr">
        <is>
          <t>11-13%</t>
        </is>
      </c>
      <c r="F14" s="52" t="inlineStr">
        <is>
          <t>1 gal</t>
        </is>
      </c>
      <c r="G14" s="51" t="n">
        <v>8.5</v>
      </c>
      <c r="H14" s="67" t="n">
        <v>21.5</v>
      </c>
      <c r="I14" s="67" t="n">
        <v>2.53</v>
      </c>
      <c r="J14" s="52" t="inlineStr">
        <is>
          <t>LOW</t>
        </is>
      </c>
      <c r="K14" s="52" t="inlineStr">
        <is>
          <t>CONFIRMED</t>
        </is>
      </c>
      <c r="L14" s="52" t="inlineStr">
        <is>
          <t>https://fiberglasssupplydepot.com/Partall-Coverall-Film-Purple.html</t>
        </is>
      </c>
    </row>
    <row r="15">
      <c r="B15" s="52" t="inlineStr">
        <is>
          <t>Partall Coverall Film</t>
        </is>
      </c>
      <c r="C15" s="52" t="inlineStr">
        <is>
          <t>The Engineer Guy</t>
        </is>
      </c>
      <c r="D15" s="52" t="inlineStr">
        <is>
          <t>PVA solution</t>
        </is>
      </c>
      <c r="E15" s="52" t="inlineStr">
        <is>
          <t>11-13%</t>
        </is>
      </c>
      <c r="F15" s="52" t="inlineStr">
        <is>
          <t>1 gal</t>
        </is>
      </c>
      <c r="G15" s="51" t="n">
        <v>8.5</v>
      </c>
      <c r="H15" s="67" t="n">
        <v>22.25</v>
      </c>
      <c r="I15" s="67" t="n">
        <v>2.61</v>
      </c>
      <c r="J15" s="52" t="inlineStr">
        <is>
          <t>LOW</t>
        </is>
      </c>
      <c r="K15" s="52" t="inlineStr">
        <is>
          <t>CONFIRMED</t>
        </is>
      </c>
      <c r="L15" s="52" t="inlineStr">
        <is>
          <t>https://theengineerguy.com/partall-coverall-gallon/</t>
        </is>
      </c>
    </row>
    <row r="16">
      <c r="B16" s="52" t="inlineStr">
        <is>
          <t>Partall Film #10 PVA Green</t>
        </is>
      </c>
      <c r="C16" s="52" t="inlineStr">
        <is>
          <t>The Engineer Guy</t>
        </is>
      </c>
      <c r="D16" s="52" t="inlineStr">
        <is>
          <t>PVA solution</t>
        </is>
      </c>
      <c r="E16" s="52" t="inlineStr">
        <is>
          <t>7-8%</t>
        </is>
      </c>
      <c r="F16" s="52" t="inlineStr">
        <is>
          <t>1 gal</t>
        </is>
      </c>
      <c r="G16" s="51" t="n">
        <v>7.9</v>
      </c>
      <c r="H16" s="67" t="n">
        <v>22.25</v>
      </c>
      <c r="I16" s="67" t="n">
        <v>2.81</v>
      </c>
      <c r="J16" s="52" t="inlineStr">
        <is>
          <t>LOW</t>
        </is>
      </c>
      <c r="K16" s="52" t="inlineStr">
        <is>
          <t>CONFIRMED</t>
        </is>
      </c>
      <c r="L16" s="52" t="inlineStr">
        <is>
          <t>https://theengineerguy.com/partall-film-10-pva-green-gallon/</t>
        </is>
      </c>
    </row>
    <row r="17">
      <c r="B17" s="52" t="inlineStr">
        <is>
          <t>Partall Film #10 (REX-PVA105)</t>
        </is>
      </c>
      <c r="C17" s="52" t="inlineStr">
        <is>
          <t>US Composites</t>
        </is>
      </c>
      <c r="D17" s="52" t="inlineStr">
        <is>
          <t>PVA solution</t>
        </is>
      </c>
      <c r="E17" s="52" t="inlineStr">
        <is>
          <t>7-8%</t>
        </is>
      </c>
      <c r="F17" s="52" t="inlineStr">
        <is>
          <t>1 gal</t>
        </is>
      </c>
      <c r="G17" s="51" t="n">
        <v>7.9</v>
      </c>
      <c r="H17" s="67" t="n">
        <v>22.5</v>
      </c>
      <c r="I17" s="67" t="n">
        <v>2.84</v>
      </c>
      <c r="J17" s="52" t="inlineStr">
        <is>
          <t>LOW</t>
        </is>
      </c>
      <c r="K17" s="52" t="inlineStr">
        <is>
          <t>CONFIRMED</t>
        </is>
      </c>
      <c r="L17" s="52" t="inlineStr">
        <is>
          <t>https://www.uscomposites.com/moldrelease.html</t>
        </is>
      </c>
    </row>
    <row r="18">
      <c r="B18" s="52" t="inlineStr">
        <is>
          <t>Partall Coverall Film (REX-PCF-1G)</t>
        </is>
      </c>
      <c r="C18" s="52" t="inlineStr">
        <is>
          <t>Infinity FRP Supply</t>
        </is>
      </c>
      <c r="D18" s="52" t="inlineStr">
        <is>
          <t>PVA solution</t>
        </is>
      </c>
      <c r="E18" s="52" t="inlineStr">
        <is>
          <t>11-13%</t>
        </is>
      </c>
      <c r="F18" s="52" t="inlineStr">
        <is>
          <t>1 gal</t>
        </is>
      </c>
      <c r="G18" s="51" t="n">
        <v>8.5</v>
      </c>
      <c r="H18" s="67" t="n">
        <v>25</v>
      </c>
      <c r="I18" s="67" t="n">
        <v>2.94</v>
      </c>
      <c r="J18" s="52" t="inlineStr">
        <is>
          <t>LOW</t>
        </is>
      </c>
      <c r="K18" s="52" t="inlineStr">
        <is>
          <t>CONFIRMED</t>
        </is>
      </c>
      <c r="L18" s="52" t="inlineStr">
        <is>
          <t>https://www.infinityfrp.com/partall-coverall-film-1-gallon/</t>
        </is>
      </c>
    </row>
    <row r="19">
      <c r="B19" s="52" t="inlineStr">
        <is>
          <t>Rexco Partall Coverall Film Purple</t>
        </is>
      </c>
      <c r="C19" s="52" t="inlineStr">
        <is>
          <t>Composite Envisions</t>
        </is>
      </c>
      <c r="D19" s="52" t="inlineStr">
        <is>
          <t>PVA solution</t>
        </is>
      </c>
      <c r="E19" s="52" t="inlineStr">
        <is>
          <t>11-13%</t>
        </is>
      </c>
      <c r="F19" s="52" t="inlineStr">
        <is>
          <t>1 gal</t>
        </is>
      </c>
      <c r="G19" s="51" t="n">
        <v>8.5</v>
      </c>
      <c r="H19" s="67" t="n">
        <v>25.95</v>
      </c>
      <c r="I19" s="67" t="n">
        <v>3.05</v>
      </c>
      <c r="J19" s="52" t="inlineStr">
        <is>
          <t>LOW</t>
        </is>
      </c>
      <c r="K19" s="52" t="inlineStr">
        <is>
          <t>CONFIRMED</t>
        </is>
      </c>
      <c r="L19" s="52" t="inlineStr">
        <is>
          <t>https://www.compositeenvisions.com/Rexco-Partall-Coverall-Film-Purple-1-Gal</t>
        </is>
      </c>
    </row>
    <row r="20">
      <c r="B20" s="52" t="inlineStr">
        <is>
          <t>Rexco Partall PVA #10</t>
        </is>
      </c>
      <c r="C20" s="52" t="inlineStr">
        <is>
          <t>Composite Envisions</t>
        </is>
      </c>
      <c r="D20" s="52" t="inlineStr">
        <is>
          <t>PVA solution</t>
        </is>
      </c>
      <c r="E20" s="52" t="inlineStr">
        <is>
          <t>7-8%</t>
        </is>
      </c>
      <c r="F20" s="52" t="inlineStr">
        <is>
          <t>1 gal</t>
        </is>
      </c>
      <c r="G20" s="51" t="n">
        <v>7.9</v>
      </c>
      <c r="H20" s="67" t="n">
        <v>25.67</v>
      </c>
      <c r="I20" s="67" t="n">
        <v>3.24</v>
      </c>
      <c r="J20" s="52" t="inlineStr">
        <is>
          <t>LOW</t>
        </is>
      </c>
      <c r="K20" s="52" t="inlineStr">
        <is>
          <t>CONFIRMED</t>
        </is>
      </c>
      <c r="L20" s="52" t="inlineStr">
        <is>
          <t>https://www.compositeenvisions.com/Rexco-Partall-PVA-10-Spray-On-Mold-Release</t>
        </is>
      </c>
    </row>
    <row r="21">
      <c r="B21" s="52" t="inlineStr">
        <is>
          <t>Partall One-Coat PVA (high-solids, water-based)</t>
        </is>
      </c>
      <c r="C21" s="52" t="inlineStr">
        <is>
          <t>Fiberglass Supply Depot</t>
        </is>
      </c>
      <c r="D21" s="52" t="inlineStr">
        <is>
          <t>PVA solution</t>
        </is>
      </c>
      <c r="E21" s="52" t="inlineStr">
        <is>
          <t>not stated (2-3x std)</t>
        </is>
      </c>
      <c r="F21" s="52" t="inlineStr">
        <is>
          <t>1 gal</t>
        </is>
      </c>
      <c r="G21" s="51" t="n">
        <v>8.5</v>
      </c>
      <c r="H21" s="67" t="n">
        <v>28.99</v>
      </c>
      <c r="I21" s="67" t="n">
        <v>3.41</v>
      </c>
      <c r="J21" s="52" t="inlineStr">
        <is>
          <t>LOW</t>
        </is>
      </c>
      <c r="K21" s="52" t="inlineStr">
        <is>
          <t>CONFIRMED</t>
        </is>
      </c>
      <c r="L21" s="52" t="inlineStr">
        <is>
          <t>https://fiberglasssupplydepot.com/product/partall-r-one-coat-gallon.html</t>
        </is>
      </c>
    </row>
    <row r="22">
      <c r="B22" s="52" t="inlineStr">
        <is>
          <t>Partall Film #10</t>
        </is>
      </c>
      <c r="C22" s="52" t="inlineStr">
        <is>
          <t>Fiberglass Supply Depot</t>
        </is>
      </c>
      <c r="D22" s="52" t="inlineStr">
        <is>
          <t>PVA solution</t>
        </is>
      </c>
      <c r="E22" s="52" t="inlineStr">
        <is>
          <t>7-8%</t>
        </is>
      </c>
      <c r="F22" s="52" t="inlineStr">
        <is>
          <t>1 gal</t>
        </is>
      </c>
      <c r="G22" s="51" t="n">
        <v>7.9</v>
      </c>
      <c r="H22" s="67" t="n">
        <v>28.95</v>
      </c>
      <c r="I22" s="67" t="n">
        <v>3.66</v>
      </c>
      <c r="J22" s="52" t="inlineStr">
        <is>
          <t>LOW</t>
        </is>
      </c>
      <c r="K22" s="52" t="inlineStr">
        <is>
          <t>CONFIRMED</t>
        </is>
      </c>
      <c r="L22" s="52" t="inlineStr">
        <is>
          <t>https://fiberglasssupplydepot.com/product/Partall-Film-10.html</t>
        </is>
      </c>
    </row>
    <row r="23">
      <c r="B23" s="52" t="inlineStr">
        <is>
          <t>Partall Film #10 PVA</t>
        </is>
      </c>
      <c r="C23" s="52" t="inlineStr">
        <is>
          <t>Brick In The Yard</t>
        </is>
      </c>
      <c r="D23" s="52" t="inlineStr">
        <is>
          <t>PVA solution</t>
        </is>
      </c>
      <c r="E23" s="52" t="inlineStr">
        <is>
          <t>7-8%</t>
        </is>
      </c>
      <c r="F23" s="52" t="inlineStr">
        <is>
          <t>1 gal</t>
        </is>
      </c>
      <c r="G23" s="51" t="n">
        <v>7.9</v>
      </c>
      <c r="H23" s="67" t="n">
        <v>29</v>
      </c>
      <c r="I23" s="67" t="n">
        <v>3.66</v>
      </c>
      <c r="J23" s="52" t="inlineStr">
        <is>
          <t>LOW</t>
        </is>
      </c>
      <c r="K23" s="52" t="inlineStr">
        <is>
          <t>CONFIRMED</t>
        </is>
      </c>
      <c r="L23" s="52" t="inlineStr">
        <is>
          <t>https://www.brickintheyard.com/products/partall-film-10-pva-gallon</t>
        </is>
      </c>
    </row>
    <row r="24">
      <c r="B24" s="52" t="inlineStr">
        <is>
          <t>PVA Mold Release (Partall #10)</t>
        </is>
      </c>
      <c r="C24" s="52" t="inlineStr">
        <is>
          <t>FGCI</t>
        </is>
      </c>
      <c r="D24" s="52" t="inlineStr">
        <is>
          <t>PVA solution</t>
        </is>
      </c>
      <c r="E24" s="52" t="inlineStr">
        <is>
          <t>7-8%</t>
        </is>
      </c>
      <c r="F24" s="52" t="inlineStr">
        <is>
          <t>1 gal</t>
        </is>
      </c>
      <c r="G24" s="51" t="n">
        <v>7.9</v>
      </c>
      <c r="H24" s="67" t="n">
        <v>29.99</v>
      </c>
      <c r="I24" s="67" t="n">
        <v>3.79</v>
      </c>
      <c r="J24" s="52" t="inlineStr">
        <is>
          <t>LOW</t>
        </is>
      </c>
      <c r="K24" s="52" t="inlineStr">
        <is>
          <t>CONFIRMED</t>
        </is>
      </c>
      <c r="L24" s="52" t="inlineStr">
        <is>
          <t>https://fgci.com/product/pva-partall-mold-release/</t>
        </is>
      </c>
    </row>
    <row r="25">
      <c r="B25" s="52" t="inlineStr">
        <is>
          <t>Partall Coverall Film (REXC-CF032)</t>
        </is>
      </c>
      <c r="C25" s="52" t="inlineStr">
        <is>
          <t>US Composites</t>
        </is>
      </c>
      <c r="D25" s="52" t="inlineStr">
        <is>
          <t>PVA solution</t>
        </is>
      </c>
      <c r="E25" s="52" t="inlineStr">
        <is>
          <t>11-13%</t>
        </is>
      </c>
      <c r="F25" s="52" t="inlineStr">
        <is>
          <t>1 qt</t>
        </is>
      </c>
      <c r="G25" s="51" t="n">
        <v>2.1</v>
      </c>
      <c r="H25" s="67" t="n">
        <v>8.75</v>
      </c>
      <c r="I25" s="67" t="n">
        <v>4.11</v>
      </c>
      <c r="J25" s="52" t="inlineStr">
        <is>
          <t>LOW</t>
        </is>
      </c>
      <c r="K25" s="52" t="inlineStr">
        <is>
          <t>CONFIRMED</t>
        </is>
      </c>
      <c r="L25" s="52" t="inlineStr">
        <is>
          <t>https://www.uscomposites.com/moldrelease.html</t>
        </is>
      </c>
    </row>
    <row r="26">
      <c r="B26" s="52" t="inlineStr">
        <is>
          <t>Partall Film #10 (PVA10-G)</t>
        </is>
      </c>
      <c r="C26" s="52" t="inlineStr">
        <is>
          <t>Express Composites</t>
        </is>
      </c>
      <c r="D26" s="52" t="inlineStr">
        <is>
          <t>PVA solution</t>
        </is>
      </c>
      <c r="E26" s="52" t="inlineStr">
        <is>
          <t>7-8%</t>
        </is>
      </c>
      <c r="F26" s="52" t="inlineStr">
        <is>
          <t>1 gal</t>
        </is>
      </c>
      <c r="G26" s="51" t="n">
        <v>7.9</v>
      </c>
      <c r="H26" s="67" t="n">
        <v>32.99</v>
      </c>
      <c r="I26" s="67" t="n">
        <v>4.17</v>
      </c>
      <c r="J26" s="52" t="inlineStr">
        <is>
          <t>LOW</t>
        </is>
      </c>
      <c r="K26" s="52" t="inlineStr">
        <is>
          <t>CONFIRMED</t>
        </is>
      </c>
      <c r="L26" s="52" t="inlineStr">
        <is>
          <t>https://www.expresscomposites.com/partall-coverall-pva-release-film-1</t>
        </is>
      </c>
    </row>
    <row r="27">
      <c r="B27" s="52" t="inlineStr">
        <is>
          <t>PVA Partall Film #10 (RA-202-G)</t>
        </is>
      </c>
      <c r="C27" s="52" t="inlineStr">
        <is>
          <t>CST The Composites Store</t>
        </is>
      </c>
      <c r="D27" s="52" t="inlineStr">
        <is>
          <t>PVA solution</t>
        </is>
      </c>
      <c r="E27" s="52" t="inlineStr">
        <is>
          <t>7-8%</t>
        </is>
      </c>
      <c r="F27" s="52" t="inlineStr">
        <is>
          <t>1 gal</t>
        </is>
      </c>
      <c r="G27" s="51" t="n">
        <v>7.9</v>
      </c>
      <c r="H27" s="67" t="n">
        <v>36</v>
      </c>
      <c r="I27" s="67" t="n">
        <v>4.55</v>
      </c>
      <c r="J27" s="52" t="inlineStr">
        <is>
          <t>LOW</t>
        </is>
      </c>
      <c r="K27" s="52" t="inlineStr">
        <is>
          <t>CONFIRMED</t>
        </is>
      </c>
      <c r="L27" s="52" t="inlineStr">
        <is>
          <t>https://www.cstsales.com/a-vacuum-supplies-mold-release.html</t>
        </is>
      </c>
    </row>
    <row r="28">
      <c r="B28" s="52" t="inlineStr">
        <is>
          <t>Partall Film #10 (REX-PVA103)</t>
        </is>
      </c>
      <c r="C28" s="52" t="inlineStr">
        <is>
          <t>US Composites</t>
        </is>
      </c>
      <c r="D28" s="52" t="inlineStr">
        <is>
          <t>PVA solution</t>
        </is>
      </c>
      <c r="E28" s="52" t="inlineStr">
        <is>
          <t>7-8%</t>
        </is>
      </c>
      <c r="F28" s="52" t="inlineStr">
        <is>
          <t>1 qt</t>
        </is>
      </c>
      <c r="G28" s="51" t="n">
        <v>2</v>
      </c>
      <c r="H28" s="67" t="n">
        <v>9</v>
      </c>
      <c r="I28" s="67" t="n">
        <v>4.55</v>
      </c>
      <c r="J28" s="52" t="inlineStr">
        <is>
          <t>LOW</t>
        </is>
      </c>
      <c r="K28" s="52" t="inlineStr">
        <is>
          <t>CONFIRMED</t>
        </is>
      </c>
      <c r="L28" s="52" t="inlineStr">
        <is>
          <t>https://www.uscomposites.com/moldrelease.html</t>
        </is>
      </c>
    </row>
    <row r="29">
      <c r="B29" s="52" t="inlineStr">
        <is>
          <t>#13 PVA Release Film (13-B)</t>
        </is>
      </c>
      <c r="C29" s="52" t="inlineStr">
        <is>
          <t>Fibre Glast</t>
        </is>
      </c>
      <c r="D29" s="52" t="inlineStr">
        <is>
          <t>PVA solution</t>
        </is>
      </c>
      <c r="E29" s="52" t="inlineStr">
        <is>
          <t>not stated (~7-8%)</t>
        </is>
      </c>
      <c r="F29" s="52" t="inlineStr">
        <is>
          <t>1 gal</t>
        </is>
      </c>
      <c r="G29" s="51" t="n">
        <v>7.9</v>
      </c>
      <c r="H29" s="67" t="n">
        <v>36.01</v>
      </c>
      <c r="I29" s="67" t="n">
        <v>4.55</v>
      </c>
      <c r="J29" s="52" t="inlineStr">
        <is>
          <t>LOW</t>
        </is>
      </c>
      <c r="K29" s="52" t="inlineStr">
        <is>
          <t>CONFIRMED</t>
        </is>
      </c>
      <c r="L29" s="52" t="inlineStr">
        <is>
          <t>https://www.fibreglast.com/product/PVA_Release_Film_13</t>
        </is>
      </c>
    </row>
    <row r="30">
      <c r="B30" s="52" t="inlineStr">
        <is>
          <t>Partall Coverall (V208-G)</t>
        </is>
      </c>
      <c r="C30" s="52" t="inlineStr">
        <is>
          <t>CST The Composites Store</t>
        </is>
      </c>
      <c r="D30" s="52" t="inlineStr">
        <is>
          <t>PVA solution</t>
        </is>
      </c>
      <c r="E30" s="52" t="inlineStr">
        <is>
          <t>11-13%</t>
        </is>
      </c>
      <c r="F30" s="52" t="inlineStr">
        <is>
          <t>1 gal</t>
        </is>
      </c>
      <c r="G30" s="51" t="n">
        <v>8.5</v>
      </c>
      <c r="H30" s="67" t="n">
        <v>41.1</v>
      </c>
      <c r="I30" s="67" t="n">
        <v>4.83</v>
      </c>
      <c r="J30" s="52" t="inlineStr">
        <is>
          <t>LOW</t>
        </is>
      </c>
      <c r="K30" s="52" t="inlineStr">
        <is>
          <t>CONFIRMED</t>
        </is>
      </c>
      <c r="L30" s="52" t="inlineStr">
        <is>
          <t>https://www.cstsales.com/a-vacuum-supplies-mold-release.html</t>
        </is>
      </c>
    </row>
    <row r="31">
      <c r="B31" s="52" t="inlineStr">
        <is>
          <t>PVA Release (Partall #10 class)</t>
        </is>
      </c>
      <c r="C31" s="52" t="inlineStr">
        <is>
          <t>Coast Fiber Tek (Canada)</t>
        </is>
      </c>
      <c r="D31" s="52" t="inlineStr">
        <is>
          <t>PVA solution</t>
        </is>
      </c>
      <c r="E31" s="52" t="inlineStr">
        <is>
          <t>~7-8%</t>
        </is>
      </c>
      <c r="F31" s="52" t="inlineStr">
        <is>
          <t>4 L</t>
        </is>
      </c>
      <c r="G31" s="51" t="n">
        <v>8.4</v>
      </c>
      <c r="H31" s="67" t="n">
        <v>43.65</v>
      </c>
      <c r="I31" s="67" t="n">
        <v>5.22</v>
      </c>
      <c r="J31" s="52" t="inlineStr">
        <is>
          <t>LOW</t>
        </is>
      </c>
      <c r="K31" s="52" t="inlineStr">
        <is>
          <t>CONFIRMED</t>
        </is>
      </c>
      <c r="L31" s="52" t="inlineStr">
        <is>
          <t>https://fibertek.ca/products/pva-poly-vinyl-alcohol-release</t>
        </is>
      </c>
    </row>
    <row r="32">
      <c r="B32" s="52" t="inlineStr">
        <is>
          <t>PVA Release Film</t>
        </is>
      </c>
      <c r="C32" s="52" t="inlineStr">
        <is>
          <t>Douglas and Sturgess</t>
        </is>
      </c>
      <c r="D32" s="52" t="inlineStr">
        <is>
          <t>PVA solution</t>
        </is>
      </c>
      <c r="E32" s="52" t="inlineStr">
        <is>
          <t>not stated</t>
        </is>
      </c>
      <c r="F32" s="52" t="inlineStr">
        <is>
          <t>1 gal</t>
        </is>
      </c>
      <c r="G32" s="51" t="n">
        <v>8.5</v>
      </c>
      <c r="H32" s="67" t="n">
        <v>47.5</v>
      </c>
      <c r="I32" s="67" t="n">
        <v>5.59</v>
      </c>
      <c r="J32" s="52" t="inlineStr">
        <is>
          <t>LOW</t>
        </is>
      </c>
      <c r="K32" s="52" t="inlineStr">
        <is>
          <t>CONFIRMED</t>
        </is>
      </c>
      <c r="L32" s="52" t="inlineStr">
        <is>
          <t>https://douglasandsturgess.com/products/p-v-a-5-gallon</t>
        </is>
      </c>
    </row>
    <row r="33">
      <c r="B33" s="52" t="inlineStr">
        <is>
          <t>Partall Parting Film #10</t>
        </is>
      </c>
      <c r="C33" s="52" t="inlineStr">
        <is>
          <t>Fiberglass Site</t>
        </is>
      </c>
      <c r="D33" s="52" t="inlineStr">
        <is>
          <t>PVA solution</t>
        </is>
      </c>
      <c r="E33" s="52" t="inlineStr">
        <is>
          <t>7-8%</t>
        </is>
      </c>
      <c r="F33" s="52" t="inlineStr">
        <is>
          <t>1 gal</t>
        </is>
      </c>
      <c r="G33" s="51" t="n">
        <v>7.9</v>
      </c>
      <c r="H33" s="67" t="n">
        <v>45.95</v>
      </c>
      <c r="I33" s="67" t="n">
        <v>5.8</v>
      </c>
      <c r="J33" s="52" t="inlineStr">
        <is>
          <t>LOW</t>
        </is>
      </c>
      <c r="K33" s="52" t="inlineStr">
        <is>
          <t>CONFIRMED</t>
        </is>
      </c>
      <c r="L33" s="52" t="inlineStr">
        <is>
          <t>https://fiberglasssite.com/partall-parting-film-10-1-gallon-45-95/</t>
        </is>
      </c>
    </row>
    <row r="34">
      <c r="B34" s="52" t="inlineStr">
        <is>
          <t>Partall Film #10</t>
        </is>
      </c>
      <c r="C34" s="52" t="inlineStr">
        <is>
          <t>True Composites</t>
        </is>
      </c>
      <c r="D34" s="52" t="inlineStr">
        <is>
          <t>PVA solution</t>
        </is>
      </c>
      <c r="E34" s="52" t="inlineStr">
        <is>
          <t>7-8%</t>
        </is>
      </c>
      <c r="F34" s="52" t="inlineStr">
        <is>
          <t>1 gal</t>
        </is>
      </c>
      <c r="G34" s="51" t="n">
        <v>7.9</v>
      </c>
      <c r="H34" s="67" t="n">
        <v>45.95</v>
      </c>
      <c r="I34" s="67" t="n">
        <v>5.8</v>
      </c>
      <c r="J34" s="52" t="inlineStr">
        <is>
          <t>LOW</t>
        </is>
      </c>
      <c r="K34" s="52" t="inlineStr">
        <is>
          <t>CONFIRMED</t>
        </is>
      </c>
      <c r="L34" s="52" t="inlineStr">
        <is>
          <t>https://www.truecomposites.com/products/partall-film-10</t>
        </is>
      </c>
    </row>
    <row r="35">
      <c r="B35" s="52" t="inlineStr">
        <is>
          <t>PVA Parting Film (Partall #10)</t>
        </is>
      </c>
      <c r="C35" s="52" t="inlineStr">
        <is>
          <t>Blackburn Marine</t>
        </is>
      </c>
      <c r="D35" s="52" t="inlineStr">
        <is>
          <t>PVA solution</t>
        </is>
      </c>
      <c r="E35" s="52" t="inlineStr">
        <is>
          <t>7-8%</t>
        </is>
      </c>
      <c r="F35" s="52" t="inlineStr">
        <is>
          <t>1 gal inferred</t>
        </is>
      </c>
      <c r="G35" s="51" t="n">
        <v>7.9</v>
      </c>
      <c r="H35" s="67" t="n">
        <v>46</v>
      </c>
      <c r="I35" s="67" t="n">
        <v>5.81</v>
      </c>
      <c r="J35" s="52" t="inlineStr">
        <is>
          <t>LOW</t>
        </is>
      </c>
      <c r="K35" s="52" t="inlineStr">
        <is>
          <t>PLAUSIBLE (size not stated)</t>
        </is>
      </c>
      <c r="L35" s="52" t="inlineStr">
        <is>
          <t>https://www.blackburnmarine.com/product/1669/pva-parting-film</t>
        </is>
      </c>
    </row>
    <row r="36">
      <c r="B36" s="52" t="inlineStr">
        <is>
          <t>Partall #10 PVA (N12-2140)</t>
        </is>
      </c>
      <c r="C36" s="52" t="inlineStr">
        <is>
          <t>Fiberglass Supply</t>
        </is>
      </c>
      <c r="D36" s="52" t="inlineStr">
        <is>
          <t>PVA solution</t>
        </is>
      </c>
      <c r="E36" s="52" t="inlineStr">
        <is>
          <t>7-8%</t>
        </is>
      </c>
      <c r="F36" s="52" t="inlineStr">
        <is>
          <t>1 gal</t>
        </is>
      </c>
      <c r="G36" s="51" t="n">
        <v>7.9</v>
      </c>
      <c r="H36" s="67" t="n">
        <v>48.06</v>
      </c>
      <c r="I36" s="67" t="n">
        <v>6.07</v>
      </c>
      <c r="J36" s="52" t="inlineStr">
        <is>
          <t>LOW</t>
        </is>
      </c>
      <c r="K36" s="52" t="inlineStr">
        <is>
          <t>CONFIRMED</t>
        </is>
      </c>
      <c r="L36" s="52" t="inlineStr">
        <is>
          <t>https://fiberglasssupply.com/one-gallon-bottle-partall-10-pva/</t>
        </is>
      </c>
    </row>
    <row r="37">
      <c r="B37" s="52" t="inlineStr">
        <is>
          <t>Rexco Poly Vinyl Alcohol (RPA-PVA-GL)</t>
        </is>
      </c>
      <c r="C37" s="52" t="inlineStr">
        <is>
          <t>Hamilton Marine</t>
        </is>
      </c>
      <c r="D37" s="52" t="inlineStr">
        <is>
          <t>PVA solution</t>
        </is>
      </c>
      <c r="E37" s="52" t="inlineStr">
        <is>
          <t>7-8%</t>
        </is>
      </c>
      <c r="F37" s="52" t="inlineStr">
        <is>
          <t>1 gal</t>
        </is>
      </c>
      <c r="G37" s="51" t="n">
        <v>7.9</v>
      </c>
      <c r="H37" s="67" t="n">
        <v>48.29</v>
      </c>
      <c r="I37" s="67" t="n">
        <v>6.1</v>
      </c>
      <c r="J37" s="52" t="inlineStr">
        <is>
          <t>LOW</t>
        </is>
      </c>
      <c r="K37" s="52" t="inlineStr">
        <is>
          <t>CONFIRMED</t>
        </is>
      </c>
      <c r="L37" s="52" t="inlineStr">
        <is>
          <t>https://shop.hamiltonmarine.com/products/poly-vinyl-alcohol-pva-gallon-28338.html</t>
        </is>
      </c>
    </row>
    <row r="38">
      <c r="B38" s="52" t="inlineStr">
        <is>
          <t>Partall Film #10</t>
        </is>
      </c>
      <c r="C38" s="52" t="inlineStr">
        <is>
          <t>Fiberglass Warehouse</t>
        </is>
      </c>
      <c r="D38" s="52" t="inlineStr">
        <is>
          <t>PVA solution</t>
        </is>
      </c>
      <c r="E38" s="52" t="inlineStr">
        <is>
          <t>7-8%</t>
        </is>
      </c>
      <c r="F38" s="52" t="inlineStr">
        <is>
          <t>1 gal</t>
        </is>
      </c>
      <c r="G38" s="51" t="n">
        <v>7.9</v>
      </c>
      <c r="H38" s="67" t="n">
        <v>49.95</v>
      </c>
      <c r="I38" s="67" t="n">
        <v>6.31</v>
      </c>
      <c r="J38" s="52" t="inlineStr">
        <is>
          <t>LOW</t>
        </is>
      </c>
      <c r="K38" s="52" t="inlineStr">
        <is>
          <t>CONFIRMED</t>
        </is>
      </c>
      <c r="L38" s="52" t="inlineStr">
        <is>
          <t>https://www.fiberglasswarehouse.com/products/partall-film-10</t>
        </is>
      </c>
    </row>
    <row r="39">
      <c r="B39" s="52" t="inlineStr">
        <is>
          <t>360 PVA Mold Release (LBI-360-G)</t>
        </is>
      </c>
      <c r="C39" s="52" t="inlineStr">
        <is>
          <t>LBI Fiberglass</t>
        </is>
      </c>
      <c r="D39" s="52" t="inlineStr">
        <is>
          <t>PVA solution</t>
        </is>
      </c>
      <c r="E39" s="52" t="inlineStr">
        <is>
          <t>not stated</t>
        </is>
      </c>
      <c r="F39" s="52" t="inlineStr">
        <is>
          <t>1 gal</t>
        </is>
      </c>
      <c r="G39" s="51" t="n">
        <v>8.5</v>
      </c>
      <c r="H39" s="67" t="n">
        <v>60.71</v>
      </c>
      <c r="I39" s="67" t="n">
        <v>7.14</v>
      </c>
      <c r="J39" s="52" t="inlineStr">
        <is>
          <t>LOW</t>
        </is>
      </c>
      <c r="K39" s="52" t="inlineStr">
        <is>
          <t>CONFIRMED</t>
        </is>
      </c>
      <c r="L39" s="52" t="inlineStr">
        <is>
          <t>https://www.lbifiberglass.com/product/360-pva-mold-release-air-barrier/</t>
        </is>
      </c>
    </row>
    <row r="40">
      <c r="B40" s="52" t="inlineStr">
        <is>
          <t>PVA Mold Release (Partall #10)</t>
        </is>
      </c>
      <c r="C40" s="52" t="inlineStr">
        <is>
          <t>Boat Crafters Company</t>
        </is>
      </c>
      <c r="D40" s="52" t="inlineStr">
        <is>
          <t>PVA solution</t>
        </is>
      </c>
      <c r="E40" s="52" t="inlineStr">
        <is>
          <t>7-8%</t>
        </is>
      </c>
      <c r="F40" s="52" t="inlineStr">
        <is>
          <t>1 qt</t>
        </is>
      </c>
      <c r="G40" s="51" t="n">
        <v>2</v>
      </c>
      <c r="H40" s="67" t="n">
        <v>15.89</v>
      </c>
      <c r="I40" s="67" t="n">
        <v>8.029999999999999</v>
      </c>
      <c r="J40" s="52" t="inlineStr">
        <is>
          <t>LOW</t>
        </is>
      </c>
      <c r="K40" s="52" t="inlineStr">
        <is>
          <t>CONFIRMED</t>
        </is>
      </c>
      <c r="L40" s="52" t="inlineStr">
        <is>
          <t>https://boatcrafterscompany.com/products/pva-polyvinyl-alcohol-mold-release-agent</t>
        </is>
      </c>
    </row>
    <row r="41">
      <c r="B41" s="52" t="inlineStr">
        <is>
          <t>PVA 1000 Mold Release (Ark)</t>
        </is>
      </c>
      <c r="C41" s="52" t="inlineStr">
        <is>
          <t>Noah's Marine</t>
        </is>
      </c>
      <c r="D41" s="52" t="inlineStr">
        <is>
          <t>PVA solution</t>
        </is>
      </c>
      <c r="E41" s="52" t="inlineStr">
        <is>
          <t>not stated</t>
        </is>
      </c>
      <c r="F41" s="52" t="inlineStr">
        <is>
          <t>1 gal</t>
        </is>
      </c>
      <c r="G41" s="51" t="n">
        <v>8.5</v>
      </c>
      <c r="H41" s="67" t="n">
        <v>79</v>
      </c>
      <c r="I41" s="67" t="n">
        <v>9.289999999999999</v>
      </c>
      <c r="J41" s="52" t="inlineStr">
        <is>
          <t>LOW</t>
        </is>
      </c>
      <c r="K41" s="52" t="inlineStr">
        <is>
          <t>CONFIRMED</t>
        </is>
      </c>
      <c r="L41" s="52" t="inlineStr">
        <is>
          <t>https://noahsmarine.com/en-us/products/pva-1000-mold-release</t>
        </is>
      </c>
    </row>
    <row r="42">
      <c r="B42" s="52" t="inlineStr">
        <is>
          <t>#13 PVA Release Film qt (01-14813A)</t>
        </is>
      </c>
      <c r="C42" s="52" t="inlineStr">
        <is>
          <t>Aircraft Spruce</t>
        </is>
      </c>
      <c r="D42" s="52" t="inlineStr">
        <is>
          <t>PVA solution</t>
        </is>
      </c>
      <c r="E42" s="52" t="inlineStr">
        <is>
          <t>not stated</t>
        </is>
      </c>
      <c r="F42" s="52" t="inlineStr">
        <is>
          <t>1 qt</t>
        </is>
      </c>
      <c r="G42" s="51" t="n">
        <v>2</v>
      </c>
      <c r="H42" s="67" t="n">
        <v>27.85</v>
      </c>
      <c r="I42" s="67" t="n">
        <v>14.07</v>
      </c>
      <c r="J42" s="52" t="inlineStr">
        <is>
          <t>LOW</t>
        </is>
      </c>
      <c r="K42" s="52" t="inlineStr">
        <is>
          <t>CONFIRMED</t>
        </is>
      </c>
      <c r="L42" s="52" t="inlineStr">
        <is>
          <t>https://www.aircraftspruce.com/catalog/cmpages/moldpva.php</t>
        </is>
      </c>
    </row>
    <row r="43">
      <c r="B43" s="52" t="inlineStr">
        <is>
          <t>TAP PVA Mold Release (Partall #10 MSDS)</t>
        </is>
      </c>
      <c r="C43" s="52" t="inlineStr">
        <is>
          <t>TAP Plastics</t>
        </is>
      </c>
      <c r="D43" s="52" t="inlineStr">
        <is>
          <t>PVA solution</t>
        </is>
      </c>
      <c r="E43" s="52" t="inlineStr">
        <is>
          <t>7-8%</t>
        </is>
      </c>
      <c r="F43" s="52" t="inlineStr">
        <is>
          <t>8 oz</t>
        </is>
      </c>
      <c r="G43" s="51" t="n">
        <v>0.5</v>
      </c>
      <c r="H43" s="67" t="n">
        <v>14.35</v>
      </c>
      <c r="I43" s="67" t="n">
        <v>28.99</v>
      </c>
      <c r="J43" s="52" t="inlineStr">
        <is>
          <t>LOW</t>
        </is>
      </c>
      <c r="K43" s="52" t="inlineStr">
        <is>
          <t>PLAUSIBLE (403; snippet)</t>
        </is>
      </c>
      <c r="L43" s="52" t="inlineStr">
        <is>
          <t>https://www.tapplastics.com/product/fiberglass/mold_releases/tap_pva_mold_release_liquid/67</t>
        </is>
      </c>
    </row>
    <row r="44">
      <c r="B44" s="52" t="inlineStr">
        <is>
          <t>Partall Coverall Film case (REXC-CF400)</t>
        </is>
      </c>
      <c r="C44" s="52" t="inlineStr">
        <is>
          <t>US Composites</t>
        </is>
      </c>
      <c r="D44" s="52" t="inlineStr">
        <is>
          <t>PVA solution</t>
        </is>
      </c>
      <c r="E44" s="52" t="inlineStr">
        <is>
          <t>11-13%</t>
        </is>
      </c>
      <c r="F44" s="52" t="inlineStr">
        <is>
          <t>4 x 1 gal</t>
        </is>
      </c>
      <c r="G44" s="51" t="n">
        <v>34.1</v>
      </c>
      <c r="H44" s="67" t="n">
        <v>75</v>
      </c>
      <c r="I44" s="67" t="n">
        <v>2.2</v>
      </c>
      <c r="J44" s="52" t="inlineStr">
        <is>
          <t>COMPETITIVE (trade case)</t>
        </is>
      </c>
      <c r="K44" s="52" t="inlineStr">
        <is>
          <t>CONFIRMED</t>
        </is>
      </c>
      <c r="L44" s="52" t="inlineStr">
        <is>
          <t>https://www.uscomposites.com/moldrelease.html</t>
        </is>
      </c>
    </row>
    <row r="45">
      <c r="B45" s="52" t="inlineStr">
        <is>
          <t>Partall Film #10, 5 cases (REX-PVA107)</t>
        </is>
      </c>
      <c r="C45" s="52" t="inlineStr">
        <is>
          <t>US Composites</t>
        </is>
      </c>
      <c r="D45" s="52" t="inlineStr">
        <is>
          <t>PVA solution</t>
        </is>
      </c>
      <c r="E45" s="52" t="inlineStr">
        <is>
          <t>7-8%</t>
        </is>
      </c>
      <c r="F45" s="52" t="inlineStr">
        <is>
          <t>20 gal</t>
        </is>
      </c>
      <c r="G45" s="51" t="n">
        <v>158.6</v>
      </c>
      <c r="H45" s="67" t="n">
        <v>368</v>
      </c>
      <c r="I45" s="67" t="n">
        <v>2.32</v>
      </c>
      <c r="J45" s="52" t="inlineStr">
        <is>
          <t>COMPETITIVE</t>
        </is>
      </c>
      <c r="K45" s="52" t="inlineStr">
        <is>
          <t>CONFIRMED</t>
        </is>
      </c>
      <c r="L45" s="52" t="inlineStr">
        <is>
          <t>https://www.uscomposites.com/moldrelease.html</t>
        </is>
      </c>
    </row>
    <row r="46">
      <c r="B46" s="52" t="inlineStr">
        <is>
          <t>Partall Film #10 case (REX-PVA106)</t>
        </is>
      </c>
      <c r="C46" s="52" t="inlineStr">
        <is>
          <t>US Composites</t>
        </is>
      </c>
      <c r="D46" s="52" t="inlineStr">
        <is>
          <t>PVA solution</t>
        </is>
      </c>
      <c r="E46" s="52" t="inlineStr">
        <is>
          <t>7-8%</t>
        </is>
      </c>
      <c r="F46" s="52" t="inlineStr">
        <is>
          <t>4 x 1 gal</t>
        </is>
      </c>
      <c r="G46" s="51" t="n">
        <v>31.7</v>
      </c>
      <c r="H46" s="67" t="n">
        <v>79</v>
      </c>
      <c r="I46" s="67" t="n">
        <v>2.49</v>
      </c>
      <c r="J46" s="52" t="inlineStr">
        <is>
          <t>COMPETITIVE (trade case)</t>
        </is>
      </c>
      <c r="K46" s="52" t="inlineStr">
        <is>
          <t>CONFIRMED</t>
        </is>
      </c>
      <c r="L46" s="52" t="inlineStr">
        <is>
          <t>https://www.uscomposites.com/moldrelease.html</t>
        </is>
      </c>
    </row>
    <row r="47">
      <c r="B47" s="52" t="inlineStr">
        <is>
          <t>Partall Film #10 Green pail</t>
        </is>
      </c>
      <c r="C47" s="52" t="inlineStr">
        <is>
          <t>The Engineer Guy</t>
        </is>
      </c>
      <c r="D47" s="52" t="inlineStr">
        <is>
          <t>PVA solution</t>
        </is>
      </c>
      <c r="E47" s="52" t="inlineStr">
        <is>
          <t>7-8%</t>
        </is>
      </c>
      <c r="F47" s="52" t="inlineStr">
        <is>
          <t>5 gal</t>
        </is>
      </c>
      <c r="G47" s="51" t="n">
        <v>39.6</v>
      </c>
      <c r="H47" s="67" t="n">
        <v>108</v>
      </c>
      <c r="I47" s="67" t="n">
        <v>2.73</v>
      </c>
      <c r="J47" s="52" t="inlineStr">
        <is>
          <t>COMPETITIVE (pail)</t>
        </is>
      </c>
      <c r="K47" s="52" t="inlineStr">
        <is>
          <t>CONFIRMED</t>
        </is>
      </c>
      <c r="L47" s="52" t="inlineStr">
        <is>
          <t>https://theengineerguy.com/partall-film-10-green-5-gallon/</t>
        </is>
      </c>
    </row>
    <row r="48">
      <c r="B48" s="52" t="inlineStr">
        <is>
          <t>#13 PVA Release Film case (13-C)</t>
        </is>
      </c>
      <c r="C48" s="52" t="inlineStr">
        <is>
          <t>Fibre Glast</t>
        </is>
      </c>
      <c r="D48" s="52" t="inlineStr">
        <is>
          <t>PVA solution</t>
        </is>
      </c>
      <c r="E48" s="52" t="inlineStr">
        <is>
          <t>not stated</t>
        </is>
      </c>
      <c r="F48" s="52" t="inlineStr">
        <is>
          <t>4 x 1 gal</t>
        </is>
      </c>
      <c r="G48" s="51" t="n">
        <v>31.7</v>
      </c>
      <c r="H48" s="67" t="n">
        <v>115.78</v>
      </c>
      <c r="I48" s="67" t="n">
        <v>3.65</v>
      </c>
      <c r="J48" s="52" t="inlineStr">
        <is>
          <t>COMPETITIVE (trade case)</t>
        </is>
      </c>
      <c r="K48" s="52" t="inlineStr">
        <is>
          <t>CONFIRMED</t>
        </is>
      </c>
      <c r="L48" s="52" t="inlineStr">
        <is>
          <t>https://www.fibreglast.com/product/PVA_Release_Film_13</t>
        </is>
      </c>
    </row>
    <row r="49">
      <c r="B49" s="52" t="inlineStr">
        <is>
          <t>Partall Coverall case (V208-GC)</t>
        </is>
      </c>
      <c r="C49" s="52" t="inlineStr">
        <is>
          <t>CST The Composites Store</t>
        </is>
      </c>
      <c r="D49" s="52" t="inlineStr">
        <is>
          <t>PVA solution</t>
        </is>
      </c>
      <c r="E49" s="52" t="inlineStr">
        <is>
          <t>11-13%</t>
        </is>
      </c>
      <c r="F49" s="52" t="inlineStr">
        <is>
          <t>4 x 1 gal</t>
        </is>
      </c>
      <c r="G49" s="51" t="n">
        <v>34.1</v>
      </c>
      <c r="H49" s="67" t="n">
        <v>133.9</v>
      </c>
      <c r="I49" s="67" t="n">
        <v>3.93</v>
      </c>
      <c r="J49" s="52" t="inlineStr">
        <is>
          <t>COMPETITIVE (trade case)</t>
        </is>
      </c>
      <c r="K49" s="52" t="inlineStr">
        <is>
          <t>CONFIRMED</t>
        </is>
      </c>
      <c r="L49" s="52" t="inlineStr">
        <is>
          <t>https://www.cstsales.com/a-vacuum-supplies-mold-release.html</t>
        </is>
      </c>
    </row>
    <row r="50">
      <c r="B50" s="52" t="inlineStr">
        <is>
          <t>PVA Release Film pail</t>
        </is>
      </c>
      <c r="C50" s="52" t="inlineStr">
        <is>
          <t>Douglas and Sturgess</t>
        </is>
      </c>
      <c r="D50" s="52" t="inlineStr">
        <is>
          <t>PVA solution</t>
        </is>
      </c>
      <c r="E50" s="52" t="inlineStr">
        <is>
          <t>not stated</t>
        </is>
      </c>
      <c r="F50" s="52" t="inlineStr">
        <is>
          <t>5 gal</t>
        </is>
      </c>
      <c r="G50" s="51" t="n">
        <v>42.5</v>
      </c>
      <c r="H50" s="67" t="n">
        <v>213.75</v>
      </c>
      <c r="I50" s="67" t="n">
        <v>5.03</v>
      </c>
      <c r="J50" s="52" t="inlineStr">
        <is>
          <t>COMPETITIVE (pail)</t>
        </is>
      </c>
      <c r="K50" s="52" t="inlineStr">
        <is>
          <t>CONFIRMED</t>
        </is>
      </c>
      <c r="L50" s="52" t="inlineStr">
        <is>
          <t>https://douglasandsturgess.com/products/p-v-a-5-gallon</t>
        </is>
      </c>
    </row>
    <row r="51">
      <c r="B51" s="52" t="inlineStr">
        <is>
          <t>PVA Solution, paper/textile, liquid</t>
        </is>
      </c>
      <c r="C51" s="52" t="inlineStr">
        <is>
          <t>Rci Specialities (Erode, India)</t>
        </is>
      </c>
      <c r="D51" s="52" t="inlineStr">
        <is>
          <t>PVA solution</t>
        </is>
      </c>
      <c r="E51" s="52" t="inlineStr">
        <is>
          <t>not stated</t>
        </is>
      </c>
      <c r="F51" s="52" t="inlineStr">
        <is>
          <t>30/50/200 L barrels</t>
        </is>
      </c>
      <c r="G51" s="51" t="n"/>
      <c r="H51" s="67" t="n"/>
      <c r="I51" s="67" t="n">
        <v>0.19</v>
      </c>
      <c r="J51" s="52" t="inlineStr">
        <is>
          <t>COMPETITIVE (offshore, ex-works)</t>
        </is>
      </c>
      <c r="K51" s="52" t="inlineStr">
        <is>
          <t>CONFIRMED</t>
        </is>
      </c>
      <c r="L51" s="52" t="inlineStr">
        <is>
          <t>https://www.indiamart.com/proddetail/polyvinyl-alcohol-solution-22413495597.html</t>
        </is>
      </c>
    </row>
    <row r="52">
      <c r="B52" s="52" t="inlineStr">
        <is>
          <t>PVA Solution Chemical, technical grade</t>
        </is>
      </c>
      <c r="C52" s="52" t="inlineStr">
        <is>
          <t>Pexi Chem (Gujarat, India)</t>
        </is>
      </c>
      <c r="D52" s="52" t="inlineStr">
        <is>
          <t>PVA solution</t>
        </is>
      </c>
      <c r="E52" s="52" t="inlineStr">
        <is>
          <t>not stated</t>
        </is>
      </c>
      <c r="F52" s="52" t="inlineStr">
        <is>
          <t>50 kg drum, MOQ 100 kg</t>
        </is>
      </c>
      <c r="G52" s="51" t="n"/>
      <c r="H52" s="67" t="n"/>
      <c r="I52" s="67" t="n">
        <v>0.24</v>
      </c>
      <c r="J52" s="52" t="inlineStr">
        <is>
          <t>COMPETITIVE (offshore)</t>
        </is>
      </c>
      <c r="K52" s="52" t="inlineStr">
        <is>
          <t>CONFIRMED</t>
        </is>
      </c>
      <c r="L52" s="52" t="inlineStr">
        <is>
          <t>https://www.pexichem.in/pva-solution-chemical.html</t>
        </is>
      </c>
    </row>
    <row r="53">
      <c r="B53" s="52" t="inlineStr">
        <is>
          <t>PVA Liquid, industrial grade 99%</t>
        </is>
      </c>
      <c r="C53" s="52" t="inlineStr">
        <is>
          <t>Colour Plus Organics (Surat, India)</t>
        </is>
      </c>
      <c r="D53" s="52" t="inlineStr">
        <is>
          <t>PVA solution</t>
        </is>
      </c>
      <c r="E53" s="52" t="inlineStr">
        <is>
          <t>not stated</t>
        </is>
      </c>
      <c r="F53" s="52" t="inlineStr">
        <is>
          <t>50 kg drum</t>
        </is>
      </c>
      <c r="G53" s="51" t="n"/>
      <c r="H53" s="67" t="n"/>
      <c r="I53" s="67" t="n">
        <v>0.28</v>
      </c>
      <c r="J53" s="52" t="inlineStr">
        <is>
          <t>COMPETITIVE (offshore)</t>
        </is>
      </c>
      <c r="K53" s="52" t="inlineStr">
        <is>
          <t>CONFIRMED</t>
        </is>
      </c>
      <c r="L53" s="52" t="inlineStr">
        <is>
          <t>https://dir.indiamart.com/impcat/polyvinyl-alcohol/physical-state-liquid-q15654957/</t>
        </is>
      </c>
    </row>
    <row r="54">
      <c r="B54" s="52" t="inlineStr">
        <is>
          <t>PVA Solution</t>
        </is>
      </c>
      <c r="C54" s="52" t="inlineStr">
        <is>
          <t>Hari Om Polymers (Mumbai)</t>
        </is>
      </c>
      <c r="D54" s="52" t="inlineStr">
        <is>
          <t>PVA solution</t>
        </is>
      </c>
      <c r="E54" s="52" t="inlineStr">
        <is>
          <t>not stated; no spec sheet</t>
        </is>
      </c>
      <c r="F54" s="52" t="inlineStr">
        <is>
          <t>pack not stated</t>
        </is>
      </c>
      <c r="G54" s="51" t="n"/>
      <c r="H54" s="67" t="n"/>
      <c r="I54" s="67" t="n">
        <v>0.43</v>
      </c>
      <c r="J54" s="52" t="inlineStr">
        <is>
          <t>COMPETITIVE (offshore, weak)</t>
        </is>
      </c>
      <c r="K54" s="52" t="inlineStr">
        <is>
          <t>CONFIRMED</t>
        </is>
      </c>
      <c r="L54" s="52" t="inlineStr">
        <is>
          <t>https://www.indiamart.com/proddetail/pva-solution-13129791312.html</t>
        </is>
      </c>
    </row>
    <row r="55">
      <c r="B55" s="52" t="inlineStr">
        <is>
          <t>Liquid Polyvinyl Alcohol 99.9%</t>
        </is>
      </c>
      <c r="C55" s="52" t="inlineStr">
        <is>
          <t>Signature Solve Chem (Mumbai)</t>
        </is>
      </c>
      <c r="D55" s="52" t="inlineStr">
        <is>
          <t>PVA solution</t>
        </is>
      </c>
      <c r="E55" s="52" t="inlineStr">
        <is>
          <t>not stated</t>
        </is>
      </c>
      <c r="F55" s="52" t="inlineStr">
        <is>
          <t>200 L drum</t>
        </is>
      </c>
      <c r="G55" s="51" t="n"/>
      <c r="H55" s="67" t="n"/>
      <c r="I55" s="67" t="n">
        <v>0.71</v>
      </c>
      <c r="J55" s="52" t="inlineStr">
        <is>
          <t>COMPETITIVE (offshore)</t>
        </is>
      </c>
      <c r="K55" s="52" t="inlineStr">
        <is>
          <t>CONFIRMED</t>
        </is>
      </c>
      <c r="L55" s="52" t="inlineStr">
        <is>
          <t>https://www.indiamart.com/proddetail/liquid-polyvinyl-alcohol-6833971891.html</t>
        </is>
      </c>
    </row>
    <row r="56">
      <c r="B56" s="52" t="inlineStr">
        <is>
          <t>PVA Liquid, textile, 87-89% hydrolyzed</t>
        </is>
      </c>
      <c r="C56" s="52" t="inlineStr">
        <is>
          <t>Bhavna Plast (Ahmedabad)</t>
        </is>
      </c>
      <c r="D56" s="52" t="inlineStr">
        <is>
          <t>PVA solution</t>
        </is>
      </c>
      <c r="E56" s="52" t="inlineStr">
        <is>
          <t>not stated; partially hydrolyzed</t>
        </is>
      </c>
      <c r="F56" s="52" t="inlineStr">
        <is>
          <t>pack not stated</t>
        </is>
      </c>
      <c r="G56" s="51" t="n"/>
      <c r="H56" s="67" t="n"/>
      <c r="I56" s="67" t="n">
        <v>0.71</v>
      </c>
      <c r="J56" s="52" t="inlineStr">
        <is>
          <t>COMPETITIVE (offshore)</t>
        </is>
      </c>
      <c r="K56" s="52" t="inlineStr">
        <is>
          <t>CONFIRMED</t>
        </is>
      </c>
      <c r="L56" s="52" t="inlineStr">
        <is>
          <t>https://dir.indiamart.com/impcat/polyvinyl-alcohol/physical-state-liquid-q15654957/</t>
        </is>
      </c>
    </row>
    <row r="57">
      <c r="B57" s="52" t="inlineStr">
        <is>
          <t>Industrial PVA Solution for textile</t>
        </is>
      </c>
      <c r="C57" s="52" t="inlineStr">
        <is>
          <t>Padma Traders (Coimbatore)</t>
        </is>
      </c>
      <c r="D57" s="52" t="inlineStr">
        <is>
          <t>PVA solution</t>
        </is>
      </c>
      <c r="E57" s="52" t="inlineStr">
        <is>
          <t>10% or 20% (stated)</t>
        </is>
      </c>
      <c r="F57" s="52" t="inlineStr">
        <is>
          <t>20/30/50 kg carboys</t>
        </is>
      </c>
      <c r="G57" s="51" t="n"/>
      <c r="H57" s="67" t="n"/>
      <c r="I57" s="67" t="n">
        <v>0.8100000000000001</v>
      </c>
      <c r="J57" s="52" t="inlineStr">
        <is>
          <t>COMPETITIVE (offshore)</t>
        </is>
      </c>
      <c r="K57" s="52" t="inlineStr">
        <is>
          <t>CONFIRMED</t>
        </is>
      </c>
      <c r="L57" s="52" t="inlineStr">
        <is>
          <t>https://www.indiamart.com/proddetail/pva-solution-17107003597.html</t>
        </is>
      </c>
    </row>
    <row r="58">
      <c r="B58" s="52" t="inlineStr">
        <is>
          <t>PVA Liquid grade 2688, fully hydrolyzed</t>
        </is>
      </c>
      <c r="C58" s="52" t="inlineStr">
        <is>
          <t>Astrra Chemicals (Chennai)</t>
        </is>
      </c>
      <c r="D58" s="52" t="inlineStr">
        <is>
          <t>PVA solution</t>
        </is>
      </c>
      <c r="E58" s="52" t="inlineStr">
        <is>
          <t>not stated</t>
        </is>
      </c>
      <c r="F58" s="52" t="inlineStr">
        <is>
          <t>50 L container</t>
        </is>
      </c>
      <c r="G58" s="51" t="n"/>
      <c r="H58" s="67" t="n"/>
      <c r="I58" s="67" t="n">
        <v>1.18</v>
      </c>
      <c r="J58" s="52" t="inlineStr">
        <is>
          <t>COMPETITIVE (offshore)</t>
        </is>
      </c>
      <c r="K58" s="52" t="inlineStr">
        <is>
          <t>CONFIRMED</t>
        </is>
      </c>
      <c r="L58" s="52" t="inlineStr">
        <is>
          <t>https://www.indiamart.com/proddetail/polyvinyl-alcohol-pva-liquid-for-textile-use-5052116512.html</t>
        </is>
      </c>
    </row>
    <row r="59">
      <c r="B59" s="52" t="inlineStr">
        <is>
          <t>Liquid PVA Solution, industrial, fully hydrolyzed</t>
        </is>
      </c>
      <c r="C59" s="52" t="inlineStr">
        <is>
          <t>Pexi Chem (India)</t>
        </is>
      </c>
      <c r="D59" s="52" t="inlineStr">
        <is>
          <t>PVA solution</t>
        </is>
      </c>
      <c r="E59" s="52" t="inlineStr">
        <is>
          <t>not stated</t>
        </is>
      </c>
      <c r="F59" s="52" t="inlineStr">
        <is>
          <t>50 kg drums, MOQ 1,000 kg</t>
        </is>
      </c>
      <c r="G59" s="51" t="n"/>
      <c r="H59" s="67" t="n"/>
      <c r="I59" s="67" t="n">
        <v>0.28</v>
      </c>
      <c r="J59" s="52" t="inlineStr">
        <is>
          <t>HIGH (offshore, ex-works)</t>
        </is>
      </c>
      <c r="K59" s="52" t="inlineStr">
        <is>
          <t>CONFIRMED</t>
        </is>
      </c>
      <c r="L59" s="52" t="inlineStr">
        <is>
          <t>https://www.pexichem.in/pva-solution-chemical.html</t>
        </is>
      </c>
    </row>
    <row r="60">
      <c r="B60" s="52" t="inlineStr">
        <is>
          <t>Liquid PVA (yellow liquid)</t>
        </is>
      </c>
      <c r="C60" s="52" t="inlineStr">
        <is>
          <t>Qingdao Easthony via Alibaba</t>
        </is>
      </c>
      <c r="D60" s="52" t="inlineStr">
        <is>
          <t>PVA solution</t>
        </is>
      </c>
      <c r="E60" s="52" t="inlineStr">
        <is>
          <t>not stated</t>
        </is>
      </c>
      <c r="F60" s="52" t="inlineStr">
        <is>
          <t>per MT, MOQ 1 MT</t>
        </is>
      </c>
      <c r="G60" s="51" t="n"/>
      <c r="H60" s="67" t="n">
        <v>1500</v>
      </c>
      <c r="I60" s="67" t="n"/>
      <c r="J60" s="52" t="inlineStr">
        <is>
          <t>HIGH (FOB China)</t>
        </is>
      </c>
      <c r="K60" s="52" t="inlineStr">
        <is>
          <t>CONFIRMED</t>
        </is>
      </c>
      <c r="L60" s="52" t="inlineStr">
        <is>
          <t>https://www.alibaba.com/countrysearch/CN/liquid-pva.html</t>
        </is>
      </c>
    </row>
    <row r="61">
      <c r="B61" s="52" t="inlineStr">
        <is>
          <t>SINOPEC SVW FS-200 liquid PVA</t>
        </is>
      </c>
      <c r="C61" s="52" t="inlineStr">
        <is>
          <t>Chongqing SVW via Alibaba</t>
        </is>
      </c>
      <c r="D61" s="52" t="inlineStr">
        <is>
          <t>PVA solution</t>
        </is>
      </c>
      <c r="E61" s="52" t="inlineStr">
        <is>
          <t>not stated</t>
        </is>
      </c>
      <c r="F61" s="52" t="inlineStr">
        <is>
          <t>per MT, MOQ 10 MT</t>
        </is>
      </c>
      <c r="G61" s="51" t="n">
        <v>2178.2</v>
      </c>
      <c r="H61" s="67" t="n">
        <v>2200</v>
      </c>
      <c r="I61" s="67" t="n">
        <v>1.01</v>
      </c>
      <c r="J61" s="52" t="inlineStr">
        <is>
          <t>HIGH (FOB China)</t>
        </is>
      </c>
      <c r="K61" s="52" t="inlineStr">
        <is>
          <t>CONFIRMED</t>
        </is>
      </c>
      <c r="L61" s="52" t="inlineStr">
        <is>
          <t>https://www.alibaba.com/countrysearch/CN/liquid-pva.html</t>
        </is>
      </c>
    </row>
    <row r="62">
      <c r="B62" s="52" t="inlineStr">
        <is>
          <t>Liquid Polyvinyl Alcohol</t>
        </is>
      </c>
      <c r="C62" s="52" t="inlineStr">
        <is>
          <t>Shandong Qibo via Made-in-China</t>
        </is>
      </c>
      <c r="D62" s="52" t="inlineStr">
        <is>
          <t>PVA solution</t>
        </is>
      </c>
      <c r="E62" s="52" t="inlineStr">
        <is>
          <t>not stated</t>
        </is>
      </c>
      <c r="F62" s="52" t="inlineStr">
        <is>
          <t>per kg, export lot</t>
        </is>
      </c>
      <c r="G62" s="51" t="n">
        <v>1.5</v>
      </c>
      <c r="H62" s="67" t="n">
        <v>1.5</v>
      </c>
      <c r="I62" s="67" t="n">
        <v>1.02</v>
      </c>
      <c r="J62" s="52" t="inlineStr">
        <is>
          <t>HIGH (FOB China)</t>
        </is>
      </c>
      <c r="K62" s="52" t="inlineStr">
        <is>
          <t>PLAUSIBLE (listing not re-found)</t>
        </is>
      </c>
      <c r="L62" s="52" t="inlineStr">
        <is>
          <t>https://www.made-in-china.com/price/polyvinyl-alcohol-price.html</t>
        </is>
      </c>
    </row>
    <row r="63">
      <c r="B63" s="52" t="inlineStr">
        <is>
          <t>PVA Solution Chemical, industrial 99%</t>
        </is>
      </c>
      <c r="C63" s="52" t="inlineStr">
        <is>
          <t>Pexi Chem (India)</t>
        </is>
      </c>
      <c r="D63" s="52" t="inlineStr">
        <is>
          <t>PVA solution</t>
        </is>
      </c>
      <c r="E63" s="52" t="inlineStr">
        <is>
          <t>not stated</t>
        </is>
      </c>
      <c r="F63" s="52" t="inlineStr">
        <is>
          <t>100 kg pack, MOQ 1,000 kg</t>
        </is>
      </c>
      <c r="G63" s="51" t="n"/>
      <c r="H63" s="67" t="n"/>
      <c r="I63" s="67" t="n">
        <v>1.04</v>
      </c>
      <c r="J63" s="52" t="inlineStr">
        <is>
          <t>HIGH (offshore, ex-works)</t>
        </is>
      </c>
      <c r="K63" s="52" t="inlineStr">
        <is>
          <t>CONFIRMED</t>
        </is>
      </c>
      <c r="L63" s="52" t="inlineStr">
        <is>
          <t>https://www.pexichem.in/pva-solution-chemical.html</t>
        </is>
      </c>
    </row>
    <row r="64">
      <c r="B64" s="52" t="inlineStr">
        <is>
          <t>PVA Solution 4% (P0211)</t>
        </is>
      </c>
      <c r="C64" s="52" t="inlineStr">
        <is>
          <t>Flinn Scientific</t>
        </is>
      </c>
      <c r="D64" s="52" t="inlineStr">
        <is>
          <t>PVA solution</t>
        </is>
      </c>
      <c r="E64" s="52" t="inlineStr">
        <is>
          <t>4%</t>
        </is>
      </c>
      <c r="F64" s="52" t="inlineStr">
        <is>
          <t>4 L</t>
        </is>
      </c>
      <c r="G64" s="51" t="n">
        <v>9</v>
      </c>
      <c r="H64" s="67" t="n">
        <v>20.99</v>
      </c>
      <c r="I64" s="67" t="n">
        <v>2.34</v>
      </c>
      <c r="J64" s="52" t="inlineStr">
        <is>
          <t>LOW (lab)</t>
        </is>
      </c>
      <c r="K64" s="52" t="inlineStr">
        <is>
          <t>CONFIRMED</t>
        </is>
      </c>
      <c r="L64" s="52" t="inlineStr">
        <is>
          <t>https://www.flinnsci.com/polyvinyl-alcohol-solution-4-aqueous-4-l/p0211/</t>
        </is>
      </c>
    </row>
    <row r="65">
      <c r="B65" s="52" t="inlineStr">
        <is>
          <t>PVA Solution 4% (P0209)</t>
        </is>
      </c>
      <c r="C65" s="52" t="inlineStr">
        <is>
          <t>Flinn Scientific</t>
        </is>
      </c>
      <c r="D65" s="52" t="inlineStr">
        <is>
          <t>PVA solution</t>
        </is>
      </c>
      <c r="E65" s="52" t="inlineStr">
        <is>
          <t>4%</t>
        </is>
      </c>
      <c r="F65" s="52" t="inlineStr">
        <is>
          <t>500 mL</t>
        </is>
      </c>
      <c r="G65" s="51" t="n">
        <v>1.1</v>
      </c>
      <c r="H65" s="67" t="n">
        <v>4.29</v>
      </c>
      <c r="I65" s="67" t="n">
        <v>3.82</v>
      </c>
      <c r="J65" s="52" t="inlineStr">
        <is>
          <t>LOW (lab)</t>
        </is>
      </c>
      <c r="K65" s="52" t="inlineStr">
        <is>
          <t>CONFIRMED</t>
        </is>
      </c>
      <c r="L65" s="52" t="inlineStr">
        <is>
          <t>https://www.flinnsci.com/polyvinyl-alcohol-solution-4-aqueous-500-ml/p0209/</t>
        </is>
      </c>
    </row>
    <row r="66">
      <c r="B66" s="52" t="inlineStr">
        <is>
          <t>Aldon 4% PVA Solution</t>
        </is>
      </c>
      <c r="C66" s="52" t="inlineStr">
        <is>
          <t>Geyer Instructional</t>
        </is>
      </c>
      <c r="D66" s="52" t="inlineStr">
        <is>
          <t>PVA solution</t>
        </is>
      </c>
      <c r="E66" s="52" t="inlineStr">
        <is>
          <t>4%</t>
        </is>
      </c>
      <c r="F66" s="52" t="inlineStr">
        <is>
          <t>1 L</t>
        </is>
      </c>
      <c r="G66" s="51" t="n">
        <v>2.2</v>
      </c>
      <c r="H66" s="67" t="n">
        <v>9.4</v>
      </c>
      <c r="I66" s="67" t="n">
        <v>4.19</v>
      </c>
      <c r="J66" s="52" t="inlineStr">
        <is>
          <t>LOW (lab)</t>
        </is>
      </c>
      <c r="K66" s="52" t="inlineStr">
        <is>
          <t>CONFIRMED</t>
        </is>
      </c>
      <c r="L66" s="52" t="inlineStr">
        <is>
          <t>https://www.geyerinstructional.com/aldon-chemicals-4-polyvinyl-alcohol-solution-1l/</t>
        </is>
      </c>
    </row>
    <row r="67">
      <c r="B67" s="52" t="inlineStr">
        <is>
          <t>PVA Solution 4% (P0210)</t>
        </is>
      </c>
      <c r="C67" s="52" t="inlineStr">
        <is>
          <t>Flinn Scientific</t>
        </is>
      </c>
      <c r="D67" s="52" t="inlineStr">
        <is>
          <t>PVA solution</t>
        </is>
      </c>
      <c r="E67" s="52" t="inlineStr">
        <is>
          <t>4%</t>
        </is>
      </c>
      <c r="F67" s="52" t="inlineStr">
        <is>
          <t>1 L</t>
        </is>
      </c>
      <c r="G67" s="51" t="n">
        <v>2.2</v>
      </c>
      <c r="H67" s="67" t="n">
        <v>10.49</v>
      </c>
      <c r="I67" s="67" t="n">
        <v>4.67</v>
      </c>
      <c r="J67" s="52" t="inlineStr">
        <is>
          <t>LOW (lab)</t>
        </is>
      </c>
      <c r="K67" s="52" t="inlineStr">
        <is>
          <t>CONFIRMED</t>
        </is>
      </c>
      <c r="L67" s="52" t="inlineStr">
        <is>
          <t>https://www.flinnsci.com/polyvinyl-alcohol-solution-4-aqueous-1-l/p0210/</t>
        </is>
      </c>
    </row>
    <row r="68">
      <c r="B68" s="52" t="inlineStr">
        <is>
          <t>PVA Solution 5% (IS25024-AL)</t>
        </is>
      </c>
      <c r="C68" s="52" t="inlineStr">
        <is>
          <t>Dawn Scientific</t>
        </is>
      </c>
      <c r="D68" s="52" t="inlineStr">
        <is>
          <t>PVA solution</t>
        </is>
      </c>
      <c r="E68" s="52" t="inlineStr">
        <is>
          <t>5%</t>
        </is>
      </c>
      <c r="F68" s="52" t="inlineStr">
        <is>
          <t>3.8 L</t>
        </is>
      </c>
      <c r="G68" s="51" t="n">
        <v>8.5</v>
      </c>
      <c r="H68" s="67" t="n">
        <v>61.95</v>
      </c>
      <c r="I68" s="67" t="n">
        <v>7.26</v>
      </c>
      <c r="J68" s="52" t="inlineStr">
        <is>
          <t>LOW (lab)</t>
        </is>
      </c>
      <c r="K68" s="52" t="inlineStr">
        <is>
          <t>CONFIRMED</t>
        </is>
      </c>
      <c r="L68" s="52" t="inlineStr">
        <is>
          <t>https://dawnscientific.com/product/polyvinyl-alcohol-solution-5-3-8l/</t>
        </is>
      </c>
    </row>
    <row r="69">
      <c r="B69" s="52" t="inlineStr">
        <is>
          <t>PVA Solution 5% (IS25024)</t>
        </is>
      </c>
      <c r="C69" s="52" t="inlineStr">
        <is>
          <t>The Lab Stockroom</t>
        </is>
      </c>
      <c r="D69" s="52" t="inlineStr">
        <is>
          <t>PVA solution</t>
        </is>
      </c>
      <c r="E69" s="52" t="inlineStr">
        <is>
          <t>5%</t>
        </is>
      </c>
      <c r="F69" s="52" t="inlineStr">
        <is>
          <t>3.8 L</t>
        </is>
      </c>
      <c r="G69" s="51" t="n">
        <v>8.5</v>
      </c>
      <c r="H69" s="67" t="n">
        <v>62.99</v>
      </c>
      <c r="I69" s="67" t="n">
        <v>7.38</v>
      </c>
      <c r="J69" s="52" t="inlineStr">
        <is>
          <t>LOW (lab)</t>
        </is>
      </c>
      <c r="K69" s="52" t="inlineStr">
        <is>
          <t>CONFIRMED</t>
        </is>
      </c>
      <c r="L69" s="52" t="inlineStr">
        <is>
          <t>https://www.thelabstockroom.com/products/is25024</t>
        </is>
      </c>
    </row>
    <row r="70">
      <c r="B70" s="52" t="inlineStr">
        <is>
          <t>PVA 4% Lab Grade (882373)</t>
        </is>
      </c>
      <c r="C70" s="52" t="inlineStr">
        <is>
          <t>Carolina Biological</t>
        </is>
      </c>
      <c r="D70" s="52" t="inlineStr">
        <is>
          <t>PVA solution</t>
        </is>
      </c>
      <c r="E70" s="52" t="inlineStr">
        <is>
          <t>4%</t>
        </is>
      </c>
      <c r="F70" s="52" t="inlineStr">
        <is>
          <t>3.8 L</t>
        </is>
      </c>
      <c r="G70" s="51" t="n">
        <v>8.5</v>
      </c>
      <c r="H70" s="67" t="n">
        <v>65.95</v>
      </c>
      <c r="I70" s="67" t="n">
        <v>7.73</v>
      </c>
      <c r="J70" s="52" t="inlineStr">
        <is>
          <t>LOW (lab)</t>
        </is>
      </c>
      <c r="K70" s="52" t="inlineStr">
        <is>
          <t>PLAUSIBLE (403)</t>
        </is>
      </c>
      <c r="L70" s="52" t="inlineStr">
        <is>
          <t>https://www.carolina.com/specialty-chemicals-p-r/polyvinyl-alcohol-4-laboratory-grade-38-l/882373.pr</t>
        </is>
      </c>
    </row>
    <row r="71">
      <c r="B71" s="52" t="inlineStr">
        <is>
          <t>PVA 4% Lab Grade (882372)</t>
        </is>
      </c>
      <c r="C71" s="52" t="inlineStr">
        <is>
          <t>Carolina Biological</t>
        </is>
      </c>
      <c r="D71" s="52" t="inlineStr">
        <is>
          <t>PVA solution</t>
        </is>
      </c>
      <c r="E71" s="52" t="inlineStr">
        <is>
          <t>4%</t>
        </is>
      </c>
      <c r="F71" s="52" t="inlineStr">
        <is>
          <t>1 L</t>
        </is>
      </c>
      <c r="G71" s="51" t="n">
        <v>2.2</v>
      </c>
      <c r="H71" s="67" t="n">
        <v>21.5</v>
      </c>
      <c r="I71" s="67" t="n">
        <v>9.57</v>
      </c>
      <c r="J71" s="52" t="inlineStr">
        <is>
          <t>LOW (lab)</t>
        </is>
      </c>
      <c r="K71" s="52" t="inlineStr">
        <is>
          <t>PLAUSIBLE (403)</t>
        </is>
      </c>
      <c r="L71" s="52" t="inlineStr">
        <is>
          <t>https://www.carolina.com/specialty-chemicals-p-r/polyvinyl-alcohol-4-laboratory-grade-1-l/882372.pr</t>
        </is>
      </c>
    </row>
    <row r="72">
      <c r="B72" s="52" t="inlineStr">
        <is>
          <t>PVA Solution 5% (AD-PP0119-3.8L)</t>
        </is>
      </c>
      <c r="C72" s="52" t="inlineStr">
        <is>
          <t>CP Lab Safety</t>
        </is>
      </c>
      <c r="D72" s="52" t="inlineStr">
        <is>
          <t>PVA solution</t>
        </is>
      </c>
      <c r="E72" s="52" t="inlineStr">
        <is>
          <t>5%</t>
        </is>
      </c>
      <c r="F72" s="52" t="inlineStr">
        <is>
          <t>3.8 L</t>
        </is>
      </c>
      <c r="G72" s="51" t="n">
        <v>8.5</v>
      </c>
      <c r="H72" s="67" t="n">
        <v>90.31999999999999</v>
      </c>
      <c r="I72" s="67" t="n">
        <v>10.59</v>
      </c>
      <c r="J72" s="52" t="inlineStr">
        <is>
          <t>LOW (lab)</t>
        </is>
      </c>
      <c r="K72" s="52" t="inlineStr">
        <is>
          <t>CONFIRMED</t>
        </is>
      </c>
      <c r="L72" s="52" t="inlineStr">
        <is>
          <t>https://www.cplabsafety.com/polyvinyl-alcohol-solution-5-percent-3-8-liters-innovating-science/ad-pp0119-3-8l</t>
        </is>
      </c>
    </row>
    <row r="73">
      <c r="B73" s="52" t="inlineStr">
        <is>
          <t>PVA 4% Preserved (C6191-4L)</t>
        </is>
      </c>
      <c r="C73" s="52" t="inlineStr">
        <is>
          <t>Lab Alley</t>
        </is>
      </c>
      <c r="D73" s="52" t="inlineStr">
        <is>
          <t>PVA solution</t>
        </is>
      </c>
      <c r="E73" s="52" t="inlineStr">
        <is>
          <t>4%</t>
        </is>
      </c>
      <c r="F73" s="52" t="inlineStr">
        <is>
          <t>4 L</t>
        </is>
      </c>
      <c r="G73" s="51" t="n">
        <v>9</v>
      </c>
      <c r="H73" s="67" t="n">
        <v>101.32</v>
      </c>
      <c r="I73" s="67" t="n">
        <v>11.28</v>
      </c>
      <c r="J73" s="52" t="inlineStr">
        <is>
          <t>LOW (lab)</t>
        </is>
      </c>
      <c r="K73" s="52" t="inlineStr">
        <is>
          <t>CONFIRMED</t>
        </is>
      </c>
      <c r="L73" s="52" t="inlineStr">
        <is>
          <t>https://www.laballey.com/products/pva-4-preserved-solution</t>
        </is>
      </c>
    </row>
    <row r="74">
      <c r="B74" s="52" t="inlineStr">
        <is>
          <t>PVA 3% Solution (CH-PVASOLN)</t>
        </is>
      </c>
      <c r="C74" s="52" t="inlineStr">
        <is>
          <t>Home Science Tools</t>
        </is>
      </c>
      <c r="D74" s="52" t="inlineStr">
        <is>
          <t>PVA solution</t>
        </is>
      </c>
      <c r="E74" s="52" t="inlineStr">
        <is>
          <t>3%</t>
        </is>
      </c>
      <c r="F74" s="52" t="inlineStr">
        <is>
          <t>500 mL</t>
        </is>
      </c>
      <c r="G74" s="51" t="n">
        <v>1.1</v>
      </c>
      <c r="H74" s="67" t="n">
        <v>12.95</v>
      </c>
      <c r="I74" s="67" t="n">
        <v>11.53</v>
      </c>
      <c r="J74" s="52" t="inlineStr">
        <is>
          <t>LOW (lab)</t>
        </is>
      </c>
      <c r="K74" s="52" t="inlineStr">
        <is>
          <t>CONFIRMED</t>
        </is>
      </c>
      <c r="L74" s="52" t="inlineStr">
        <is>
          <t>https://www.homesciencetools.com/product/polyvinyl-alcohol-3-solution-500-ml/</t>
        </is>
      </c>
    </row>
    <row r="75">
      <c r="B75" s="52" t="inlineStr">
        <is>
          <t>PVA 4% Lab Grade (882371)</t>
        </is>
      </c>
      <c r="C75" s="52" t="inlineStr">
        <is>
          <t>Carolina Biological</t>
        </is>
      </c>
      <c r="D75" s="52" t="inlineStr">
        <is>
          <t>PVA solution</t>
        </is>
      </c>
      <c r="E75" s="52" t="inlineStr">
        <is>
          <t>4%</t>
        </is>
      </c>
      <c r="F75" s="52" t="inlineStr">
        <is>
          <t>500 mL</t>
        </is>
      </c>
      <c r="G75" s="51" t="n">
        <v>1.1</v>
      </c>
      <c r="H75" s="67" t="n">
        <v>13.1</v>
      </c>
      <c r="I75" s="67" t="n">
        <v>11.67</v>
      </c>
      <c r="J75" s="52" t="inlineStr">
        <is>
          <t>LOW (lab)</t>
        </is>
      </c>
      <c r="K75" s="52" t="inlineStr">
        <is>
          <t>PLAUSIBLE (403)</t>
        </is>
      </c>
      <c r="L75" s="52" t="inlineStr">
        <is>
          <t>https://www.carolina.com/specialty-chemicals-p-r/polyvinyl-alcohol-4-laboratory-grade-500-ml/882371.pr</t>
        </is>
      </c>
    </row>
    <row r="76">
      <c r="B76" s="52" t="inlineStr">
        <is>
          <t>PVA Solution 4% (IS25020)</t>
        </is>
      </c>
      <c r="C76" s="52" t="inlineStr">
        <is>
          <t>The Lab Stockroom</t>
        </is>
      </c>
      <c r="D76" s="52" t="inlineStr">
        <is>
          <t>PVA solution</t>
        </is>
      </c>
      <c r="E76" s="52" t="inlineStr">
        <is>
          <t>4%</t>
        </is>
      </c>
      <c r="F76" s="52" t="inlineStr">
        <is>
          <t>1 L</t>
        </is>
      </c>
      <c r="G76" s="51" t="n">
        <v>2.2</v>
      </c>
      <c r="H76" s="67" t="n">
        <v>30.49</v>
      </c>
      <c r="I76" s="67" t="n">
        <v>13.58</v>
      </c>
      <c r="J76" s="52" t="inlineStr">
        <is>
          <t>LOW (lab)</t>
        </is>
      </c>
      <c r="K76" s="52" t="inlineStr">
        <is>
          <t>CONFIRMED</t>
        </is>
      </c>
      <c r="L76" s="52" t="inlineStr">
        <is>
          <t>https://www.thelabstockroom.com/products/is25020</t>
        </is>
      </c>
    </row>
    <row r="77">
      <c r="B77" s="52" t="inlineStr">
        <is>
          <t>Aqua Solutions PVA 4% w/v (NC9222312)</t>
        </is>
      </c>
      <c r="C77" s="52" t="inlineStr">
        <is>
          <t>Fisher Scientific</t>
        </is>
      </c>
      <c r="D77" s="52" t="inlineStr">
        <is>
          <t>PVA solution</t>
        </is>
      </c>
      <c r="E77" s="52" t="inlineStr">
        <is>
          <t>4%</t>
        </is>
      </c>
      <c r="F77" s="52" t="inlineStr">
        <is>
          <t>4 L</t>
        </is>
      </c>
      <c r="G77" s="51" t="n">
        <v>9</v>
      </c>
      <c r="H77" s="67" t="n">
        <v>132.7</v>
      </c>
      <c r="I77" s="67" t="n">
        <v>14.78</v>
      </c>
      <c r="J77" s="52" t="inlineStr">
        <is>
          <t>LOW (lab)</t>
        </is>
      </c>
      <c r="K77" s="52" t="inlineStr">
        <is>
          <t>CONFIRMED</t>
        </is>
      </c>
      <c r="L77" s="52" t="inlineStr">
        <is>
          <t>https://www.fishersci.com/shop/products/poly-vinyl-alcohol-4ltr/NC9222312</t>
        </is>
      </c>
    </row>
    <row r="78">
      <c r="B78" s="52" t="inlineStr">
        <is>
          <t>Aqua Solutions PVA 4% w/v (NC9880556)</t>
        </is>
      </c>
      <c r="C78" s="52" t="inlineStr">
        <is>
          <t>Fisher Scientific</t>
        </is>
      </c>
      <c r="D78" s="52" t="inlineStr">
        <is>
          <t>PVA solution</t>
        </is>
      </c>
      <c r="E78" s="52" t="inlineStr">
        <is>
          <t>4%</t>
        </is>
      </c>
      <c r="F78" s="52" t="inlineStr">
        <is>
          <t>1 L</t>
        </is>
      </c>
      <c r="G78" s="51" t="n">
        <v>2.2</v>
      </c>
      <c r="H78" s="67" t="n">
        <v>38.81</v>
      </c>
      <c r="I78" s="67" t="n">
        <v>17.28</v>
      </c>
      <c r="J78" s="52" t="inlineStr">
        <is>
          <t>LOW (lab)</t>
        </is>
      </c>
      <c r="K78" s="52" t="inlineStr">
        <is>
          <t>CONFIRMED</t>
        </is>
      </c>
      <c r="L78" s="52" t="inlineStr">
        <is>
          <t>https://www.fishersci.com/shop/products/poly-vinyl-alcohol-1l/NC9880556</t>
        </is>
      </c>
    </row>
    <row r="79">
      <c r="B79" s="52" t="inlineStr">
        <is>
          <t>PVA Solution 4% bulk refill (PL-1-5-B)</t>
        </is>
      </c>
      <c r="C79" s="52" t="inlineStr">
        <is>
          <t>Lab-Aids</t>
        </is>
      </c>
      <c r="D79" s="52" t="inlineStr">
        <is>
          <t>PVA solution</t>
        </is>
      </c>
      <c r="E79" s="52" t="inlineStr">
        <is>
          <t>4%</t>
        </is>
      </c>
      <c r="F79" s="52" t="inlineStr">
        <is>
          <t>960 mL</t>
        </is>
      </c>
      <c r="G79" s="51" t="n">
        <v>2.2</v>
      </c>
      <c r="H79" s="67" t="n">
        <v>39.3</v>
      </c>
      <c r="I79" s="67" t="n">
        <v>18.23</v>
      </c>
      <c r="J79" s="52" t="inlineStr">
        <is>
          <t>LOW (lab)</t>
        </is>
      </c>
      <c r="K79" s="52" t="inlineStr">
        <is>
          <t>CONFIRMED</t>
        </is>
      </c>
      <c r="L79" s="52" t="inlineStr">
        <is>
          <t>https://store.lab-aids.com/products/polyvinyl-alcohol-solution-4-960-ml-bulk-refill</t>
        </is>
      </c>
    </row>
    <row r="80">
      <c r="B80" s="52" t="inlineStr">
        <is>
          <t>PVA Solution 4% (AD-PP0117-1L)</t>
        </is>
      </c>
      <c r="C80" s="52" t="inlineStr">
        <is>
          <t>CP Lab Safety</t>
        </is>
      </c>
      <c r="D80" s="52" t="inlineStr">
        <is>
          <t>PVA solution</t>
        </is>
      </c>
      <c r="E80" s="52" t="inlineStr">
        <is>
          <t>4%</t>
        </is>
      </c>
      <c r="F80" s="52" t="inlineStr">
        <is>
          <t>1 L</t>
        </is>
      </c>
      <c r="G80" s="51" t="n">
        <v>2.2</v>
      </c>
      <c r="H80" s="67" t="n">
        <v>41.34</v>
      </c>
      <c r="I80" s="67" t="n">
        <v>18.41</v>
      </c>
      <c r="J80" s="52" t="inlineStr">
        <is>
          <t>LOW (lab)</t>
        </is>
      </c>
      <c r="K80" s="52" t="inlineStr">
        <is>
          <t>CONFIRMED</t>
        </is>
      </c>
      <c r="L80" s="52" t="inlineStr">
        <is>
          <t>https://www.cplabsafety.com/polyvinyl-alcohol-solution-4-percent-1-liter-innovating-science/ad-pp0117-1l</t>
        </is>
      </c>
    </row>
    <row r="81">
      <c r="B81" s="52" t="inlineStr">
        <is>
          <t>PVA 4% Solution</t>
        </is>
      </c>
      <c r="C81" s="52" t="inlineStr">
        <is>
          <t>Loose in the Lab Science</t>
        </is>
      </c>
      <c r="D81" s="52" t="inlineStr">
        <is>
          <t>PVA solution</t>
        </is>
      </c>
      <c r="E81" s="52" t="inlineStr">
        <is>
          <t>4%</t>
        </is>
      </c>
      <c r="F81" s="52" t="inlineStr">
        <is>
          <t>1 fl oz</t>
        </is>
      </c>
      <c r="G81" s="51" t="n">
        <v>0.1</v>
      </c>
      <c r="H81" s="67" t="n">
        <v>1.79</v>
      </c>
      <c r="I81" s="67" t="n">
        <v>26.95</v>
      </c>
      <c r="J81" s="52" t="inlineStr">
        <is>
          <t>LOW (lab)</t>
        </is>
      </c>
      <c r="K81" s="52" t="inlineStr">
        <is>
          <t>CONFIRMED</t>
        </is>
      </c>
      <c r="L81" s="52" t="inlineStr">
        <is>
          <t>https://looseinthelabscience.com/polyvinyl-alcohol-4-solution/</t>
        </is>
      </c>
    </row>
    <row r="82">
      <c r="B82" s="52" t="inlineStr">
        <is>
          <t>PVA Solution 4% (PL-1-5EA)</t>
        </is>
      </c>
      <c r="C82" s="52" t="inlineStr">
        <is>
          <t>Lab-Aids</t>
        </is>
      </c>
      <c r="D82" s="52" t="inlineStr">
        <is>
          <t>PVA solution</t>
        </is>
      </c>
      <c r="E82" s="52" t="inlineStr">
        <is>
          <t>4%</t>
        </is>
      </c>
      <c r="F82" s="52" t="inlineStr">
        <is>
          <t>180 mL</t>
        </is>
      </c>
      <c r="G82" s="51" t="n">
        <v>0.4</v>
      </c>
      <c r="H82" s="67" t="n">
        <v>14.5</v>
      </c>
      <c r="I82" s="67" t="n">
        <v>35.87</v>
      </c>
      <c r="J82" s="52" t="inlineStr">
        <is>
          <t>LOW (lab)</t>
        </is>
      </c>
      <c r="K82" s="52" t="inlineStr">
        <is>
          <t>CONFIRMED</t>
        </is>
      </c>
      <c r="L82" s="52" t="inlineStr">
        <is>
          <t>https://store.lab-aids.com/products/polyvinyl-alcohol-solution-4-180-ml</t>
        </is>
      </c>
    </row>
    <row r="83">
      <c r="B83" s="52" t="inlineStr">
        <is>
          <t>PVA 4% Preserved (C6191-500ml)</t>
        </is>
      </c>
      <c r="C83" s="52" t="inlineStr">
        <is>
          <t>Lab Alley</t>
        </is>
      </c>
      <c r="D83" s="52" t="inlineStr">
        <is>
          <t>PVA solution</t>
        </is>
      </c>
      <c r="E83" s="52" t="inlineStr">
        <is>
          <t>4%</t>
        </is>
      </c>
      <c r="F83" s="52" t="inlineStr">
        <is>
          <t>500 mL</t>
        </is>
      </c>
      <c r="G83" s="51" t="n">
        <v>1.1</v>
      </c>
      <c r="H83" s="67" t="n">
        <v>49.48</v>
      </c>
      <c r="I83" s="67" t="n">
        <v>44.07</v>
      </c>
      <c r="J83" s="52" t="inlineStr">
        <is>
          <t>LOW (lab)</t>
        </is>
      </c>
      <c r="K83" s="52" t="inlineStr">
        <is>
          <t>CONFIRMED</t>
        </is>
      </c>
      <c r="L83" s="52" t="inlineStr">
        <is>
          <t>https://www.laballey.com/products/pva-4-preserved-solution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9"/>
  <sheetViews>
    <sheetView workbookViewId="0">
      <selection activeCell="A1" sqref="A1"/>
    </sheetView>
  </sheetViews>
  <sheetFormatPr baseColWidth="8" defaultRowHeight="15"/>
  <cols>
    <col width="46" customWidth="1" min="2" max="2"/>
    <col width="16" customWidth="1" min="3" max="3"/>
    <col width="12" customWidth="1" min="4" max="4"/>
    <col width="16" customWidth="1" min="5" max="5"/>
    <col width="20" customWidth="1" min="6" max="6"/>
    <col width="14" customWidth="1" min="7" max="7"/>
    <col width="18" customWidth="1" min="8" max="8"/>
    <col width="12" customWidth="1" min="9" max="9"/>
  </cols>
  <sheetData>
    <row r="2">
      <c r="B2" s="1" t="inlineStr">
        <is>
          <t>What PCI's real quote means — Year 1 and five years</t>
        </is>
      </c>
    </row>
    <row r="3">
      <c r="B3" s="2" t="inlineStr">
        <is>
          <t>Second source at one-third of demand = 50 drums/yr = 10 batches of 5. Formulas reference Inputs.</t>
        </is>
      </c>
    </row>
    <row r="5" ht="30" customHeight="1">
      <c r="B5" s="3" t="inlineStr">
        <is>
          <t>Scenario</t>
        </is>
      </c>
      <c r="C5" s="3" t="inlineStr">
        <is>
          <t>Drums to PCI / yr</t>
        </is>
      </c>
      <c r="D5" s="3" t="inlineStr">
        <is>
          <t>PCI $/lb</t>
        </is>
      </c>
      <c r="E5" s="3" t="inlineStr">
        <is>
          <t>PCI annual $</t>
        </is>
      </c>
      <c r="F5" s="3" t="inlineStr">
        <is>
          <t>SNP annual $ (retained)</t>
        </is>
      </c>
      <c r="G5" s="3" t="inlineStr">
        <is>
          <t>Total $</t>
        </is>
      </c>
      <c r="H5" s="3" t="inlineStr">
        <is>
          <t>Premium vs all-SNP</t>
        </is>
      </c>
      <c r="I5" s="3" t="inlineStr">
        <is>
          <t>x today's spend</t>
        </is>
      </c>
    </row>
    <row r="6">
      <c r="B6" s="11" t="inlineStr">
        <is>
          <t>All-SNP (today) = Option 2 purchase cost</t>
        </is>
      </c>
      <c r="C6" s="12" t="n">
        <v>0</v>
      </c>
      <c r="D6" s="21">
        <f>SNPlb</f>
        <v/>
      </c>
      <c r="E6" s="15">
        <f>C6*DrumLb*D6</f>
        <v/>
      </c>
      <c r="F6" s="15">
        <f>(LbWk*Weeks-C6*DrumLb)*SNPlb</f>
        <v/>
      </c>
      <c r="G6" s="15">
        <f>E6+F6</f>
        <v/>
      </c>
      <c r="H6" s="15">
        <f>G6-LbWk*Weeks*SNPlb</f>
        <v/>
      </c>
      <c r="I6" s="41">
        <f>H6/(LbWk*Weeks*SNPlb)</f>
        <v/>
      </c>
    </row>
    <row r="7">
      <c r="B7" s="42" t="inlineStr">
        <is>
          <t>Option 1 — PCI at 1/3 (50 drums = 10 batches of 5) at $3.50 — chart bar</t>
        </is>
      </c>
      <c r="C7" s="43" t="n">
        <v>50</v>
      </c>
      <c r="D7" s="44">
        <f>PCIq</f>
        <v/>
      </c>
      <c r="E7" s="45">
        <f>C7*DrumLb*D7</f>
        <v/>
      </c>
      <c r="F7" s="45">
        <f>(LbWk*Weeks-C7*DrumLb)*SNPlb</f>
        <v/>
      </c>
      <c r="G7" s="45">
        <f>E7+F7</f>
        <v/>
      </c>
      <c r="H7" s="45">
        <f>G7-LbWk*Weeks*SNPlb</f>
        <v/>
      </c>
      <c r="I7" s="46">
        <f>H7/(LbWk*Weeks*SNPlb)</f>
        <v/>
      </c>
    </row>
    <row r="8">
      <c r="B8" s="11" t="inlineStr">
        <is>
          <t>Option 1 — same 1/3 but ordered below batch size ($6.00) — reference</t>
        </is>
      </c>
      <c r="C8" s="12" t="n">
        <v>50</v>
      </c>
      <c r="D8" s="21">
        <f>PCIsub</f>
        <v/>
      </c>
      <c r="E8" s="15">
        <f>C8*DrumLb*D8</f>
        <v/>
      </c>
      <c r="F8" s="15">
        <f>(LbWk*Weeks-C8*DrumLb)*SNPlb</f>
        <v/>
      </c>
      <c r="G8" s="15">
        <f>E8+F8</f>
        <v/>
      </c>
      <c r="H8" s="15">
        <f>G8-LbWk*Weeks*SNPlb</f>
        <v/>
      </c>
      <c r="I8" s="41">
        <f>H8/(LbWk*Weeks*SNPlb)</f>
        <v/>
      </c>
    </row>
    <row r="9">
      <c r="B9" s="11" t="inlineStr">
        <is>
          <t>CJB at the same 1/3 (for scale) — chart bar</t>
        </is>
      </c>
      <c r="C9" s="12" t="n">
        <v>50</v>
      </c>
      <c r="D9" s="21">
        <f>CJBlb</f>
        <v/>
      </c>
      <c r="E9" s="15">
        <f>C9*DrumLb*D9</f>
        <v/>
      </c>
      <c r="F9" s="15">
        <f>(LbWk*Weeks-C9*DrumLb)*SNPlb</f>
        <v/>
      </c>
      <c r="G9" s="15">
        <f>E9+F9</f>
        <v/>
      </c>
      <c r="H9" s="15">
        <f>G9-LbWk*Weeks*SNPlb</f>
        <v/>
      </c>
      <c r="I9" s="41">
        <f>H9/(LbWk*Weeks*SNPlb)</f>
        <v/>
      </c>
    </row>
    <row r="10">
      <c r="B10" s="11" t="inlineStr">
        <is>
          <t>Option 3 — keep-alive: 1 batch of 5 drums / yr at $3.50</t>
        </is>
      </c>
      <c r="C10" s="12" t="n">
        <v>5</v>
      </c>
      <c r="D10" s="21">
        <f>PCIq</f>
        <v/>
      </c>
      <c r="E10" s="15">
        <f>C10*DrumLb*D10</f>
        <v/>
      </c>
      <c r="F10" s="15">
        <f>(LbWk*Weeks-C10*DrumLb)*SNPlb</f>
        <v/>
      </c>
      <c r="G10" s="15">
        <f>E10+F10</f>
        <v/>
      </c>
      <c r="H10" s="15">
        <f>G10-LbWk*Weeks*SNPlb</f>
        <v/>
      </c>
      <c r="I10" s="41">
        <f>H10/(LbWk*Weeks*SNPlb)</f>
        <v/>
      </c>
    </row>
    <row r="11">
      <c r="B11" s="11" t="inlineStr">
        <is>
          <t>Option 3 — keep-alive: 2 batches (10 drums) / yr at $3.50</t>
        </is>
      </c>
      <c r="C11" s="12" t="n">
        <v>10</v>
      </c>
      <c r="D11" s="21">
        <f>PCIq</f>
        <v/>
      </c>
      <c r="E11" s="15">
        <f>C11*DrumLb*D11</f>
        <v/>
      </c>
      <c r="F11" s="15">
        <f>(LbWk*Weeks-C11*DrumLb)*SNPlb</f>
        <v/>
      </c>
      <c r="G11" s="15">
        <f>E11+F11</f>
        <v/>
      </c>
      <c r="H11" s="15">
        <f>G11-LbWk*Weeks*SNPlb</f>
        <v/>
      </c>
      <c r="I11" s="41">
        <f>H11/(LbWk*Weeks*SNPlb)</f>
        <v/>
      </c>
    </row>
    <row r="12">
      <c r="B12" s="11" t="inlineStr">
        <is>
          <t>Option 3 — keep-alive: 3 batches (15 drums) / yr at $3.50</t>
        </is>
      </c>
      <c r="C12" s="12" t="n">
        <v>15</v>
      </c>
      <c r="D12" s="21">
        <f>PCIq</f>
        <v/>
      </c>
      <c r="E12" s="15">
        <f>C12*DrumLb*D12</f>
        <v/>
      </c>
      <c r="F12" s="15">
        <f>(LbWk*Weeks-C12*DrumLb)*SNPlb</f>
        <v/>
      </c>
      <c r="G12" s="15">
        <f>E12+F12</f>
        <v/>
      </c>
      <c r="H12" s="15">
        <f>G12-LbWk*Weeks*SNPlb</f>
        <v/>
      </c>
      <c r="I12" s="41">
        <f>H12/(LbWk*Weeks*SNPlb)</f>
        <v/>
      </c>
    </row>
    <row r="13">
      <c r="B13" s="11" t="inlineStr">
        <is>
          <t>PCI $6.00 at 1 drum/week (52 drums, 23,400 lb ≈ 35% ≈ almost one-third) — chart bar</t>
        </is>
      </c>
      <c r="C13" s="12" t="n">
        <v>52</v>
      </c>
      <c r="D13" s="21">
        <f>PCIsub</f>
        <v/>
      </c>
      <c r="E13" s="15">
        <f>C13*DrumLb*D13</f>
        <v/>
      </c>
      <c r="F13" s="15">
        <f>(LbWk*Weeks-C13*DrumLb)*SNPlb</f>
        <v/>
      </c>
      <c r="G13" s="15">
        <f>E13+F13</f>
        <v/>
      </c>
      <c r="H13" s="15">
        <f>G13-LbWk*Weeks*SNPlb</f>
        <v/>
      </c>
      <c r="I13" s="41">
        <f>H13/(LbWk*Weeks*SNPlb)</f>
        <v/>
      </c>
    </row>
    <row r="15">
      <c r="B15" s="47" t="inlineStr">
        <is>
          <t>Five years at 1/3 share (Option 1), PCI $3.50, volume +10%/yr</t>
        </is>
      </c>
    </row>
    <row r="16" ht="30" customHeight="1">
      <c r="B16" s="3" t="inlineStr">
        <is>
          <t>Year</t>
        </is>
      </c>
      <c r="C16" s="3" t="inlineStr">
        <is>
          <t>Volume (lb)</t>
        </is>
      </c>
      <c r="D16" s="3" t="inlineStr">
        <is>
          <t>Lb to PCI (1/3)</t>
        </is>
      </c>
      <c r="E16" s="3" t="inlineStr">
        <is>
          <t>Batches of 5 (rounded)</t>
        </is>
      </c>
      <c r="F16" s="3" t="inlineStr">
        <is>
          <t>Premium ($2.75/lb x lb to PCI)</t>
        </is>
      </c>
      <c r="G16" s="3" t="inlineStr">
        <is>
          <t>Cumulative</t>
        </is>
      </c>
    </row>
    <row r="17">
      <c r="B17" s="11" t="n">
        <v>1</v>
      </c>
      <c r="C17" s="12">
        <f>LbWk*Weeks*(1+Growth)^(1-1)</f>
        <v/>
      </c>
      <c r="D17" s="12">
        <f>C17/3</f>
        <v/>
      </c>
      <c r="E17" s="12">
        <f>ROUND(D17/DrumLb/PCIbatch,0)</f>
        <v/>
      </c>
      <c r="F17" s="15">
        <f>D17*(PCIq-SNPlb)</f>
        <v/>
      </c>
      <c r="G17" s="15">
        <f>F17</f>
        <v/>
      </c>
    </row>
    <row r="18">
      <c r="B18" s="11" t="n">
        <v>2</v>
      </c>
      <c r="C18" s="12">
        <f>LbWk*Weeks*(1+Growth)^(2-1)</f>
        <v/>
      </c>
      <c r="D18" s="12">
        <f>C18/3</f>
        <v/>
      </c>
      <c r="E18" s="12">
        <f>ROUND(D18/DrumLb/PCIbatch,0)</f>
        <v/>
      </c>
      <c r="F18" s="15">
        <f>D18*(PCIq-SNPlb)</f>
        <v/>
      </c>
      <c r="G18" s="15">
        <f>G17+F18</f>
        <v/>
      </c>
    </row>
    <row r="19">
      <c r="B19" s="11" t="n">
        <v>3</v>
      </c>
      <c r="C19" s="12">
        <f>LbWk*Weeks*(1+Growth)^(3-1)</f>
        <v/>
      </c>
      <c r="D19" s="12">
        <f>C19/3</f>
        <v/>
      </c>
      <c r="E19" s="12">
        <f>ROUND(D19/DrumLb/PCIbatch,0)</f>
        <v/>
      </c>
      <c r="F19" s="15">
        <f>D19*(PCIq-SNPlb)</f>
        <v/>
      </c>
      <c r="G19" s="15">
        <f>G18+F19</f>
        <v/>
      </c>
    </row>
    <row r="20">
      <c r="B20" s="11" t="n">
        <v>4</v>
      </c>
      <c r="C20" s="12">
        <f>LbWk*Weeks*(1+Growth)^(4-1)</f>
        <v/>
      </c>
      <c r="D20" s="12">
        <f>C20/3</f>
        <v/>
      </c>
      <c r="E20" s="12">
        <f>ROUND(D20/DrumLb/PCIbatch,0)</f>
        <v/>
      </c>
      <c r="F20" s="15">
        <f>D20*(PCIq-SNPlb)</f>
        <v/>
      </c>
      <c r="G20" s="15">
        <f>G19+F20</f>
        <v/>
      </c>
    </row>
    <row r="21">
      <c r="B21" s="11" t="n">
        <v>5</v>
      </c>
      <c r="C21" s="12">
        <f>LbWk*Weeks*(1+Growth)^(5-1)</f>
        <v/>
      </c>
      <c r="D21" s="12">
        <f>C21/3</f>
        <v/>
      </c>
      <c r="E21" s="12">
        <f>ROUND(D21/DrumLb/PCIbatch,0)</f>
        <v/>
      </c>
      <c r="F21" s="15">
        <f>D21*(PCIq-SNPlb)</f>
        <v/>
      </c>
      <c r="G21" s="15">
        <f>G20+F21</f>
        <v/>
      </c>
    </row>
    <row r="23">
      <c r="B23" s="47" t="inlineStr">
        <is>
          <t>Break-even — outage cost that justifies the premium</t>
        </is>
      </c>
    </row>
    <row r="24" ht="30" customHeight="1">
      <c r="B24" s="3" t="inlineStr">
        <is>
          <t>Premium (Y1)</t>
        </is>
      </c>
      <c r="C24" s="3" t="inlineStr">
        <is>
          <t>p = 2%</t>
        </is>
      </c>
      <c r="D24" s="3" t="inlineStr">
        <is>
          <t>p = 5%</t>
        </is>
      </c>
      <c r="E24" s="3" t="inlineStr">
        <is>
          <t>p = 10%</t>
        </is>
      </c>
      <c r="F24" s="3" t="inlineStr">
        <is>
          <t>p = 20%</t>
        </is>
      </c>
    </row>
    <row r="25">
      <c r="B25" s="15">
        <f>H7</f>
        <v/>
      </c>
      <c r="C25" s="15">
        <f>B25/0.02</f>
        <v/>
      </c>
      <c r="D25" s="15">
        <f>B25/0.05</f>
        <v/>
      </c>
      <c r="E25" s="15">
        <f>B25/0.1</f>
        <v/>
      </c>
      <c r="F25" s="15">
        <f>B25/0.2</f>
        <v/>
      </c>
    </row>
    <row r="27">
      <c r="B27" s="47" t="inlineStr">
        <is>
          <t>Block-rotation logistics of a 5-drum batch (shelf life 18 days)</t>
        </is>
      </c>
    </row>
    <row r="28">
      <c r="B28" s="17" t="inlineStr">
        <is>
          <t>Batch size (lb)</t>
        </is>
      </c>
      <c r="C28" s="12">
        <f>PCIbatch*DrumLb</f>
        <v/>
      </c>
      <c r="D28" s="2" t="inlineStr"/>
    </row>
    <row r="29">
      <c r="B29" s="17" t="inlineStr">
        <is>
          <t>Days of FULL demand in one batch</t>
        </is>
      </c>
      <c r="C29" s="48">
        <f>B28/(LbWk/7)</f>
        <v/>
      </c>
      <c r="D29" s="2" t="inlineStr">
        <is>
          <t>12.1 days — must be consumed within the shelf life -&gt; use at full rate on receipt</t>
        </is>
      </c>
    </row>
    <row r="30">
      <c r="B30" s="17" t="inlineStr">
        <is>
          <t>Cycle length at 1/3 share (weeks)</t>
        </is>
      </c>
      <c r="C30" s="48">
        <f>B28/(LbWk/3)</f>
        <v/>
      </c>
      <c r="D30" s="2" t="inlineStr">
        <is>
          <t>One PCI batch every ~5 weeks (Year 1: 10 batches; ~15 by Year 5)</t>
        </is>
      </c>
    </row>
    <row r="31">
      <c r="B31" s="17" t="inlineStr">
        <is>
          <t>Weeks on SNP material per cycle</t>
        </is>
      </c>
      <c r="C31" s="48">
        <f>B30-B28/LbWk</f>
        <v/>
      </c>
      <c r="D31" s="2" t="inlineStr">
        <is>
          <t>Cadence is a choice: (i) block rotation = a ~12-day pause in SNP orders per cycle; (ii) SNP keeps ~2 drums/wk and we hold ~3 drums of rolling stock (peak ~8 drums, strict first-in-first-out) — the shelf-life study decides</t>
        </is>
      </c>
    </row>
    <row r="32">
      <c r="B32" s="17" t="inlineStr">
        <is>
          <t>Age of PCI drums on receipt (days: cook, release, transit) — INPUT</t>
        </is>
      </c>
      <c r="C32" s="63" t="n">
        <v>4</v>
      </c>
      <c r="D32" s="2" t="inlineStr">
        <is>
          <t>Assumption: the 18-day clock starts at manufacture. Confirm PCI lead time and transit St. Louis -&gt; site</t>
        </is>
      </c>
    </row>
    <row r="33">
      <c r="B33" s="17" t="inlineStr">
        <is>
          <t>Usable days on receipt (18-day life)</t>
        </is>
      </c>
      <c r="C33" s="48">
        <f>18-B32</f>
        <v/>
      </c>
      <c r="D33" s="2" t="inlineStr"/>
    </row>
    <row r="34">
      <c r="B34" s="17" t="inlineStr">
        <is>
          <t>Slack in block rotation (days)</t>
        </is>
      </c>
      <c r="C34" s="48">
        <f>B33-B29</f>
        <v/>
      </c>
      <c r="D34" s="2" t="inlineStr">
        <is>
          <t>~1–2 days: block rotation has almost no margin at 18 days; a validated 21-day life gives real margin</t>
        </is>
      </c>
    </row>
    <row r="35">
      <c r="B35" s="17" t="inlineStr">
        <is>
          <t>Days to consume a batch at 2/3 rate</t>
        </is>
      </c>
      <c r="C35" s="48">
        <f>B28/(LbWk*2/3/7)</f>
        <v/>
      </c>
      <c r="D35" s="2" t="inlineStr">
        <is>
          <t>18.2 days — needs a validated life longer than 18.2 days plus the age on receipt</t>
        </is>
      </c>
    </row>
    <row r="36">
      <c r="B36" s="17" t="inlineStr">
        <is>
          <t>Days to consume a batch at an exact 1/3 rate</t>
        </is>
      </c>
      <c r="C36" s="48">
        <f>B28/(LbWk/3/7)</f>
        <v/>
      </c>
      <c r="D36" s="2" t="inlineStr">
        <is>
          <t>36.3 days — a true one-third blend needs a ~40-day validated life</t>
        </is>
      </c>
    </row>
    <row r="37">
      <c r="B37" s="17" t="inlineStr">
        <is>
          <t>Minimum PCI share of rate under a 30-day life</t>
        </is>
      </c>
      <c r="C37" s="24">
        <f>B28/((30-B32)*LbWk/7)</f>
        <v/>
      </c>
      <c r="D37" s="2" t="inlineStr">
        <is>
          <t>~47% at 4 days' age: even a 30-day life does not allow a one-third blend</t>
        </is>
      </c>
    </row>
    <row r="38">
      <c r="B38" s="17" t="inlineStr">
        <is>
          <t>One qualification batch — cost</t>
        </is>
      </c>
      <c r="C38" s="15">
        <f>B28*PCIq</f>
        <v/>
      </c>
      <c r="D38" s="2" t="inlineStr">
        <is>
          <t>A single production-scale batch (Option B-plus); $7.9k gross</t>
        </is>
      </c>
    </row>
    <row r="39">
      <c r="B39" s="17" t="inlineStr">
        <is>
          <t>One qualification batch — premium over SNP</t>
        </is>
      </c>
      <c r="C39" s="15">
        <f>B28*(PCIq-SNPlb)</f>
        <v/>
      </c>
      <c r="D39" s="2" t="inlineStr">
        <is>
          <t>3.3% of annual volume (2,250 of 67,600 lb); one ~12-day pause in SNP orders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6"/>
  <sheetViews>
    <sheetView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100" customWidth="1" min="4" max="4"/>
  </cols>
  <sheetData>
    <row r="2">
      <c r="B2" s="1" t="inlineStr">
        <is>
          <t>PCI Manufacturing — qualification experiment record</t>
        </is>
      </c>
    </row>
    <row r="3">
      <c r="B3" s="2" t="inlineStr">
        <is>
          <t>What was tested, what was found, what is still open. Source: email-chain summary 2026-09-22 + quote 2026-09-28.</t>
        </is>
      </c>
    </row>
    <row r="5" ht="30" customHeight="1">
      <c r="B5" s="3" t="inlineStr">
        <is>
          <t>Attribute</t>
        </is>
      </c>
      <c r="C5" s="3" t="inlineStr">
        <is>
          <t>Status</t>
        </is>
      </c>
      <c r="D5" s="3" t="inlineStr">
        <is>
          <t>Result / detail</t>
        </is>
      </c>
    </row>
    <row r="6" ht="32" customHeight="1">
      <c r="B6" s="32" t="inlineStr">
        <is>
          <t>Capability — 90–95 °C cook</t>
        </is>
      </c>
      <c r="C6" s="34" t="inlineStr">
        <is>
          <t>PROVEN</t>
        </is>
      </c>
      <c r="D6" s="34" t="inlineStr">
        <is>
          <t>Lab batches produced; dissolution achieved</t>
        </is>
      </c>
    </row>
    <row r="7" ht="32" customHeight="1">
      <c r="B7" s="32" t="inlineStr">
        <is>
          <t>Viscosity (primary concern)</t>
        </is>
      </c>
      <c r="C7" s="34" t="inlineStr">
        <is>
          <t>ROOT CAUSE FOUND</t>
        </is>
      </c>
      <c r="D7" s="34" t="inlineStr">
        <is>
          <t>First sample 2,420 cP vs ~1,000 target; dilution to 10.8% solids -&gt; 1,590 cP; cause = elevated solids from water loss during processing; fix = water adjustment at end of mix</t>
        </is>
      </c>
    </row>
    <row r="8" ht="32" customHeight="1">
      <c r="B8" s="32" t="inlineStr">
        <is>
          <t>Agreed fresh-material spec</t>
        </is>
      </c>
      <c r="C8" s="34" t="inlineStr">
        <is>
          <t>LOCKED</t>
        </is>
      </c>
      <c r="D8" s="34" t="inlineStr">
        <is>
          <t>11% total solids; 900–1,100 cP fresh (Brookfield #3, 10 rpm, 25 °C); &lt;2,500 cP ceiling</t>
        </is>
      </c>
    </row>
    <row r="9" ht="32" customHeight="1">
      <c r="B9" s="38" t="inlineStr">
        <is>
          <t>Colour</t>
        </is>
      </c>
      <c r="C9" s="40" t="inlineStr">
        <is>
          <t>NOT A CRITERION</t>
        </is>
      </c>
      <c r="D9" s="40" t="inlineStr">
        <is>
          <t>No formal spec; minor mismatch acceptable</t>
        </is>
      </c>
    </row>
    <row r="10" ht="32" customHeight="1">
      <c r="B10" s="38" t="inlineStr">
        <is>
          <t>Shelf-life study</t>
        </is>
      </c>
      <c r="C10" s="40" t="inlineStr">
        <is>
          <t>REQUESTED</t>
        </is>
      </c>
      <c r="D10" s="40" t="inlineStr">
        <is>
          <t>Viscosity every 3–5 days; trend to usable life (18 vs 30 days matters for batch logistics)</t>
        </is>
      </c>
    </row>
    <row r="11" ht="32" customHeight="1">
      <c r="B11" s="38" t="inlineStr">
        <is>
          <t>Hydrogel compression strength</t>
        </is>
      </c>
      <c r="C11" s="40" t="inlineStr">
        <is>
          <t>PLANNED</t>
        </is>
      </c>
      <c r="D11" s="40" t="inlineStr">
        <is>
          <t>vs current material — must hold on 100% PCI material under block rotation</t>
        </is>
      </c>
    </row>
    <row r="12" ht="32" customHeight="1">
      <c r="B12" s="49" t="inlineStr">
        <is>
          <t>Cleaning / residual film</t>
        </is>
      </c>
      <c r="C12" s="50" t="inlineStr">
        <is>
          <t>OPEN</t>
        </is>
      </c>
      <c r="D12" s="50" t="inlineStr">
        <is>
          <t>Film observed during processing; vinegar partially effective; procedure not final</t>
        </is>
      </c>
    </row>
    <row r="13" ht="32" customHeight="1">
      <c r="B13" s="49" t="inlineStr">
        <is>
          <t>Viscometer method basis</t>
        </is>
      </c>
      <c r="C13" s="50" t="inlineStr">
        <is>
          <t>OPEN</t>
        </is>
      </c>
      <c r="D13" s="50" t="inlineStr">
        <is>
          <t>10 vs 60 rpm, LV vs RV series — all cP comparisons depend on it</t>
        </is>
      </c>
    </row>
    <row r="14" ht="32" customHeight="1">
      <c r="B14" s="32" t="inlineStr">
        <is>
          <t>Commercial — price</t>
        </is>
      </c>
      <c r="C14" s="34" t="inlineStr">
        <is>
          <t>QUOTED</t>
        </is>
      </c>
      <c r="D14" s="34" t="inlineStr">
        <is>
          <t>$3.50/lb at one 5-drum batch; $6.00/lb below a batch</t>
        </is>
      </c>
    </row>
    <row r="15" ht="32" customHeight="1">
      <c r="B15" s="49" t="inlineStr">
        <is>
          <t>Commercial — terms to confirm</t>
        </is>
      </c>
      <c r="C15" s="50" t="inlineStr">
        <is>
          <t>OPEN</t>
        </is>
      </c>
      <c r="D15" s="50" t="inlineStr">
        <is>
          <t>Delivered/all-in? Validity? ~10 batches/yr on a ~5-week rhythm acceptable? Crisis ramp to ~3 batches/month? Resin grade/producer (sub-tier convergence with SNP)?</t>
        </is>
      </c>
    </row>
    <row r="16" ht="32" customHeight="1">
      <c r="B16" s="38" t="inlineStr">
        <is>
          <t>What PCI has invested (unpaid)</t>
        </is>
      </c>
      <c r="C16" s="40" t="inlineStr">
        <is>
          <t>NOTED</t>
        </is>
      </c>
      <c r="D16" s="40" t="inlineStr">
        <is>
          <t>Two+ lab batches, dilution study, method work, revised process — months of engineering on a ~$50k/yr account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13"/>
  <sheetViews>
    <sheetView workbookViewId="0">
      <selection activeCell="A1" sqref="A1"/>
    </sheetView>
  </sheetViews>
  <sheetFormatPr baseColWidth="8" defaultRowHeight="15"/>
  <cols>
    <col width="8" customWidth="1" min="2" max="2"/>
    <col width="13" customWidth="1" min="3" max="3"/>
    <col width="9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  <col width="18" customWidth="1" min="10" max="10"/>
    <col width="14" customWidth="1" min="11" max="11"/>
    <col width="14" customWidth="1" min="12" max="12"/>
    <col width="14" customWidth="1" min="13" max="13"/>
  </cols>
  <sheetData>
    <row r="2">
      <c r="B2" s="1" t="inlineStr">
        <is>
          <t>Five-year cost of Option A</t>
        </is>
      </c>
    </row>
    <row r="3">
      <c r="B3" s="2" t="inlineStr">
        <is>
          <t>Second source at an exact one-third of each year's demand (batches round differently each year). The Year-1 headline elsewhere uses 10 whole batches (50 drums, $61,875) — $92 apart. Premium = share x (PCI price - SNP price) x volume; MID = the real quote.</t>
        </is>
      </c>
    </row>
    <row r="5" ht="30" customHeight="1">
      <c r="B5" s="3" t="inlineStr">
        <is>
          <t>Year</t>
        </is>
      </c>
      <c r="C5" s="3" t="inlineStr">
        <is>
          <t>Volume (lb)</t>
        </is>
      </c>
      <c r="D5" s="3" t="inlineStr">
        <is>
          <t>Drums</t>
        </is>
      </c>
      <c r="E5" s="3" t="inlineStr">
        <is>
          <t>Effective share</t>
        </is>
      </c>
      <c r="F5" s="3" t="inlineStr">
        <is>
          <t>Drums/wk to PCI</t>
        </is>
      </c>
      <c r="G5" s="3" t="inlineStr">
        <is>
          <t>All-SNP baseline</t>
        </is>
      </c>
      <c r="H5" s="3" t="inlineStr">
        <is>
          <t>Option A @ PCI LOW</t>
        </is>
      </c>
      <c r="I5" s="3" t="inlineStr">
        <is>
          <t>Option A @ PCI MID</t>
        </is>
      </c>
      <c r="J5" s="3" t="inlineStr">
        <is>
          <t>Option A @ PCI HIGH</t>
        </is>
      </c>
      <c r="K5" s="3" t="inlineStr">
        <is>
          <t>Premium LOW</t>
        </is>
      </c>
      <c r="L5" s="3" t="inlineStr">
        <is>
          <t>Premium MID</t>
        </is>
      </c>
      <c r="M5" s="3" t="inlineStr">
        <is>
          <t>Premium HIGH</t>
        </is>
      </c>
    </row>
    <row r="6">
      <c r="B6" s="11" t="n">
        <v>1</v>
      </c>
      <c r="C6" s="12">
        <f>LbWk*Weeks*(1+Growth)^(1-1)</f>
        <v/>
      </c>
      <c r="D6" s="12">
        <f>C6/DrumLb</f>
        <v/>
      </c>
      <c r="E6" s="13">
        <f>Share</f>
        <v/>
      </c>
      <c r="F6" s="14">
        <f>D6*E6/Weeks</f>
        <v/>
      </c>
      <c r="G6" s="15">
        <f>C6*SNPlb</f>
        <v/>
      </c>
      <c r="H6" s="15">
        <f>C6*(1-E6)*SNPlb+C6*E6*PCIlo</f>
        <v/>
      </c>
      <c r="I6" s="15">
        <f>C6*(1-E6)*SNPlb+C6*E6*PCImid</f>
        <v/>
      </c>
      <c r="J6" s="15">
        <f>C6*(1-E6)*SNPlb+C6*E6*PCIhi</f>
        <v/>
      </c>
      <c r="K6" s="16">
        <f>H6-G6</f>
        <v/>
      </c>
      <c r="L6" s="16">
        <f>I6-G6</f>
        <v/>
      </c>
      <c r="M6" s="16">
        <f>J6-G6</f>
        <v/>
      </c>
    </row>
    <row r="7">
      <c r="B7" s="11" t="n">
        <v>2</v>
      </c>
      <c r="C7" s="12">
        <f>LbWk*Weeks*(1+Growth)^(2-1)</f>
        <v/>
      </c>
      <c r="D7" s="12">
        <f>C7/DrumLb</f>
        <v/>
      </c>
      <c r="E7" s="13">
        <f>Share</f>
        <v/>
      </c>
      <c r="F7" s="14">
        <f>D7*E7/Weeks</f>
        <v/>
      </c>
      <c r="G7" s="15">
        <f>C7*SNPlb</f>
        <v/>
      </c>
      <c r="H7" s="15">
        <f>C7*(1-E7)*SNPlb+C7*E7*PCIlo</f>
        <v/>
      </c>
      <c r="I7" s="15">
        <f>C7*(1-E7)*SNPlb+C7*E7*PCImid</f>
        <v/>
      </c>
      <c r="J7" s="15">
        <f>C7*(1-E7)*SNPlb+C7*E7*PCIhi</f>
        <v/>
      </c>
      <c r="K7" s="16">
        <f>H7-G7</f>
        <v/>
      </c>
      <c r="L7" s="16">
        <f>I7-G7</f>
        <v/>
      </c>
      <c r="M7" s="16">
        <f>J7-G7</f>
        <v/>
      </c>
    </row>
    <row r="8">
      <c r="B8" s="11" t="n">
        <v>3</v>
      </c>
      <c r="C8" s="12">
        <f>LbWk*Weeks*(1+Growth)^(3-1)</f>
        <v/>
      </c>
      <c r="D8" s="12">
        <f>C8/DrumLb</f>
        <v/>
      </c>
      <c r="E8" s="13">
        <f>Share</f>
        <v/>
      </c>
      <c r="F8" s="14">
        <f>D8*E8/Weeks</f>
        <v/>
      </c>
      <c r="G8" s="15">
        <f>C8*SNPlb</f>
        <v/>
      </c>
      <c r="H8" s="15">
        <f>C8*(1-E8)*SNPlb+C8*E8*PCIlo</f>
        <v/>
      </c>
      <c r="I8" s="15">
        <f>C8*(1-E8)*SNPlb+C8*E8*PCImid</f>
        <v/>
      </c>
      <c r="J8" s="15">
        <f>C8*(1-E8)*SNPlb+C8*E8*PCIhi</f>
        <v/>
      </c>
      <c r="K8" s="16">
        <f>H8-G8</f>
        <v/>
      </c>
      <c r="L8" s="16">
        <f>I8-G8</f>
        <v/>
      </c>
      <c r="M8" s="16">
        <f>J8-G8</f>
        <v/>
      </c>
    </row>
    <row r="9">
      <c r="B9" s="11" t="n">
        <v>4</v>
      </c>
      <c r="C9" s="12">
        <f>LbWk*Weeks*(1+Growth)^(4-1)</f>
        <v/>
      </c>
      <c r="D9" s="12">
        <f>C9/DrumLb</f>
        <v/>
      </c>
      <c r="E9" s="13">
        <f>Share</f>
        <v/>
      </c>
      <c r="F9" s="14">
        <f>D9*E9/Weeks</f>
        <v/>
      </c>
      <c r="G9" s="15">
        <f>C9*SNPlb</f>
        <v/>
      </c>
      <c r="H9" s="15">
        <f>C9*(1-E9)*SNPlb+C9*E9*PCIlo</f>
        <v/>
      </c>
      <c r="I9" s="15">
        <f>C9*(1-E9)*SNPlb+C9*E9*PCImid</f>
        <v/>
      </c>
      <c r="J9" s="15">
        <f>C9*(1-E9)*SNPlb+C9*E9*PCIhi</f>
        <v/>
      </c>
      <c r="K9" s="16">
        <f>H9-G9</f>
        <v/>
      </c>
      <c r="L9" s="16">
        <f>I9-G9</f>
        <v/>
      </c>
      <c r="M9" s="16">
        <f>J9-G9</f>
        <v/>
      </c>
    </row>
    <row r="10">
      <c r="B10" s="11" t="n">
        <v>5</v>
      </c>
      <c r="C10" s="12">
        <f>LbWk*Weeks*(1+Growth)^(5-1)</f>
        <v/>
      </c>
      <c r="D10" s="12">
        <f>C10/DrumLb</f>
        <v/>
      </c>
      <c r="E10" s="13">
        <f>Share</f>
        <v/>
      </c>
      <c r="F10" s="14">
        <f>D10*E10/Weeks</f>
        <v/>
      </c>
      <c r="G10" s="15">
        <f>C10*SNPlb</f>
        <v/>
      </c>
      <c r="H10" s="15">
        <f>C10*(1-E10)*SNPlb+C10*E10*PCIlo</f>
        <v/>
      </c>
      <c r="I10" s="15">
        <f>C10*(1-E10)*SNPlb+C10*E10*PCImid</f>
        <v/>
      </c>
      <c r="J10" s="15">
        <f>C10*(1-E10)*SNPlb+C10*E10*PCIhi</f>
        <v/>
      </c>
      <c r="K10" s="16">
        <f>H10-G10</f>
        <v/>
      </c>
      <c r="L10" s="16">
        <f>I10-G10</f>
        <v/>
      </c>
      <c r="M10" s="16">
        <f>J10-G10</f>
        <v/>
      </c>
    </row>
    <row r="11">
      <c r="B11" s="17" t="inlineStr">
        <is>
          <t>5-yr total</t>
        </is>
      </c>
      <c r="C11" s="18">
        <f>SUM(C6:C10)</f>
        <v/>
      </c>
      <c r="D11" s="18">
        <f>SUM(D6:D10)</f>
        <v/>
      </c>
      <c r="G11" s="19">
        <f>SUM(G6:G10)</f>
        <v/>
      </c>
      <c r="H11" s="19">
        <f>SUM(H6:H10)</f>
        <v/>
      </c>
      <c r="I11" s="19">
        <f>SUM(I6:I10)</f>
        <v/>
      </c>
      <c r="J11" s="19">
        <f>SUM(J6:J10)</f>
        <v/>
      </c>
      <c r="K11" s="19">
        <f>SUM(K6:K10)</f>
        <v/>
      </c>
      <c r="L11" s="19">
        <f>SUM(L6:L10)</f>
        <v/>
      </c>
      <c r="M11" s="19">
        <f>SUM(M6:M10)</f>
        <v/>
      </c>
    </row>
    <row r="13">
      <c r="B13" s="2" t="inlineStr">
        <is>
          <t>Plus one-time qualification cost (Inputs):</t>
        </is>
      </c>
      <c r="G13" s="20">
        <f>QualCost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4"/>
  <sheetViews>
    <sheetView workbookViewId="0">
      <selection activeCell="A1" sqref="A1"/>
    </sheetView>
  </sheetViews>
  <sheetFormatPr baseColWidth="8" defaultRowHeight="15"/>
  <cols>
    <col width="20" customWidth="1" min="2" max="2"/>
    <col width="26" customWidth="1" min="3" max="3"/>
    <col width="34" customWidth="1" min="4" max="4"/>
    <col width="20" customWidth="1" min="5" max="5"/>
  </cols>
  <sheetData>
    <row r="2">
      <c r="B2" s="1" t="inlineStr">
        <is>
          <t>What drives the premium (Year 1, second source = 10 whole 5-drum batches = 50 drums)</t>
        </is>
      </c>
    </row>
    <row r="3">
      <c r="B3" s="2" t="inlineStr">
        <is>
          <t>Price is what the market gives us. Below one 5-drum batch PCI charges $6.00/lb, so there is no cheap small-order version.</t>
        </is>
      </c>
    </row>
    <row r="5" ht="30" customHeight="1">
      <c r="B5" s="3" t="inlineStr">
        <is>
          <t>2nd-source $/lb</t>
        </is>
      </c>
      <c r="C5" s="3" t="inlineStr">
        <is>
          <t>Basis</t>
        </is>
      </c>
      <c r="D5" s="3" t="inlineStr">
        <is>
          <t>Premium (Year 1)</t>
        </is>
      </c>
      <c r="E5" s="3" t="inlineStr">
        <is>
          <t>x today's PVA spend</t>
        </is>
      </c>
    </row>
    <row r="6">
      <c r="B6" s="21">
        <f>MktLo</f>
        <v/>
      </c>
      <c r="C6" s="22" t="inlineStr">
        <is>
          <t>Market — high quantity (bulk/tote)</t>
        </is>
      </c>
      <c r="D6" s="15">
        <f>LbWk*Weeks*EffShare*(B6-SNPlb)</f>
        <v/>
      </c>
      <c r="E6" s="23">
        <f>D6/(LbWk*Weeks*SNPlb)</f>
        <v/>
      </c>
    </row>
    <row r="7">
      <c r="B7" s="21" t="n">
        <v>1</v>
      </c>
      <c r="C7" s="22" t="inlineStr">
        <is>
          <t>July 2026 assumption, low (superseded)</t>
        </is>
      </c>
      <c r="D7" s="15">
        <f>LbWk*Weeks*EffShare*(B7-SNPlb)</f>
        <v/>
      </c>
      <c r="E7" s="23">
        <f>D7/(LbWk*Weeks*SNPlb)</f>
        <v/>
      </c>
    </row>
    <row r="8">
      <c r="B8" s="21" t="n">
        <v>1.25</v>
      </c>
      <c r="C8" s="22" t="inlineStr">
        <is>
          <t>July 2026 assumption, high (superseded)</t>
        </is>
      </c>
      <c r="D8" s="15">
        <f>LbWk*Weeks*EffShare*(B8-SNPlb)</f>
        <v/>
      </c>
      <c r="E8" s="23">
        <f>D8/(LbWk*Weeks*SNPlb)</f>
        <v/>
      </c>
    </row>
    <row r="9">
      <c r="B9" s="21">
        <f>MktBase</f>
        <v/>
      </c>
      <c r="C9" s="22" t="inlineStr">
        <is>
          <t>Market — competitive quantity (drum scale)</t>
        </is>
      </c>
      <c r="D9" s="15">
        <f>LbWk*Weeks*EffShare*(B9-SNPlb)</f>
        <v/>
      </c>
      <c r="E9" s="23">
        <f>D9/(LbWk*Weeks*SNPlb)</f>
        <v/>
      </c>
    </row>
    <row r="10">
      <c r="B10" s="21" t="n">
        <v>1.5</v>
      </c>
      <c r="C10" s="22" t="inlineStr">
        <is>
          <t>Upside case — trigger price</t>
        </is>
      </c>
      <c r="D10" s="15">
        <f>LbWk*Weeks*EffShare*(B10-SNPlb)</f>
        <v/>
      </c>
      <c r="E10" s="23">
        <f>D10/(LbWk*Weeks*SNPlb)</f>
        <v/>
      </c>
    </row>
    <row r="11">
      <c r="B11" s="21" t="n">
        <v>2</v>
      </c>
      <c r="C11" s="22" t="inlineStr">
        <is>
          <t>Upside case — borderline</t>
        </is>
      </c>
      <c r="D11" s="15">
        <f>LbWk*Weeks*EffShare*(B11-SNPlb)</f>
        <v/>
      </c>
      <c r="E11" s="23">
        <f>D11/(LbWk*Weeks*SNPlb)</f>
        <v/>
      </c>
    </row>
    <row r="12">
      <c r="B12" s="21">
        <f>MktHi</f>
        <v/>
      </c>
      <c r="C12" s="22" t="inlineStr">
        <is>
          <t>Market — low quantity (small packs)</t>
        </is>
      </c>
      <c r="D12" s="15">
        <f>LbWk*Weeks*EffShare*(B12-SNPlb)</f>
        <v/>
      </c>
      <c r="E12" s="23">
        <f>D12/(LbWk*Weeks*SNPlb)</f>
        <v/>
      </c>
    </row>
    <row r="13">
      <c r="B13" s="21">
        <f>PCIlo</f>
        <v/>
      </c>
      <c r="C13" s="22" t="inlineStr">
        <is>
          <t>Sensitivity — below the quote</t>
        </is>
      </c>
      <c r="D13" s="15">
        <f>LbWk*Weeks*EffShare*(B13-SNPlb)</f>
        <v/>
      </c>
      <c r="E13" s="23">
        <f>D13/(LbWk*Weeks*SNPlb)</f>
        <v/>
      </c>
    </row>
    <row r="14">
      <c r="B14" s="21">
        <f>PCImid</f>
        <v/>
      </c>
      <c r="C14" s="22" t="inlineStr">
        <is>
          <t>PCI real quote ($3.50, one 5-drum batch)</t>
        </is>
      </c>
      <c r="D14" s="15">
        <f>LbWk*Weeks*EffShare*(B14-SNPlb)</f>
        <v/>
      </c>
      <c r="E14" s="23">
        <f>D14/(LbWk*Weeks*SNPlb)</f>
        <v/>
      </c>
    </row>
    <row r="15">
      <c r="B15" s="21">
        <f>PCIhi</f>
        <v/>
      </c>
      <c r="C15" s="22" t="inlineStr">
        <is>
          <t>Sensitivity — above the quote</t>
        </is>
      </c>
      <c r="D15" s="15">
        <f>LbWk*Weeks*EffShare*(B15-SNPlb)</f>
        <v/>
      </c>
      <c r="E15" s="23">
        <f>D15/(LbWk*Weeks*SNPlb)</f>
        <v/>
      </c>
    </row>
    <row r="16">
      <c r="B16" s="21">
        <f>CJBlb</f>
        <v/>
      </c>
      <c r="C16" s="22" t="inlineStr">
        <is>
          <t>CJB quote (landed)</t>
        </is>
      </c>
      <c r="D16" s="15">
        <f>LbWk*Weeks*EffShare*(B16-SNPlb)</f>
        <v/>
      </c>
      <c r="E16" s="23">
        <f>D16/(LbWk*Weeks*SNPlb)</f>
        <v/>
      </c>
    </row>
    <row r="17" ht="30" customHeight="1">
      <c r="B17" s="3" t="inlineStr">
        <is>
          <t>Share to 2nd source</t>
        </is>
      </c>
      <c r="C17" s="3" t="inlineStr">
        <is>
          <t>Batches of 5 drums / yr</t>
        </is>
      </c>
      <c r="D17" s="3" t="inlineStr">
        <is>
          <t>Available at $3.50?</t>
        </is>
      </c>
      <c r="E17" s="3" t="inlineStr">
        <is>
          <t>Premium @ PCI quote</t>
        </is>
      </c>
    </row>
    <row r="18">
      <c r="B18" s="24" t="n">
        <v>0.05</v>
      </c>
      <c r="C18" s="48">
        <f>B18*LbWk*Weeks/(DrumLb*PCIbatch)</f>
        <v/>
      </c>
      <c r="D18" s="25">
        <f>IF(C18&lt;1,"Below one batch — $6.00/lb","Yes at $3.50 — no volume term attached to the batch price so far (confirm in writing)")</f>
        <v/>
      </c>
      <c r="E18" s="26">
        <f>B18*LbWk*Weeks*(PCIq-SNPlb)</f>
        <v/>
      </c>
    </row>
    <row r="19">
      <c r="B19" s="24" t="n">
        <v>0.1</v>
      </c>
      <c r="C19" s="48">
        <f>B19*LbWk*Weeks/(DrumLb*PCIbatch)</f>
        <v/>
      </c>
      <c r="D19" s="25">
        <f>IF(C19&lt;1,"Below one batch — $6.00/lb","Yes at $3.50 — no volume term attached to the batch price so far (confirm in writing)")</f>
        <v/>
      </c>
      <c r="E19" s="26">
        <f>B19*LbWk*Weeks*(PCIq-SNPlb)</f>
        <v/>
      </c>
    </row>
    <row r="20">
      <c r="B20" s="24" t="n">
        <v>0.2</v>
      </c>
      <c r="C20" s="48">
        <f>B20*LbWk*Weeks/(DrumLb*PCIbatch)</f>
        <v/>
      </c>
      <c r="D20" s="25">
        <f>IF(C20&lt;1,"Below one batch — $6.00/lb","Yes at $3.50 — no volume term attached to the batch price so far (confirm in writing)")</f>
        <v/>
      </c>
      <c r="E20" s="26">
        <f>B20*LbWk*Weeks*(PCIq-SNPlb)</f>
        <v/>
      </c>
    </row>
    <row r="21">
      <c r="B21" s="24" t="n">
        <v>0.3333333333333333</v>
      </c>
      <c r="C21" s="48">
        <f>B21*LbWk*Weeks/(DrumLb*PCIbatch)</f>
        <v/>
      </c>
      <c r="D21" s="27">
        <f>IF(C21&lt;1,"Below one batch — $6.00/lb","Yes at $3.50 — no volume term attached to the batch price so far (confirm in writing)")</f>
        <v/>
      </c>
      <c r="E21" s="15">
        <f>B21*LbWk*Weeks*(PCIq-SNPlb)</f>
        <v/>
      </c>
    </row>
    <row r="22">
      <c r="B22" s="24" t="n">
        <v>0.5</v>
      </c>
      <c r="C22" s="48">
        <f>B22*LbWk*Weeks/(DrumLb*PCIbatch)</f>
        <v/>
      </c>
      <c r="D22" s="27">
        <f>IF(C22&lt;1,"Below one batch — $6.00/lb","Yes at $3.50 — no volume term attached to the batch price so far (confirm in writing)")</f>
        <v/>
      </c>
      <c r="E22" s="15">
        <f>B22*LbWk*Weeks*(PCIq-SNPlb)</f>
        <v/>
      </c>
    </row>
    <row r="24">
      <c r="B24" s="28" t="inlineStr">
        <is>
          <t>No small-order version exists at this price: below a 5-drum batch PCI charges $6.00/lb. Above it, the $3.50 batch price carries no volume term so far — Option 3 (1–2 batches a year) rests on that; confirm it in writing.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0"/>
  <sheetViews>
    <sheetView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20" customWidth="1" min="4" max="4"/>
    <col width="18" customWidth="1" min="5" max="5"/>
    <col width="14" customWidth="1" min="6" max="6"/>
    <col width="18" customWidth="1" min="7" max="7"/>
  </cols>
  <sheetData>
    <row r="2">
      <c r="B2" s="1" t="inlineStr">
        <is>
          <t>If SNP Inc. raises price on the volume it keeps (Year 1, PCI quote $3.50, 50 drums to PCI)</t>
        </is>
      </c>
    </row>
    <row r="3">
      <c r="B3" s="2" t="inlineStr">
        <is>
          <t>Losing a third of our volume may cost SNP its batch efficiency. A surcharge on the retained ~2/3 compounds the premium.</t>
        </is>
      </c>
    </row>
    <row r="5" ht="30" customHeight="1">
      <c r="B5" s="3" t="inlineStr">
        <is>
          <t>SNP surcharge</t>
        </is>
      </c>
      <c r="C5" s="3" t="inlineStr">
        <is>
          <t>SNP $/lb</t>
        </is>
      </c>
      <c r="D5" s="3" t="inlineStr">
        <is>
          <t>SNP annual (retained)</t>
        </is>
      </c>
      <c r="E5" s="3" t="inlineStr">
        <is>
          <t>PCI annual</t>
        </is>
      </c>
      <c r="F5" s="3" t="inlineStr">
        <is>
          <t>Total</t>
        </is>
      </c>
      <c r="G5" s="3" t="inlineStr">
        <is>
          <t>Premium vs today</t>
        </is>
      </c>
    </row>
    <row r="6">
      <c r="B6" s="24" t="n">
        <v>0</v>
      </c>
      <c r="C6" s="21">
        <f>SNPlb*(1+B6)</f>
        <v/>
      </c>
      <c r="D6" s="15">
        <f>LbWk*Weeks*(1-EffShare)*C6</f>
        <v/>
      </c>
      <c r="E6" s="15">
        <f>LbWk*Weeks*EffShare*PCImid</f>
        <v/>
      </c>
      <c r="F6" s="15">
        <f>D6+E6</f>
        <v/>
      </c>
      <c r="G6" s="15">
        <f>F6-LbWk*Weeks*SNPlb</f>
        <v/>
      </c>
    </row>
    <row r="7">
      <c r="B7" s="24" t="n">
        <v>0.05</v>
      </c>
      <c r="C7" s="21">
        <f>SNPlb*(1+B7)</f>
        <v/>
      </c>
      <c r="D7" s="15">
        <f>LbWk*Weeks*(1-EffShare)*C7</f>
        <v/>
      </c>
      <c r="E7" s="15">
        <f>LbWk*Weeks*EffShare*PCImid</f>
        <v/>
      </c>
      <c r="F7" s="15">
        <f>D7+E7</f>
        <v/>
      </c>
      <c r="G7" s="15">
        <f>F7-LbWk*Weeks*SNPlb</f>
        <v/>
      </c>
    </row>
    <row r="8">
      <c r="B8" s="24" t="n">
        <v>0.1</v>
      </c>
      <c r="C8" s="21">
        <f>SNPlb*(1+B8)</f>
        <v/>
      </c>
      <c r="D8" s="15">
        <f>LbWk*Weeks*(1-EffShare)*C8</f>
        <v/>
      </c>
      <c r="E8" s="15">
        <f>LbWk*Weeks*EffShare*PCImid</f>
        <v/>
      </c>
      <c r="F8" s="15">
        <f>D8+E8</f>
        <v/>
      </c>
      <c r="G8" s="15">
        <f>F8-LbWk*Weeks*SNPlb</f>
        <v/>
      </c>
    </row>
    <row r="9">
      <c r="B9" s="24" t="n">
        <v>0.2</v>
      </c>
      <c r="C9" s="21">
        <f>SNPlb*(1+B9)</f>
        <v/>
      </c>
      <c r="D9" s="15">
        <f>LbWk*Weeks*(1-EffShare)*C9</f>
        <v/>
      </c>
      <c r="E9" s="15">
        <f>LbWk*Weeks*EffShare*PCImid</f>
        <v/>
      </c>
      <c r="F9" s="15">
        <f>D9+E9</f>
        <v/>
      </c>
      <c r="G9" s="15">
        <f>F9-LbWk*Weeks*SNPlb</f>
        <v/>
      </c>
    </row>
    <row r="10">
      <c r="B10" s="24" t="n">
        <v>0.33</v>
      </c>
      <c r="C10" s="21">
        <f>SNPlb*(1+B10)</f>
        <v/>
      </c>
      <c r="D10" s="15">
        <f>LbWk*Weeks*(1-EffShare)*C10</f>
        <v/>
      </c>
      <c r="E10" s="15">
        <f>LbWk*Weeks*EffShare*PCImid</f>
        <v/>
      </c>
      <c r="F10" s="15">
        <f>D10+E10</f>
        <v/>
      </c>
      <c r="G10" s="15">
        <f>F10-LbWk*Weeks*SNPlb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Is the insurance worth it? Premium vs (probability x avoided loss)</t>
        </is>
      </c>
    </row>
    <row r="3">
      <c r="B3" s="2" t="inlineStr">
        <is>
          <t>Option A is justified only if: annual premium &lt;= P(SNP disruption in a year) x loss the second source would AVOID. Full avoidance counts only with PCI's written ramp commitment; with ~1/3 coverage, the outage must be ~3x larger.</t>
        </is>
      </c>
    </row>
    <row r="5" ht="30" customHeight="1">
      <c r="B5" s="3" t="inlineStr">
        <is>
          <t>Option A price case</t>
        </is>
      </c>
      <c r="C5" s="3" t="inlineStr">
        <is>
          <t>Annual premium</t>
        </is>
      </c>
      <c r="D5" s="3" t="inlineStr">
        <is>
          <t>p = 2%</t>
        </is>
      </c>
      <c r="E5" s="3" t="inlineStr">
        <is>
          <t>p = 5%</t>
        </is>
      </c>
      <c r="F5" s="3" t="inlineStr">
        <is>
          <t>p = 10%</t>
        </is>
      </c>
      <c r="G5" s="3" t="inlineStr">
        <is>
          <t>p = 20%</t>
        </is>
      </c>
    </row>
    <row r="6">
      <c r="B6" s="11" t="inlineStr">
        <is>
          <t>Sensitivity $2.50</t>
        </is>
      </c>
      <c r="C6" s="15">
        <f>LbWk*Weeks*EffShare*(PCIlo-SNPlb)</f>
        <v/>
      </c>
      <c r="D6" s="15">
        <f>C6/0.02</f>
        <v/>
      </c>
      <c r="E6" s="15">
        <f>C6/0.05</f>
        <v/>
      </c>
      <c r="F6" s="15">
        <f>C6/0.1</f>
        <v/>
      </c>
      <c r="G6" s="15">
        <f>C6/0.2</f>
        <v/>
      </c>
    </row>
    <row r="7">
      <c r="B7" s="11" t="inlineStr">
        <is>
          <t>PCI quote $3.50</t>
        </is>
      </c>
      <c r="C7" s="15">
        <f>LbWk*Weeks*EffShare*(PCImid-SNPlb)</f>
        <v/>
      </c>
      <c r="D7" s="15">
        <f>C7/0.02</f>
        <v/>
      </c>
      <c r="E7" s="15">
        <f>C7/0.05</f>
        <v/>
      </c>
      <c r="F7" s="15">
        <f>C7/0.1</f>
        <v/>
      </c>
      <c r="G7" s="15">
        <f>C7/0.2</f>
        <v/>
      </c>
    </row>
    <row r="8">
      <c r="B8" s="11" t="inlineStr">
        <is>
          <t>Sensitivity $5.00</t>
        </is>
      </c>
      <c r="C8" s="15">
        <f>LbWk*Weeks*EffShare*(PCIhi-SNPlb)</f>
        <v/>
      </c>
      <c r="D8" s="15">
        <f>C8/0.02</f>
        <v/>
      </c>
      <c r="E8" s="15">
        <f>C8/0.05</f>
        <v/>
      </c>
      <c r="F8" s="15">
        <f>C8/0.1</f>
        <v/>
      </c>
      <c r="G8" s="15">
        <f>C8/0.2</f>
        <v/>
      </c>
    </row>
    <row r="10">
      <c r="B10" s="2" t="inlineStr">
        <is>
          <t>Read: each cell = the avoided loss an SNP outage would have to cause for the premium to pay off. Compare to Inputs 'Cost of a 6-month SNP Inc. outage'.</t>
        </is>
      </c>
    </row>
    <row r="12">
      <c r="B12" s="17" t="inlineStr">
        <is>
          <t>Expected annual loss with NO second source = Pdis x Dcost:</t>
        </is>
      </c>
      <c r="D12" s="20">
        <f>Pdis*Dcost</f>
        <v/>
      </c>
    </row>
    <row r="13">
      <c r="B13" s="17" t="inlineStr">
        <is>
          <t>Verdict @ PCI MID:</t>
        </is>
      </c>
      <c r="D13">
        <f>IF(D12&gt;=C7,"Option A is justified","Premium exceeds expected loss — Option B")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30" customWidth="1" min="2" max="2"/>
    <col width="42" customWidth="1" min="3" max="3"/>
    <col width="42" customWidth="1" min="4" max="4"/>
  </cols>
  <sheetData>
    <row r="2">
      <c r="B2" s="1" t="inlineStr">
        <is>
          <t>The options, side by side (Year 1, PCI quote $3.50; second source = 10 whole 5-drum batches = 50 drums)</t>
        </is>
      </c>
    </row>
    <row r="3">
      <c r="B3" s="2" t="inlineStr">
        <is>
          <t>Legacy A/B layout = Option 1 / Option 2. Option 3 (keep-alive: 1–2 batches of 5 drums a year at $3.50, no volume term so far) is on the PCI Quote Scenarios and Summary tabs.</t>
        </is>
      </c>
    </row>
    <row r="5" ht="30" customHeight="1">
      <c r="B5" s="3" t="inlineStr"/>
      <c r="C5" s="3" t="inlineStr">
        <is>
          <t>A — Second source (PCI Manufacturing) at ~1/3</t>
        </is>
      </c>
      <c r="D5" s="3" t="inlineStr">
        <is>
          <t>B — Single source (SNP Inc.) + strengthen</t>
        </is>
      </c>
    </row>
    <row r="6">
      <c r="B6" s="17" t="inlineStr">
        <is>
          <t>Annual purchase cost</t>
        </is>
      </c>
      <c r="C6" s="29">
        <f>LbWk*Weeks*(1-EffShare)*SNPlb+LbWk*Weeks*EffShare*PCImid</f>
        <v/>
      </c>
      <c r="D6" s="29">
        <f>LbWk*Weeks*SNPlb</f>
        <v/>
      </c>
    </row>
    <row r="7">
      <c r="B7" s="17" t="inlineStr">
        <is>
          <t>Premium vs today</t>
        </is>
      </c>
      <c r="C7" s="29">
        <f>B6-LbWk*Weeks*SNPlb</f>
        <v/>
      </c>
      <c r="D7" s="30" t="inlineStr">
        <is>
          <t>0 (+ small continuity spend)</t>
        </is>
      </c>
    </row>
    <row r="8">
      <c r="B8" s="17" t="inlineStr">
        <is>
          <t>One-time qualification</t>
        </is>
      </c>
      <c r="C8" s="29">
        <f>QualCost</f>
        <v/>
      </c>
      <c r="D8" s="30" t="inlineStr">
        <is>
          <t>0 (plan/document only)</t>
        </is>
      </c>
    </row>
    <row r="9">
      <c r="B9" s="17" t="inlineStr">
        <is>
          <t>5-yr premium (10% growth)</t>
        </is>
      </c>
      <c r="C9" s="29">
        <f>'5-Year'!L11</f>
        <v/>
      </c>
      <c r="D9" s="30" t="inlineStr">
        <is>
          <t>0</t>
        </is>
      </c>
    </row>
    <row r="10">
      <c r="B10" s="17" t="inlineStr">
        <is>
          <t>Volume still exposed if SNP fails</t>
        </is>
      </c>
      <c r="C10" s="30" t="inlineStr">
        <is>
          <t>~2/3 (until PCI ramps — unconfirmed)</t>
        </is>
      </c>
      <c r="D10" s="30" t="inlineStr">
        <is>
          <t>100%</t>
        </is>
      </c>
    </row>
    <row r="11">
      <c r="B11" s="17" t="inlineStr">
        <is>
          <t>Time to recover if SNP fails</t>
        </is>
      </c>
      <c r="C11" s="30" t="inlineStr">
        <is>
          <t>weeks (PCI ramp)</t>
        </is>
      </c>
      <c r="D11" s="30" t="inlineStr">
        <is>
          <t>~3-6 months cold start (decays after ~12 months idle); ~2-3 with a yearly re-check batch</t>
        </is>
      </c>
    </row>
    <row r="12">
      <c r="B12" s="17" t="inlineStr">
        <is>
          <t>Signal to SNP Inc.</t>
        </is>
      </c>
      <c r="C12" s="30" t="inlineStr">
        <is>
          <t>Lost a third of its volume; cadence level only if we carry a small rolling stock</t>
        </is>
      </c>
      <c r="D12" s="30" t="inlineStr">
        <is>
          <t>Deeper partnership</t>
        </is>
      </c>
    </row>
    <row r="13">
      <c r="B13" s="17" t="inlineStr">
        <is>
          <t>Compliance posture</t>
        </is>
      </c>
      <c r="C13" s="30" t="inlineStr">
        <is>
          <t>Strong</t>
        </is>
      </c>
      <c r="D13" s="30" t="inlineStr">
        <is>
          <t>Defensible if risk + plan 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2026-09-22T17:57:25Z</dcterms:created>
  <dcterms:modified xmlns:dcterms="http://purl.org/dc/terms/" xmlns:xsi="http://www.w3.org/2001/XMLSchema-instance" xsi:type="dcterms:W3CDTF">2026-09-28T18:05:37Z</dcterms:modified>
</cp:coreProperties>
</file>