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CI Quote Scenarios" sheetId="5" state="visible" r:id="rId5"/>
    <sheet xmlns:r="http://schemas.openxmlformats.org/officeDocument/2006/relationships" name="PCI Experiment" sheetId="6" state="visible" r:id="rId6"/>
    <sheet xmlns:r="http://schemas.openxmlformats.org/officeDocument/2006/relationships" name="5-Year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NP Re-price" sheetId="9" state="visible" r:id="rId9"/>
    <sheet xmlns:r="http://schemas.openxmlformats.org/officeDocument/2006/relationships" name="Break-even" sheetId="10" state="visible" r:id="rId10"/>
    <sheet xmlns:r="http://schemas.openxmlformats.org/officeDocument/2006/relationships" name="Options" sheetId="11" state="visible" r:id="rId11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Slide 5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Slide 5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Slide 5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Slides 3, 5, 7, 8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Slide 5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Slide 5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Slides 5, 8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Slides 5, 6, 8, 11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Slide 5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Slide 5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Slide 5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Slides 6, 8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Slide 11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Slide 11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Slides 6, 8, 9, 11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Slides 6, 9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Slides 6, 8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Slides 3, 7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Slide 7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Slide 11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Slides 6, 8, 9, 11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Slides 8, 9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Slide 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Brenntag (distributor) — trial blends, Nov 2025 onward</t>
        </is>
      </c>
      <c r="C10" s="36" t="inlineStr">
        <is>
          <t>pending</t>
        </is>
      </c>
      <c r="D10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0" s="37" t="inlineStr">
        <is>
          <t>NO QUOTE</t>
        </is>
      </c>
      <c r="F10" s="37" t="inlineStr">
        <is>
          <t>Never met viscosity; no quote</t>
        </is>
      </c>
      <c r="G10" s="37" t="inlineStr">
        <is>
          <t>Sam (Brenntag) emails</t>
        </is>
      </c>
    </row>
    <row r="11">
      <c r="B11" s="60" t="inlineStr">
        <is>
          <t>Market — COMPETITIVE quantity (drum scale, 30–55 gal)</t>
        </is>
      </c>
      <c r="C11" s="61" t="n">
        <v>2.32</v>
      </c>
      <c r="D11" s="62" t="inlineStr">
        <is>
          <t>Inferred from comparable pre-mixed PVA solutions sold today; range 2.20-5.03; n=7</t>
        </is>
      </c>
      <c r="E11" s="62" t="inlineStr">
        <is>
          <t>MARKET STUDY</t>
        </is>
      </c>
      <c r="F11" s="62" t="inlineStr">
        <is>
          <t>Reference — see Market Study tab</t>
        </is>
      </c>
      <c r="G11" s="62" t="inlineStr">
        <is>
          <t>Verified market study 2026-09-28</t>
        </is>
      </c>
    </row>
    <row r="12">
      <c r="B12" s="60" t="inlineStr">
        <is>
          <t>Market — LOW quantity (pints to 5-gal pails)</t>
        </is>
      </c>
      <c r="C12" s="61" t="n">
        <v>4.55</v>
      </c>
      <c r="D12" s="62" t="inlineStr">
        <is>
          <t>Retail/lab packs; range 3.19-5.87; n=32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HIGH quantity (totes / bulk / tonnage)</t>
        </is>
      </c>
      <c r="C13" s="61" t="n">
        <v>1.01</v>
      </c>
      <c r="D13" s="62" t="inlineStr">
        <is>
          <t>Bulk and contract pricing; range 0.28-1.04; n=5. Quality/regulatory context differs.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35" t="inlineStr">
        <is>
          <t>— Superseded / historical references (kept for the record) —</t>
        </is>
      </c>
      <c r="C14" s="36" t="inlineStr"/>
      <c r="D14" s="37" t="inlineStr"/>
      <c r="E14" s="37" t="inlineStr"/>
      <c r="F14" s="37" t="inlineStr"/>
      <c r="G14" s="37" t="inlineStr"/>
    </row>
    <row r="15">
      <c r="B15" s="35" t="inlineStr">
        <is>
          <t>Triangulated market LOW / BASE / HIGH (Sept)</t>
        </is>
      </c>
      <c r="C15" s="36" t="n">
        <v>1.4</v>
      </c>
      <c r="D15" s="37" t="inlineStr">
        <is>
          <t>$0.85 / $1.40 / $2.55 — resin floor + labor build-up + retail ceiling</t>
        </is>
      </c>
      <c r="E15" s="37" t="inlineStr">
        <is>
          <t>TRIANGULATED</t>
        </is>
      </c>
      <c r="F15" s="37" t="inlineStr">
        <is>
          <t>SUPERSEDED by market study</t>
        </is>
      </c>
      <c r="G15" s="37" t="inlineStr">
        <is>
          <t>Market Research tab (cost-scenarios workbook)</t>
        </is>
      </c>
    </row>
    <row r="16">
      <c r="B16" s="35" t="inlineStr">
        <is>
          <t>Material floor</t>
        </is>
      </c>
      <c r="C16" s="36" t="n">
        <v>0.18</v>
      </c>
      <c r="D16" s="37" t="inlineStr">
        <is>
          <t>PVA resin $1.26–1.60/lb x 11% solids = $0.14–0.18 (upper bound plotted)</t>
        </is>
      </c>
      <c r="E16" s="37" t="inlineStr">
        <is>
          <t>DERIVED</t>
        </is>
      </c>
      <c r="F16" s="37" t="inlineStr">
        <is>
          <t>Reference only</t>
        </is>
      </c>
      <c r="G16" s="37" t="inlineStr">
        <is>
          <t>ChemAnalyst / IMARC 2026</t>
        </is>
      </c>
    </row>
    <row r="17">
      <c r="B17" s="38" t="inlineStr">
        <is>
          <t>July 2026 assumption (key performance indicator (KPI) review deck)</t>
        </is>
      </c>
      <c r="C17" s="39" t="n">
        <v>1.125</v>
      </c>
      <c r="D17" s="40" t="inlineStr">
        <is>
          <t>'$1.00–1.25/lb, ~35% share, ~$6–12k/yr insurance'</t>
        </is>
      </c>
      <c r="E17" s="40" t="inlineStr">
        <is>
          <t>ASSUMPTION</t>
        </is>
      </c>
      <c r="F17" s="40" t="inlineStr">
        <is>
          <t>SUPERSEDED by PCI quote</t>
        </is>
      </c>
      <c r="G17" s="40" t="inlineStr">
        <is>
          <t>KPI review deck 2026-07-09</t>
        </is>
      </c>
    </row>
    <row r="18">
      <c r="B18" s="38" t="inlineStr">
        <is>
          <t>Pre-quote forecast (this deck, Sept)</t>
        </is>
      </c>
      <c r="C18" s="39" t="n">
        <v>3.75</v>
      </c>
      <c r="D18" s="40" t="inlineStr">
        <is>
          <t>$2.50 low / $3.75 mid / $5.00 high</t>
        </is>
      </c>
      <c r="E18" s="40" t="inlineStr">
        <is>
          <t>ASSUMPTION</t>
        </is>
      </c>
      <c r="F18" s="40" t="inlineStr">
        <is>
          <t>SUPERSEDED by PCI quote (quote = mid)</t>
        </is>
      </c>
      <c r="G18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8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chart bar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Reference: 1 drum/week (52 drums) at the below-batch price</t>
        </is>
      </c>
      <c r="C12" s="12" t="n">
        <v>52</v>
      </c>
      <c r="D12" s="21">
        <f>PCIsub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4">
      <c r="B14" s="47" t="inlineStr">
        <is>
          <t>Five years at 1/3 share (Option 1), PCI $3.50, volume +10%/yr</t>
        </is>
      </c>
    </row>
    <row r="15" ht="30" customHeight="1">
      <c r="B15" s="3" t="inlineStr">
        <is>
          <t>Year</t>
        </is>
      </c>
      <c r="C15" s="3" t="inlineStr">
        <is>
          <t>Volume (lb)</t>
        </is>
      </c>
      <c r="D15" s="3" t="inlineStr">
        <is>
          <t>Lb to PCI (1/3)</t>
        </is>
      </c>
      <c r="E15" s="3" t="inlineStr">
        <is>
          <t>Batches of 5 (rounded)</t>
        </is>
      </c>
      <c r="F15" s="3" t="inlineStr">
        <is>
          <t>Premium ($2.75/lb x lb to PCI)</t>
        </is>
      </c>
      <c r="G15" s="3" t="inlineStr">
        <is>
          <t>Cumulative</t>
        </is>
      </c>
    </row>
    <row r="16">
      <c r="B16" s="11" t="n">
        <v>1</v>
      </c>
      <c r="C16" s="12">
        <f>LbWk*Weeks*(1+Growth)^(1-1)</f>
        <v/>
      </c>
      <c r="D16" s="12">
        <f>C16/3</f>
        <v/>
      </c>
      <c r="E16" s="12">
        <f>ROUND(D16/DrumLb/PCIbatch,0)</f>
        <v/>
      </c>
      <c r="F16" s="15">
        <f>D16*(PCIq-SNPlb)</f>
        <v/>
      </c>
      <c r="G16" s="15">
        <f>F16</f>
        <v/>
      </c>
    </row>
    <row r="17">
      <c r="B17" s="11" t="n">
        <v>2</v>
      </c>
      <c r="C17" s="12">
        <f>LbWk*Weeks*(1+Growth)^(2-1)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G16+F17</f>
        <v/>
      </c>
    </row>
    <row r="18">
      <c r="B18" s="11" t="n">
        <v>3</v>
      </c>
      <c r="C18" s="12">
        <f>LbWk*Weeks*(1+Growth)^(3-1)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4</v>
      </c>
      <c r="C19" s="12">
        <f>LbWk*Weeks*(1+Growth)^(4-1)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5</v>
      </c>
      <c r="C20" s="12">
        <f>LbWk*Weeks*(1+Growth)^(5-1)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2">
      <c r="B22" s="47" t="inlineStr">
        <is>
          <t>Break-even — outage cost that justifies the premium</t>
        </is>
      </c>
    </row>
    <row r="23" ht="30" customHeight="1">
      <c r="B23" s="3" t="inlineStr">
        <is>
          <t>Premium (Y1)</t>
        </is>
      </c>
      <c r="C23" s="3" t="inlineStr">
        <is>
          <t>p = 2%</t>
        </is>
      </c>
      <c r="D23" s="3" t="inlineStr">
        <is>
          <t>p = 5%</t>
        </is>
      </c>
      <c r="E23" s="3" t="inlineStr">
        <is>
          <t>p = 10%</t>
        </is>
      </c>
      <c r="F23" s="3" t="inlineStr">
        <is>
          <t>p = 20%</t>
        </is>
      </c>
    </row>
    <row r="24">
      <c r="B24" s="15">
        <f>H7</f>
        <v/>
      </c>
      <c r="C24" s="15">
        <f>B24/0.02</f>
        <v/>
      </c>
      <c r="D24" s="15">
        <f>B24/0.05</f>
        <v/>
      </c>
      <c r="E24" s="15">
        <f>B24/0.1</f>
        <v/>
      </c>
      <c r="F24" s="15">
        <f>B24/0.2</f>
        <v/>
      </c>
    </row>
    <row r="26">
      <c r="B26" s="47" t="inlineStr">
        <is>
          <t>Block-rotation logistics of a 5-drum batch (shelf life 18 days)</t>
        </is>
      </c>
    </row>
    <row r="27">
      <c r="B27" s="17" t="inlineStr">
        <is>
          <t>Batch size (lb)</t>
        </is>
      </c>
      <c r="C27" s="12">
        <f>PCIbatch*DrumLb</f>
        <v/>
      </c>
      <c r="D27" s="2" t="inlineStr"/>
    </row>
    <row r="28">
      <c r="B28" s="17" t="inlineStr">
        <is>
          <t>Days of FULL demand in one batch</t>
        </is>
      </c>
      <c r="C28" s="48">
        <f>B27/(LbWk/7)</f>
        <v/>
      </c>
      <c r="D28" s="2" t="inlineStr">
        <is>
          <t>12.1 days — must be consumed within the shelf life -&gt; use at full rate on receipt</t>
        </is>
      </c>
    </row>
    <row r="29">
      <c r="B29" s="17" t="inlineStr">
        <is>
          <t>Cycle length at 1/3 share (weeks)</t>
        </is>
      </c>
      <c r="C29" s="48">
        <f>B27/(LbWk/3)</f>
        <v/>
      </c>
      <c r="D29" s="2" t="inlineStr">
        <is>
          <t>One PCI batch every ~5 weeks (Year 1: 10 batches; ~15 by Year 5)</t>
        </is>
      </c>
    </row>
    <row r="30">
      <c r="B30" s="17" t="inlineStr">
        <is>
          <t>Weeks on SNP material per cycle</t>
        </is>
      </c>
      <c r="C30" s="48">
        <f>B29-B27/LbWk</f>
        <v/>
      </c>
      <c r="D30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1">
      <c r="B31" s="17" t="inlineStr">
        <is>
          <t>Age of PCI drums on receipt (days: cook, release, transit) — INPUT</t>
        </is>
      </c>
      <c r="C31" s="63" t="n">
        <v>4</v>
      </c>
      <c r="D31" s="2" t="inlineStr">
        <is>
          <t>Assumption: the 18-day clock starts at manufacture. Confirm PCI lead time and transit St. Louis -&gt; site</t>
        </is>
      </c>
    </row>
    <row r="32">
      <c r="B32" s="17" t="inlineStr">
        <is>
          <t>Usable days on receipt (18-day life)</t>
        </is>
      </c>
      <c r="C32" s="48">
        <f>18-B31</f>
        <v/>
      </c>
      <c r="D32" s="2" t="inlineStr"/>
    </row>
    <row r="33">
      <c r="B33" s="17" t="inlineStr">
        <is>
          <t>Slack in block rotation (days)</t>
        </is>
      </c>
      <c r="C33" s="48">
        <f>B32-B28</f>
        <v/>
      </c>
      <c r="D33" s="2" t="inlineStr">
        <is>
          <t>~1–2 days: block rotation has almost no margin at 18 days; a validated 21-day life gives real margin</t>
        </is>
      </c>
    </row>
    <row r="34">
      <c r="B34" s="17" t="inlineStr">
        <is>
          <t>Days to consume a batch at 2/3 rate</t>
        </is>
      </c>
      <c r="C34" s="48">
        <f>B27/(LbWk*2/3/7)</f>
        <v/>
      </c>
      <c r="D34" s="2" t="inlineStr">
        <is>
          <t>18.2 days — needs a validated life longer than 18.2 days plus the age on receipt</t>
        </is>
      </c>
    </row>
    <row r="35">
      <c r="B35" s="17" t="inlineStr">
        <is>
          <t>Days to consume a batch at an exact 1/3 rate</t>
        </is>
      </c>
      <c r="C35" s="48">
        <f>B27/(LbWk/3/7)</f>
        <v/>
      </c>
      <c r="D35" s="2" t="inlineStr">
        <is>
          <t>36.3 days — a true one-third blend needs a ~40-day validated life</t>
        </is>
      </c>
    </row>
    <row r="36">
      <c r="B36" s="17" t="inlineStr">
        <is>
          <t>Minimum PCI share of rate under a 30-day life</t>
        </is>
      </c>
      <c r="C36" s="24">
        <f>B27/((30-B31)*LbWk/7)</f>
        <v/>
      </c>
      <c r="D36" s="2" t="inlineStr">
        <is>
          <t>~47% at 4 days' age: even a 30-day life does not allow a one-third blend</t>
        </is>
      </c>
    </row>
    <row r="37">
      <c r="B37" s="17" t="inlineStr">
        <is>
          <t>One qualification batch — cost</t>
        </is>
      </c>
      <c r="C37" s="15">
        <f>B27*PCIq</f>
        <v/>
      </c>
      <c r="D37" s="2" t="inlineStr">
        <is>
          <t>A single production-scale batch (Option B-plus); $7.9k gross</t>
        </is>
      </c>
    </row>
    <row r="38">
      <c r="B38" s="17" t="inlineStr">
        <is>
          <t>One qualification batch — premium over SNP</t>
        </is>
      </c>
      <c r="C38" s="15">
        <f>B27*(PCIq-SNPlb)</f>
        <v/>
      </c>
      <c r="D38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ROOT CAUSE FOUND</t>
        </is>
      </c>
      <c r="D7" s="34" t="inlineStr">
        <is>
          <t>First sample 2,420 cP vs ~1,000 target; dilution to 10.8% solids -&gt; 1,590 cP; cause = elevated solids from water loss during processing; fix = water adjustment at end of mix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2026-09-28T17:46:31Z</dcterms:modified>
</cp:coreProperties>
</file>