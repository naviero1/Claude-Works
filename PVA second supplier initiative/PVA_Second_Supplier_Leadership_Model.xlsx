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rice Curve" sheetId="5" state="visible" r:id="rId5"/>
    <sheet xmlns:r="http://schemas.openxmlformats.org/officeDocument/2006/relationships" name="PCI Quote Scenarios" sheetId="6" state="visible" r:id="rId6"/>
    <sheet xmlns:r="http://schemas.openxmlformats.org/officeDocument/2006/relationships" name="PCI Experiment" sheetId="7" state="visible" r:id="rId7"/>
    <sheet xmlns:r="http://schemas.openxmlformats.org/officeDocument/2006/relationships" name="5-Year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SNP Re-price" sheetId="10" state="visible" r:id="rId10"/>
    <sheet xmlns:r="http://schemas.openxmlformats.org/officeDocument/2006/relationships" name="Break-even" sheetId="11" state="visible" r:id="rId11"/>
    <sheet xmlns:r="http://schemas.openxmlformats.org/officeDocument/2006/relationships" name="Options" sheetId="12" state="visible" r:id="rId12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  <numFmt numFmtId="170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0" fontId="3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C12-C10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C13/C10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C13/0.10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C13/0.05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C13/0.02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 t="inlineStr">
        <is>
          <t>Points to the real quote (row 27). Every 'MID' figure in the legacy tabs now uses $3.50.</t>
        </is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  <col width="12" customWidth="1" min="4" max="4"/>
    <col width="14" customWidth="1" min="5" max="5"/>
    <col width="14" customWidth="1" min="6" max="6"/>
    <col width="40" customWidth="1" min="7" max="7"/>
  </cols>
  <sheetData>
    <row r="2">
      <c r="B2" s="1" t="inlineStr">
        <is>
          <t>Price per lb vs. quantity per order — market trend, band and where each supplier sits</t>
        </is>
      </c>
    </row>
    <row r="3">
      <c r="B3" s="2" t="inlineStr">
        <is>
          <t>Fit: log-log regression of verified market points (US packs 2 lb–20 gal, ≤$12/lb, plus ton-scale offers at 2,205 lb). Band = 10th–90th percentile of points around the trend; beyond 20 gal the top follows vendors' volume ladders flattening (~8%/doubling from $2.32 at 20 gal); floor = SNP's $0.75 (no US-delivered lot seen cheaper).</t>
        </is>
      </c>
    </row>
    <row r="5">
      <c r="B5" s="17" t="inlineStr">
        <is>
          <t>Trend coefficient A ($/lb at 1 lb)</t>
        </is>
      </c>
      <c r="C5" s="14" t="n">
        <v>8.301220449729895</v>
      </c>
    </row>
    <row r="6">
      <c r="B6" s="17" t="inlineStr">
        <is>
          <t>Trend exponent b</t>
        </is>
      </c>
      <c r="C6" s="68" t="n">
        <v>-0.2949856235683102</v>
      </c>
    </row>
    <row r="7">
      <c r="B7" s="17" t="inlineStr">
        <is>
          <t>Price change per doubling of lot</t>
        </is>
      </c>
      <c r="C7" s="13" t="n">
        <v>-0.1849195453748944</v>
      </c>
    </row>
    <row r="8">
      <c r="B8" s="17" t="inlineStr">
        <is>
          <t>Band: 10th-percentile ratio to trend</t>
        </is>
      </c>
      <c r="C8" s="14" t="n">
        <v>0.603671955514413</v>
      </c>
    </row>
    <row r="9">
      <c r="B9" s="17" t="inlineStr">
        <is>
          <t>Band: 90th-percentile ratio to trend</t>
        </is>
      </c>
      <c r="C9" s="14" t="n">
        <v>1.711030467025052</v>
      </c>
    </row>
    <row r="10">
      <c r="B10" s="17" t="inlineStr">
        <is>
          <t>Points used in fit</t>
        </is>
      </c>
      <c r="C10" s="69" t="n">
        <v>50</v>
      </c>
    </row>
    <row r="12">
      <c r="B12" s="70" t="inlineStr">
        <is>
          <t>Quantity per order</t>
        </is>
      </c>
      <c r="C12" s="70" t="inlineStr">
        <is>
          <t>lb</t>
        </is>
      </c>
      <c r="D12" s="70" t="inlineStr">
        <is>
          <t>Trend $/lb</t>
        </is>
      </c>
      <c r="E12" s="70" t="inlineStr">
        <is>
          <t>Band low $/lb</t>
        </is>
      </c>
      <c r="F12" s="70" t="inlineStr">
        <is>
          <t>Band high $/lb</t>
        </is>
      </c>
      <c r="G12" s="70" t="inlineStr">
        <is>
          <t>Real quote / point</t>
        </is>
      </c>
    </row>
    <row r="13">
      <c r="B13" s="11" t="inlineStr">
        <is>
          <t>1 gal</t>
        </is>
      </c>
      <c r="C13" s="51" t="n">
        <v>8.5</v>
      </c>
      <c r="D13" s="67" t="n">
        <v>4.415467839760789</v>
      </c>
      <c r="E13" s="67" t="n">
        <v>2.665494105339397</v>
      </c>
      <c r="F13" s="67" t="n">
        <v>7.555</v>
      </c>
      <c r="G13" s="52" t="inlineStr"/>
    </row>
    <row r="14">
      <c r="B14" s="11" t="inlineStr">
        <is>
          <t>5 gal</t>
        </is>
      </c>
      <c r="C14" s="51" t="n">
        <v>42.5</v>
      </c>
      <c r="D14" s="67" t="n">
        <v>2.746569691723967</v>
      </c>
      <c r="E14" s="67" t="n">
        <v>1.658027096759626</v>
      </c>
      <c r="F14" s="67" t="n">
        <v>4.699464422347312</v>
      </c>
      <c r="G14" s="52" t="inlineStr"/>
    </row>
    <row r="15">
      <c r="B15" s="11" t="inlineStr">
        <is>
          <t>20 gal (largest US lot)</t>
        </is>
      </c>
      <c r="C15" s="51" t="n">
        <v>170</v>
      </c>
      <c r="D15" s="67" t="n">
        <v>1.824700459266596</v>
      </c>
      <c r="E15" s="67" t="n">
        <v>1.101520494473514</v>
      </c>
      <c r="F15" s="67" t="n">
        <v>3.12211807899975</v>
      </c>
      <c r="G15" s="52" t="inlineStr">
        <is>
          <t>$2.32 US Composites</t>
        </is>
      </c>
    </row>
    <row r="16">
      <c r="B16" s="11" t="inlineStr">
        <is>
          <t>1 drum</t>
        </is>
      </c>
      <c r="C16" s="51" t="n">
        <v>450</v>
      </c>
      <c r="D16" s="67" t="n">
        <v>1.369248895991172</v>
      </c>
      <c r="E16" s="67" t="n">
        <v>0.826577158628942</v>
      </c>
      <c r="F16" s="67" t="n">
        <v>3.530934857171929</v>
      </c>
      <c r="G16" s="52" t="inlineStr">
        <is>
          <t>PCI $6.00 below batch; APV ≥$3 est.</t>
        </is>
      </c>
    </row>
    <row r="17">
      <c r="B17" s="11" t="inlineStr">
        <is>
          <t>SNP lot (~3 drums/week)</t>
        </is>
      </c>
      <c r="C17" s="51" t="n">
        <v>1350</v>
      </c>
      <c r="D17" s="67" t="n">
        <v>0.9902354927869617</v>
      </c>
      <c r="E17" s="67" t="n">
        <v>0.75</v>
      </c>
      <c r="F17" s="67" t="n">
        <v>3.093818054556199</v>
      </c>
      <c r="G17" s="52" t="inlineStr">
        <is>
          <t>SNP $0.75 delivered</t>
        </is>
      </c>
    </row>
    <row r="18">
      <c r="B18" s="11" t="inlineStr">
        <is>
          <t>5-drum batch</t>
        </is>
      </c>
      <c r="C18" s="51" t="n">
        <v>2250</v>
      </c>
      <c r="D18" s="67" t="n">
        <v>0.8517189241626537</v>
      </c>
      <c r="E18" s="67" t="n">
        <v>0.75</v>
      </c>
      <c r="F18" s="67" t="n">
        <v>2.909428201514443</v>
      </c>
      <c r="G18" s="52" t="inlineStr">
        <is>
          <t>PCI $3.50</t>
        </is>
      </c>
    </row>
    <row r="19">
      <c r="B19" s="11" t="inlineStr">
        <is>
          <t>50 drums</t>
        </is>
      </c>
      <c r="C19" s="51" t="n">
        <v>22500</v>
      </c>
      <c r="D19" s="67" t="n">
        <v>0.4318278751553078</v>
      </c>
      <c r="E19" s="67" t="n">
        <v>0.75</v>
      </c>
      <c r="F19" s="67" t="n">
        <v>2.205532239477101</v>
      </c>
      <c r="G19" s="52" t="inlineStr"/>
    </row>
    <row r="20">
      <c r="B20" s="11" t="inlineStr">
        <is>
          <t>150 drums (a year)</t>
        </is>
      </c>
      <c r="C20" s="51" t="n">
        <v>67600</v>
      </c>
      <c r="D20" s="67" t="n">
        <v>0.3121598974418646</v>
      </c>
      <c r="E20" s="67" t="n">
        <v>0.75</v>
      </c>
      <c r="F20" s="67" t="n">
        <v>1.9321513147772</v>
      </c>
      <c r="G20" s="5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C28/(LbWk/7)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C28/(LbWk/3)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C30-C28/LbWk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18-C32</f>
        <v/>
      </c>
      <c r="D33" s="2" t="inlineStr"/>
    </row>
    <row r="34">
      <c r="B34" s="17" t="inlineStr">
        <is>
          <t>Slack in block rotation (days)</t>
        </is>
      </c>
      <c r="C34" s="48">
        <f>C33-C29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C28/(LbWk*2/3/7)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C28/(LbWk/3/7)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C28/((30-C32)*LbWk/7)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C28*PCIq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C28*(PCIq-SNPlb)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C6-LbWk*Weeks*SNPlb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2026-09-29T15:07:19Z</dcterms:modified>
</cp:coreProperties>
</file>