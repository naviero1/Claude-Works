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5-Year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SNP Re-price" sheetId="4" state="visible" r:id="rId4"/>
    <sheet xmlns:r="http://schemas.openxmlformats.org/officeDocument/2006/relationships" name="Break-even" sheetId="5" state="visible" r:id="rId5"/>
    <sheet xmlns:r="http://schemas.openxmlformats.org/officeDocument/2006/relationships" name="Options" sheetId="6" state="visible" r:id="rId6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Share">Inputs!$C$11</definedName>
    <definedName name="WarmShare">Inputs!$C$12</definedName>
    <definedName name="PCIlo">Inputs!$C$13</definedName>
    <definedName name="PCImid">Inputs!$C$14</definedName>
    <definedName name="PCIhi">Inputs!$C$15</definedName>
    <definedName name="MktLo">Inputs!$C$16</definedName>
    <definedName name="MktBase">Inputs!$C$17</definedName>
    <definedName name="MktHi">Inputs!$C$18</definedName>
    <definedName name="CJBlb">Inputs!$C$19</definedName>
    <definedName name="QualCost">Inputs!$C$20</definedName>
    <definedName name="Pdis">Inputs!$C$21</definedName>
    <definedName name="Dcost">Inputs!$C$22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$&quot;#,##0"/>
    <numFmt numFmtId="167" formatCode="0.0&quot;x&quot;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2"/>
  <sheetViews>
    <sheetView workbookViewId="0">
      <selection activeCell="A1" sqref="A1"/>
    </sheetView>
  </sheetViews>
  <sheetFormatPr baseColWidth="8" defaultRowHeight="15"/>
  <cols>
    <col width="46" customWidth="1" min="2" max="2"/>
    <col width="14" customWidth="1" min="3" max="3"/>
    <col width="70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Everything else recalculates. Define acronyms: PVA = polyvinyl alcohol; SNP = incumbent supplier; PCI = candidate second source.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(SNP: 1/450-lb drum)</t>
        </is>
      </c>
    </row>
    <row r="7">
      <c r="B7" s="4" t="inlineStr">
        <is>
          <t>SNP price ($/lb delivered, all-in)</t>
        </is>
      </c>
      <c r="C7" s="6" t="n">
        <v>0.75</v>
      </c>
      <c r="D7" s="2" t="inlineStr">
        <is>
          <t>Real quote — SNP Est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Share of volume to 2nd source (Option A)</t>
        </is>
      </c>
      <c r="C11" s="8" t="n">
        <v>0.3333333333333333</v>
      </c>
      <c r="D11" s="2" t="inlineStr">
        <is>
          <t>One-third of business</t>
        </is>
      </c>
    </row>
    <row r="12">
      <c r="B12" s="4" t="inlineStr">
        <is>
          <t>Share for a 'warm' backup (Option C)</t>
        </is>
      </c>
      <c r="C12" s="7" t="n">
        <v>0.05</v>
      </c>
      <c r="D12" s="2" t="inlineStr">
        <is>
          <t>~1 drum every 7 weeks</t>
        </is>
      </c>
    </row>
    <row r="13">
      <c r="B13" s="4" t="inlineStr">
        <is>
          <t>PCI price — LOW ($/lb)</t>
        </is>
      </c>
      <c r="C13" s="6" t="n">
        <v>2.5</v>
      </c>
      <c r="D13" s="2" t="inlineStr">
        <is>
          <t>Forecast floor</t>
        </is>
      </c>
    </row>
    <row r="14">
      <c r="B14" s="4" t="inlineStr">
        <is>
          <t>PCI price — MID ($/lb)</t>
        </is>
      </c>
      <c r="C14" s="6" t="n">
        <v>3.75</v>
      </c>
      <c r="D14" s="2" t="inlineStr">
        <is>
          <t>Midpoint of range</t>
        </is>
      </c>
    </row>
    <row r="15">
      <c r="B15" s="4" t="inlineStr">
        <is>
          <t>PCI price — HIGH ($/lb)</t>
        </is>
      </c>
      <c r="C15" s="6" t="n">
        <v>5</v>
      </c>
      <c r="D15" s="2" t="inlineStr">
        <is>
          <t>Forecast ceiling</t>
        </is>
      </c>
    </row>
    <row r="16">
      <c r="B16" s="4" t="inlineStr">
        <is>
          <t>Market reference — LOW ($/lb)</t>
        </is>
      </c>
      <c r="C16" s="6" t="n">
        <v>0.85</v>
      </c>
      <c r="D16" s="2" t="inlineStr">
        <is>
          <t>Triangulated (resin floor + labor bottom-up)</t>
        </is>
      </c>
    </row>
    <row r="17">
      <c r="B17" s="4" t="inlineStr">
        <is>
          <t>Market reference — BASE ($/lb)</t>
        </is>
      </c>
      <c r="C17" s="6" t="n">
        <v>1.4</v>
      </c>
      <c r="D17" s="2" t="inlineStr">
        <is>
          <t>Triangulated</t>
        </is>
      </c>
    </row>
    <row r="18">
      <c r="B18" s="4" t="inlineStr">
        <is>
          <t>Market reference — HIGH ($/lb)</t>
        </is>
      </c>
      <c r="C18" s="6" t="n">
        <v>2.55</v>
      </c>
      <c r="D18" s="2" t="inlineStr">
        <is>
          <t>Triangulated (retail ceiling)</t>
        </is>
      </c>
    </row>
    <row r="19">
      <c r="B19" s="4" t="inlineStr">
        <is>
          <t>CJB quote, landed ($/lb) — reference only</t>
        </is>
      </c>
      <c r="C19" s="6" t="n">
        <v>8.42</v>
      </c>
      <c r="D19" s="2" t="inlineStr">
        <is>
          <t>$8-8.50 toll excl. materials + $75/drum resin; ~11x SNP</t>
        </is>
      </c>
    </row>
    <row r="20">
      <c r="B20" s="4" t="inlineStr">
        <is>
          <t>One-time qualification cost ($)</t>
        </is>
      </c>
      <c r="C20" s="9" t="n">
        <v>15000</v>
      </c>
      <c r="D20" s="2" t="inlineStr">
        <is>
          <t>PLACEHOLDER — engineering hrs, samples, hydrogel tests, SQA, audit. Confirm.</t>
        </is>
      </c>
    </row>
    <row r="21">
      <c r="B21" s="4" t="inlineStr">
        <is>
          <t>Disruption probability per year (for break-even)</t>
        </is>
      </c>
      <c r="C21" s="7" t="n">
        <v>0.05</v>
      </c>
      <c r="D21" s="2" t="inlineStr">
        <is>
          <t>PLACEHOLDER — leadership judgement</t>
        </is>
      </c>
    </row>
    <row r="22">
      <c r="B22" s="4" t="inlineStr">
        <is>
          <t>Cost of a 6-month SNP outage ($)</t>
        </is>
      </c>
      <c r="C22" s="9" t="n">
        <v>500000</v>
      </c>
      <c r="D22" s="2" t="inlineStr">
        <is>
          <t>PLACEHOLDER — revenue at risk + expedite + line-down. NEEDED FROM FINANCE/OPS.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3"/>
  <sheetViews>
    <sheetView workbookViewId="0">
      <selection activeCell="A1" sqref="A1"/>
    </sheetView>
  </sheetViews>
  <sheetFormatPr baseColWidth="8" defaultRowHeight="15"/>
  <cols>
    <col width="10" customWidth="1" min="2" max="2"/>
    <col width="13" customWidth="1" min="3" max="3"/>
    <col width="9" customWidth="1" min="4" max="4"/>
    <col width="16" customWidth="1" min="5" max="5"/>
    <col width="18" customWidth="1" min="6" max="6"/>
    <col width="18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2">
      <c r="B2" s="1" t="inlineStr">
        <is>
          <t>Five-year cost of Option A (dual-source at the chosen share)</t>
        </is>
      </c>
    </row>
    <row r="3">
      <c r="B3" s="2" t="inlineStr">
        <is>
          <t>Premium = share x (PCI price - SNP price) x annual lb. It scales 1:1 with volume, so growth compounds it.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All-SNP baseline</t>
        </is>
      </c>
      <c r="F5" s="3" t="inlineStr">
        <is>
          <t>Option A @ PCI LOW</t>
        </is>
      </c>
      <c r="G5" s="3" t="inlineStr">
        <is>
          <t>Option A @ PCI MID</t>
        </is>
      </c>
      <c r="H5" s="3" t="inlineStr">
        <is>
          <t>Option A @ PCI HIGH</t>
        </is>
      </c>
      <c r="I5" s="3" t="inlineStr">
        <is>
          <t>Premium LOW</t>
        </is>
      </c>
      <c r="J5" s="3" t="inlineStr">
        <is>
          <t>Premium MID</t>
        </is>
      </c>
      <c r="K5" s="3" t="inlineStr">
        <is>
          <t>Premium HIGH</t>
        </is>
      </c>
    </row>
    <row r="6">
      <c r="B6" s="10" t="n">
        <v>1</v>
      </c>
      <c r="C6" s="11">
        <f>LbWk*Weeks*(1+Growth)^(1-1)</f>
        <v/>
      </c>
      <c r="D6" s="11">
        <f>C6/DrumLb</f>
        <v/>
      </c>
      <c r="E6" s="12">
        <f>C6*SNPlb</f>
        <v/>
      </c>
      <c r="F6" s="12">
        <f>C6*(1-Share)*SNPlb+C6*Share*PCIlo</f>
        <v/>
      </c>
      <c r="G6" s="12">
        <f>C6*(1-Share)*SNPlb+C6*Share*PCImid</f>
        <v/>
      </c>
      <c r="H6" s="12">
        <f>C6*(1-Share)*SNPlb+C6*Share*PCIhi</f>
        <v/>
      </c>
      <c r="I6" s="13">
        <f>F6-E6</f>
        <v/>
      </c>
      <c r="J6" s="13">
        <f>G6-E6</f>
        <v/>
      </c>
      <c r="K6" s="13">
        <f>H6-E6</f>
        <v/>
      </c>
    </row>
    <row r="7">
      <c r="B7" s="10" t="n">
        <v>2</v>
      </c>
      <c r="C7" s="11">
        <f>LbWk*Weeks*(1+Growth)^(2-1)</f>
        <v/>
      </c>
      <c r="D7" s="11">
        <f>C7/DrumLb</f>
        <v/>
      </c>
      <c r="E7" s="12">
        <f>C7*SNPlb</f>
        <v/>
      </c>
      <c r="F7" s="12">
        <f>C7*(1-Share)*SNPlb+C7*Share*PCIlo</f>
        <v/>
      </c>
      <c r="G7" s="12">
        <f>C7*(1-Share)*SNPlb+C7*Share*PCImid</f>
        <v/>
      </c>
      <c r="H7" s="12">
        <f>C7*(1-Share)*SNPlb+C7*Share*PCIhi</f>
        <v/>
      </c>
      <c r="I7" s="13">
        <f>F7-E7</f>
        <v/>
      </c>
      <c r="J7" s="13">
        <f>G7-E7</f>
        <v/>
      </c>
      <c r="K7" s="13">
        <f>H7-E7</f>
        <v/>
      </c>
    </row>
    <row r="8">
      <c r="B8" s="10" t="n">
        <v>3</v>
      </c>
      <c r="C8" s="11">
        <f>LbWk*Weeks*(1+Growth)^(3-1)</f>
        <v/>
      </c>
      <c r="D8" s="11">
        <f>C8/DrumLb</f>
        <v/>
      </c>
      <c r="E8" s="12">
        <f>C8*SNPlb</f>
        <v/>
      </c>
      <c r="F8" s="12">
        <f>C8*(1-Share)*SNPlb+C8*Share*PCIlo</f>
        <v/>
      </c>
      <c r="G8" s="12">
        <f>C8*(1-Share)*SNPlb+C8*Share*PCImid</f>
        <v/>
      </c>
      <c r="H8" s="12">
        <f>C8*(1-Share)*SNPlb+C8*Share*PCIhi</f>
        <v/>
      </c>
      <c r="I8" s="13">
        <f>F8-E8</f>
        <v/>
      </c>
      <c r="J8" s="13">
        <f>G8-E8</f>
        <v/>
      </c>
      <c r="K8" s="13">
        <f>H8-E8</f>
        <v/>
      </c>
    </row>
    <row r="9">
      <c r="B9" s="10" t="n">
        <v>4</v>
      </c>
      <c r="C9" s="11">
        <f>LbWk*Weeks*(1+Growth)^(4-1)</f>
        <v/>
      </c>
      <c r="D9" s="11">
        <f>C9/DrumLb</f>
        <v/>
      </c>
      <c r="E9" s="12">
        <f>C9*SNPlb</f>
        <v/>
      </c>
      <c r="F9" s="12">
        <f>C9*(1-Share)*SNPlb+C9*Share*PCIlo</f>
        <v/>
      </c>
      <c r="G9" s="12">
        <f>C9*(1-Share)*SNPlb+C9*Share*PCImid</f>
        <v/>
      </c>
      <c r="H9" s="12">
        <f>C9*(1-Share)*SNPlb+C9*Share*PCIhi</f>
        <v/>
      </c>
      <c r="I9" s="13">
        <f>F9-E9</f>
        <v/>
      </c>
      <c r="J9" s="13">
        <f>G9-E9</f>
        <v/>
      </c>
      <c r="K9" s="13">
        <f>H9-E9</f>
        <v/>
      </c>
    </row>
    <row r="10">
      <c r="B10" s="10" t="n">
        <v>5</v>
      </c>
      <c r="C10" s="11">
        <f>LbWk*Weeks*(1+Growth)^(5-1)</f>
        <v/>
      </c>
      <c r="D10" s="11">
        <f>C10/DrumLb</f>
        <v/>
      </c>
      <c r="E10" s="12">
        <f>C10*SNPlb</f>
        <v/>
      </c>
      <c r="F10" s="12">
        <f>C10*(1-Share)*SNPlb+C10*Share*PCIlo</f>
        <v/>
      </c>
      <c r="G10" s="12">
        <f>C10*(1-Share)*SNPlb+C10*Share*PCImid</f>
        <v/>
      </c>
      <c r="H10" s="12">
        <f>C10*(1-Share)*SNPlb+C10*Share*PCIhi</f>
        <v/>
      </c>
      <c r="I10" s="13">
        <f>F10-E10</f>
        <v/>
      </c>
      <c r="J10" s="13">
        <f>G10-E10</f>
        <v/>
      </c>
      <c r="K10" s="13">
        <f>H10-E10</f>
        <v/>
      </c>
    </row>
    <row r="11">
      <c r="B11" s="14" t="inlineStr">
        <is>
          <t>5-yr total</t>
        </is>
      </c>
      <c r="C11" s="15">
        <f>SUM(C6:C10)</f>
        <v/>
      </c>
      <c r="D11" s="15">
        <f>SUM(D6:D10)</f>
        <v/>
      </c>
      <c r="E11" s="16">
        <f>SUM(E6:E10)</f>
        <v/>
      </c>
      <c r="F11" s="16">
        <f>SUM(F6:F10)</f>
        <v/>
      </c>
      <c r="G11" s="16">
        <f>SUM(G6:G10)</f>
        <v/>
      </c>
      <c r="H11" s="16">
        <f>SUM(H6:H10)</f>
        <v/>
      </c>
      <c r="I11" s="16">
        <f>SUM(I6:I10)</f>
        <v/>
      </c>
      <c r="J11" s="16">
        <f>SUM(J6:J10)</f>
        <v/>
      </c>
      <c r="K11" s="16">
        <f>SUM(K6:K10)</f>
        <v/>
      </c>
    </row>
    <row r="13">
      <c r="B13" s="2" t="inlineStr">
        <is>
          <t>Plus one-time qualification cost (Inputs) — applies to any second source, warm or active:</t>
        </is>
      </c>
      <c r="E13" s="17">
        <f>QualCost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3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20" customWidth="1" min="4" max="4"/>
    <col width="20" customWidth="1" min="5" max="5"/>
    <col width="20" customWidth="1" min="6" max="6"/>
  </cols>
  <sheetData>
    <row r="2">
      <c r="B2" s="1" t="inlineStr">
        <is>
          <t>What drives the premium: 2nd-source price and share (Year 1)</t>
        </is>
      </c>
    </row>
    <row r="3">
      <c r="B3" s="2" t="inlineStr">
        <is>
          <t>Premium is linear in both. The share is the lever we control; the price is what the market gives us.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@ 1/3 share</t>
        </is>
      </c>
      <c r="E5" s="3" t="inlineStr">
        <is>
          <t>x baseline</t>
        </is>
      </c>
      <c r="F5" s="3" t="inlineStr">
        <is>
          <t>Premium @ 5% (warm)</t>
        </is>
      </c>
    </row>
    <row r="6">
      <c r="B6" s="18">
        <f>MktLo</f>
        <v/>
      </c>
      <c r="C6" s="19" t="inlineStr">
        <is>
          <t>Market LOW</t>
        </is>
      </c>
      <c r="D6" s="12">
        <f>LbWk*Weeks*Share*(B6-SNPlb)</f>
        <v/>
      </c>
      <c r="E6" s="20">
        <f>D6/(LbWk*Weeks*SNPlb)</f>
        <v/>
      </c>
      <c r="F6" s="12">
        <f>LbWk*Weeks*WarmShare*(B6-SNPlb)</f>
        <v/>
      </c>
    </row>
    <row r="7">
      <c r="B7" s="18">
        <f>MktBase</f>
        <v/>
      </c>
      <c r="C7" s="19" t="inlineStr">
        <is>
          <t>Market BASE</t>
        </is>
      </c>
      <c r="D7" s="12">
        <f>LbWk*Weeks*Share*(B7-SNPlb)</f>
        <v/>
      </c>
      <c r="E7" s="20">
        <f>D7/(LbWk*Weeks*SNPlb)</f>
        <v/>
      </c>
      <c r="F7" s="12">
        <f>LbWk*Weeks*WarmShare*(B7-SNPlb)</f>
        <v/>
      </c>
    </row>
    <row r="8">
      <c r="B8" s="18" t="n">
        <v>1</v>
      </c>
      <c r="C8" s="19" t="inlineStr">
        <is>
          <t>Told to leadership (low)</t>
        </is>
      </c>
      <c r="D8" s="12">
        <f>LbWk*Weeks*Share*(B8-SNPlb)</f>
        <v/>
      </c>
      <c r="E8" s="20">
        <f>D8/(LbWk*Weeks*SNPlb)</f>
        <v/>
      </c>
      <c r="F8" s="12">
        <f>LbWk*Weeks*WarmShare*(B8-SNPlb)</f>
        <v/>
      </c>
    </row>
    <row r="9">
      <c r="B9" s="18" t="n">
        <v>1.25</v>
      </c>
      <c r="C9" s="19" t="inlineStr">
        <is>
          <t>Told to leadership (high)</t>
        </is>
      </c>
      <c r="D9" s="12">
        <f>LbWk*Weeks*Share*(B9-SNPlb)</f>
        <v/>
      </c>
      <c r="E9" s="20">
        <f>D9/(LbWk*Weeks*SNPlb)</f>
        <v/>
      </c>
      <c r="F9" s="12">
        <f>LbWk*Weeks*WarmShare*(B9-SNPlb)</f>
        <v/>
      </c>
    </row>
    <row r="10">
      <c r="B10" s="18">
        <f>MktHi</f>
        <v/>
      </c>
      <c r="C10" s="19" t="inlineStr">
        <is>
          <t>Market HIGH</t>
        </is>
      </c>
      <c r="D10" s="12">
        <f>LbWk*Weeks*Share*(B10-SNPlb)</f>
        <v/>
      </c>
      <c r="E10" s="20">
        <f>D10/(LbWk*Weeks*SNPlb)</f>
        <v/>
      </c>
      <c r="F10" s="12">
        <f>LbWk*Weeks*WarmShare*(B10-SNPlb)</f>
        <v/>
      </c>
    </row>
    <row r="11">
      <c r="B11" s="18">
        <f>PCIlo</f>
        <v/>
      </c>
      <c r="C11" s="19" t="inlineStr">
        <is>
          <t>PCI LOW</t>
        </is>
      </c>
      <c r="D11" s="12">
        <f>LbWk*Weeks*Share*(B11-SNPlb)</f>
        <v/>
      </c>
      <c r="E11" s="20">
        <f>D11/(LbWk*Weeks*SNPlb)</f>
        <v/>
      </c>
      <c r="F11" s="12">
        <f>LbWk*Weeks*WarmShare*(B11-SNPlb)</f>
        <v/>
      </c>
    </row>
    <row r="12">
      <c r="B12" s="18" t="n">
        <v>3</v>
      </c>
      <c r="C12" s="19" t="inlineStr">
        <is>
          <t>PCI original assumption</t>
        </is>
      </c>
      <c r="D12" s="12">
        <f>LbWk*Weeks*Share*(B12-SNPlb)</f>
        <v/>
      </c>
      <c r="E12" s="20">
        <f>D12/(LbWk*Weeks*SNPlb)</f>
        <v/>
      </c>
      <c r="F12" s="12">
        <f>LbWk*Weeks*WarmShare*(B12-SNPlb)</f>
        <v/>
      </c>
    </row>
    <row r="13">
      <c r="B13" s="18">
        <f>PCImid</f>
        <v/>
      </c>
      <c r="C13" s="19" t="inlineStr">
        <is>
          <t>PCI MID</t>
        </is>
      </c>
      <c r="D13" s="12">
        <f>LbWk*Weeks*Share*(B13-SNPlb)</f>
        <v/>
      </c>
      <c r="E13" s="20">
        <f>D13/(LbWk*Weeks*SNPlb)</f>
        <v/>
      </c>
      <c r="F13" s="12">
        <f>LbWk*Weeks*WarmShare*(B13-SNPlb)</f>
        <v/>
      </c>
    </row>
    <row r="14">
      <c r="B14" s="18">
        <f>PCIhi</f>
        <v/>
      </c>
      <c r="C14" s="19" t="inlineStr">
        <is>
          <t>PCI HIGH</t>
        </is>
      </c>
      <c r="D14" s="12">
        <f>LbWk*Weeks*Share*(B14-SNPlb)</f>
        <v/>
      </c>
      <c r="E14" s="20">
        <f>D14/(LbWk*Weeks*SNPlb)</f>
        <v/>
      </c>
      <c r="F14" s="12">
        <f>LbWk*Weeks*WarmShare*(B14-SNPlb)</f>
        <v/>
      </c>
    </row>
    <row r="15">
      <c r="B15" s="18">
        <f>CJBlb</f>
        <v/>
      </c>
      <c r="C15" s="19" t="inlineStr">
        <is>
          <t>CJB quote (landed)</t>
        </is>
      </c>
      <c r="D15" s="12">
        <f>LbWk*Weeks*Share*(B15-SNPlb)</f>
        <v/>
      </c>
      <c r="E15" s="20">
        <f>D15/(LbWk*Weeks*SNPlb)</f>
        <v/>
      </c>
      <c r="F15" s="12">
        <f>LbWk*Weeks*WarmShare*(B15-SNPlb)</f>
        <v/>
      </c>
    </row>
    <row r="18" ht="30" customHeight="1">
      <c r="B18" s="3" t="inlineStr">
        <is>
          <t>Share to 2nd source</t>
        </is>
      </c>
      <c r="C18" s="3" t="inlineStr">
        <is>
          <t>Drums/yr</t>
        </is>
      </c>
      <c r="D18" s="3" t="inlineStr">
        <is>
          <t>Premium @ PCI LOW</t>
        </is>
      </c>
      <c r="E18" s="3" t="inlineStr">
        <is>
          <t>Premium @ PCI MID</t>
        </is>
      </c>
      <c r="F18" s="3" t="inlineStr">
        <is>
          <t>Premium @ PCI HIGH</t>
        </is>
      </c>
    </row>
    <row r="19">
      <c r="B19" s="21" t="n">
        <v>0.05</v>
      </c>
      <c r="C19" s="11">
        <f>LbWk*Weeks*B19/DrumLb</f>
        <v/>
      </c>
      <c r="D19" s="12">
        <f>LbWk*Weeks*B19*(PCIlo-SNPlb)</f>
        <v/>
      </c>
      <c r="E19" s="12">
        <f>LbWk*Weeks*B19*(PCImid-SNPlb)</f>
        <v/>
      </c>
      <c r="F19" s="12">
        <f>LbWk*Weeks*B19*(PCIhi-SNPlb)</f>
        <v/>
      </c>
    </row>
    <row r="20">
      <c r="B20" s="21" t="n">
        <v>0.1</v>
      </c>
      <c r="C20" s="11">
        <f>LbWk*Weeks*B20/DrumLb</f>
        <v/>
      </c>
      <c r="D20" s="12">
        <f>LbWk*Weeks*B20*(PCIlo-SNPlb)</f>
        <v/>
      </c>
      <c r="E20" s="12">
        <f>LbWk*Weeks*B20*(PCImid-SNPlb)</f>
        <v/>
      </c>
      <c r="F20" s="12">
        <f>LbWk*Weeks*B20*(PCIhi-SNPlb)</f>
        <v/>
      </c>
    </row>
    <row r="21">
      <c r="B21" s="21" t="n">
        <v>0.2</v>
      </c>
      <c r="C21" s="11">
        <f>LbWk*Weeks*B21/DrumLb</f>
        <v/>
      </c>
      <c r="D21" s="12">
        <f>LbWk*Weeks*B21*(PCIlo-SNPlb)</f>
        <v/>
      </c>
      <c r="E21" s="12">
        <f>LbWk*Weeks*B21*(PCImid-SNPlb)</f>
        <v/>
      </c>
      <c r="F21" s="12">
        <f>LbWk*Weeks*B21*(PCIhi-SNPlb)</f>
        <v/>
      </c>
    </row>
    <row r="22">
      <c r="B22" s="21" t="n">
        <v>0.3333333333333333</v>
      </c>
      <c r="C22" s="11">
        <f>LbWk*Weeks*B22/DrumLb</f>
        <v/>
      </c>
      <c r="D22" s="12">
        <f>LbWk*Weeks*B22*(PCIlo-SNPlb)</f>
        <v/>
      </c>
      <c r="E22" s="12">
        <f>LbWk*Weeks*B22*(PCImid-SNPlb)</f>
        <v/>
      </c>
      <c r="F22" s="12">
        <f>LbWk*Weeks*B22*(PCIhi-SNPlb)</f>
        <v/>
      </c>
    </row>
    <row r="23">
      <c r="B23" s="21" t="n">
        <v>0.5</v>
      </c>
      <c r="C23" s="11">
        <f>LbWk*Weeks*B23/DrumLb</f>
        <v/>
      </c>
      <c r="D23" s="12">
        <f>LbWk*Weeks*B23*(PCIlo-SNPlb)</f>
        <v/>
      </c>
      <c r="E23" s="12">
        <f>LbWk*Weeks*B23*(PCImid-SNPlb)</f>
        <v/>
      </c>
      <c r="F23" s="12">
        <f>LbWk*Weeks*B23*(PCIhi-SNPlb)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8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raises price on the volume it keeps (Year 1, PCI MID)</t>
        </is>
      </c>
    </row>
    <row r="3">
      <c r="B3" s="2" t="inlineStr">
        <is>
          <t>Losing a third of our volume may cost SNP its batch efficiency. A surcharge on the retained two-thirds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(2/3)</t>
        </is>
      </c>
      <c r="E5" s="3" t="inlineStr">
        <is>
          <t>PCI annual (1/3)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1" t="n">
        <v>0</v>
      </c>
      <c r="C6" s="18">
        <f>SNPlb*(1+B6)</f>
        <v/>
      </c>
      <c r="D6" s="12">
        <f>LbWk*Weeks*(1-Share)*C6</f>
        <v/>
      </c>
      <c r="E6" s="12">
        <f>LbWk*Weeks*Share*PCImid</f>
        <v/>
      </c>
      <c r="F6" s="12">
        <f>D6+E6</f>
        <v/>
      </c>
      <c r="G6" s="12">
        <f>F6-LbWk*Weeks*SNPlb</f>
        <v/>
      </c>
    </row>
    <row r="7">
      <c r="B7" s="21" t="n">
        <v>0.05</v>
      </c>
      <c r="C7" s="18">
        <f>SNPlb*(1+B7)</f>
        <v/>
      </c>
      <c r="D7" s="12">
        <f>LbWk*Weeks*(1-Share)*C7</f>
        <v/>
      </c>
      <c r="E7" s="12">
        <f>LbWk*Weeks*Share*PCImid</f>
        <v/>
      </c>
      <c r="F7" s="12">
        <f>D7+E7</f>
        <v/>
      </c>
      <c r="G7" s="12">
        <f>F7-LbWk*Weeks*SNPlb</f>
        <v/>
      </c>
    </row>
    <row r="8">
      <c r="B8" s="21" t="n">
        <v>0.1</v>
      </c>
      <c r="C8" s="18">
        <f>SNPlb*(1+B8)</f>
        <v/>
      </c>
      <c r="D8" s="12">
        <f>LbWk*Weeks*(1-Share)*C8</f>
        <v/>
      </c>
      <c r="E8" s="12">
        <f>LbWk*Weeks*Share*PCImid</f>
        <v/>
      </c>
      <c r="F8" s="12">
        <f>D8+E8</f>
        <v/>
      </c>
      <c r="G8" s="12">
        <f>F8-LbWk*Weeks*SNPlb</f>
        <v/>
      </c>
    </row>
    <row r="9">
      <c r="B9" s="21" t="n">
        <v>0.2</v>
      </c>
      <c r="C9" s="18">
        <f>SNPlb*(1+B9)</f>
        <v/>
      </c>
      <c r="D9" s="12">
        <f>LbWk*Weeks*(1-Share)*C9</f>
        <v/>
      </c>
      <c r="E9" s="12">
        <f>LbWk*Weeks*Share*PCImid</f>
        <v/>
      </c>
      <c r="F9" s="12">
        <f>D9+E9</f>
        <v/>
      </c>
      <c r="G9" s="12">
        <f>F9-LbWk*Weeks*SNPlb</f>
        <v/>
      </c>
    </row>
    <row r="10">
      <c r="B10" s="21" t="n">
        <v>0.33</v>
      </c>
      <c r="C10" s="18">
        <f>SNPlb*(1+B10)</f>
        <v/>
      </c>
      <c r="D10" s="12">
        <f>LbWk*Weeks*(1-Share)*C10</f>
        <v/>
      </c>
      <c r="E10" s="12">
        <f>LbWk*Weeks*Share*PCImid</f>
        <v/>
      </c>
      <c r="F10" s="12">
        <f>D10+E10</f>
        <v/>
      </c>
      <c r="G10" s="12">
        <f>F10-LbWk*Weeks*SNPlb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4"/>
  <sheetViews>
    <sheetView workbookViewId="0">
      <selection activeCell="A1" sqref="A1"/>
    </sheetView>
  </sheetViews>
  <sheetFormatPr baseColWidth="8" defaultRowHeight="15"/>
  <cols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A second source is justified only if: annual premium &lt;= P(SNP disruption in a year) x loss the second source would AVOID. Note: at 1/3 share, 2/3 of volume is still exposed unless the second source can ramp.</t>
        </is>
      </c>
    </row>
    <row r="5" ht="30" customHeight="1">
      <c r="B5" s="3" t="inlineStr">
        <is>
          <t>Option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0" t="inlineStr">
        <is>
          <t>A — dual @ PCI LOW</t>
        </is>
      </c>
      <c r="C6" s="12">
        <f>LbWk*Weeks*Share*(PCIlo-SNPlb)</f>
        <v/>
      </c>
      <c r="D6" s="12">
        <f>C6/0.02</f>
        <v/>
      </c>
      <c r="E6" s="12">
        <f>C6/0.05</f>
        <v/>
      </c>
      <c r="F6" s="12">
        <f>C6/0.1</f>
        <v/>
      </c>
      <c r="G6" s="12">
        <f>C6/0.2</f>
        <v/>
      </c>
    </row>
    <row r="7">
      <c r="B7" s="10" t="inlineStr">
        <is>
          <t>A — dual @ PCI MID</t>
        </is>
      </c>
      <c r="C7" s="12">
        <f>LbWk*Weeks*Share*(PCImid-SNPlb)</f>
        <v/>
      </c>
      <c r="D7" s="12">
        <f>C7/0.02</f>
        <v/>
      </c>
      <c r="E7" s="12">
        <f>C7/0.05</f>
        <v/>
      </c>
      <c r="F7" s="12">
        <f>C7/0.1</f>
        <v/>
      </c>
      <c r="G7" s="12">
        <f>C7/0.2</f>
        <v/>
      </c>
    </row>
    <row r="8">
      <c r="B8" s="10" t="inlineStr">
        <is>
          <t>A — dual @ PCI HIGH</t>
        </is>
      </c>
      <c r="C8" s="12">
        <f>LbWk*Weeks*Share*(PCIhi-SNPlb)</f>
        <v/>
      </c>
      <c r="D8" s="12">
        <f>C8/0.02</f>
        <v/>
      </c>
      <c r="E8" s="12">
        <f>C8/0.05</f>
        <v/>
      </c>
      <c r="F8" s="12">
        <f>C8/0.1</f>
        <v/>
      </c>
      <c r="G8" s="12">
        <f>C8/0.2</f>
        <v/>
      </c>
    </row>
    <row r="9">
      <c r="B9" s="10" t="inlineStr">
        <is>
          <t>C — warm 5% @ PCI MID</t>
        </is>
      </c>
      <c r="C9" s="12">
        <f>LbWk*Weeks*WarmShare*(PCImid-SNPlb)</f>
        <v/>
      </c>
      <c r="D9" s="12">
        <f>C9/0.02</f>
        <v/>
      </c>
      <c r="E9" s="12">
        <f>C9/0.05</f>
        <v/>
      </c>
      <c r="F9" s="12">
        <f>C9/0.1</f>
        <v/>
      </c>
      <c r="G9" s="12">
        <f>C9/0.2</f>
        <v/>
      </c>
    </row>
    <row r="11">
      <c r="B11" s="2" t="inlineStr">
        <is>
          <t>Read: each cell = the avoided loss a disruption would have to cause for the premium to pay off. Compare to Inputs 'Cost of a 6-month SNP outage'.</t>
        </is>
      </c>
    </row>
    <row r="13">
      <c r="B13" s="14" t="inlineStr">
        <is>
          <t>Expected annual loss with NO second source = Pdis x Dcost:</t>
        </is>
      </c>
      <c r="D13" s="17">
        <f>Pdis*Dcost</f>
        <v/>
      </c>
    </row>
    <row r="14">
      <c r="B14" s="14" t="inlineStr">
        <is>
          <t>Verdict @ PCI MID, 1/3 share:</t>
        </is>
      </c>
      <c r="D14">
        <f>IF(D13&gt;=C7,"Premium is justified","Premium exceeds expected loss")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5"/>
  <cols>
    <col width="30" customWidth="1" min="2" max="2"/>
    <col width="28" customWidth="1" min="3" max="3"/>
    <col width="28" customWidth="1" min="4" max="4"/>
    <col width="28" customWidth="1" min="5" max="5"/>
  </cols>
  <sheetData>
    <row r="2">
      <c r="B2" s="1" t="inlineStr">
        <is>
          <t>The three options, side by side (Year 1, PCI MID unless noted)</t>
        </is>
      </c>
    </row>
    <row r="5" ht="30" customHeight="1">
      <c r="B5" s="3" t="inlineStr"/>
      <c r="C5" s="3" t="inlineStr">
        <is>
          <t>A — Dual-source now (1/3)</t>
        </is>
      </c>
      <c r="D5" s="3" t="inlineStr">
        <is>
          <t>B — Single + strengthen SNP</t>
        </is>
      </c>
      <c r="E5" s="3" t="inlineStr">
        <is>
          <t>C — Warm backup (5%)</t>
        </is>
      </c>
    </row>
    <row r="6">
      <c r="B6" s="14" t="inlineStr">
        <is>
          <t>Annual purchase cost</t>
        </is>
      </c>
      <c r="C6" s="22">
        <f>LbWk*Weeks*(1-Share)*SNPlb+LbWk*Weeks*Share*PCImid</f>
        <v/>
      </c>
      <c r="D6" s="22">
        <f>LbWk*Weeks*SNPlb</f>
        <v/>
      </c>
      <c r="E6" s="22">
        <f>LbWk*Weeks*(1-WarmShare)*SNPlb+LbWk*Weeks*WarmShare*PCImid</f>
        <v/>
      </c>
    </row>
    <row r="7">
      <c r="B7" s="14" t="inlineStr">
        <is>
          <t>Premium vs today</t>
        </is>
      </c>
      <c r="C7" s="22">
        <f>B6-LbWk*Weeks*SNPlb</f>
        <v/>
      </c>
      <c r="D7" s="23" t="inlineStr">
        <is>
          <t>0</t>
        </is>
      </c>
      <c r="E7" s="22">
        <f>D6-LbWk*Weeks*SNPlb</f>
        <v/>
      </c>
    </row>
    <row r="8">
      <c r="B8" s="14" t="inlineStr">
        <is>
          <t>One-time qualification</t>
        </is>
      </c>
      <c r="C8" s="22">
        <f>QualCost</f>
        <v/>
      </c>
      <c r="D8" s="23" t="inlineStr">
        <is>
          <t>0 (plan/document only)</t>
        </is>
      </c>
      <c r="E8" s="22">
        <f>QualCost</f>
        <v/>
      </c>
    </row>
    <row r="9">
      <c r="B9" s="14" t="inlineStr">
        <is>
          <t>5-yr premium (10% growth)</t>
        </is>
      </c>
      <c r="C9" s="22">
        <f>B7*(1+(1+Growth)+(1+Growth)^2+(1+Growth)^3+(1+Growth)^4)</f>
        <v/>
      </c>
      <c r="D9" s="23" t="inlineStr">
        <is>
          <t>0</t>
        </is>
      </c>
      <c r="E9" s="22">
        <f>D7*(1+(1+Growth)+(1+Growth)^2+(1+Growth)^3+(1+Growth)^4)</f>
        <v/>
      </c>
    </row>
    <row r="10">
      <c r="B10" s="14" t="inlineStr">
        <is>
          <t>Volume still exposed if SNP fails</t>
        </is>
      </c>
      <c r="C10" s="23" t="inlineStr">
        <is>
          <t>2/3 (until PCI ramps)</t>
        </is>
      </c>
      <c r="D10" s="23" t="inlineStr">
        <is>
          <t>100%</t>
        </is>
      </c>
      <c r="E10" s="23" t="inlineStr">
        <is>
          <t>95% (until PCI ramps)</t>
        </is>
      </c>
    </row>
    <row r="11">
      <c r="B11" s="14" t="inlineStr">
        <is>
          <t>Time to recover if SNP fails</t>
        </is>
      </c>
      <c r="C11" s="23" t="inlineStr">
        <is>
          <t>weeks (PCI ramp)</t>
        </is>
      </c>
      <c r="D11" s="23" t="inlineStr">
        <is>
          <t>6-12 months (cold start)</t>
        </is>
      </c>
      <c r="E11" s="23" t="inlineStr">
        <is>
          <t>weeks-months (re-activate)</t>
        </is>
      </c>
    </row>
    <row r="12">
      <c r="B12" s="14" t="inlineStr">
        <is>
          <t>Signal to SNP</t>
        </is>
      </c>
      <c r="C12" s="23" t="inlineStr">
        <is>
          <t>Lost a third of volume</t>
        </is>
      </c>
      <c r="D12" s="23" t="inlineStr">
        <is>
          <t>Deeper partnership</t>
        </is>
      </c>
      <c r="E12" s="23" t="inlineStr">
        <is>
          <t>Minor</t>
        </is>
      </c>
    </row>
    <row r="13">
      <c r="B13" s="14" t="inlineStr">
        <is>
          <t>Compliance posture</t>
        </is>
      </c>
      <c r="C13" s="23" t="inlineStr">
        <is>
          <t>Strong</t>
        </is>
      </c>
      <c r="D13" s="23" t="inlineStr">
        <is>
          <t>Defensible if documented</t>
        </is>
      </c>
      <c r="E13" s="23" t="inlineStr">
        <is>
          <t>Strong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2026-09-22T17:04:06Z</dcterms:created>
  <dcterms:modified xmlns:dcterms="http://purl.org/dc/terms/" xmlns:xsi="http://www.w3.org/2001/XMLSchema-instance" xsi:type="dcterms:W3CDTF">2026-09-22T17:04:06Z</dcterms:modified>
</cp:coreProperties>
</file>