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puts &amp; Assumptions" sheetId="1" state="visible" r:id="rId3"/>
    <sheet name="Unit Price Comparison" sheetId="2" state="visible" r:id="rId4"/>
    <sheet name="Scaled Comparison" sheetId="3" state="visible" r:id="rId5"/>
    <sheet name="Breakeven" sheetId="4" state="visible" r:id="rId6"/>
    <sheet name="Scope &amp; Risk" sheetId="5" state="visible" r:id="rId7"/>
  </sheets>
  <definedNames>
    <definedName function="false" hidden="false" localSheetId="3" name="_xlnm.Print_Area" vbProcedure="false">Breakeven!$A$1:$H$27</definedName>
    <definedName function="false" hidden="false" localSheetId="0" name="_xlnm.Print_Area" vbProcedure="false">'Inputs &amp; Assumptions'!$A$1:$G$28</definedName>
    <definedName function="false" hidden="false" localSheetId="2" name="_xlnm.Print_Area" vbProcedure="false">'Scaled Comparison'!$A$1:$G$27</definedName>
    <definedName function="false" hidden="false" localSheetId="4" name="_xlnm.Print_Area" vbProcedure="false">'Scope &amp; Risk'!$A$1:$D$22</definedName>
    <definedName function="false" hidden="false" localSheetId="4" name="_xlnm.Print_Titles" vbProcedure="false">'Scope &amp; Risk'!$13:$13</definedName>
    <definedName function="false" hidden="false" localSheetId="1" name="_xlnm.Print_Area" vbProcedure="false">'Unit Price Comparison'!$A$1:$I$19</definedName>
    <definedName function="false" hidden="false" name="KitA" vbProcedure="false">'Inputs &amp; Assumptions'!$C$23</definedName>
    <definedName function="false" hidden="false" name="KitB" vbProcedure="false">'Inputs &amp; Assumptions'!$D$23</definedName>
    <definedName function="false" hidden="false" name="KitVol" vbProcedure="false">'Inputs &amp; Assumptions'!$E$23</definedName>
    <definedName function="false" hidden="false" name="QtyKits" vbProcedure="false">'Inputs &amp; Assumptions'!$C$27</definedName>
    <definedName function="false" hidden="false" name="VenADisc" vbProcedure="false">'Inputs &amp; Assumptions'!$C$28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<sst xmlns="http://schemas.openxmlformats.org/spreadsheetml/2006/main" count="194" uniqueCount="175">
  <si>
    <t xml:space="preserve">Quote Comparison — Cardiac MVR Suture Skills Kit (3 parts)</t>
  </si>
  <si>
    <t xml:space="preserve">All figures transcribed verbatim from the two quote PDFs. YELLOW = as-quoted input. GREEN = calculated. No personal data (names, emails, phone numbers) is carried into this model. Vendor A quote ID contained a person's surname and has been redacted.</t>
  </si>
  <si>
    <t xml:space="preserve">1) QUOTE METADATA</t>
  </si>
  <si>
    <t xml:space="preserve">VENDOR A</t>
  </si>
  <si>
    <t xml:space="preserve">VENDOR B</t>
  </si>
  <si>
    <t xml:space="preserve">Vendor</t>
  </si>
  <si>
    <t xml:space="preserve">Fictiv</t>
  </si>
  <si>
    <t xml:space="preserve">Xometry</t>
  </si>
  <si>
    <t xml:space="preserve">Quote reference</t>
  </si>
  <si>
    <t xml:space="preserve">[redacted]</t>
  </si>
  <si>
    <t xml:space="preserve">Q47-2889-3704</t>
  </si>
  <si>
    <t xml:space="preserve">Vendor A ref omitted: it embeds a personal name.</t>
  </si>
  <si>
    <t xml:space="preserve">Quote date</t>
  </si>
  <si>
    <t xml:space="preserve">2026-08-25</t>
  </si>
  <si>
    <t xml:space="preserve">2025-11-24</t>
  </si>
  <si>
    <t xml:space="preserve">9 months apart. Vendor B pricing is stale — its 30-day price honour has lapsed. See Scope &amp; Risk.</t>
  </si>
  <si>
    <t xml:space="preserve">Quote valid until</t>
  </si>
  <si>
    <t xml:space="preserve">2026-09-24</t>
  </si>
  <si>
    <t xml:space="preserve">2025-12-24</t>
  </si>
  <si>
    <t xml:space="preserve">Vendor A: 30 days stated. Vendor B: 30-day price honour per T&amp;Cs.</t>
  </si>
  <si>
    <t xml:space="preserve">Quantity quoted (each part)</t>
  </si>
  <si>
    <t xml:space="preserve">*** THE KEY DIFFERENCE. Totals are NOT comparable; unit price is. ***</t>
  </si>
  <si>
    <t xml:space="preserve">Process / technology</t>
  </si>
  <si>
    <t xml:space="preserve">MJF (Multi Jet Fusion)</t>
  </si>
  <si>
    <t xml:space="preserve">SLS (Selective Laser Sintering)</t>
  </si>
  <si>
    <t xml:space="preserve">Both powder-bed fusion. Different machines, similar class.</t>
  </si>
  <si>
    <t xml:space="preserve">Material</t>
  </si>
  <si>
    <t xml:space="preserve">PA 12 (as per rqmt)</t>
  </si>
  <si>
    <t xml:space="preserve">Nylon 12</t>
  </si>
  <si>
    <t xml:space="preserve">Chemically equivalent (PA 12 = Nylon 12).</t>
  </si>
  <si>
    <t xml:space="preserve">Finish</t>
  </si>
  <si>
    <t xml:space="preserve">Vapor Smoothing</t>
  </si>
  <si>
    <t xml:space="preserve">Matched.</t>
  </si>
  <si>
    <t xml:space="preserve">Country of manufacture</t>
  </si>
  <si>
    <t xml:space="preserve">United States</t>
  </si>
  <si>
    <t xml:space="preserve">United States (Made in USA)</t>
  </si>
  <si>
    <t xml:space="preserve">Lead time (as quoted)</t>
  </si>
  <si>
    <t xml:space="preserve">6 production days</t>
  </si>
  <si>
    <t xml:space="preserve">35 business days</t>
  </si>
  <si>
    <t xml:space="preserve">Vendor B clock starts only AFTER first-article acceptance.</t>
  </si>
  <si>
    <t xml:space="preserve">Formal inspection included</t>
  </si>
  <si>
    <t xml:space="preserve">No (not quoted)</t>
  </si>
  <si>
    <t xml:space="preserve">Yes — dimensional report + 5 FAI</t>
  </si>
  <si>
    <t xml:space="preserve">Real cost in Vendor B's price with no Vendor A counterpart.</t>
  </si>
  <si>
    <t xml:space="preserve">2) AS-QUOTED UNIT PRICES (per single part)</t>
  </si>
  <si>
    <t xml:space="preserve">Part reference</t>
  </si>
  <si>
    <t xml:space="preserve">Vendor A
$/unit @ qty 1</t>
  </si>
  <si>
    <t xml:space="preserve">Vendor B
$/unit @ qty 50</t>
  </si>
  <si>
    <t xml:space="preserve">Volume
(in³)</t>
  </si>
  <si>
    <t xml:space="preserve">Vendor A
rev quoted</t>
  </si>
  <si>
    <t xml:space="preserve">Vendor B
rev quoted</t>
  </si>
  <si>
    <t xml:space="preserve">667357  Valve receptacle</t>
  </si>
  <si>
    <t xml:space="preserve">rev_b</t>
  </si>
  <si>
    <t xml:space="preserve">REV B</t>
  </si>
  <si>
    <t xml:space="preserve">667355  Chest</t>
  </si>
  <si>
    <t xml:space="preserve">rev_c</t>
  </si>
  <si>
    <t xml:space="preserve">667354  Base</t>
  </si>
  <si>
    <t xml:space="preserve">KIT TOTAL (one of each part)</t>
  </si>
  <si>
    <t xml:space="preserve">Volumes are from the Vendor B quote (same source geometry submitted to both). Vendor A did not publish part volumes. Rev mismatch on 667355: Vendor A quoted rev C, Vendor B quoted rev B — see 'Scope &amp; Risk'.</t>
  </si>
  <si>
    <t xml:space="preserve">3) COMPARISON DRIVERS</t>
  </si>
  <si>
    <t xml:space="preserve">Kit quantity to compare at</t>
  </si>
  <si>
    <t xml:space="preserve">EDIT ME. Drives the 'Scaled Comparison' sheet. Vendor B is a firm quote at 50; Vendor A is qty-1 only.</t>
  </si>
  <si>
    <t xml:space="preserve">Assumed Vendor A volume discount at that qty</t>
  </si>
  <si>
    <t xml:space="preserve">EDIT ME. Vendor A gave NO qty-50 price. 0% = pure extrapolation of qty-1 pricing (conservative, almost certainly too high). Use 'Breakeven' sheet to see what discount Vendor A must give to win.</t>
  </si>
  <si>
    <t xml:space="preserve">Apples-to-Apples: Price Per Single Part</t>
  </si>
  <si>
    <t xml:space="preserve">This is the only directly comparable view — it strips out the 1 vs 50 quantity difference. Vendor B's unit price already carries its qty-50 volume discount; Vendor A's does not.</t>
  </si>
  <si>
    <t xml:space="preserve">Part</t>
  </si>
  <si>
    <t xml:space="preserve">Vendor A
$/unit</t>
  </si>
  <si>
    <t xml:space="preserve">Vendor B
$/unit</t>
  </si>
  <si>
    <t xml:space="preserve">Δ  (A − B)</t>
  </si>
  <si>
    <t xml:space="preserve">B vs A
% cheaper</t>
  </si>
  <si>
    <t xml:space="preserve">A ÷ B</t>
  </si>
  <si>
    <t xml:space="preserve">Vendor A
$ per in³</t>
  </si>
  <si>
    <t xml:space="preserve">Vendor B
$ per in³</t>
  </si>
  <si>
    <t xml:space="preserve">FULL KIT (1 of each)</t>
  </si>
  <si>
    <t xml:space="preserve">HEADLINE</t>
  </si>
  <si>
    <t xml:space="preserve">Vendor B cheaper per unit by:</t>
  </si>
  <si>
    <t xml:space="preserve">Cost of one complete kit — Vendor A</t>
  </si>
  <si>
    <t xml:space="preserve">Cost of one complete kit — Vendor B</t>
  </si>
  <si>
    <t xml:space="preserve">Saving per kit with Vendor B</t>
  </si>
  <si>
    <t xml:space="preserve">Vendor A price premium (multiple)</t>
  </si>
  <si>
    <t xml:space="preserve">CAUTION: the gap is NOT purely a vendor-efficiency gap. Vendor B's unit price is a 50-off price and Vendor A's is a one-off price. Typical AM volume breaks of 40-60% at qty 50 would close most, though not necessarily all, of this. Treat the % column as an UPPER BOUND on Vendor B's true advantage until Vendor A is re-quoted at the same quantity.</t>
  </si>
  <si>
    <t xml:space="preserve">Extended Cost at Order Quantity</t>
  </si>
  <si>
    <t xml:space="preserve">Vendor B's column is a real quoted price at 50. Vendor A's column is an EXTRAPOLATION of its qty-1 price (adjusted by the discount assumption on the Inputs sheet) — it is not a quote and must not be treated as one.</t>
  </si>
  <si>
    <t xml:space="preserve">1) AS-QUOTED — NOT COMPARABLE</t>
  </si>
  <si>
    <t xml:space="preserve">Vendor A</t>
  </si>
  <si>
    <t xml:space="preserve">Vendor B</t>
  </si>
  <si>
    <t xml:space="preserve">These two totals answer different questions. Comparing $2,917.56 to $54,540.00 is meaningless.</t>
  </si>
  <si>
    <t xml:space="preserve">Quoted parts subtotal</t>
  </si>
  <si>
    <t xml:space="preserve">2) NORMALISED TO THE SAME QUANTITY</t>
  </si>
  <si>
    <t xml:space="preserve">Line</t>
  </si>
  <si>
    <t xml:space="preserve">B % cheaper</t>
  </si>
  <si>
    <t xml:space="preserve">Kits compared</t>
  </si>
  <si>
    <t xml:space="preserve">Vendor A volume discount applied</t>
  </si>
  <si>
    <t xml:space="preserve">n/a</t>
  </si>
  <si>
    <t xml:space="preserve">Effective $/kit</t>
  </si>
  <si>
    <t xml:space="preserve">Valve receptacle — extended</t>
  </si>
  <si>
    <t xml:space="preserve">Chest — extended</t>
  </si>
  <si>
    <t xml:space="preserve">Base — extended</t>
  </si>
  <si>
    <t xml:space="preserve">TOTAL PARTS COST</t>
  </si>
  <si>
    <t xml:space="preserve">3) COSTS NEITHER QUOTE HAS PRICED</t>
  </si>
  <si>
    <t xml:space="preserve">Item</t>
  </si>
  <si>
    <t xml:space="preserve">Impact on comparison</t>
  </si>
  <si>
    <t xml:space="preserve">Shipping</t>
  </si>
  <si>
    <t xml:space="preserve">TBD</t>
  </si>
  <si>
    <t xml:space="preserve">Calculated at checkout</t>
  </si>
  <si>
    <t xml:space="preserve">Unpriced on both sides. Broadly neutral.</t>
  </si>
  <si>
    <t xml:space="preserve">Tax</t>
  </si>
  <si>
    <t xml:space="preserve">Tariffs / duty</t>
  </si>
  <si>
    <t xml:space="preserve">No tariffs apply</t>
  </si>
  <si>
    <t xml:space="preserve">n/a — Made in USA</t>
  </si>
  <si>
    <t xml:space="preserve">Both domestic. Neutral.</t>
  </si>
  <si>
    <t xml:space="preserve">Formal inspection + 5 FAI</t>
  </si>
  <si>
    <t xml:space="preserve">NOT quoted</t>
  </si>
  <si>
    <t xml:space="preserve">INCLUDED in unit price</t>
  </si>
  <si>
    <t xml:space="preserve">NOT neutral. Vendor B is carrying a cost Vendor A has not been asked to bear.</t>
  </si>
  <si>
    <t xml:space="preserve">Quote Total on both documents is therefore TBD / calculated at checkout. Every figure in this workbook is a PARTS-ONLY comparison.</t>
  </si>
  <si>
    <t xml:space="preserve">What Would Vendor A Have To Do To Win?</t>
  </si>
  <si>
    <t xml:space="preserve">Vendor A has only been asked for a price at qty 1. Before concluding Vendor B is cheaper, the fair test is: what volume discount must Vendor A give at your real quantity to reach parity? That number is below.</t>
  </si>
  <si>
    <t xml:space="preserve">1) PARITY POINT</t>
  </si>
  <si>
    <t xml:space="preserve">Vendor A kit price @ qty 1</t>
  </si>
  <si>
    <t xml:space="preserve">Vendor B kit price @ qty 50</t>
  </si>
  <si>
    <t xml:space="preserve">Discount Vendor A needs to MATCH Vendor B</t>
  </si>
  <si>
    <t xml:space="preserve">Implied Vendor A kit price at parity</t>
  </si>
  <si>
    <t xml:space="preserve">Is that a plausible AM volume break at 50?</t>
  </si>
  <si>
    <t xml:space="preserve">2) SENSITIVITY — total parts cost by Vendor A discount and kit quantity</t>
  </si>
  <si>
    <t xml:space="preserve">Rows = volume discount Vendor A might offer off its qty-1 price. Columns = kits ordered. Cells = Vendor A total MINUS Vendor B total. Negative (green) means Vendor A wins.</t>
  </si>
  <si>
    <t xml:space="preserve">Rows = volume discount Vendor A might offer off its qty-1 price. Columns = kits ordered. Cells = Vendor A total MINUS Vendor B total. Negative, shown green in parentheses, means Vendor A is cheaper.</t>
  </si>
  <si>
    <t xml:space="preserve">Vendor A discount ↓ / Kits →</t>
  </si>
  <si>
    <t xml:space="preserve">10</t>
  </si>
  <si>
    <t xml:space="preserve">25</t>
  </si>
  <si>
    <t xml:space="preserve">50</t>
  </si>
  <si>
    <t xml:space="preserve">100</t>
  </si>
  <si>
    <t xml:space="preserve">250</t>
  </si>
  <si>
    <t xml:space="preserve">The highlighted row is the EXACT parity line (pulled from cell C8), so its row reads ~0 at every quantity. Above it Vendor B is cheaper at every quantity; below it Vendor A is. Note the comparison is quantity-independent in this model - both sides scale linearly, because Vendor B is held at its 50-off rate and Vendor A takes a flat % discount. Real re-quotes will not be perfectly linear, so treat this as the shape of the trade, not a forecast.</t>
  </si>
  <si>
    <t xml:space="preserve">Why The Two Numbers Are Not Yet A Like-For-Like</t>
  </si>
  <si>
    <t xml:space="preserve">Both vendors were asked for different things. Each row below is a difference that moves money or risk.</t>
  </si>
  <si>
    <t xml:space="preserve">BOTTOM LINE</t>
  </si>
  <si>
    <t xml:space="preserve">Per-part price:</t>
  </si>
  <si>
    <t xml:space="preserve">Vendor B is 61.8% to 64.7% cheaper on every part.</t>
  </si>
  <si>
    <t xml:space="preserve">One complete kit:</t>
  </si>
  <si>
    <t xml:space="preserve">$1,090.80 (Vendor B) vs $2,917.56 (Vendor A) — a $1,826.76 / 62.6% gap.</t>
  </si>
  <si>
    <t xml:space="preserve">But the quantities differ:</t>
  </si>
  <si>
    <t xml:space="preserve">Vendor B was asked for 50, Vendor A for 1. That alone explains much of the gap.</t>
  </si>
  <si>
    <t xml:space="preserve">Parity test:</t>
  </si>
  <si>
    <t xml:space="preserve">Vendor A needs a 62.6% volume break at qty 50 to match — aggressive, but within what AM suppliers do offer.</t>
  </si>
  <si>
    <t xml:space="preserve">Before awarding:</t>
  </si>
  <si>
    <t xml:space="preserve">(1) re-quote Vendor A at the real quantity, (2) refresh Vendor B's 9-month-old pricing, (3) align inspection, colour and drawing revision on both sides.</t>
  </si>
  <si>
    <t xml:space="preserve">Honest reading today:</t>
  </si>
  <si>
    <t xml:space="preserve">'Vendor B is cheaper at 50; Vendor A is untested at 50' — NOT 'Vendor B is 63% cheaper'.</t>
  </si>
  <si>
    <t xml:space="preserve">Difference</t>
  </si>
  <si>
    <t xml:space="preserve">What it means for the comparison</t>
  </si>
  <si>
    <t xml:space="preserve">Bias</t>
  </si>
  <si>
    <t xml:space="preserve">Quantity: 1 vs 50</t>
  </si>
  <si>
    <t xml:space="preserve">The single largest distortion. Vendor A's $2,917.56 is a one-off prototype price with no volume amortisation; Vendor B's $1,090.80/kit is a 50-off production price. Re-quote Vendor A at 50 before any award decision.</t>
  </si>
  <si>
    <t xml:space="preserve">Favours B</t>
  </si>
  <si>
    <t xml:space="preserve">Quote age: Aug 2026 vs Nov 2025</t>
  </si>
  <si>
    <t xml:space="preserve">Vendor B's quote is ~9 months old and its stated 30-day price honour has long lapsed. Its real price today is unknown and AM powder/machine rates have moved. Vendor A's quote is current.</t>
  </si>
  <si>
    <t xml:space="preserve">Inspection scope</t>
  </si>
  <si>
    <t xml:space="preserve">Vendor B's unit price includes custom inspection, a formal dimensional report and 5 first articles. Vendor A's quote carries no inspection line at all. Adding equivalent inspection to Vendor A will raise its price; the gap is real but overstated.</t>
  </si>
  <si>
    <t xml:space="preserve">Favours A</t>
  </si>
  <si>
    <t xml:space="preserve">Process: MJF vs SLS</t>
  </si>
  <si>
    <t xml:space="preserve">Both PA12 powder-bed, both vapor smoothed, so parts are broadly interchangeable. MJF typically gives finer feature resolution and more consistent density; SLS gives slightly better isotropic strength. Not a defect — but not identical parts.</t>
  </si>
  <si>
    <t xml:space="preserve">Neutral</t>
  </si>
  <si>
    <t xml:space="preserve">Drawing revision on 667355 (Chest)</t>
  </si>
  <si>
    <t xml:space="preserve">Vendor A quoted rev_c; Vendor B quoted REV B. The two vendors priced DIFFERENT geometry for this part. The $378.56 vs $1,039.11 line is not strictly comparable until Vendor B re-quotes rev C.</t>
  </si>
  <si>
    <t xml:space="preserve">Unknown</t>
  </si>
  <si>
    <t xml:space="preserve">Colour specification</t>
  </si>
  <si>
    <t xml:space="preserve">Vendor B specifies Black-Dyed on 667357 and 667354, natural off-white on 667355. Vendor A's quote specifies no colour. Dyeing is a real added operation. If colour is required, Vendor A's price will rise.</t>
  </si>
  <si>
    <t xml:space="preserve">Lead time: 6 vs 35 days</t>
  </si>
  <si>
    <t xml:space="preserve">Vendor A quotes 6 production days. Vendor B quotes 35 business days AND its clock does not start until first articles are accepted — realistically adding weeks. If schedule has value, Vendor A's premium buys something.</t>
  </si>
  <si>
    <t xml:space="preserve">Ink stamping / partner-matching</t>
  </si>
  <si>
    <t xml:space="preserve">Vendor B's notes require month/year ink stamp and sourcing to a named prior partner for consistency. Neither is in Vendor A's scope. Another cost inside Vendor B's number with no Vendor A equivalent.</t>
  </si>
  <si>
    <t xml:space="preserve">Shipping, tax, tariffs</t>
  </si>
  <si>
    <t xml:space="preserve">Unpriced on both quotes (TBD / calculated at checkout). Both are US-domestic so tariff exposure is nil. Broadly neutral, but neither Quote Total is a landed cost.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</si>
</sst>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\$#,##0.00"/>
    <numFmt numFmtId="167" formatCode="#,##0.000"/>
    <numFmt numFmtId="168" formatCode="0.0%"/>
    <numFmt numFmtId="169" formatCode="0.00\x"/>
    <numFmt numFmtId="170" formatCode="\$#,##0.00"/>
    <numFmt numFmtId="171" formatCode="\$#,##0"/>
    <numFmt numFmtId="172" formatCode="\$#,##0;&quot;($&quot;#,##0\)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sz val="9"/>
      <color rgb="FF80808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7F6000"/>
      <name val="Calibri"/>
      <family val="0"/>
      <charset val="1"/>
    </font>
    <font>
      <b val="true"/>
      <sz val="9"/>
      <color rgb="FF9C0006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375623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2"/>
      <color rgb="FF375623"/>
      <name val="Calibri"/>
      <family val="0"/>
      <charset val="1"/>
    </font>
    <font>
      <b val="true"/>
      <sz val="12"/>
      <color rgb="FF9C0006"/>
      <name val="Calibri"/>
      <family val="0"/>
      <charset val="1"/>
    </font>
    <font>
      <b val="true"/>
      <sz val="11"/>
      <color rgb="FF9C0006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b val="true"/>
      <sz val="10"/>
      <color rgb="FF808080"/>
      <name val="Calibri"/>
      <family val="0"/>
      <charset val="1"/>
    </font>
    <font>
      <b val="true"/>
      <sz val="10"/>
      <color rgb="FF7F600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4472C4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E2EFDA"/>
        <bgColor rgb="FFF2F2F2"/>
      </patternFill>
    </fill>
    <fill>
      <patternFill patternType="solid">
        <fgColor rgb="FFFFC7CE"/>
        <bgColor rgb="FFCCCCFF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b val="1"/>
        <color rgb="FF006100"/>
        <sz val="11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4" min="3" style="1" width="16"/>
    <col collapsed="false" customWidth="true" hidden="false" outlineLevel="0" max="6" min="5" style="1" width="14"/>
    <col collapsed="false" customWidth="true" hidden="false" outlineLevel="0" max="7" min="7" style="1" width="62"/>
  </cols>
  <sheetData>
    <row r="2" customFormat="false" ht="17.25" hidden="false" customHeight="true" outlineLevel="0" collapsed="false">
      <c r="B2" s="2" t="s">
        <v>0</v>
      </c>
    </row>
    <row r="3" customFormat="false" ht="53.2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5" t="s">
        <v>3</v>
      </c>
      <c r="D5" s="5" t="s">
        <v>4</v>
      </c>
      <c r="E5" s="4"/>
      <c r="F5" s="4"/>
      <c r="G5" s="4"/>
    </row>
    <row r="6" customFormat="false" ht="15" hidden="false" customHeight="true" outlineLevel="0" collapsed="false">
      <c r="B6" s="6" t="s">
        <v>5</v>
      </c>
      <c r="C6" s="7" t="s">
        <v>6</v>
      </c>
      <c r="D6" s="7" t="s">
        <v>7</v>
      </c>
      <c r="E6" s="8"/>
      <c r="F6" s="8"/>
      <c r="G6" s="8"/>
    </row>
    <row r="7" customFormat="false" ht="15" hidden="false" customHeight="true" outlineLevel="0" collapsed="false">
      <c r="B7" s="6" t="s">
        <v>8</v>
      </c>
      <c r="C7" s="7" t="s">
        <v>9</v>
      </c>
      <c r="D7" s="7" t="s">
        <v>10</v>
      </c>
      <c r="E7" s="8" t="s">
        <v>11</v>
      </c>
      <c r="F7" s="8"/>
      <c r="G7" s="8"/>
    </row>
    <row r="8" customFormat="false" ht="15" hidden="false" customHeight="true" outlineLevel="0" collapsed="false">
      <c r="B8" s="6" t="s">
        <v>12</v>
      </c>
      <c r="C8" s="7" t="s">
        <v>13</v>
      </c>
      <c r="D8" s="7" t="s">
        <v>14</v>
      </c>
      <c r="E8" s="8" t="s">
        <v>15</v>
      </c>
      <c r="F8" s="8"/>
      <c r="G8" s="8"/>
    </row>
    <row r="9" customFormat="false" ht="15" hidden="false" customHeight="true" outlineLevel="0" collapsed="false">
      <c r="B9" s="6" t="s">
        <v>16</v>
      </c>
      <c r="C9" s="7" t="s">
        <v>17</v>
      </c>
      <c r="D9" s="7" t="s">
        <v>18</v>
      </c>
      <c r="E9" s="8" t="s">
        <v>19</v>
      </c>
      <c r="F9" s="8"/>
      <c r="G9" s="8"/>
    </row>
    <row r="10" customFormat="false" ht="15" hidden="false" customHeight="true" outlineLevel="0" collapsed="false">
      <c r="B10" s="6" t="s">
        <v>20</v>
      </c>
      <c r="C10" s="9" t="n">
        <v>1</v>
      </c>
      <c r="D10" s="9" t="n">
        <v>50</v>
      </c>
      <c r="E10" s="10" t="s">
        <v>21</v>
      </c>
      <c r="F10" s="10"/>
      <c r="G10" s="10"/>
    </row>
    <row r="11" customFormat="false" ht="27.75" hidden="false" customHeight="true" outlineLevel="0" collapsed="false">
      <c r="B11" s="6" t="s">
        <v>22</v>
      </c>
      <c r="C11" s="7" t="s">
        <v>23</v>
      </c>
      <c r="D11" s="7" t="s">
        <v>24</v>
      </c>
      <c r="E11" s="8" t="s">
        <v>25</v>
      </c>
      <c r="F11" s="8"/>
      <c r="G11" s="8"/>
    </row>
    <row r="12" customFormat="false" ht="27.75" hidden="false" customHeight="true" outlineLevel="0" collapsed="false">
      <c r="B12" s="6" t="s">
        <v>26</v>
      </c>
      <c r="C12" s="7" t="s">
        <v>27</v>
      </c>
      <c r="D12" s="7" t="s">
        <v>28</v>
      </c>
      <c r="E12" s="8" t="s">
        <v>29</v>
      </c>
      <c r="F12" s="8"/>
      <c r="G12" s="8"/>
    </row>
    <row r="13" customFormat="false" ht="27.75" hidden="false" customHeight="true" outlineLevel="0" collapsed="false">
      <c r="B13" s="6" t="s">
        <v>30</v>
      </c>
      <c r="C13" s="7" t="s">
        <v>31</v>
      </c>
      <c r="D13" s="7" t="s">
        <v>31</v>
      </c>
      <c r="E13" s="8" t="s">
        <v>32</v>
      </c>
      <c r="F13" s="8"/>
      <c r="G13" s="8"/>
    </row>
    <row r="14" customFormat="false" ht="27.75" hidden="false" customHeight="true" outlineLevel="0" collapsed="false">
      <c r="B14" s="6" t="s">
        <v>33</v>
      </c>
      <c r="C14" s="7" t="s">
        <v>34</v>
      </c>
      <c r="D14" s="7" t="s">
        <v>35</v>
      </c>
      <c r="E14" s="8" t="s">
        <v>32</v>
      </c>
      <c r="F14" s="8"/>
      <c r="G14" s="8"/>
    </row>
    <row r="15" customFormat="false" ht="27.75" hidden="false" customHeight="true" outlineLevel="0" collapsed="false">
      <c r="B15" s="6" t="s">
        <v>36</v>
      </c>
      <c r="C15" s="7" t="s">
        <v>37</v>
      </c>
      <c r="D15" s="7" t="s">
        <v>38</v>
      </c>
      <c r="E15" s="8" t="s">
        <v>39</v>
      </c>
      <c r="F15" s="8"/>
      <c r="G15" s="8"/>
    </row>
    <row r="16" customFormat="false" ht="41.25" hidden="false" customHeight="true" outlineLevel="0" collapsed="false">
      <c r="B16" s="6" t="s">
        <v>40</v>
      </c>
      <c r="C16" s="7" t="s">
        <v>41</v>
      </c>
      <c r="D16" s="7" t="s">
        <v>42</v>
      </c>
      <c r="E16" s="8" t="s">
        <v>43</v>
      </c>
      <c r="F16" s="8"/>
      <c r="G16" s="8"/>
    </row>
    <row r="18" customFormat="false" ht="15" hidden="false" customHeight="true" outlineLevel="0" collapsed="false">
      <c r="B18" s="4" t="s">
        <v>44</v>
      </c>
      <c r="C18" s="4"/>
      <c r="D18" s="4"/>
      <c r="E18" s="4"/>
      <c r="F18" s="4"/>
      <c r="G18" s="4"/>
    </row>
    <row r="19" customFormat="false" ht="23.25" hidden="false" customHeight="true" outlineLevel="0" collapsed="false">
      <c r="B19" s="11" t="s">
        <v>45</v>
      </c>
      <c r="C19" s="11" t="s">
        <v>46</v>
      </c>
      <c r="D19" s="11" t="s">
        <v>47</v>
      </c>
      <c r="E19" s="11" t="s">
        <v>48</v>
      </c>
      <c r="F19" s="11" t="s">
        <v>49</v>
      </c>
      <c r="G19" s="11" t="s">
        <v>50</v>
      </c>
    </row>
    <row r="20" customFormat="false" ht="15" hidden="false" customHeight="true" outlineLevel="0" collapsed="false">
      <c r="B20" s="6" t="s">
        <v>51</v>
      </c>
      <c r="C20" s="12" t="n">
        <v>168.68</v>
      </c>
      <c r="D20" s="12" t="n">
        <v>59.58</v>
      </c>
      <c r="E20" s="13" t="n">
        <v>2.56</v>
      </c>
      <c r="F20" s="14" t="s">
        <v>52</v>
      </c>
      <c r="G20" s="14" t="s">
        <v>53</v>
      </c>
    </row>
    <row r="21" customFormat="false" ht="15" hidden="false" customHeight="true" outlineLevel="0" collapsed="false">
      <c r="B21" s="6" t="s">
        <v>54</v>
      </c>
      <c r="C21" s="12" t="n">
        <v>1039.11</v>
      </c>
      <c r="D21" s="12" t="n">
        <v>378.56</v>
      </c>
      <c r="E21" s="13" t="n">
        <v>11.952</v>
      </c>
      <c r="F21" s="14" t="s">
        <v>55</v>
      </c>
      <c r="G21" s="14" t="s">
        <v>53</v>
      </c>
    </row>
    <row r="22" customFormat="false" ht="15" hidden="false" customHeight="true" outlineLevel="0" collapsed="false">
      <c r="B22" s="6" t="s">
        <v>56</v>
      </c>
      <c r="C22" s="12" t="n">
        <v>1709.77</v>
      </c>
      <c r="D22" s="12" t="n">
        <v>652.66</v>
      </c>
      <c r="E22" s="13" t="n">
        <v>25.007</v>
      </c>
      <c r="F22" s="14" t="s">
        <v>52</v>
      </c>
      <c r="G22" s="14" t="s">
        <v>53</v>
      </c>
    </row>
    <row r="23" customFormat="false" ht="15" hidden="false" customHeight="true" outlineLevel="0" collapsed="false">
      <c r="B23" s="15" t="s">
        <v>57</v>
      </c>
      <c r="C23" s="16" t="n">
        <f aca="false">SUM(C20:C22)</f>
        <v>2917.56</v>
      </c>
      <c r="D23" s="16" t="n">
        <f aca="false">SUM(D20:D22)</f>
        <v>1090.8</v>
      </c>
      <c r="E23" s="17" t="n">
        <f aca="false">SUM(E20:E22)</f>
        <v>39.519</v>
      </c>
    </row>
    <row r="24" customFormat="false" ht="15" hidden="false" customHeight="true" outlineLevel="0" collapsed="false">
      <c r="B24" s="8" t="s">
        <v>58</v>
      </c>
      <c r="C24" s="8"/>
      <c r="D24" s="8"/>
      <c r="E24" s="8"/>
      <c r="F24" s="8"/>
      <c r="G24" s="8"/>
    </row>
    <row r="26" customFormat="false" ht="15" hidden="false" customHeight="true" outlineLevel="0" collapsed="false">
      <c r="B26" s="4" t="s">
        <v>59</v>
      </c>
      <c r="C26" s="4"/>
      <c r="D26" s="4"/>
      <c r="E26" s="4"/>
      <c r="F26" s="4"/>
      <c r="G26" s="4"/>
    </row>
    <row r="27" customFormat="false" ht="15" hidden="false" customHeight="true" outlineLevel="0" collapsed="false">
      <c r="B27" s="6" t="s">
        <v>60</v>
      </c>
      <c r="C27" s="18" t="n">
        <v>50</v>
      </c>
      <c r="E27" s="8" t="s">
        <v>61</v>
      </c>
      <c r="F27" s="8"/>
      <c r="G27" s="8"/>
    </row>
    <row r="28" customFormat="false" ht="21.75" hidden="false" customHeight="true" outlineLevel="0" collapsed="false">
      <c r="B28" s="6" t="s">
        <v>62</v>
      </c>
      <c r="C28" s="19" t="n">
        <v>0</v>
      </c>
      <c r="E28" s="8" t="s">
        <v>63</v>
      </c>
      <c r="F28" s="8"/>
      <c r="G28" s="8"/>
    </row>
  </sheetData>
  <mergeCells count="14">
    <mergeCell ref="E6:G6"/>
    <mergeCell ref="E7:G7"/>
    <mergeCell ref="E8:G8"/>
    <mergeCell ref="E9:G9"/>
    <mergeCell ref="E10:G10"/>
    <mergeCell ref="E11:G11"/>
    <mergeCell ref="E12:G12"/>
    <mergeCell ref="E13:G13"/>
    <mergeCell ref="E14:G14"/>
    <mergeCell ref="E15:G15"/>
    <mergeCell ref="E16:G16"/>
    <mergeCell ref="B24:G24"/>
    <mergeCell ref="E27:G27"/>
    <mergeCell ref="E28:G28"/>
  </mergeCells>
  <printOptions headings="false" gridLines="false" gridLinesSet="true" horizontalCentered="true" verticalCentered="false"/>
  <pageMargins left="0.3" right="0.3" top="0.4" bottom="0.4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9" min="8" style="1" width="14"/>
  </cols>
  <sheetData>
    <row r="2" customFormat="false" ht="17.25" hidden="false" customHeight="true" outlineLevel="0" collapsed="false">
      <c r="B2" s="2" t="s">
        <v>64</v>
      </c>
    </row>
    <row r="3" customFormat="false" ht="15" hidden="false" customHeight="true" outlineLevel="0" collapsed="false">
      <c r="B3" s="8" t="s">
        <v>65</v>
      </c>
      <c r="C3" s="8"/>
      <c r="D3" s="8"/>
      <c r="E3" s="8"/>
      <c r="F3" s="8"/>
      <c r="G3" s="8"/>
      <c r="H3" s="8"/>
      <c r="I3" s="8"/>
    </row>
    <row r="5" customFormat="false" ht="23.25" hidden="false" customHeight="true" outlineLevel="0" collapsed="false">
      <c r="B5" s="11" t="s">
        <v>66</v>
      </c>
      <c r="C5" s="11" t="s">
        <v>67</v>
      </c>
      <c r="D5" s="11" t="s">
        <v>68</v>
      </c>
      <c r="E5" s="11" t="s">
        <v>69</v>
      </c>
      <c r="F5" s="11" t="s">
        <v>70</v>
      </c>
      <c r="G5" s="11" t="s">
        <v>71</v>
      </c>
      <c r="H5" s="11" t="s">
        <v>72</v>
      </c>
      <c r="I5" s="11" t="s">
        <v>73</v>
      </c>
    </row>
    <row r="6" customFormat="false" ht="15" hidden="false" customHeight="true" outlineLevel="0" collapsed="false">
      <c r="B6" s="20" t="str">
        <f aca="false">'Inputs &amp; Assumptions'!B20</f>
        <v>667357  Valve receptacle</v>
      </c>
      <c r="C6" s="16" t="n">
        <f aca="false">'Inputs &amp; Assumptions'!C20</f>
        <v>168.68</v>
      </c>
      <c r="D6" s="16" t="n">
        <f aca="false">'Inputs &amp; Assumptions'!D20</f>
        <v>59.58</v>
      </c>
      <c r="E6" s="16" t="n">
        <f aca="false">C6-D6</f>
        <v>109.1</v>
      </c>
      <c r="F6" s="21" t="n">
        <f aca="false">IF(C6=0,0,(C6-D6)/C6)</f>
        <v>0.64678681527152</v>
      </c>
      <c r="G6" s="22" t="n">
        <f aca="false">IF(D6=0,0,C6/D6)</f>
        <v>2.83115139308493</v>
      </c>
      <c r="H6" s="16" t="n">
        <f aca="false">IF('Inputs &amp; Assumptions'!E20=0,0,C6/'Inputs &amp; Assumptions'!E20)</f>
        <v>65.890625</v>
      </c>
      <c r="I6" s="16" t="n">
        <f aca="false">IF('Inputs &amp; Assumptions'!E20=0,0,D6/'Inputs &amp; Assumptions'!E20)</f>
        <v>23.2734375</v>
      </c>
    </row>
    <row r="7" customFormat="false" ht="15" hidden="false" customHeight="true" outlineLevel="0" collapsed="false">
      <c r="B7" s="20" t="str">
        <f aca="false">'Inputs &amp; Assumptions'!B21</f>
        <v>667355  Chest</v>
      </c>
      <c r="C7" s="16" t="n">
        <f aca="false">'Inputs &amp; Assumptions'!C21</f>
        <v>1039.11</v>
      </c>
      <c r="D7" s="16" t="n">
        <f aca="false">'Inputs &amp; Assumptions'!D21</f>
        <v>378.56</v>
      </c>
      <c r="E7" s="16" t="n">
        <f aca="false">C7-D7</f>
        <v>660.55</v>
      </c>
      <c r="F7" s="21" t="n">
        <f aca="false">IF(C7=0,0,(C7-D7)/C7)</f>
        <v>0.635688233199565</v>
      </c>
      <c r="G7" s="22" t="n">
        <f aca="false">IF(D7=0,0,C7/D7)</f>
        <v>2.7449017328825</v>
      </c>
      <c r="H7" s="16" t="n">
        <f aca="false">IF('Inputs &amp; Assumptions'!E21=0,0,C7/'Inputs &amp; Assumptions'!E21)</f>
        <v>86.9402610441767</v>
      </c>
      <c r="I7" s="16" t="n">
        <f aca="false">IF('Inputs &amp; Assumptions'!E21=0,0,D7/'Inputs &amp; Assumptions'!E21)</f>
        <v>31.673360107095</v>
      </c>
    </row>
    <row r="8" customFormat="false" ht="15" hidden="false" customHeight="true" outlineLevel="0" collapsed="false">
      <c r="B8" s="20" t="str">
        <f aca="false">'Inputs &amp; Assumptions'!B22</f>
        <v>667354  Base</v>
      </c>
      <c r="C8" s="16" t="n">
        <f aca="false">'Inputs &amp; Assumptions'!C22</f>
        <v>1709.77</v>
      </c>
      <c r="D8" s="16" t="n">
        <f aca="false">'Inputs &amp; Assumptions'!D22</f>
        <v>652.66</v>
      </c>
      <c r="E8" s="16" t="n">
        <f aca="false">C8-D8</f>
        <v>1057.11</v>
      </c>
      <c r="F8" s="21" t="n">
        <f aca="false">IF(C8=0,0,(C8-D8)/C8)</f>
        <v>0.618276142405119</v>
      </c>
      <c r="G8" s="22" t="n">
        <f aca="false">IF(D8=0,0,C8/D8)</f>
        <v>2.61969478748506</v>
      </c>
      <c r="H8" s="16" t="n">
        <f aca="false">IF('Inputs &amp; Assumptions'!E22=0,0,C8/'Inputs &amp; Assumptions'!E22)</f>
        <v>68.3716559363378</v>
      </c>
      <c r="I8" s="16" t="n">
        <f aca="false">IF('Inputs &amp; Assumptions'!E22=0,0,D8/'Inputs &amp; Assumptions'!E22)</f>
        <v>26.0990922541688</v>
      </c>
    </row>
    <row r="9" customFormat="false" ht="15" hidden="false" customHeight="true" outlineLevel="0" collapsed="false">
      <c r="B9" s="15" t="s">
        <v>74</v>
      </c>
      <c r="C9" s="16" t="n">
        <f aca="false">SUM(C6:C8)</f>
        <v>2917.56</v>
      </c>
      <c r="D9" s="16" t="n">
        <f aca="false">SUM(D6:D8)</f>
        <v>1090.8</v>
      </c>
      <c r="E9" s="16" t="n">
        <f aca="false">C9-D9</f>
        <v>1826.76</v>
      </c>
      <c r="F9" s="21" t="n">
        <f aca="false">IF(C9=0,0,(C9-D9)/C9)</f>
        <v>0.626125940854687</v>
      </c>
      <c r="G9" s="22" t="n">
        <f aca="false">IF(D9=0,0,C9/D9)</f>
        <v>2.67469746974697</v>
      </c>
      <c r="H9" s="16" t="n">
        <f aca="false">IF(KitVol=0,0,C9/KitVol)</f>
        <v>73.8267668716314</v>
      </c>
      <c r="I9" s="16" t="n">
        <f aca="false">IF(KitVol=0,0,D9/KitVol)</f>
        <v>27.6019130038716</v>
      </c>
    </row>
    <row r="11" customFormat="false" ht="15" hidden="false" customHeight="true" outlineLevel="0" collapsed="false">
      <c r="B11" s="4" t="s">
        <v>75</v>
      </c>
      <c r="C11" s="4"/>
      <c r="D11" s="4"/>
      <c r="E11" s="4"/>
      <c r="F11" s="4"/>
      <c r="G11" s="4"/>
      <c r="H11" s="4"/>
    </row>
    <row r="12" customFormat="false" ht="15" hidden="false" customHeight="true" outlineLevel="0" collapsed="false">
      <c r="B12" s="6" t="s">
        <v>76</v>
      </c>
      <c r="C12" s="23" t="str">
        <f aca="false">_xlfn.CONCAT(TEXT(MIN(F6:F8),"0.0%")," to ",TEXT(MAX(F6:F8),"0.0%"))</f>
        <v>61.8% to 64.7%</v>
      </c>
      <c r="D12" s="23"/>
    </row>
    <row r="13" customFormat="false" ht="15" hidden="false" customHeight="true" outlineLevel="0" collapsed="false">
      <c r="B13" s="6" t="s">
        <v>77</v>
      </c>
      <c r="C13" s="16" t="n">
        <f aca="false">C9</f>
        <v>2917.56</v>
      </c>
    </row>
    <row r="14" customFormat="false" ht="15" hidden="false" customHeight="true" outlineLevel="0" collapsed="false">
      <c r="B14" s="6" t="s">
        <v>78</v>
      </c>
      <c r="C14" s="16" t="n">
        <f aca="false">D9</f>
        <v>1090.8</v>
      </c>
    </row>
    <row r="15" customFormat="false" ht="15" hidden="false" customHeight="true" outlineLevel="0" collapsed="false">
      <c r="B15" s="6" t="s">
        <v>79</v>
      </c>
      <c r="C15" s="24" t="n">
        <f aca="false">C13-C14</f>
        <v>1826.76</v>
      </c>
    </row>
    <row r="16" customFormat="false" ht="15" hidden="false" customHeight="true" outlineLevel="0" collapsed="false">
      <c r="B16" s="6" t="s">
        <v>80</v>
      </c>
      <c r="C16" s="22" t="n">
        <f aca="false">IF(C14=0,0,C13/C14)</f>
        <v>2.67469746974697</v>
      </c>
    </row>
    <row r="18" customFormat="false" ht="15" hidden="false" customHeight="true" outlineLevel="0" collapsed="false">
      <c r="B18" s="10" t="s">
        <v>81</v>
      </c>
      <c r="C18" s="10"/>
      <c r="D18" s="10"/>
      <c r="E18" s="10"/>
      <c r="F18" s="10"/>
      <c r="G18" s="10"/>
      <c r="H18" s="10"/>
      <c r="I18" s="10"/>
    </row>
    <row r="19" customFormat="false" ht="15" hidden="false" customHeight="true" outlineLevel="0" collapsed="false">
      <c r="B19" s="10"/>
      <c r="C19" s="10"/>
      <c r="D19" s="10"/>
      <c r="E19" s="10"/>
      <c r="F19" s="10"/>
      <c r="G19" s="10"/>
      <c r="H19" s="10"/>
      <c r="I19" s="10"/>
    </row>
  </sheetData>
  <mergeCells count="3">
    <mergeCell ref="B3:I3"/>
    <mergeCell ref="C12:D12"/>
    <mergeCell ref="B18:I19"/>
  </mergeCells>
  <printOptions headings="false" gridLines="false" gridLinesSet="true" horizontalCentered="true" verticalCentered="false"/>
  <pageMargins left="0.3" right="0.3" top="0.4" bottom="0.4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5" min="3" style="1" width="16"/>
    <col collapsed="false" customWidth="true" hidden="false" outlineLevel="0" max="6" min="6" style="1" width="14"/>
    <col collapsed="false" customWidth="true" hidden="false" outlineLevel="0" max="7" min="7" style="1" width="46"/>
  </cols>
  <sheetData>
    <row r="2" customFormat="false" ht="17.25" hidden="false" customHeight="true" outlineLevel="0" collapsed="false">
      <c r="B2" s="2" t="s">
        <v>82</v>
      </c>
    </row>
    <row r="3" customFormat="false" ht="15" hidden="false" customHeight="true" outlineLevel="0" collapsed="false">
      <c r="B3" s="8" t="s">
        <v>83</v>
      </c>
      <c r="C3" s="8"/>
      <c r="D3" s="8"/>
      <c r="E3" s="8"/>
      <c r="F3" s="8"/>
      <c r="G3" s="8"/>
    </row>
    <row r="5" customFormat="false" ht="15" hidden="false" customHeight="true" outlineLevel="0" collapsed="false">
      <c r="B5" s="4" t="s">
        <v>84</v>
      </c>
      <c r="C5" s="4"/>
      <c r="D5" s="4"/>
      <c r="E5" s="4"/>
      <c r="F5" s="4"/>
    </row>
    <row r="6" customFormat="false" ht="15" hidden="false" customHeight="true" outlineLevel="0" collapsed="false">
      <c r="B6" s="11"/>
      <c r="C6" s="11" t="s">
        <v>85</v>
      </c>
      <c r="D6" s="11" t="s">
        <v>86</v>
      </c>
      <c r="E6" s="11"/>
      <c r="F6" s="11"/>
    </row>
    <row r="7" customFormat="false" ht="15" hidden="false" customHeight="true" outlineLevel="0" collapsed="false">
      <c r="B7" s="6" t="s">
        <v>20</v>
      </c>
      <c r="C7" s="25" t="n">
        <f aca="false">'Inputs &amp; Assumptions'!C10</f>
        <v>1</v>
      </c>
      <c r="D7" s="25" t="n">
        <f aca="false">'Inputs &amp; Assumptions'!D10</f>
        <v>50</v>
      </c>
      <c r="F7" s="10" t="s">
        <v>87</v>
      </c>
      <c r="G7" s="10"/>
    </row>
    <row r="8" customFormat="false" ht="15" hidden="false" customHeight="true" outlineLevel="0" collapsed="false">
      <c r="B8" s="6" t="s">
        <v>88</v>
      </c>
      <c r="C8" s="26" t="n">
        <f aca="false">KitA*'Inputs &amp; Assumptions'!C10</f>
        <v>2917.56</v>
      </c>
      <c r="D8" s="26" t="n">
        <f aca="false">KitB*'Inputs &amp; Assumptions'!D10</f>
        <v>54540</v>
      </c>
      <c r="F8" s="10"/>
      <c r="G8" s="10"/>
    </row>
    <row r="10" customFormat="false" ht="15" hidden="false" customHeight="true" outlineLevel="0" collapsed="false">
      <c r="B10" s="4" t="s">
        <v>89</v>
      </c>
      <c r="C10" s="4"/>
      <c r="D10" s="4"/>
      <c r="E10" s="4"/>
      <c r="F10" s="4"/>
    </row>
    <row r="11" customFormat="false" ht="15" hidden="false" customHeight="true" outlineLevel="0" collapsed="false">
      <c r="B11" s="11" t="s">
        <v>90</v>
      </c>
      <c r="C11" s="11" t="s">
        <v>85</v>
      </c>
      <c r="D11" s="11" t="s">
        <v>86</v>
      </c>
      <c r="E11" s="11" t="s">
        <v>69</v>
      </c>
      <c r="F11" s="11" t="s">
        <v>91</v>
      </c>
    </row>
    <row r="12" customFormat="false" ht="15" hidden="false" customHeight="true" outlineLevel="0" collapsed="false">
      <c r="B12" s="6" t="s">
        <v>92</v>
      </c>
      <c r="C12" s="25" t="n">
        <f aca="false">QtyKits</f>
        <v>50</v>
      </c>
      <c r="D12" s="25" t="n">
        <f aca="false">QtyKits</f>
        <v>50</v>
      </c>
    </row>
    <row r="13" customFormat="false" ht="15" hidden="false" customHeight="true" outlineLevel="0" collapsed="false">
      <c r="B13" s="6" t="s">
        <v>93</v>
      </c>
      <c r="C13" s="21" t="n">
        <f aca="false">VenADisc</f>
        <v>0</v>
      </c>
      <c r="D13" s="27" t="s">
        <v>94</v>
      </c>
    </row>
    <row r="14" customFormat="false" ht="15" hidden="false" customHeight="true" outlineLevel="0" collapsed="false">
      <c r="B14" s="6" t="s">
        <v>95</v>
      </c>
      <c r="C14" s="16" t="n">
        <f aca="false">KitA*(1-VenADisc)</f>
        <v>2917.56</v>
      </c>
      <c r="D14" s="16" t="n">
        <f aca="false">KitB</f>
        <v>1090.8</v>
      </c>
      <c r="E14" s="28" t="n">
        <f aca="false">C14-D14</f>
        <v>1826.76</v>
      </c>
      <c r="F14" s="21" t="n">
        <f aca="false">IF(C14=0,0,(C14-D14)/C14)</f>
        <v>0.626125940854687</v>
      </c>
    </row>
    <row r="15" customFormat="false" ht="15" hidden="false" customHeight="true" outlineLevel="0" collapsed="false">
      <c r="B15" s="6" t="s">
        <v>96</v>
      </c>
      <c r="C15" s="28" t="n">
        <f aca="false">'Unit Price Comparison'!C6*(1-VenADisc)*QtyKits</f>
        <v>8434</v>
      </c>
      <c r="D15" s="28" t="n">
        <f aca="false">'Unit Price Comparison'!D6*QtyKits</f>
        <v>2979</v>
      </c>
      <c r="E15" s="28" t="n">
        <f aca="false">C15-D15</f>
        <v>5455</v>
      </c>
      <c r="F15" s="21" t="n">
        <f aca="false">IF(C15=0,0,(C15-D15)/C15)</f>
        <v>0.64678681527152</v>
      </c>
    </row>
    <row r="16" customFormat="false" ht="15" hidden="false" customHeight="true" outlineLevel="0" collapsed="false">
      <c r="B16" s="6" t="s">
        <v>97</v>
      </c>
      <c r="C16" s="28" t="n">
        <f aca="false">'Unit Price Comparison'!C7*(1-VenADisc)*QtyKits</f>
        <v>51955.5</v>
      </c>
      <c r="D16" s="28" t="n">
        <f aca="false">'Unit Price Comparison'!D7*QtyKits</f>
        <v>18928</v>
      </c>
      <c r="E16" s="28" t="n">
        <f aca="false">C16-D16</f>
        <v>33027.5</v>
      </c>
      <c r="F16" s="21" t="n">
        <f aca="false">IF(C16=0,0,(C16-D16)/C16)</f>
        <v>0.635688233199565</v>
      </c>
    </row>
    <row r="17" customFormat="false" ht="15" hidden="false" customHeight="true" outlineLevel="0" collapsed="false">
      <c r="B17" s="6" t="s">
        <v>98</v>
      </c>
      <c r="C17" s="28" t="n">
        <f aca="false">'Unit Price Comparison'!C8*(1-VenADisc)*QtyKits</f>
        <v>85488.5</v>
      </c>
      <c r="D17" s="28" t="n">
        <f aca="false">'Unit Price Comparison'!D8*QtyKits</f>
        <v>32633</v>
      </c>
      <c r="E17" s="28" t="n">
        <f aca="false">C17-D17</f>
        <v>52855.5</v>
      </c>
      <c r="F17" s="21" t="n">
        <f aca="false">IF(C17=0,0,(C17-D17)/C17)</f>
        <v>0.618276142405119</v>
      </c>
    </row>
    <row r="18" customFormat="false" ht="15" hidden="false" customHeight="true" outlineLevel="0" collapsed="false">
      <c r="B18" s="15" t="s">
        <v>99</v>
      </c>
      <c r="C18" s="29" t="n">
        <f aca="false">SUM(C15:C17)</f>
        <v>145878</v>
      </c>
      <c r="D18" s="29" t="n">
        <f aca="false">SUM(D15:D17)</f>
        <v>54540</v>
      </c>
      <c r="E18" s="29" t="n">
        <f aca="false">C18-D18</f>
        <v>91338</v>
      </c>
      <c r="F18" s="30" t="n">
        <f aca="false">IF(C18=0,0,(C18-D18)/C18)</f>
        <v>0.626125940854687</v>
      </c>
    </row>
    <row r="20" customFormat="false" ht="15" hidden="false" customHeight="true" outlineLevel="0" collapsed="false">
      <c r="B20" s="4" t="s">
        <v>100</v>
      </c>
      <c r="C20" s="4"/>
      <c r="D20" s="4"/>
      <c r="E20" s="4"/>
      <c r="F20" s="4"/>
    </row>
    <row r="21" customFormat="false" ht="23.25" hidden="false" customHeight="true" outlineLevel="0" collapsed="false">
      <c r="B21" s="11" t="s">
        <v>101</v>
      </c>
      <c r="C21" s="11" t="s">
        <v>85</v>
      </c>
      <c r="D21" s="11" t="s">
        <v>86</v>
      </c>
      <c r="E21" s="11" t="s">
        <v>102</v>
      </c>
      <c r="F21" s="11"/>
    </row>
    <row r="22" customFormat="false" ht="27.75" hidden="false" customHeight="true" outlineLevel="0" collapsed="false">
      <c r="B22" s="6" t="s">
        <v>103</v>
      </c>
      <c r="C22" s="7" t="s">
        <v>104</v>
      </c>
      <c r="D22" s="7" t="s">
        <v>105</v>
      </c>
      <c r="E22" s="8" t="s">
        <v>106</v>
      </c>
      <c r="F22" s="8"/>
      <c r="G22" s="8"/>
    </row>
    <row r="23" customFormat="false" ht="27.75" hidden="false" customHeight="true" outlineLevel="0" collapsed="false">
      <c r="B23" s="6" t="s">
        <v>107</v>
      </c>
      <c r="C23" s="7" t="s">
        <v>104</v>
      </c>
      <c r="D23" s="7" t="s">
        <v>105</v>
      </c>
      <c r="E23" s="8" t="s">
        <v>106</v>
      </c>
      <c r="F23" s="8"/>
      <c r="G23" s="8"/>
    </row>
    <row r="24" customFormat="false" ht="27.75" hidden="false" customHeight="true" outlineLevel="0" collapsed="false">
      <c r="B24" s="6" t="s">
        <v>108</v>
      </c>
      <c r="C24" s="7" t="s">
        <v>109</v>
      </c>
      <c r="D24" s="7" t="s">
        <v>110</v>
      </c>
      <c r="E24" s="8" t="s">
        <v>111</v>
      </c>
      <c r="F24" s="8"/>
      <c r="G24" s="8"/>
    </row>
    <row r="25" customFormat="false" ht="27.75" hidden="false" customHeight="true" outlineLevel="0" collapsed="false">
      <c r="B25" s="6" t="s">
        <v>112</v>
      </c>
      <c r="C25" s="7" t="s">
        <v>113</v>
      </c>
      <c r="D25" s="7" t="s">
        <v>114</v>
      </c>
      <c r="E25" s="10" t="s">
        <v>115</v>
      </c>
      <c r="F25" s="10"/>
      <c r="G25" s="10"/>
    </row>
    <row r="27" customFormat="false" ht="15" hidden="false" customHeight="true" outlineLevel="0" collapsed="false">
      <c r="B27" s="8" t="s">
        <v>116</v>
      </c>
      <c r="C27" s="8"/>
      <c r="D27" s="8"/>
      <c r="E27" s="8"/>
      <c r="F27" s="8"/>
      <c r="G27" s="8"/>
    </row>
  </sheetData>
  <mergeCells count="7">
    <mergeCell ref="B3:G3"/>
    <mergeCell ref="F7:G8"/>
    <mergeCell ref="E22:G22"/>
    <mergeCell ref="E23:G23"/>
    <mergeCell ref="E24:G24"/>
    <mergeCell ref="E25:G25"/>
    <mergeCell ref="B27:G27"/>
  </mergeCells>
  <printOptions headings="false" gridLines="false" gridLinesSet="true" horizontalCentered="true" verticalCentered="false"/>
  <pageMargins left="0.3" right="0.3" top="0.4" bottom="0.4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8" min="3" style="1" width="15"/>
  </cols>
  <sheetData>
    <row r="2" customFormat="false" ht="17.25" hidden="false" customHeight="true" outlineLevel="0" collapsed="false">
      <c r="B2" s="2" t="s">
        <v>117</v>
      </c>
    </row>
    <row r="3" customFormat="false" ht="21.75" hidden="false" customHeight="true" outlineLevel="0" collapsed="false">
      <c r="B3" s="8" t="s">
        <v>118</v>
      </c>
      <c r="C3" s="8"/>
      <c r="D3" s="8"/>
      <c r="E3" s="8"/>
      <c r="F3" s="8"/>
      <c r="G3" s="8"/>
      <c r="H3" s="8"/>
    </row>
    <row r="5" customFormat="false" ht="15" hidden="false" customHeight="true" outlineLevel="0" collapsed="false">
      <c r="B5" s="4" t="s">
        <v>119</v>
      </c>
      <c r="C5" s="4"/>
      <c r="D5" s="4"/>
      <c r="E5" s="4"/>
      <c r="F5" s="4"/>
      <c r="G5" s="4"/>
    </row>
    <row r="6" customFormat="false" ht="15" hidden="false" customHeight="true" outlineLevel="0" collapsed="false">
      <c r="B6" s="6" t="s">
        <v>120</v>
      </c>
      <c r="C6" s="16" t="n">
        <f aca="false">KitA</f>
        <v>2917.56</v>
      </c>
    </row>
    <row r="7" customFormat="false" ht="15" hidden="false" customHeight="true" outlineLevel="0" collapsed="false">
      <c r="B7" s="6" t="s">
        <v>121</v>
      </c>
      <c r="C7" s="16" t="n">
        <f aca="false">KitB</f>
        <v>1090.8</v>
      </c>
    </row>
    <row r="8" customFormat="false" ht="15" hidden="false" customHeight="true" outlineLevel="0" collapsed="false">
      <c r="B8" s="6" t="s">
        <v>122</v>
      </c>
      <c r="C8" s="31" t="n">
        <f aca="false">IF(KitA=0,0,1-KitB/KitA)</f>
        <v>0.626125940854687</v>
      </c>
    </row>
    <row r="9" customFormat="false" ht="15" hidden="false" customHeight="true" outlineLevel="0" collapsed="false">
      <c r="B9" s="6" t="s">
        <v>123</v>
      </c>
      <c r="C9" s="16" t="n">
        <f aca="false">KitA*(1-C8)</f>
        <v>1090.8</v>
      </c>
    </row>
    <row r="10" customFormat="false" ht="15" hidden="false" customHeight="true" outlineLevel="0" collapsed="false">
      <c r="B10" s="6" t="s">
        <v>124</v>
      </c>
      <c r="C10" s="32" t="str">
        <f aca="false">IF(C8&gt;0.7,"UNLIKELY — beyond typical AM volume breaks",IF(C8&gt;0.5,"PLAUSIBLE but aggressive — worth asking for","VERY PLAUSIBLE — Vendor A should be re-quoted"))</f>
        <v>PLAUSIBLE but aggressive — worth asking for</v>
      </c>
      <c r="D10" s="32"/>
      <c r="E10" s="32"/>
      <c r="F10" s="32"/>
    </row>
    <row r="12" customFormat="false" ht="15" hidden="false" customHeight="true" outlineLevel="0" collapsed="false">
      <c r="B12" s="4" t="s">
        <v>125</v>
      </c>
      <c r="C12" s="4"/>
      <c r="D12" s="4"/>
      <c r="E12" s="4"/>
      <c r="F12" s="4"/>
      <c r="G12" s="4"/>
    </row>
    <row r="13" customFormat="false" ht="15" hidden="false" customHeight="true" outlineLevel="0" collapsed="false">
      <c r="B13" s="8" t="s">
        <v>126</v>
      </c>
      <c r="C13" s="8"/>
      <c r="D13" s="8"/>
      <c r="E13" s="8"/>
      <c r="F13" s="8"/>
      <c r="G13" s="8"/>
      <c r="H13" s="8"/>
    </row>
    <row r="14" customFormat="false" ht="15" hidden="false" customHeight="true" outlineLevel="0" collapsed="false">
      <c r="B14" s="1" t="s">
        <v>127</v>
      </c>
    </row>
    <row r="15" customFormat="false" ht="15" hidden="false" customHeight="true" outlineLevel="0" collapsed="false">
      <c r="B15" s="11" t="s">
        <v>128</v>
      </c>
      <c r="C15" s="11" t="s">
        <v>129</v>
      </c>
      <c r="D15" s="11" t="s">
        <v>130</v>
      </c>
      <c r="E15" s="11" t="s">
        <v>131</v>
      </c>
      <c r="F15" s="11" t="s">
        <v>132</v>
      </c>
      <c r="G15" s="11" t="s">
        <v>133</v>
      </c>
    </row>
    <row r="16" customFormat="false" ht="15" hidden="false" customHeight="true" outlineLevel="0" collapsed="false">
      <c r="B16" s="19" t="n">
        <v>0</v>
      </c>
      <c r="C16" s="33" t="n">
        <f aca="false">KitA*(1-$B16)*10-KitB*10</f>
        <v>18267.6</v>
      </c>
      <c r="D16" s="33" t="n">
        <f aca="false">KitA*(1-$B16)*25-KitB*25</f>
        <v>45669</v>
      </c>
      <c r="E16" s="33" t="n">
        <f aca="false">KitA*(1-$B16)*50-KitB*50</f>
        <v>91338</v>
      </c>
      <c r="F16" s="33" t="n">
        <f aca="false">KitA*(1-$B16)*100-KitB*100</f>
        <v>182676</v>
      </c>
      <c r="G16" s="33" t="n">
        <f aca="false">KitA*(1-$B16)*250-KitB*250</f>
        <v>456690</v>
      </c>
    </row>
    <row r="17" customFormat="false" ht="15" hidden="false" customHeight="true" outlineLevel="0" collapsed="false">
      <c r="B17" s="19" t="n">
        <v>0.1</v>
      </c>
      <c r="C17" s="33" t="n">
        <f aca="false">KitA*(1-$B17)*10-KitB*10</f>
        <v>15350.04</v>
      </c>
      <c r="D17" s="33" t="n">
        <f aca="false">KitA*(1-$B17)*25-KitB*25</f>
        <v>38375.1</v>
      </c>
      <c r="E17" s="33" t="n">
        <f aca="false">KitA*(1-$B17)*50-KitB*50</f>
        <v>76750.2</v>
      </c>
      <c r="F17" s="33" t="n">
        <f aca="false">KitA*(1-$B17)*100-KitB*100</f>
        <v>153500.4</v>
      </c>
      <c r="G17" s="33" t="n">
        <f aca="false">KitA*(1-$B17)*250-KitB*250</f>
        <v>383751</v>
      </c>
    </row>
    <row r="18" customFormat="false" ht="15" hidden="false" customHeight="true" outlineLevel="0" collapsed="false">
      <c r="B18" s="19" t="n">
        <v>0.2</v>
      </c>
      <c r="C18" s="33" t="n">
        <f aca="false">KitA*(1-$B18)*10-KitB*10</f>
        <v>12432.48</v>
      </c>
      <c r="D18" s="33" t="n">
        <f aca="false">KitA*(1-$B18)*25-KitB*25</f>
        <v>31081.2</v>
      </c>
      <c r="E18" s="33" t="n">
        <f aca="false">KitA*(1-$B18)*50-KitB*50</f>
        <v>62162.4</v>
      </c>
      <c r="F18" s="33" t="n">
        <f aca="false">KitA*(1-$B18)*100-KitB*100</f>
        <v>124324.8</v>
      </c>
      <c r="G18" s="33" t="n">
        <f aca="false">KitA*(1-$B18)*250-KitB*250</f>
        <v>310812</v>
      </c>
    </row>
    <row r="19" customFormat="false" ht="15" hidden="false" customHeight="true" outlineLevel="0" collapsed="false">
      <c r="B19" s="19" t="n">
        <v>0.3</v>
      </c>
      <c r="C19" s="33" t="n">
        <f aca="false">KitA*(1-$B19)*10-KitB*10</f>
        <v>9514.92</v>
      </c>
      <c r="D19" s="33" t="n">
        <f aca="false">KitA*(1-$B19)*25-KitB*25</f>
        <v>23787.3</v>
      </c>
      <c r="E19" s="33" t="n">
        <f aca="false">KitA*(1-$B19)*50-KitB*50</f>
        <v>47574.6</v>
      </c>
      <c r="F19" s="33" t="n">
        <f aca="false">KitA*(1-$B19)*100-KitB*100</f>
        <v>95149.2</v>
      </c>
      <c r="G19" s="33" t="n">
        <f aca="false">KitA*(1-$B19)*250-KitB*250</f>
        <v>237873</v>
      </c>
    </row>
    <row r="20" customFormat="false" ht="15" hidden="false" customHeight="true" outlineLevel="0" collapsed="false">
      <c r="B20" s="19" t="n">
        <v>0.4</v>
      </c>
      <c r="C20" s="33" t="n">
        <f aca="false">KitA*(1-$B20)*10-KitB*10</f>
        <v>6597.36</v>
      </c>
      <c r="D20" s="33" t="n">
        <f aca="false">KitA*(1-$B20)*25-KitB*25</f>
        <v>16493.4</v>
      </c>
      <c r="E20" s="33" t="n">
        <f aca="false">KitA*(1-$B20)*50-KitB*50</f>
        <v>32986.8</v>
      </c>
      <c r="F20" s="33" t="n">
        <f aca="false">KitA*(1-$B20)*100-KitB*100</f>
        <v>65973.6</v>
      </c>
      <c r="G20" s="33" t="n">
        <f aca="false">KitA*(1-$B20)*250-KitB*250</f>
        <v>164934</v>
      </c>
    </row>
    <row r="21" customFormat="false" ht="15" hidden="false" customHeight="true" outlineLevel="0" collapsed="false">
      <c r="B21" s="19" t="n">
        <v>0.5</v>
      </c>
      <c r="C21" s="33" t="n">
        <f aca="false">KitA*(1-$B21)*10-KitB*10</f>
        <v>3679.8</v>
      </c>
      <c r="D21" s="33" t="n">
        <f aca="false">KitA*(1-$B21)*25-KitB*25</f>
        <v>9199.5</v>
      </c>
      <c r="E21" s="33" t="n">
        <f aca="false">KitA*(1-$B21)*50-KitB*50</f>
        <v>18399</v>
      </c>
      <c r="F21" s="33" t="n">
        <f aca="false">KitA*(1-$B21)*100-KitB*100</f>
        <v>36798</v>
      </c>
      <c r="G21" s="33" t="n">
        <f aca="false">KitA*(1-$B21)*250-KitB*250</f>
        <v>91995</v>
      </c>
    </row>
    <row r="22" customFormat="false" ht="15" hidden="false" customHeight="true" outlineLevel="0" collapsed="false">
      <c r="B22" s="19" t="n">
        <v>0.6</v>
      </c>
      <c r="C22" s="33" t="n">
        <f aca="false">KitA*(1-$B22)*10-KitB*10</f>
        <v>762.240000000002</v>
      </c>
      <c r="D22" s="33" t="n">
        <f aca="false">KitA*(1-$B22)*25-KitB*25</f>
        <v>1905.6</v>
      </c>
      <c r="E22" s="33" t="n">
        <f aca="false">KitA*(1-$B22)*50-KitB*50</f>
        <v>3811.2</v>
      </c>
      <c r="F22" s="33" t="n">
        <f aca="false">KitA*(1-$B22)*100-KitB*100</f>
        <v>7622.40000000001</v>
      </c>
      <c r="G22" s="33" t="n">
        <f aca="false">KitA*(1-$B22)*250-KitB*250</f>
        <v>19056</v>
      </c>
    </row>
    <row r="23" customFormat="false" ht="15" hidden="false" customHeight="true" outlineLevel="0" collapsed="false">
      <c r="B23" s="34" t="n">
        <f aca="false">$C$8</f>
        <v>0.626125940854687</v>
      </c>
      <c r="C23" s="35" t="n">
        <f aca="false">KitA*(1-$B23)*10-KitB*10</f>
        <v>0</v>
      </c>
      <c r="D23" s="35" t="n">
        <f aca="false">KitA*(1-$B23)*25-KitB*25</f>
        <v>0</v>
      </c>
      <c r="E23" s="35" t="n">
        <f aca="false">KitA*(1-$B23)*50-KitB*50</f>
        <v>0</v>
      </c>
      <c r="F23" s="35" t="n">
        <f aca="false">KitA*(1-$B23)*100-KitB*100</f>
        <v>0</v>
      </c>
      <c r="G23" s="35" t="n">
        <f aca="false">KitA*(1-$B23)*250-KitB*250</f>
        <v>0</v>
      </c>
    </row>
    <row r="24" customFormat="false" ht="15" hidden="false" customHeight="true" outlineLevel="0" collapsed="false">
      <c r="B24" s="19" t="n">
        <v>0.7</v>
      </c>
      <c r="C24" s="33" t="n">
        <f aca="false">KitA*(1-$B24)*10-KitB*10</f>
        <v>-2155.32</v>
      </c>
      <c r="D24" s="33" t="n">
        <f aca="false">KitA*(1-$B24)*25-KitB*25</f>
        <v>-5388.3</v>
      </c>
      <c r="E24" s="33" t="n">
        <f aca="false">KitA*(1-$B24)*50-KitB*50</f>
        <v>-10776.6</v>
      </c>
      <c r="F24" s="33" t="n">
        <f aca="false">KitA*(1-$B24)*100-KitB*100</f>
        <v>-21553.2</v>
      </c>
      <c r="G24" s="33" t="n">
        <f aca="false">KitA*(1-$B24)*250-KitB*250</f>
        <v>-53883</v>
      </c>
    </row>
    <row r="26" customFormat="false" ht="15" hidden="false" customHeight="true" outlineLevel="0" collapsed="false">
      <c r="B26" s="8" t="s">
        <v>134</v>
      </c>
      <c r="C26" s="8"/>
      <c r="D26" s="8"/>
      <c r="E26" s="8"/>
      <c r="F26" s="8"/>
      <c r="G26" s="8"/>
      <c r="H26" s="8"/>
    </row>
    <row r="27" customFormat="false" ht="15" hidden="false" customHeight="true" outlineLevel="0" collapsed="false">
      <c r="B27" s="8"/>
      <c r="C27" s="8"/>
      <c r="D27" s="8"/>
      <c r="E27" s="8"/>
      <c r="F27" s="8"/>
      <c r="G27" s="8"/>
      <c r="H27" s="8"/>
    </row>
  </sheetData>
  <mergeCells count="4">
    <mergeCell ref="B3:H3"/>
    <mergeCell ref="C10:F10"/>
    <mergeCell ref="B13:H13"/>
    <mergeCell ref="B26:H27"/>
  </mergeCells>
  <conditionalFormatting sqref="C16:G24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3" right="0.3" top="0.4" bottom="0.4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16"/>
  </cols>
  <sheetData>
    <row r="2" customFormat="false" ht="17.25" hidden="false" customHeight="true" outlineLevel="0" collapsed="false">
      <c r="B2" s="2" t="s">
        <v>135</v>
      </c>
    </row>
    <row r="3" customFormat="false" ht="15" hidden="false" customHeight="true" outlineLevel="0" collapsed="false">
      <c r="B3" s="36" t="s">
        <v>136</v>
      </c>
      <c r="C3" s="36"/>
      <c r="D3" s="36"/>
    </row>
    <row r="5" customFormat="false" ht="15" hidden="false" customHeight="true" outlineLevel="0" collapsed="false">
      <c r="B5" s="4" t="s">
        <v>137</v>
      </c>
      <c r="C5" s="4"/>
      <c r="D5" s="4"/>
    </row>
    <row r="6" customFormat="false" ht="13.5" hidden="false" customHeight="true" outlineLevel="0" collapsed="false">
      <c r="B6" s="37" t="s">
        <v>138</v>
      </c>
      <c r="C6" s="38" t="s">
        <v>139</v>
      </c>
      <c r="D6" s="38"/>
    </row>
    <row r="7" customFormat="false" ht="13.5" hidden="false" customHeight="true" outlineLevel="0" collapsed="false">
      <c r="B7" s="37" t="s">
        <v>140</v>
      </c>
      <c r="C7" s="38" t="s">
        <v>141</v>
      </c>
      <c r="D7" s="38"/>
    </row>
    <row r="8" customFormat="false" ht="13.5" hidden="false" customHeight="true" outlineLevel="0" collapsed="false">
      <c r="B8" s="37" t="s">
        <v>142</v>
      </c>
      <c r="C8" s="38" t="s">
        <v>143</v>
      </c>
      <c r="D8" s="38"/>
    </row>
    <row r="9" customFormat="false" ht="25.5" hidden="false" customHeight="true" outlineLevel="0" collapsed="false">
      <c r="B9" s="37" t="s">
        <v>144</v>
      </c>
      <c r="C9" s="38" t="s">
        <v>145</v>
      </c>
      <c r="D9" s="38"/>
    </row>
    <row r="10" customFormat="false" ht="25.5" hidden="false" customHeight="true" outlineLevel="0" collapsed="false">
      <c r="B10" s="37" t="s">
        <v>146</v>
      </c>
      <c r="C10" s="38" t="s">
        <v>147</v>
      </c>
      <c r="D10" s="38"/>
    </row>
    <row r="11" customFormat="false" ht="13.5" hidden="false" customHeight="true" outlineLevel="0" collapsed="false">
      <c r="B11" s="37" t="s">
        <v>148</v>
      </c>
      <c r="C11" s="38" t="s">
        <v>149</v>
      </c>
      <c r="D11" s="38"/>
    </row>
    <row r="13" customFormat="false" ht="15" hidden="false" customHeight="true" outlineLevel="0" collapsed="false">
      <c r="B13" s="11" t="s">
        <v>150</v>
      </c>
      <c r="C13" s="11" t="s">
        <v>151</v>
      </c>
      <c r="D13" s="11" t="s">
        <v>152</v>
      </c>
    </row>
    <row r="14" customFormat="false" ht="39.75" hidden="false" customHeight="true" outlineLevel="0" collapsed="false">
      <c r="B14" s="39" t="s">
        <v>153</v>
      </c>
      <c r="C14" s="40" t="s">
        <v>154</v>
      </c>
      <c r="D14" s="41" t="s">
        <v>155</v>
      </c>
    </row>
    <row r="15" customFormat="false" ht="39.75" hidden="false" customHeight="true" outlineLevel="0" collapsed="false">
      <c r="B15" s="39" t="s">
        <v>156</v>
      </c>
      <c r="C15" s="40" t="s">
        <v>157</v>
      </c>
      <c r="D15" s="41" t="s">
        <v>155</v>
      </c>
    </row>
    <row r="16" customFormat="false" ht="39.75" hidden="false" customHeight="true" outlineLevel="0" collapsed="false">
      <c r="B16" s="39" t="s">
        <v>158</v>
      </c>
      <c r="C16" s="40" t="s">
        <v>159</v>
      </c>
      <c r="D16" s="42" t="s">
        <v>160</v>
      </c>
    </row>
    <row r="17" customFormat="false" ht="39.75" hidden="false" customHeight="true" outlineLevel="0" collapsed="false">
      <c r="B17" s="39" t="s">
        <v>161</v>
      </c>
      <c r="C17" s="40" t="s">
        <v>162</v>
      </c>
      <c r="D17" s="43" t="s">
        <v>163</v>
      </c>
    </row>
    <row r="18" customFormat="false" ht="39.75" hidden="false" customHeight="true" outlineLevel="0" collapsed="false">
      <c r="B18" s="39" t="s">
        <v>164</v>
      </c>
      <c r="C18" s="40" t="s">
        <v>165</v>
      </c>
      <c r="D18" s="44" t="s">
        <v>166</v>
      </c>
    </row>
    <row r="19" customFormat="false" ht="39.75" hidden="false" customHeight="true" outlineLevel="0" collapsed="false">
      <c r="B19" s="39" t="s">
        <v>167</v>
      </c>
      <c r="C19" s="40" t="s">
        <v>168</v>
      </c>
      <c r="D19" s="42" t="s">
        <v>160</v>
      </c>
    </row>
    <row r="20" customFormat="false" ht="39.75" hidden="false" customHeight="true" outlineLevel="0" collapsed="false">
      <c r="B20" s="39" t="s">
        <v>169</v>
      </c>
      <c r="C20" s="40" t="s">
        <v>170</v>
      </c>
      <c r="D20" s="42" t="s">
        <v>160</v>
      </c>
    </row>
    <row r="21" customFormat="false" ht="39.75" hidden="false" customHeight="true" outlineLevel="0" collapsed="false">
      <c r="B21" s="39" t="s">
        <v>171</v>
      </c>
      <c r="C21" s="40" t="s">
        <v>172</v>
      </c>
      <c r="D21" s="42" t="s">
        <v>160</v>
      </c>
    </row>
    <row r="22" customFormat="false" ht="39.75" hidden="false" customHeight="true" outlineLevel="0" collapsed="false">
      <c r="B22" s="39" t="s">
        <v>173</v>
      </c>
      <c r="C22" s="40" t="s">
        <v>174</v>
      </c>
      <c r="D22" s="43" t="s">
        <v>163</v>
      </c>
    </row>
  </sheetData>
  <mergeCells count="7">
    <mergeCell ref="B3:D3"/>
    <mergeCell ref="C6:D6"/>
    <mergeCell ref="C7:D7"/>
    <mergeCell ref="C8:D8"/>
    <mergeCell ref="C9:D9"/>
    <mergeCell ref="C10:D10"/>
    <mergeCell ref="C11:D11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2026-08-26T15:18:22Z</dcterms:created>
  <dc:creator>openpyxl</dc:creator>
  <dc:description/>
  <dc:language>en-US</dc:language>
  <cp:lastModifiedBy/>
  <dcterms:modified xsi:type="dcterms:W3CDTF">2026-08-26T15:34:17Z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