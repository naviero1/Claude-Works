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5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Inputs &amp; Assumptions" sheetId="2" state="visible" r:id="rId4"/>
    <sheet name="Head-to-Head @ 50" sheetId="3" state="visible" r:id="rId5"/>
    <sheet name="Process Comparison @ 50" sheetId="4" state="visible" r:id="rId6"/>
    <sheet name="Volume Curve" sheetId="5" state="visible" r:id="rId7"/>
    <sheet name="Split Award" sheetId="6" state="visible" r:id="rId8"/>
    <sheet name="Revision A0 to A1" sheetId="7" state="visible" r:id="rId9"/>
    <sheet name="Scope &amp; Risk" sheetId="8" state="visible" r:id="rId10"/>
  </sheets>
  <definedNames>
    <definedName function="false" hidden="false" localSheetId="0" name="_xlnm.Print_Area" vbProcedure="false">Dashboard!$A$1:$I$51</definedName>
    <definedName function="false" hidden="false" localSheetId="2" name="_xlnm.Print_Area" vbProcedure="false">'Head-to-Head @ 50'!$A$1:$I$24</definedName>
    <definedName function="false" hidden="false" localSheetId="1" name="_xlnm.Print_Area" vbProcedure="false">'Inputs &amp; Assumptions'!$A$1:$I$30</definedName>
    <definedName function="false" hidden="false" localSheetId="3" name="_xlnm.Print_Area" vbProcedure="false">'Process Comparison @ 50'!$A$1:$H$26</definedName>
    <definedName function="false" hidden="false" localSheetId="6" name="_xlnm.Print_Area" vbProcedure="false">'Revision A0 to A1'!$A$1:$G$16</definedName>
    <definedName function="false" hidden="false" localSheetId="7" name="_xlnm.Print_Area" vbProcedure="false">'Scope &amp; Risk'!$A$1:$D$25</definedName>
    <definedName function="false" hidden="false" localSheetId="5" name="_xlnm.Print_Area" vbProcedure="false">'Split Award'!$A$1:$H$21</definedName>
    <definedName function="false" hidden="false" localSheetId="4" name="_xlnm.Print_Area" vbProcedure="false">'Volume Curve'!$A$1:$H$45</definedName>
    <definedName function="false" hidden="false" name="KitA0" vbProcedure="false">'Inputs &amp; Assumptions'!$D$21</definedName>
    <definedName function="false" hidden="false" name="KitA1q1" vbProcedure="false">'Inputs &amp; Assumptions'!$E$21</definedName>
    <definedName function="false" hidden="false" name="KitA1q20" vbProcedure="false">'Inputs &amp; Assumptions'!$F$21</definedName>
    <definedName function="false" hidden="false" name="KitA1q50" vbProcedure="false">'Inputs &amp; Assumptions'!$G$21</definedName>
    <definedName function="false" hidden="false" name="KitFsls" vbProcedure="false">'Inputs &amp; Assumptions'!$I$21</definedName>
    <definedName function="false" hidden="false" name="KitX50" vbProcedure="false">'Inputs &amp; Assumptions'!$H$21</definedName>
    <definedName function="false" hidden="false" name="QtyKits" vbProcedure="false">'Inputs &amp; Assumptions'!$C$30</definedName>
    <definedName function="false" hidden="false" name="VolKit" vbProcedure="false">'Inputs &amp; Assumptions'!$C$21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<sst xmlns="http://schemas.openxmlformats.org/spreadsheetml/2006/main" count="350" uniqueCount="297">
  <si>
    <t xml:space="preserve">Cardiac MVR Suture Skills Kit — Sourcing Dashboard</t>
  </si>
  <si>
    <t xml:space="preserve">Three parts, quantity 50. Four quotes, two vendors. Fictiv's SLS re-quote cut its price 21.5% and closed most of the gap, but Xometry still holds the lowest parts cost. Every figure is PARTS ONLY — Xometry has never quoted shipping or tax. Live formulas; all detail sheets sit behind this one.</t>
  </si>
  <si>
    <t xml:space="preserve">AT A GLANCE</t>
  </si>
  <si>
    <t xml:space="preserve">LOWEST PARTS COST</t>
  </si>
  <si>
    <t xml:space="preserve">GAP TO FICTIV</t>
  </si>
  <si>
    <t xml:space="preserve">SAVED BY MJF → SLS</t>
  </si>
  <si>
    <t xml:space="preserve">UNEXPLAINED ON FICTIV TOTAL</t>
  </si>
  <si>
    <t xml:space="preserve">Xometry, SLS</t>
  </si>
  <si>
    <t xml:space="preserve">19.0% — was $31,287 on MJF</t>
  </si>
  <si>
    <t xml:space="preserve">Fictiv cut 21.5% on process alone</t>
  </si>
  <si>
    <t xml:space="preserve">Quote total $74,616.29 vs parts $67,364</t>
  </si>
  <si>
    <t xml:space="preserve">TOTAL PARTS COST — 50 KITS</t>
  </si>
  <si>
    <t xml:space="preserve">Option</t>
  </si>
  <si>
    <t xml:space="preserve">Process</t>
  </si>
  <si>
    <t xml:space="preserve">Lead time</t>
  </si>
  <si>
    <t xml:space="preserve">Total @ 50</t>
  </si>
  <si>
    <t xml:space="preserve">Per kit</t>
  </si>
  <si>
    <t xml:space="preserve">vs cheapest</t>
  </si>
  <si>
    <t xml:space="preserve">Split award (best per part)</t>
  </si>
  <si>
    <t xml:space="preserve">MJF + SLS</t>
  </si>
  <si>
    <t xml:space="preserve">mixed</t>
  </si>
  <si>
    <t xml:space="preserve">Xometry</t>
  </si>
  <si>
    <t xml:space="preserve">SLS</t>
  </si>
  <si>
    <t xml:space="preserve">35 business days</t>
  </si>
  <si>
    <t xml:space="preserve">Fictiv — best mix</t>
  </si>
  <si>
    <t xml:space="preserve">26 production days</t>
  </si>
  <si>
    <t xml:space="preserve">Fictiv — all SLS (newest)</t>
  </si>
  <si>
    <t xml:space="preserve">Fictiv — MJF (superseded)</t>
  </si>
  <si>
    <t xml:space="preserve">MJF</t>
  </si>
  <si>
    <t xml:space="preserve">32 production days</t>
  </si>
  <si>
    <t xml:space="preserve">The split award saves only ~$294 (0.5%) over single-sourcing Xometry — not worth two suppliers on price alone. Fictiv's own best mix (MJF for the valve, SLS for the other two) is $911 under its all-SLS quote: worth asking for as one order.</t>
  </si>
  <si>
    <t xml:space="preserve">WHERE THE MONEY IS — UNIT PRICE AT QTY 50</t>
  </si>
  <si>
    <t xml:space="preserve">Part</t>
  </si>
  <si>
    <t xml:space="preserve">Fictiv MJF</t>
  </si>
  <si>
    <t xml:space="preserve">Fictiv SLS</t>
  </si>
  <si>
    <t xml:space="preserve">MJF → SLS</t>
  </si>
  <si>
    <t xml:space="preserve">Xometry SLS</t>
  </si>
  <si>
    <t xml:space="preserve">Cheapest</t>
  </si>
  <si>
    <t xml:space="preserve">Why</t>
  </si>
  <si>
    <t xml:space="preserve">Packs ~117 per MJF build — no envelope penalty, so MJF wins it.</t>
  </si>
  <si>
    <t xml:space="preserve">Large hollow shell: ~2 per MJF build vs ~12 on large-format SLS.</t>
  </si>
  <si>
    <t xml:space="preserve">Largest part, biggest MJF envelope penalty — biggest SLS gain.</t>
  </si>
  <si>
    <t xml:space="preserve">KIT (one of each)</t>
  </si>
  <si>
    <t xml:space="preserve">ARE THEY QUOTING THE SAME THING?</t>
  </si>
  <si>
    <t xml:space="preserve">Criterion</t>
  </si>
  <si>
    <t xml:space="preserve">Fictiv — SLS</t>
  </si>
  <si>
    <t xml:space="preserve">Xometry — SLS</t>
  </si>
  <si>
    <t xml:space="preserve">Status</t>
  </si>
  <si>
    <t xml:space="preserve">Selective Laser Sintering</t>
  </si>
  <si>
    <t xml:space="preserve">Match</t>
  </si>
  <si>
    <t xml:space="preserve">Material</t>
  </si>
  <si>
    <t xml:space="preserve">Nylon (powder)</t>
  </si>
  <si>
    <t xml:space="preserve">Nylon 12</t>
  </si>
  <si>
    <t xml:space="preserve">Colour</t>
  </si>
  <si>
    <t xml:space="preserve">Black / White / Black</t>
  </si>
  <si>
    <t xml:space="preserve">Black-dyed / Natural / Black-dyed</t>
  </si>
  <si>
    <t xml:space="preserve">Inspection</t>
  </si>
  <si>
    <t xml:space="preserve">8-pt, 14-pt, 13-pt dimensional</t>
  </si>
  <si>
    <t xml:space="preserve">Dimensional report + 5 first articles</t>
  </si>
  <si>
    <t xml:space="preserve">Close, not identical</t>
  </si>
  <si>
    <t xml:space="preserve">35 business days, after FAI acceptance</t>
  </si>
  <si>
    <t xml:space="preserve">Fictiv faster</t>
  </si>
  <si>
    <t xml:space="preserve">Chest drawing revision</t>
  </si>
  <si>
    <t xml:space="preserve">rev_c</t>
  </si>
  <si>
    <t xml:space="preserve">REV B</t>
  </si>
  <si>
    <t xml:space="preserve">Different geometry</t>
  </si>
  <si>
    <t xml:space="preserve">Quote age</t>
  </si>
  <si>
    <t xml:space="preserve">Current</t>
  </si>
  <si>
    <t xml:space="preserve">10 months; price honour lapsed Dec 2025</t>
  </si>
  <si>
    <t xml:space="preserve">Xometry stale</t>
  </si>
  <si>
    <t xml:space="preserve">Shipping &amp; tax</t>
  </si>
  <si>
    <t xml:space="preserve">Inside the $74,616.29 total</t>
  </si>
  <si>
    <t xml:space="preserve">Calculated at checkout — never quoted</t>
  </si>
  <si>
    <t xml:space="preserve">Not comparable</t>
  </si>
  <si>
    <t xml:space="preserve">BEFORE YOU AWARD</t>
  </si>
  <si>
    <t xml:space="preserve">Priority</t>
  </si>
  <si>
    <t xml:space="preserve">Action</t>
  </si>
  <si>
    <t xml:space="preserve">Why it matters</t>
  </si>
  <si>
    <t xml:space="preserve">1</t>
  </si>
  <si>
    <t xml:space="preserve">Ask Fictiv to itemise the $7,252.29</t>
  </si>
  <si>
    <t xml:space="preserve">Quote total $74,616.29 vs line items $67,364.00 — 10.8% of the quote, and more than half the remaining gap.</t>
  </si>
  <si>
    <t xml:space="preserve">2</t>
  </si>
  <si>
    <t xml:space="preserve">Ask Xometry to re-quote on current pricing</t>
  </si>
  <si>
    <t xml:space="preserve">The $54,540 that wins this comparison was quoted Nov 2025; its 30-day price honour lapsed in Dec.</t>
  </si>
  <si>
    <t xml:space="preserve">3</t>
  </si>
  <si>
    <t xml:space="preserve">Settle the chest drawing revision</t>
  </si>
  <si>
    <t xml:space="preserve">Fictiv quoted rev_c, Xometry REV B — different geometry on a part carrying $27,079 of the order.</t>
  </si>
  <si>
    <t xml:space="preserve">4</t>
  </si>
  <si>
    <t xml:space="preserve">Level the inspection scope on both sides</t>
  </si>
  <si>
    <t xml:space="preserve">Xometry ships 5 first articles; Fictiv names point-counts only. Price the same plan both ways.</t>
  </si>
  <si>
    <t xml:space="preserve">5</t>
  </si>
  <si>
    <t xml:space="preserve">Ask Fictiv for the MJF + SLS mix as one order</t>
  </si>
  <si>
    <t xml:space="preserve">MJF for the valve, SLS for the other two: $66,453, i.e. $911 under its all-SLS quote.</t>
  </si>
  <si>
    <t xml:space="preserve">Basis: parts-only cost at quantity 50, from four quote documents. Every extended price reproduces from its own unit price x quantity, and each quote's printed total reproduces from the model. Build-packing figures behind the 'Why' column are modelled from part envelopes against published machine build volumes — neither vendor names its equipment. No personal data is carried into this workbook.</t>
  </si>
  <si>
    <t xml:space="preserve">Quote Comparison — Cardiac MVR Suture Skills Kit (3 parts)</t>
  </si>
  <si>
    <t xml:space="preserve">Three quote documents, two vendors. Figures transcribed verbatim from the PDFs; every extended price on each quote reproduces exactly from its own unit price x quantity. YELLOW = as-quoted input, GREEN = calculated. No personal data extracted; the Fictiv quote reference is redacted because it embeds a surname.</t>
  </si>
  <si>
    <t xml:space="preserve">1) THE THREE QUOTE DOCUMENTS</t>
  </si>
  <si>
    <t xml:space="preserve">Fictiv A0
(superseded)</t>
  </si>
  <si>
    <t xml:space="preserve">Fictiv A1 — MQ
(current)</t>
  </si>
  <si>
    <t xml:space="preserve">Fictiv A2 — SLS
(newest)</t>
  </si>
  <si>
    <t xml:space="preserve">Quote reference</t>
  </si>
  <si>
    <t xml:space="preserve">[redacted]</t>
  </si>
  <si>
    <t xml:space="preserve">Q47-2889-3704</t>
  </si>
  <si>
    <t xml:space="preserve">Fictiv refs omitted: they embed a personal name.</t>
  </si>
  <si>
    <t xml:space="preserve">Quote date</t>
  </si>
  <si>
    <t xml:space="preserve">2026-08-25</t>
  </si>
  <si>
    <t xml:space="preserve">2026-08-28</t>
  </si>
  <si>
    <t xml:space="preserve">2025-11-24</t>
  </si>
  <si>
    <t xml:space="preserve">2026-09-25</t>
  </si>
  <si>
    <t xml:space="preserve">Fictiv A1 supersedes A0 three days later. Xometry is ~9 months old.</t>
  </si>
  <si>
    <t xml:space="preserve">Valid until</t>
  </si>
  <si>
    <t xml:space="preserve">2026-09-24</t>
  </si>
  <si>
    <t xml:space="preserve">2026-09-27</t>
  </si>
  <si>
    <t xml:space="preserve">2025-12-24</t>
  </si>
  <si>
    <t xml:space="preserve">—</t>
  </si>
  <si>
    <t xml:space="preserve">Xometry's 30-day price honour lapsed long ago — treat as indicative.</t>
  </si>
  <si>
    <t xml:space="preserve">Quantities quoted</t>
  </si>
  <si>
    <t xml:space="preserve">1 / 20 / 50</t>
  </si>
  <si>
    <t xml:space="preserve">50</t>
  </si>
  <si>
    <t xml:space="preserve">*** A1 now quotes 50, so a TRUE like-for-like is finally possible. ***</t>
  </si>
  <si>
    <t xml:space="preserve">Both PA12 powder-bed, both vapor smoothed.</t>
  </si>
  <si>
    <t xml:space="preserve">PA 12</t>
  </si>
  <si>
    <t xml:space="preserve">Chemically equivalent.</t>
  </si>
  <si>
    <t xml:space="preserve">Country</t>
  </si>
  <si>
    <t xml:space="preserve">USA</t>
  </si>
  <si>
    <t xml:space="preserve">Both domestic — no tariff exposure either side.</t>
  </si>
  <si>
    <t xml:space="preserve">Formal inspection</t>
  </si>
  <si>
    <t xml:space="preserve">Not quoted</t>
  </si>
  <si>
    <t xml:space="preserve">Included</t>
  </si>
  <si>
    <t xml:space="preserve">8/14/13-pt</t>
  </si>
  <si>
    <t xml:space="preserve">Xometry carries dimensional report + 5 FAI. Fictiv does not.</t>
  </si>
  <si>
    <t xml:space="preserve">2) AS-QUOTED UNIT PRICES  ($ per single part)</t>
  </si>
  <si>
    <t xml:space="preserve">Volume
(in³)</t>
  </si>
  <si>
    <t xml:space="preserve">Fictiv A0
@ qty 1</t>
  </si>
  <si>
    <t xml:space="preserve">Fictiv A1
@ qty 1</t>
  </si>
  <si>
    <t xml:space="preserve">Fictiv A1
@ qty 20</t>
  </si>
  <si>
    <t xml:space="preserve">Fictiv A1
@ qty 50</t>
  </si>
  <si>
    <t xml:space="preserve">Xometry
@ qty 50</t>
  </si>
  <si>
    <t xml:space="preserve">Fictiv SLS
@ qty 50</t>
  </si>
  <si>
    <t xml:space="preserve">667357  Valve receptacle</t>
  </si>
  <si>
    <t xml:space="preserve">667355  Chest</t>
  </si>
  <si>
    <t xml:space="preserve">667354  Base</t>
  </si>
  <si>
    <t xml:space="preserve">KIT (one of each part)</t>
  </si>
  <si>
    <t xml:space="preserve">3) LEAD TIME AS QUOTED (production / business days)</t>
  </si>
  <si>
    <t xml:space="preserve">Stated lead time (days)</t>
  </si>
  <si>
    <t xml:space="preserve">Fictiv quotes PRODUCTION days and its lead time lengthens with quantity (6 -&gt; 32). Xometry quotes 35 BUSINESS days AND its clock starts only after first-article acceptance, so its true elapsed time is longer than 35. At qty 50 the two are broadly comparable — Fictiv's speed advantage exists at qty 1, not at volume.</t>
  </si>
  <si>
    <t xml:space="preserve">4) DRIVER</t>
  </si>
  <si>
    <t xml:space="preserve">Kit quantity to compare at</t>
  </si>
  <si>
    <t xml:space="preserve">EDIT ME. 50 is the only quantity both vendors have quoted. At 1 or 20 only Fictiv has a price.</t>
  </si>
  <si>
    <t xml:space="preserve">QUOTE 4 (Fictiv, SLS): printed QUOTE TOTAL is $74,616.29 but the three line items sum to $67,364.00. The $7,252.29 difference is not itemised on the page supplied and is EXCLUDED from every parts-only comparison in this workbook. Confirm with Fictiv what it covers before comparing totals.</t>
  </si>
  <si>
    <t xml:space="preserve">Like-for-Like: Both Vendors at Quantity 50</t>
  </si>
  <si>
    <t xml:space="preserve">This is now a true comparison — both vendors have quoted the same quantity of the same three parts. It replaces the qty-1-vs-qty-50 mismatch that made the first comparison unusable.</t>
  </si>
  <si>
    <t xml:space="preserve">Fictiv A1
$/unit @ 50</t>
  </si>
  <si>
    <t xml:space="preserve">Xometry
$/unit @ 50</t>
  </si>
  <si>
    <t xml:space="preserve">Δ  (F − X)</t>
  </si>
  <si>
    <t xml:space="preserve">% gap</t>
  </si>
  <si>
    <t xml:space="preserve">Cheaper</t>
  </si>
  <si>
    <t xml:space="preserve">Fictiv
$ per in³</t>
  </si>
  <si>
    <t xml:space="preserve">Xometry
$ per in³</t>
  </si>
  <si>
    <t xml:space="preserve">FULL KIT (1 of each)</t>
  </si>
  <si>
    <t xml:space="preserve">TOTAL COST OF 50 KITS</t>
  </si>
  <si>
    <t xml:space="preserve">Fictiv A1 — all three parts</t>
  </si>
  <si>
    <t xml:space="preserve">Xometry — all three parts</t>
  </si>
  <si>
    <t xml:space="preserve">Difference (Fictiv − Xometry)</t>
  </si>
  <si>
    <t xml:space="preserve">Xometry cheaper by</t>
  </si>
  <si>
    <t xml:space="preserve">WHAT CHANGED VERSUS THE FIRST COMPARISON</t>
  </si>
  <si>
    <t xml:space="preserve">Apparent gap when comparing qty 1 to qty 50</t>
  </si>
  <si>
    <t xml:space="preserve">The misleading number. Fictiv had no volume price.</t>
  </si>
  <si>
    <t xml:space="preserve">Real gap now, both at qty 50</t>
  </si>
  <si>
    <t xml:space="preserve">Roughly HALF the apparent gap. Still Xometry's win.</t>
  </si>
  <si>
    <t xml:space="preserve">Volume break Fictiv actually delivered</t>
  </si>
  <si>
    <t xml:space="preserve">Off its own current qty-1 price.</t>
  </si>
  <si>
    <t xml:space="preserve">Volume break Fictiv needed to reach parity</t>
  </si>
  <si>
    <t xml:space="preserve">It fell short — but by far less than first feared.</t>
  </si>
  <si>
    <t xml:space="preserve">HEADLINE: Xometry still wins the kit at qty 50, but by 36% rather than the 63% the first comparison suggested. Fictiv is now CHEAPER on 667357 (valve receptacle) — the first part where it beats Xometry. The remaining gap is concentrated entirely in the two large parts (chest and base), where Fictiv is ~38% more expensive.</t>
  </si>
  <si>
    <t xml:space="preserve">Three Options at Quantity 50 — MJF vs SLS vs Xometry</t>
  </si>
  <si>
    <t xml:space="preserve">Fictiv re-quoted the same three parts on SLS. The process switch cut its price 21.5% and closed most of the gap to Xometry. Parts only — Fictiv's quote total carries $7,252.29 that Xometry has not quoted.</t>
  </si>
  <si>
    <t xml:space="preserve">MJF→SLS</t>
  </si>
  <si>
    <t xml:space="preserve">Small part packs ~117 per MJF build — no envelope penalty, so MJF wins it.</t>
  </si>
  <si>
    <t xml:space="preserve">Large hollow shell: only ~2 per MJF build vs ~12 on large-format SLS.</t>
  </si>
  <si>
    <t xml:space="preserve">Largest part — biggest envelope penalty on MJF, so the biggest SLS gain.</t>
  </si>
  <si>
    <t xml:space="preserve">TOTAL AT 50 KITS  (parts only)</t>
  </si>
  <si>
    <t xml:space="preserve">Fictiv — SLS (newest)</t>
  </si>
  <si>
    <t xml:space="preserve">Saved by switching MJF→SLS</t>
  </si>
  <si>
    <t xml:space="preserve">What the process change alone bought.</t>
  </si>
  <si>
    <t xml:space="preserve">Remaining gap to Xometry</t>
  </si>
  <si>
    <t xml:space="preserve">Was $31,287 on MJF.</t>
  </si>
  <si>
    <t xml:space="preserve">Remaining gap (%)</t>
  </si>
  <si>
    <t xml:space="preserve">Was 36.5% on MJF.</t>
  </si>
  <si>
    <t xml:space="preserve">BEST ACHIEVABLE MIXES</t>
  </si>
  <si>
    <t xml:space="preserve">Split award — cheapest vendor per part</t>
  </si>
  <si>
    <t xml:space="preserve">667357 from Fictiv MJF, the two large parts from Xometry. Saves only ~$294 (0.5%) over all-Xometry.</t>
  </si>
  <si>
    <t xml:space="preserve">Best all-Fictiv mix (MJF + SLS)</t>
  </si>
  <si>
    <t xml:space="preserve">Valve on MJF, chest and base on SLS. $911 under Fictiv's all-SLS quote — ask for it as one order.</t>
  </si>
  <si>
    <t xml:space="preserve">All-Xometry</t>
  </si>
  <si>
    <t xml:space="preserve">The benchmark this comparison is measured against.</t>
  </si>
  <si>
    <t xml:space="preserve">MECHANISM: powder-bed cost tracks parts-per-build. The two large parts are ~10-litre bounding boxes only 2-4% filled; MJF's 41 L chamber takes ~2 of them per build against ~9-12 on a large-format SLS machine (154 L). That is why SLS helped the big parts and HURT the small one (+33.9%). Machine classes are inferred from the quoted processes — neither vendor names its equipment.</t>
  </si>
  <si>
    <t xml:space="preserve">How Fictiv's Price Moves With Quantity</t>
  </si>
  <si>
    <t xml:space="preserve">Fictiv quoted three quantities, so its volume curve is visible. Xometry quoted only 50, shown as a flat reference line. The shape of Fictiv's curve is the key question: is there more discount left at higher volume?</t>
  </si>
  <si>
    <t xml:space="preserve">Chart data (drives the chart; Xometry shown flat as a reference line — it quoted qty 50 only)</t>
  </si>
  <si>
    <t xml:space="preserve">1) KIT PRICE BY QUANTITY</t>
  </si>
  <si>
    <t xml:space="preserve">Order quantity</t>
  </si>
  <si>
    <t xml:space="preserve">Fictiv A1 $/kit</t>
  </si>
  <si>
    <t xml:space="preserve">Xometry $/kit (ref)</t>
  </si>
  <si>
    <t xml:space="preserve">@ qty 1</t>
  </si>
  <si>
    <t xml:space="preserve">@ qty 20</t>
  </si>
  <si>
    <t xml:space="preserve">@ qty 50</t>
  </si>
  <si>
    <t xml:space="preserve">Fictiv A1 — $/kit</t>
  </si>
  <si>
    <t xml:space="preserve">Xometry — $/kit</t>
  </si>
  <si>
    <t xml:space="preserve">n/a</t>
  </si>
  <si>
    <t xml:space="preserve">Fictiv premium over Xometry</t>
  </si>
  <si>
    <t xml:space="preserve">2) MARGINAL DISCOUNT — where the volume break actually happens</t>
  </si>
  <si>
    <t xml:space="preserve">qty 1 → 20</t>
  </si>
  <si>
    <t xml:space="preserve">qty 20 → 50</t>
  </si>
  <si>
    <t xml:space="preserve">qty 1 → 50</t>
  </si>
  <si>
    <t xml:space="preserve">KIT</t>
  </si>
  <si>
    <t xml:space="preserve">READ THIS: almost the entire volume break is spent by qty 20. Going from 20 to 50 buys only ~5% more. Fictiv's curve has effectively flattened, so it is unlikely to close a 36% gap through volume alone — reaching Xometry's price would need a step change in quoting, not a bigger order.</t>
  </si>
  <si>
    <t xml:space="preserve">3) WHAT FICTIV WOULD STILL HAVE TO DO</t>
  </si>
  <si>
    <t xml:space="preserve">Fictiv kit @ 50 today</t>
  </si>
  <si>
    <t xml:space="preserve">Xometry kit @ 50</t>
  </si>
  <si>
    <t xml:space="preserve">Further discount Fictiv needs from here</t>
  </si>
  <si>
    <t xml:space="preserve">Extra $ per kit Fictiv must find</t>
  </si>
  <si>
    <t xml:space="preserve">Extra $ across 50 kits</t>
  </si>
  <si>
    <t xml:space="preserve">Split Award — Cheapest Vendor Per Part</t>
  </si>
  <si>
    <t xml:space="preserve">Because Fictiv now wins one of the three parts, single-sourcing is no longer automatically optimal on price. This sheet awards each part to whichever vendor is cheaper at qty 50.</t>
  </si>
  <si>
    <t xml:space="preserve">Fictiv @ 50</t>
  </si>
  <si>
    <t xml:space="preserve">Xometry @ 50</t>
  </si>
  <si>
    <t xml:space="preserve">Award to</t>
  </si>
  <si>
    <t xml:space="preserve">Unit price</t>
  </si>
  <si>
    <t xml:space="preserve">Extended (50)</t>
  </si>
  <si>
    <t xml:space="preserve">SPLIT-AWARD TOTAL</t>
  </si>
  <si>
    <t xml:space="preserve">IS THE SPLIT WORTH IT?</t>
  </si>
  <si>
    <t xml:space="preserve">All-Xometry (single source)</t>
  </si>
  <si>
    <t xml:space="preserve">All-Fictiv (single source)</t>
  </si>
  <si>
    <t xml:space="preserve">Split award (cheapest per part)</t>
  </si>
  <si>
    <t xml:space="preserve">Split saving vs all-Xometry</t>
  </si>
  <si>
    <t xml:space="preserve">The entire prize from splitting.</t>
  </si>
  <si>
    <t xml:space="preserve">Split saving vs all-Xometry (%)</t>
  </si>
  <si>
    <t xml:space="preserve">Immaterial on price alone.</t>
  </si>
  <si>
    <t xml:space="preserve">Split saving vs all-Fictiv</t>
  </si>
  <si>
    <t xml:space="preserve">Large — but that is just Xometry winning two parts.</t>
  </si>
  <si>
    <t xml:space="preserve">VERDICT: splitting saves roughly $294 across 50 kits — about half a percent. That does not pay for running two suppliers, two inspection regimes and two sets of first articles for one small part. Award the split only if dual-sourcing is wanted for supply resilience; on price alone it is noise. The one genuinely useful signal is that Fictiv is now competitive on small parts, so it is worth quoting Fictiv on future small-part work.</t>
  </si>
  <si>
    <t xml:space="preserve">What Changed Between Fictiv's Two Quotes</t>
  </si>
  <si>
    <t xml:space="preserve">Fictiv re-issued three days after its first quote. Comparing like quantity (qty 1) isolates the repricing from the new volume tiers.</t>
  </si>
  <si>
    <t xml:space="preserve">A0 @ qty 1</t>
  </si>
  <si>
    <t xml:space="preserve">A1 @ qty 1</t>
  </si>
  <si>
    <t xml:space="preserve">Δ $</t>
  </si>
  <si>
    <t xml:space="preserve">Δ %</t>
  </si>
  <si>
    <t xml:space="preserve">READING THE REVISION</t>
  </si>
  <si>
    <t xml:space="preserve">Every part fell by the same ~5.26%</t>
  </si>
  <si>
    <t xml:space="preserve">A uniform across-the-board reduction, not a part-by-part re-engineering. This is a commercial gesture — a list-price adjustment — rather than a manufacturing improvement, so it carries no quality or process implication.</t>
  </si>
  <si>
    <t xml:space="preserve">The real change is the new volume tiers</t>
  </si>
  <si>
    <t xml:space="preserve">A0 offered qty 1 only. A1 adds 20 and 50. That, not the 5.26%, is what makes this quote comparable to Xometry.</t>
  </si>
  <si>
    <t xml:space="preserve">A0 is superseded</t>
  </si>
  <si>
    <t xml:space="preserve">Use A1 for every decision. A0 is retained here only to show the movement and to explain why the first comparison read a 63% gap.</t>
  </si>
  <si>
    <t xml:space="preserve">What The Price Comparison Still Does Not Capture</t>
  </si>
  <si>
    <t xml:space="preserve">The qty-50 comparison is now sound on price. These are the remaining differences in what each vendor is actually selling.</t>
  </si>
  <si>
    <t xml:space="preserve">BOTTOM LINE</t>
  </si>
  <si>
    <t xml:space="preserve">At qty 50:</t>
  </si>
  <si>
    <t xml:space="preserve">Xometry $1,090.80/kit vs Fictiv $1,716.54/kit — Xometry is 36.4% cheaper, $31,287 across 50 kits.</t>
  </si>
  <si>
    <t xml:space="preserve">Not the 63% first thought:</t>
  </si>
  <si>
    <t xml:space="preserve">That figure compared Fictiv at qty 1 with Xometry at qty 50. The real gap is roughly half of it.</t>
  </si>
  <si>
    <t xml:space="preserve">Fictiv wins one part:</t>
  </si>
  <si>
    <t xml:space="preserve">667357 valve receptacle — $53.71 vs $59.58. Its volume curve is steepest on small parts.</t>
  </si>
  <si>
    <t xml:space="preserve">The gap is all in the big parts:</t>
  </si>
  <si>
    <t xml:space="preserve">Chest and base, where Fictiv is ~38% dearer. That is where any negotiation must land.</t>
  </si>
  <si>
    <t xml:space="preserve">Fictiv's discount is spent:</t>
  </si>
  <si>
    <t xml:space="preserve">94% of its volume break is used up by qty 20. More volume will not close 36%.</t>
  </si>
  <si>
    <t xml:space="preserve">Before awarding:</t>
  </si>
  <si>
    <t xml:space="preserve">Refresh Xometry's 9-month-old pricing, align inspection scope and the 667355 drawing revision, and confirm colour.</t>
  </si>
  <si>
    <t xml:space="preserve">Difference</t>
  </si>
  <si>
    <t xml:space="preserve">What it means now that both are quoted at 50</t>
  </si>
  <si>
    <t xml:space="preserve">Bias</t>
  </si>
  <si>
    <t xml:space="preserve">Inspection scope</t>
  </si>
  <si>
    <t xml:space="preserve">Xometry's unit price includes custom inspection, a formal dimensional report and 5 first articles. Fictiv's A1 quote still carries no inspection line. Adding equivalent inspection to Fictiv would widen the gap further, so the 36.4% is if anything understated.</t>
  </si>
  <si>
    <t xml:space="preserve">Favours Fictiv</t>
  </si>
  <si>
    <t xml:space="preserve">Xometry quote age</t>
  </si>
  <si>
    <t xml:space="preserve">Xometry's pricing is ~9 months old and its 30-day price honour lapsed in Dec 2025. Fictiv's is three days old. Xometry's real price today is unknown and is the single biggest open question in this comparison.</t>
  </si>
  <si>
    <t xml:space="preserve">Favours Xometry</t>
  </si>
  <si>
    <t xml:space="preserve">Drawing revision on 667355 (Chest)</t>
  </si>
  <si>
    <t xml:space="preserve">Fictiv quoted rev_c on both A0 and A1; Xometry quoted REV B. The vendors priced DIFFERENT geometry on the largest cost line after the base. This line is not strictly comparable until Xometry re-quotes rev C.</t>
  </si>
  <si>
    <t xml:space="preserve">Unknown</t>
  </si>
  <si>
    <t xml:space="preserve">Tolerance commitment</t>
  </si>
  <si>
    <t xml:space="preserve">Fictiv's A1 DFM feedback states tolerances will be dictated by printer capability ONLY and may be tighter or looser than indicated. Xometry states ±0.015" typical and will inspect to process standard in exception to the drawing. NEITHER vendor is committing to the drawing.</t>
  </si>
  <si>
    <t xml:space="preserve">Neutral</t>
  </si>
  <si>
    <t xml:space="preserve">Lead time at volume</t>
  </si>
  <si>
    <t xml:space="preserve">Fictiv's advantage disappears with quantity: 6 days at qty 1 but 32 at qty 50, against Xometry's 35 business days. At the quantity that matters they are broadly equal — and Xometry's clock only starts after FAI acceptance.</t>
  </si>
  <si>
    <t xml:space="preserve">Slightly Fictiv</t>
  </si>
  <si>
    <t xml:space="preserve">Colour specification</t>
  </si>
  <si>
    <t xml:space="preserve">Xometry specifies Black-Dyed on 667357 and 667354, natural on 667355. Fictiv's quote specifies no colour. If colour is required, Fictiv's price rises and the gap widens.</t>
  </si>
  <si>
    <t xml:space="preserve">Ink stamping / partner-matching</t>
  </si>
  <si>
    <t xml:space="preserve">Xometry's notes require month/year ink stamping and sourcing to a named prior partner for consistency. Neither is in Fictiv's scope — more cost inside Xometry's number with no Fictiv equivalent.</t>
  </si>
  <si>
    <t xml:space="preserve">Process: MJF vs SLS</t>
  </si>
  <si>
    <t xml:space="preserve">Both PA12 powder-bed, both vapor smoothed, broadly interchangeable. MJF gives finer feature resolution; SLS slightly better isotropic strength. Not identical parts, but not a defect either way.</t>
  </si>
  <si>
    <t xml:space="preserve">Shipping, tax</t>
  </si>
  <si>
    <t xml:space="preserve">Unpriced on both (TBD / calculated at checkout). Both US-domestic, so no tariff exposure. Neither total is a landed cost.</t>
  </si>
  <si>
    <t xml:space="preserve">'Bias' names which vendor the difference favours once corrected — i.e. the direction the 36.4% gap would move if that difference were equalised. Most point toward Fictiv, so the true gap is somewhat narrower than 36.4% — but not enough to overturn the result.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</si>
</sst>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\$#,##0"/>
    <numFmt numFmtId="166" formatCode="\$#,##0.00"/>
    <numFmt numFmtId="167" formatCode="\+0.0%;\-0.0%"/>
    <numFmt numFmtId="168" formatCode="#,##0.000"/>
    <numFmt numFmtId="169" formatCode="0"/>
    <numFmt numFmtId="170" formatCode="0.0%"/>
    <numFmt numFmtId="171" formatCode="0.00%"/>
  </numFmts>
  <fonts count="3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Calibri"/>
      <family val="0"/>
      <charset val="1"/>
    </font>
    <font>
      <sz val="10"/>
      <color rgb="FF4D5862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9"/>
      <color rgb="FF5C6670"/>
      <name val="Calibri"/>
      <family val="0"/>
      <charset val="1"/>
    </font>
    <font>
      <b val="true"/>
      <sz val="18"/>
      <color rgb="FF1F4E78"/>
      <name val="Calibri"/>
      <family val="0"/>
      <charset val="1"/>
    </font>
    <font>
      <b val="true"/>
      <sz val="18"/>
      <color rgb="FF9C0006"/>
      <name val="Calibri"/>
      <family val="0"/>
      <charset val="1"/>
    </font>
    <font>
      <sz val="9"/>
      <color rgb="FF808080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11"/>
      <name val="Calibri"/>
      <family val="0"/>
      <charset val="1"/>
    </font>
    <font>
      <b val="true"/>
      <sz val="11"/>
      <color rgb="FF1F4E78"/>
      <name val="Calibri"/>
      <family val="0"/>
      <charset val="1"/>
    </font>
    <font>
      <b val="true"/>
      <sz val="11"/>
      <name val="Calibri"/>
      <family val="0"/>
      <charset val="1"/>
    </font>
    <font>
      <b val="true"/>
      <sz val="11"/>
      <color rgb="FF008000"/>
      <name val="Calibri"/>
      <family val="0"/>
      <charset val="1"/>
    </font>
    <font>
      <b val="true"/>
      <sz val="10"/>
      <color rgb="FF006100"/>
      <name val="Calibri"/>
      <family val="0"/>
      <charset val="1"/>
    </font>
    <font>
      <b val="true"/>
      <sz val="10"/>
      <color rgb="FF7F6000"/>
      <name val="Calibri"/>
      <family val="0"/>
      <charset val="1"/>
    </font>
    <font>
      <b val="true"/>
      <sz val="10"/>
      <color rgb="FF9C0006"/>
      <name val="Calibri"/>
      <family val="0"/>
      <charset val="1"/>
    </font>
    <font>
      <b val="true"/>
      <sz val="11"/>
      <color rgb="FF9C0006"/>
      <name val="Calibri"/>
      <family val="0"/>
      <charset val="1"/>
    </font>
    <font>
      <b val="true"/>
      <sz val="11"/>
      <color rgb="FF7F6000"/>
      <name val="Calibri"/>
      <family val="0"/>
      <charset val="1"/>
    </font>
    <font>
      <b val="true"/>
      <sz val="11"/>
      <color rgb="FF006100"/>
      <name val="Calibri"/>
      <family val="0"/>
      <charset val="1"/>
    </font>
    <font>
      <b val="true"/>
      <sz val="14"/>
      <color rgb="FF1F4E78"/>
      <name val="Calibri"/>
      <family val="0"/>
      <charset val="1"/>
    </font>
    <font>
      <b val="true"/>
      <sz val="9"/>
      <color rgb="FF9C0006"/>
      <name val="Calibri"/>
      <family val="0"/>
      <charset val="1"/>
    </font>
    <font>
      <b val="true"/>
      <sz val="11"/>
      <color rgb="FF375623"/>
      <name val="Calibri"/>
      <family val="0"/>
      <charset val="1"/>
    </font>
    <font>
      <b val="true"/>
      <sz val="12"/>
      <color rgb="FF9C0006"/>
      <name val="Calibri"/>
      <family val="0"/>
      <charset val="1"/>
    </font>
    <font>
      <b val="true"/>
      <sz val="12"/>
      <color rgb="FF375623"/>
      <name val="Calibri"/>
      <family val="0"/>
      <charset val="1"/>
    </font>
    <font>
      <i val="true"/>
      <sz val="9"/>
      <color rgb="FF808080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sz val="9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2"/>
      <color rgb="FF7F6000"/>
      <name val="Calibri"/>
      <family val="0"/>
      <charset val="1"/>
    </font>
    <font>
      <b val="true"/>
      <sz val="10"/>
      <name val="Calibri"/>
      <family val="0"/>
      <charset val="1"/>
    </font>
    <font>
      <sz val="10"/>
      <name val="Calibri"/>
      <family val="0"/>
      <charset val="1"/>
    </font>
    <font>
      <b val="true"/>
      <sz val="10"/>
      <color rgb="FF375623"/>
      <name val="Calibri"/>
      <family val="0"/>
      <charset val="1"/>
    </font>
    <font>
      <b val="true"/>
      <sz val="10"/>
      <color rgb="FF808080"/>
      <name val="Calibri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2E75B6"/>
        <bgColor rgb="FF4472C4"/>
      </patternFill>
    </fill>
    <fill>
      <patternFill patternType="solid">
        <fgColor rgb="FFF2F6FA"/>
        <bgColor rgb="FFF2F2F2"/>
      </patternFill>
    </fill>
    <fill>
      <patternFill patternType="solid">
        <fgColor rgb="FF4472C4"/>
        <bgColor rgb="FF2E75B6"/>
      </patternFill>
    </fill>
    <fill>
      <patternFill patternType="solid">
        <fgColor rgb="FFC6EFCE"/>
        <bgColor rgb="FFE2EFDA"/>
      </patternFill>
    </fill>
    <fill>
      <patternFill patternType="solid">
        <fgColor rgb="FFFFF2CC"/>
        <bgColor rgb="FFEDF5E6"/>
      </patternFill>
    </fill>
    <fill>
      <patternFill patternType="solid">
        <fgColor rgb="FFFFC7CE"/>
        <bgColor rgb="FFD9D9D9"/>
      </patternFill>
    </fill>
    <fill>
      <patternFill patternType="solid">
        <fgColor rgb="FFE2EFDA"/>
        <bgColor rgb="FFEDF5E6"/>
      </patternFill>
    </fill>
    <fill>
      <patternFill patternType="solid">
        <fgColor rgb="FFF2F2F2"/>
        <bgColor rgb="FFF2F6FA"/>
      </patternFill>
    </fill>
    <fill>
      <patternFill patternType="solid">
        <fgColor rgb="FFEDF5E6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3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20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20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4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24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20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9" fontId="20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24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4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4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25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6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4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9" fontId="2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2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25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33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24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3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3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3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6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name val="Calibri"/>
        <charset val="1"/>
        <family val="0"/>
        <b val="1"/>
        <color rgb="FF006100"/>
        <sz val="11"/>
      </font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7F6000"/>
      <rgbColor rgb="FF800080"/>
      <rgbColor rgb="FF008080"/>
      <rgbColor rgb="FFBFBFBF"/>
      <rgbColor rgb="FF808080"/>
      <rgbColor rgb="FF9999FF"/>
      <rgbColor rgb="FF993366"/>
      <rgbColor rgb="FFFFF2CC"/>
      <rgbColor rgb="FFE2EFDA"/>
      <rgbColor rgb="FF660066"/>
      <rgbColor rgb="FFFF8080"/>
      <rgbColor rgb="FF2E75B6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F5E6"/>
      <rgbColor rgb="FFC6EFCE"/>
      <rgbColor rgb="FFF2F2F2"/>
      <rgbColor rgb="FFF2F6FA"/>
      <rgbColor rgb="FFFF99CC"/>
      <rgbColor rgb="FFCC99FF"/>
      <rgbColor rgb="FFFFC7CE"/>
      <rgbColor rgb="FF4472C4"/>
      <rgbColor rgb="FF33CCCC"/>
      <rgbColor rgb="FF99CC00"/>
      <rgbColor rgb="FFFFCC00"/>
      <rgbColor rgb="FFFF9900"/>
      <rgbColor rgb="FFC55A11"/>
      <rgbColor rgb="FF5C6670"/>
      <rgbColor rgb="FFB3B3B3"/>
      <rgbColor rgb="FF003366"/>
      <rgbColor rgb="FF339966"/>
      <rgbColor rgb="FF006100"/>
      <rgbColor rgb="FF4D5862"/>
      <rgbColor rgb="FF993300"/>
      <rgbColor rgb="FF993366"/>
      <rgbColor rgb="FF1F4E78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Kit price vs order quantity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'Volume Curve'!L5</c:f>
              <c:strCache>
                <c:ptCount val="1"/>
                <c:pt idx="0">
                  <c:v>Fictiv A1 $/kit</c:v>
                </c:pt>
              </c:strCache>
            </c:strRef>
          </c:tx>
          <c:spPr>
            <a:solidFill>
              <a:srgbClr val="2e75b6"/>
            </a:solidFill>
            <a:ln w="28080">
              <a:solidFill>
                <a:srgbClr val="2e75b6"/>
              </a:solidFill>
              <a:round/>
            </a:ln>
          </c:spPr>
          <c:marker>
            <c:symbol val="circle"/>
            <c:size val="7"/>
            <c:spPr>
              <a:solidFill>
                <a:srgbClr val="2e75b6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'Volume Curve'!$K$6:$K$8</c:f>
              <c:strCache>
                <c:ptCount val="3"/>
                <c:pt idx="0">
                  <c:v>1</c:v>
                </c:pt>
                <c:pt idx="1">
                  <c:v>20</c:v>
                </c:pt>
                <c:pt idx="2">
                  <c:v>50</c:v>
                </c:pt>
              </c:strCache>
            </c:strRef>
          </c:cat>
          <c:val>
            <c:numRef>
              <c:f>'Volume Curve'!$L$6:$L$8</c:f>
              <c:numCache>
                <c:formatCode>\$#,##0</c:formatCode>
                <c:ptCount val="3"/>
                <c:pt idx="0">
                  <c:v>2764</c:v>
                </c:pt>
                <c:pt idx="1">
                  <c:v>1808.11</c:v>
                </c:pt>
                <c:pt idx="2">
                  <c:v>1716.54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'Volume Curve'!M5</c:f>
              <c:strCache>
                <c:ptCount val="1"/>
                <c:pt idx="0">
                  <c:v>Xometry $/kit (ref)</c:v>
                </c:pt>
              </c:strCache>
            </c:strRef>
          </c:tx>
          <c:spPr>
            <a:solidFill>
              <a:srgbClr val="c55a11"/>
            </a:solidFill>
            <a:ln w="21960">
              <a:solidFill>
                <a:srgbClr val="c55a11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'Volume Curve'!$K$6:$K$8</c:f>
              <c:strCache>
                <c:ptCount val="3"/>
                <c:pt idx="0">
                  <c:v>1</c:v>
                </c:pt>
                <c:pt idx="1">
                  <c:v>20</c:v>
                </c:pt>
                <c:pt idx="2">
                  <c:v>50</c:v>
                </c:pt>
              </c:strCache>
            </c:strRef>
          </c:cat>
          <c:val>
            <c:numRef>
              <c:f>'Volume Curve'!$M$6:$M$8</c:f>
              <c:numCache>
                <c:formatCode>\$#,##0</c:formatCode>
                <c:ptCount val="3"/>
                <c:pt idx="0">
                  <c:v>1090.8</c:v>
                </c:pt>
                <c:pt idx="1">
                  <c:v>1090.8</c:v>
                </c:pt>
                <c:pt idx="2">
                  <c:v>1090.8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13792238"/>
        <c:axId val="55572259"/>
      </c:lineChart>
      <c:catAx>
        <c:axId val="1379223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Order quantity (kits)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5572259"/>
        <c:crosses val="autoZero"/>
        <c:auto val="1"/>
        <c:lblAlgn val="ctr"/>
        <c:lblOffset val="100"/>
        <c:noMultiLvlLbl val="0"/>
      </c:catAx>
      <c:valAx>
        <c:axId val="55572259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$ per kit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3792238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27</xdr:row>
      <xdr:rowOff>0</xdr:rowOff>
    </xdr:from>
    <xdr:to>
      <xdr:col>4</xdr:col>
      <xdr:colOff>248040</xdr:colOff>
      <xdr:row>43</xdr:row>
      <xdr:rowOff>45360</xdr:rowOff>
    </xdr:to>
    <xdr:graphicFrame>
      <xdr:nvGraphicFramePr>
        <xdr:cNvPr id="0" name="Chart 1"/>
        <xdr:cNvGraphicFramePr/>
      </xdr:nvGraphicFramePr>
      <xdr:xfrm>
        <a:off x="177840" y="5172120"/>
        <a:ext cx="5937480" cy="3093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I5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1" topLeftCell="B12" activePane="bottomRight" state="frozen"/>
      <selection pane="topLeft" activeCell="A1" activeCellId="0" sqref="A1"/>
      <selection pane="topRight" activeCell="B1" activeCellId="0" sqref="B1"/>
      <selection pane="bottomLeft" activeCell="A12" activeCellId="0" sqref="A1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0"/>
    <col collapsed="false" customWidth="true" hidden="false" outlineLevel="0" max="4" min="3" style="1" width="15"/>
    <col collapsed="false" customWidth="true" hidden="false" outlineLevel="0" max="5" min="5" style="1" width="13"/>
    <col collapsed="false" customWidth="true" hidden="false" outlineLevel="0" max="7" min="6" style="1" width="15"/>
    <col collapsed="false" customWidth="true" hidden="false" outlineLevel="0" max="8" min="8" style="1" width="17"/>
    <col collapsed="false" customWidth="true" hidden="false" outlineLevel="0" max="9" min="9" style="1" width="15"/>
    <col collapsed="false" customWidth="true" hidden="false" outlineLevel="0" max="10" min="10" style="1" width="3"/>
  </cols>
  <sheetData>
    <row r="2" customFormat="false" ht="19.5" hidden="false" customHeight="true" outlineLevel="0" collapsed="false">
      <c r="B2" s="2" t="s">
        <v>0</v>
      </c>
    </row>
    <row r="3" customFormat="false" ht="15" hidden="false" customHeight="true" outlineLevel="0" collapsed="false">
      <c r="B3" s="3" t="s">
        <v>1</v>
      </c>
      <c r="C3" s="3"/>
      <c r="D3" s="3"/>
      <c r="E3" s="3"/>
      <c r="F3" s="3"/>
      <c r="G3" s="3"/>
      <c r="H3" s="3"/>
      <c r="I3" s="3"/>
    </row>
    <row r="4" customFormat="false" ht="15" hidden="false" customHeight="true" outlineLevel="0" collapsed="false">
      <c r="B4" s="3"/>
      <c r="C4" s="3"/>
      <c r="D4" s="3"/>
      <c r="E4" s="3"/>
      <c r="F4" s="3"/>
      <c r="G4" s="3"/>
      <c r="H4" s="3"/>
      <c r="I4" s="3"/>
    </row>
    <row r="6" customFormat="false" ht="15" hidden="false" customHeight="true" outlineLevel="0" collapsed="false">
      <c r="B6" s="4" t="s">
        <v>2</v>
      </c>
      <c r="C6" s="4"/>
      <c r="D6" s="4"/>
      <c r="E6" s="4"/>
      <c r="F6" s="4"/>
      <c r="G6" s="4"/>
      <c r="H6" s="4"/>
      <c r="I6" s="4"/>
    </row>
    <row r="7" customFormat="false" ht="24" hidden="false" customHeight="true" outlineLevel="0" collapsed="false">
      <c r="B7" s="5" t="s">
        <v>3</v>
      </c>
      <c r="C7" s="5"/>
      <c r="D7" s="5" t="s">
        <v>4</v>
      </c>
      <c r="E7" s="5"/>
      <c r="F7" s="5" t="s">
        <v>5</v>
      </c>
      <c r="G7" s="5"/>
      <c r="H7" s="5" t="s">
        <v>6</v>
      </c>
      <c r="I7" s="5"/>
    </row>
    <row r="8" customFormat="false" ht="25.5" hidden="false" customHeight="true" outlineLevel="0" collapsed="false">
      <c r="B8" s="6" t="n">
        <f aca="false">'Process Comparison @ 50'!C14</f>
        <v>54540</v>
      </c>
      <c r="C8" s="6"/>
      <c r="D8" s="6" t="n">
        <f aca="false">'Process Comparison @ 50'!C16</f>
        <v>12824</v>
      </c>
      <c r="E8" s="6"/>
      <c r="F8" s="6" t="n">
        <f aca="false">'Process Comparison @ 50'!C15</f>
        <v>18463</v>
      </c>
      <c r="G8" s="6"/>
      <c r="H8" s="7" t="n">
        <v>7252.29</v>
      </c>
      <c r="I8" s="7"/>
    </row>
    <row r="9" customFormat="false" ht="24" hidden="false" customHeight="true" outlineLevel="0" collapsed="false">
      <c r="B9" s="8" t="s">
        <v>7</v>
      </c>
      <c r="C9" s="8"/>
      <c r="D9" s="8" t="s">
        <v>8</v>
      </c>
      <c r="E9" s="8"/>
      <c r="F9" s="8" t="s">
        <v>9</v>
      </c>
      <c r="G9" s="8"/>
      <c r="H9" s="8" t="s">
        <v>10</v>
      </c>
      <c r="I9" s="8"/>
    </row>
    <row r="11" customFormat="false" ht="15" hidden="false" customHeight="true" outlineLevel="0" collapsed="false">
      <c r="B11" s="4" t="s">
        <v>11</v>
      </c>
      <c r="C11" s="4"/>
      <c r="D11" s="4"/>
      <c r="E11" s="4"/>
      <c r="F11" s="4"/>
      <c r="G11" s="4"/>
      <c r="H11" s="4"/>
      <c r="I11" s="4"/>
    </row>
    <row r="12" customFormat="false" ht="15" hidden="false" customHeight="true" outlineLevel="0" collapsed="false">
      <c r="B12" s="9" t="s">
        <v>12</v>
      </c>
      <c r="C12" s="9" t="s">
        <v>13</v>
      </c>
      <c r="D12" s="9" t="s">
        <v>14</v>
      </c>
      <c r="E12" s="9" t="s">
        <v>15</v>
      </c>
      <c r="F12" s="9" t="s">
        <v>16</v>
      </c>
      <c r="G12" s="9" t="s">
        <v>17</v>
      </c>
      <c r="H12" s="9"/>
      <c r="I12" s="9"/>
    </row>
    <row r="13" customFormat="false" ht="15" hidden="false" customHeight="true" outlineLevel="0" collapsed="false">
      <c r="B13" s="10" t="s">
        <v>18</v>
      </c>
      <c r="C13" s="11" t="s">
        <v>19</v>
      </c>
      <c r="D13" s="11" t="s">
        <v>20</v>
      </c>
      <c r="E13" s="12" t="n">
        <f aca="false">'Process Comparison @ 50'!C20</f>
        <v>54246.5</v>
      </c>
      <c r="F13" s="13" t="n">
        <f aca="false">'Process Comparison @ 50'!C20/QtyKits</f>
        <v>1084.93</v>
      </c>
      <c r="G13" s="14" t="n">
        <f aca="false">E13-MIN($E$13:$E$17)</f>
        <v>0</v>
      </c>
    </row>
    <row r="14" customFormat="false" ht="15" hidden="false" customHeight="true" outlineLevel="0" collapsed="false">
      <c r="B14" s="15" t="s">
        <v>21</v>
      </c>
      <c r="C14" s="11" t="s">
        <v>22</v>
      </c>
      <c r="D14" s="11" t="s">
        <v>23</v>
      </c>
      <c r="E14" s="12" t="n">
        <f aca="false">'Process Comparison @ 50'!C14</f>
        <v>54540</v>
      </c>
      <c r="F14" s="13" t="n">
        <f aca="false">'Process Comparison @ 50'!C14/QtyKits</f>
        <v>1090.8</v>
      </c>
      <c r="G14" s="14" t="n">
        <f aca="false">E14-MIN($E$13:$E$17)</f>
        <v>293.500000000007</v>
      </c>
    </row>
    <row r="15" customFormat="false" ht="15" hidden="false" customHeight="true" outlineLevel="0" collapsed="false">
      <c r="B15" s="10" t="s">
        <v>24</v>
      </c>
      <c r="C15" s="11" t="s">
        <v>19</v>
      </c>
      <c r="D15" s="11" t="s">
        <v>25</v>
      </c>
      <c r="E15" s="12" t="n">
        <f aca="false">'Process Comparison @ 50'!C21</f>
        <v>66453</v>
      </c>
      <c r="F15" s="13" t="n">
        <f aca="false">'Process Comparison @ 50'!C21/QtyKits</f>
        <v>1329.06</v>
      </c>
      <c r="G15" s="14" t="n">
        <f aca="false">E15-MIN($E$13:$E$17)</f>
        <v>12206.5</v>
      </c>
    </row>
    <row r="16" customFormat="false" ht="15" hidden="false" customHeight="true" outlineLevel="0" collapsed="false">
      <c r="B16" s="10" t="s">
        <v>26</v>
      </c>
      <c r="C16" s="11" t="s">
        <v>22</v>
      </c>
      <c r="D16" s="11" t="s">
        <v>25</v>
      </c>
      <c r="E16" s="12" t="n">
        <f aca="false">'Process Comparison @ 50'!C13</f>
        <v>67364</v>
      </c>
      <c r="F16" s="13" t="n">
        <f aca="false">'Process Comparison @ 50'!C13/QtyKits</f>
        <v>1347.28</v>
      </c>
      <c r="G16" s="14" t="n">
        <f aca="false">E16-MIN($E$13:$E$17)</f>
        <v>13117.5</v>
      </c>
    </row>
    <row r="17" customFormat="false" ht="15" hidden="false" customHeight="true" outlineLevel="0" collapsed="false">
      <c r="B17" s="10" t="s">
        <v>27</v>
      </c>
      <c r="C17" s="11" t="s">
        <v>28</v>
      </c>
      <c r="D17" s="11" t="s">
        <v>29</v>
      </c>
      <c r="E17" s="12" t="n">
        <f aca="false">'Process Comparison @ 50'!C12</f>
        <v>85827</v>
      </c>
      <c r="F17" s="13" t="n">
        <f aca="false">'Process Comparison @ 50'!C12/QtyKits</f>
        <v>1716.54</v>
      </c>
      <c r="G17" s="14" t="n">
        <f aca="false">E17-MIN($E$13:$E$17)</f>
        <v>31580.5</v>
      </c>
    </row>
    <row r="19" customFormat="false" ht="15" hidden="false" customHeight="true" outlineLevel="0" collapsed="false">
      <c r="B19" s="16" t="s">
        <v>30</v>
      </c>
      <c r="C19" s="16"/>
      <c r="D19" s="16"/>
      <c r="E19" s="16"/>
      <c r="F19" s="16"/>
      <c r="G19" s="16"/>
      <c r="H19" s="16"/>
      <c r="I19" s="16"/>
    </row>
    <row r="20" customFormat="false" ht="15" hidden="false" customHeight="true" outlineLevel="0" collapsed="false">
      <c r="B20" s="16"/>
      <c r="C20" s="16"/>
      <c r="D20" s="16"/>
      <c r="E20" s="16"/>
      <c r="F20" s="16"/>
      <c r="G20" s="16"/>
      <c r="H20" s="16"/>
      <c r="I20" s="16"/>
    </row>
    <row r="22" customFormat="false" ht="15" hidden="false" customHeight="true" outlineLevel="0" collapsed="false">
      <c r="B22" s="4" t="s">
        <v>31</v>
      </c>
      <c r="C22" s="4"/>
      <c r="D22" s="4"/>
      <c r="E22" s="4"/>
      <c r="F22" s="4"/>
      <c r="G22" s="4"/>
      <c r="H22" s="4"/>
      <c r="I22" s="4"/>
    </row>
    <row r="23" customFormat="false" ht="15" hidden="false" customHeight="true" outlineLevel="0" collapsed="false">
      <c r="B23" s="9" t="s">
        <v>32</v>
      </c>
      <c r="C23" s="9" t="s">
        <v>33</v>
      </c>
      <c r="D23" s="9" t="s">
        <v>34</v>
      </c>
      <c r="E23" s="9" t="s">
        <v>35</v>
      </c>
      <c r="F23" s="9" t="s">
        <v>36</v>
      </c>
      <c r="G23" s="9" t="s">
        <v>37</v>
      </c>
      <c r="H23" s="9" t="s">
        <v>38</v>
      </c>
      <c r="I23" s="9"/>
    </row>
    <row r="24" customFormat="false" ht="25.5" hidden="false" customHeight="true" outlineLevel="0" collapsed="false">
      <c r="B24" s="17" t="str">
        <f aca="false">'Process Comparison @ 50'!B6</f>
        <v>667357  Valve receptacle</v>
      </c>
      <c r="C24" s="13" t="n">
        <f aca="false">'Process Comparison @ 50'!C6</f>
        <v>53.71</v>
      </c>
      <c r="D24" s="13" t="n">
        <f aca="false">'Process Comparison @ 50'!D6</f>
        <v>71.93</v>
      </c>
      <c r="E24" s="18" t="n">
        <f aca="false">'Process Comparison @ 50'!E6</f>
        <v>0.339229193818656</v>
      </c>
      <c r="F24" s="13" t="n">
        <f aca="false">'Process Comparison @ 50'!F6</f>
        <v>59.58</v>
      </c>
      <c r="G24" s="19" t="str">
        <f aca="false">'Process Comparison @ 50'!G6</f>
        <v>Fictiv MJF</v>
      </c>
      <c r="H24" s="16" t="s">
        <v>39</v>
      </c>
      <c r="I24" s="16"/>
    </row>
    <row r="25" customFormat="false" ht="25.5" hidden="false" customHeight="true" outlineLevel="0" collapsed="false">
      <c r="B25" s="17" t="str">
        <f aca="false">'Process Comparison @ 50'!B7</f>
        <v>667355  Chest</v>
      </c>
      <c r="C25" s="13" t="n">
        <f aca="false">'Process Comparison @ 50'!C7</f>
        <v>616.18</v>
      </c>
      <c r="D25" s="13" t="n">
        <f aca="false">'Process Comparison @ 50'!D7</f>
        <v>541.58</v>
      </c>
      <c r="E25" s="18" t="n">
        <f aca="false">'Process Comparison @ 50'!E7</f>
        <v>-0.121068518939271</v>
      </c>
      <c r="F25" s="13" t="n">
        <f aca="false">'Process Comparison @ 50'!F7</f>
        <v>378.56</v>
      </c>
      <c r="G25" s="19" t="str">
        <f aca="false">'Process Comparison @ 50'!G7</f>
        <v>Xometry</v>
      </c>
      <c r="H25" s="16" t="s">
        <v>40</v>
      </c>
      <c r="I25" s="16"/>
    </row>
    <row r="26" customFormat="false" ht="25.5" hidden="false" customHeight="true" outlineLevel="0" collapsed="false">
      <c r="B26" s="17" t="str">
        <f aca="false">'Process Comparison @ 50'!B8</f>
        <v>667354  Base</v>
      </c>
      <c r="C26" s="13" t="n">
        <f aca="false">'Process Comparison @ 50'!C8</f>
        <v>1046.65</v>
      </c>
      <c r="D26" s="13" t="n">
        <f aca="false">'Process Comparison @ 50'!D8</f>
        <v>733.77</v>
      </c>
      <c r="E26" s="18" t="n">
        <f aca="false">'Process Comparison @ 50'!E8</f>
        <v>-0.298934696412363</v>
      </c>
      <c r="F26" s="13" t="n">
        <f aca="false">'Process Comparison @ 50'!F8</f>
        <v>652.66</v>
      </c>
      <c r="G26" s="19" t="str">
        <f aca="false">'Process Comparison @ 50'!G8</f>
        <v>Xometry</v>
      </c>
      <c r="H26" s="16" t="s">
        <v>41</v>
      </c>
      <c r="I26" s="16"/>
    </row>
    <row r="27" customFormat="false" ht="15" hidden="false" customHeight="true" outlineLevel="0" collapsed="false">
      <c r="B27" s="15" t="s">
        <v>42</v>
      </c>
      <c r="C27" s="20" t="n">
        <f aca="false">'Process Comparison @ 50'!C9</f>
        <v>1716.54</v>
      </c>
      <c r="D27" s="20" t="n">
        <f aca="false">'Process Comparison @ 50'!D9</f>
        <v>1347.28</v>
      </c>
      <c r="E27" s="21" t="n">
        <f aca="false">'Process Comparison @ 50'!E9</f>
        <v>-0.215118785463782</v>
      </c>
      <c r="F27" s="20" t="n">
        <f aca="false">'Process Comparison @ 50'!F9</f>
        <v>1090.8</v>
      </c>
      <c r="G27" s="22" t="str">
        <f aca="false">IF(MIN(C27,D27,F27)=C27,"Fictiv MJF",IF(MIN(C27,D27,F27)=D27,"Fictiv SLS","Xometry"))</f>
        <v>Xometry</v>
      </c>
    </row>
    <row r="29" customFormat="false" ht="15" hidden="false" customHeight="true" outlineLevel="0" collapsed="false">
      <c r="B29" s="4" t="s">
        <v>43</v>
      </c>
      <c r="C29" s="4"/>
      <c r="D29" s="4"/>
      <c r="E29" s="4"/>
      <c r="F29" s="4"/>
      <c r="G29" s="4"/>
      <c r="H29" s="4"/>
      <c r="I29" s="4"/>
    </row>
    <row r="30" customFormat="false" ht="15" hidden="false" customHeight="true" outlineLevel="0" collapsed="false">
      <c r="B30" s="9" t="s">
        <v>44</v>
      </c>
      <c r="C30" s="9" t="s">
        <v>45</v>
      </c>
      <c r="D30" s="9"/>
      <c r="E30" s="9" t="s">
        <v>46</v>
      </c>
      <c r="F30" s="9"/>
      <c r="G30" s="9" t="s">
        <v>47</v>
      </c>
      <c r="H30" s="9"/>
      <c r="I30" s="9"/>
    </row>
    <row r="31" customFormat="false" ht="27" hidden="false" customHeight="true" outlineLevel="0" collapsed="false">
      <c r="B31" s="15" t="s">
        <v>13</v>
      </c>
      <c r="C31" s="23" t="s">
        <v>48</v>
      </c>
      <c r="D31" s="23"/>
      <c r="E31" s="23" t="s">
        <v>48</v>
      </c>
      <c r="F31" s="23"/>
      <c r="G31" s="24" t="s">
        <v>49</v>
      </c>
    </row>
    <row r="32" customFormat="false" ht="27" hidden="false" customHeight="true" outlineLevel="0" collapsed="false">
      <c r="B32" s="15" t="s">
        <v>50</v>
      </c>
      <c r="C32" s="23" t="s">
        <v>51</v>
      </c>
      <c r="D32" s="23"/>
      <c r="E32" s="23" t="s">
        <v>52</v>
      </c>
      <c r="F32" s="23"/>
      <c r="G32" s="24" t="s">
        <v>49</v>
      </c>
    </row>
    <row r="33" customFormat="false" ht="27" hidden="false" customHeight="true" outlineLevel="0" collapsed="false">
      <c r="B33" s="15" t="s">
        <v>53</v>
      </c>
      <c r="C33" s="23" t="s">
        <v>54</v>
      </c>
      <c r="D33" s="23"/>
      <c r="E33" s="23" t="s">
        <v>55</v>
      </c>
      <c r="F33" s="23"/>
      <c r="G33" s="24" t="s">
        <v>49</v>
      </c>
    </row>
    <row r="34" customFormat="false" ht="27" hidden="false" customHeight="true" outlineLevel="0" collapsed="false">
      <c r="B34" s="15" t="s">
        <v>56</v>
      </c>
      <c r="C34" s="23" t="s">
        <v>57</v>
      </c>
      <c r="D34" s="23"/>
      <c r="E34" s="23" t="s">
        <v>58</v>
      </c>
      <c r="F34" s="23"/>
      <c r="G34" s="25" t="s">
        <v>59</v>
      </c>
    </row>
    <row r="35" customFormat="false" ht="27" hidden="false" customHeight="true" outlineLevel="0" collapsed="false">
      <c r="B35" s="15" t="s">
        <v>14</v>
      </c>
      <c r="C35" s="23" t="s">
        <v>25</v>
      </c>
      <c r="D35" s="23"/>
      <c r="E35" s="23" t="s">
        <v>60</v>
      </c>
      <c r="F35" s="23"/>
      <c r="G35" s="24" t="s">
        <v>61</v>
      </c>
    </row>
    <row r="36" customFormat="false" ht="27" hidden="false" customHeight="true" outlineLevel="0" collapsed="false">
      <c r="B36" s="15" t="s">
        <v>62</v>
      </c>
      <c r="C36" s="23" t="s">
        <v>63</v>
      </c>
      <c r="D36" s="23"/>
      <c r="E36" s="23" t="s">
        <v>64</v>
      </c>
      <c r="F36" s="23"/>
      <c r="G36" s="26" t="s">
        <v>65</v>
      </c>
    </row>
    <row r="37" customFormat="false" ht="27" hidden="false" customHeight="true" outlineLevel="0" collapsed="false">
      <c r="B37" s="15" t="s">
        <v>66</v>
      </c>
      <c r="C37" s="23" t="s">
        <v>67</v>
      </c>
      <c r="D37" s="23"/>
      <c r="E37" s="23" t="s">
        <v>68</v>
      </c>
      <c r="F37" s="23"/>
      <c r="G37" s="26" t="s">
        <v>69</v>
      </c>
    </row>
    <row r="38" customFormat="false" ht="27" hidden="false" customHeight="true" outlineLevel="0" collapsed="false">
      <c r="B38" s="15" t="s">
        <v>70</v>
      </c>
      <c r="C38" s="23" t="s">
        <v>71</v>
      </c>
      <c r="D38" s="23"/>
      <c r="E38" s="23" t="s">
        <v>72</v>
      </c>
      <c r="F38" s="23"/>
      <c r="G38" s="26" t="s">
        <v>73</v>
      </c>
    </row>
    <row r="40" customFormat="false" ht="15" hidden="false" customHeight="true" outlineLevel="0" collapsed="false">
      <c r="B40" s="4" t="s">
        <v>74</v>
      </c>
      <c r="C40" s="4"/>
      <c r="D40" s="4"/>
      <c r="E40" s="4"/>
      <c r="F40" s="4"/>
      <c r="G40" s="4"/>
      <c r="H40" s="4"/>
      <c r="I40" s="4"/>
    </row>
    <row r="41" customFormat="false" ht="15" hidden="false" customHeight="true" outlineLevel="0" collapsed="false">
      <c r="B41" s="9" t="s">
        <v>75</v>
      </c>
      <c r="C41" s="9" t="s">
        <v>76</v>
      </c>
      <c r="D41" s="9"/>
      <c r="E41" s="9" t="s">
        <v>77</v>
      </c>
      <c r="F41" s="9"/>
      <c r="G41" s="9"/>
      <c r="H41" s="9"/>
      <c r="I41" s="9"/>
    </row>
    <row r="42" customFormat="false" ht="30" hidden="false" customHeight="true" outlineLevel="0" collapsed="false">
      <c r="B42" s="27" t="s">
        <v>78</v>
      </c>
      <c r="C42" s="28" t="s">
        <v>79</v>
      </c>
      <c r="D42" s="28"/>
      <c r="E42" s="29" t="s">
        <v>80</v>
      </c>
      <c r="F42" s="29"/>
      <c r="G42" s="29"/>
      <c r="H42" s="29"/>
      <c r="I42" s="29"/>
    </row>
    <row r="43" customFormat="false" ht="30" hidden="false" customHeight="true" outlineLevel="0" collapsed="false">
      <c r="B43" s="27" t="s">
        <v>81</v>
      </c>
      <c r="C43" s="28" t="s">
        <v>82</v>
      </c>
      <c r="D43" s="28"/>
      <c r="E43" s="29" t="s">
        <v>83</v>
      </c>
      <c r="F43" s="29"/>
      <c r="G43" s="29"/>
      <c r="H43" s="29"/>
      <c r="I43" s="29"/>
    </row>
    <row r="44" customFormat="false" ht="30" hidden="false" customHeight="true" outlineLevel="0" collapsed="false">
      <c r="B44" s="30" t="s">
        <v>84</v>
      </c>
      <c r="C44" s="28" t="s">
        <v>85</v>
      </c>
      <c r="D44" s="28"/>
      <c r="E44" s="29" t="s">
        <v>86</v>
      </c>
      <c r="F44" s="29"/>
      <c r="G44" s="29"/>
      <c r="H44" s="29"/>
      <c r="I44" s="29"/>
    </row>
    <row r="45" customFormat="false" ht="30" hidden="false" customHeight="true" outlineLevel="0" collapsed="false">
      <c r="B45" s="30" t="s">
        <v>87</v>
      </c>
      <c r="C45" s="28" t="s">
        <v>88</v>
      </c>
      <c r="D45" s="28"/>
      <c r="E45" s="29" t="s">
        <v>89</v>
      </c>
      <c r="F45" s="29"/>
      <c r="G45" s="29"/>
      <c r="H45" s="29"/>
      <c r="I45" s="29"/>
    </row>
    <row r="46" customFormat="false" ht="30" hidden="false" customHeight="true" outlineLevel="0" collapsed="false">
      <c r="B46" s="31" t="s">
        <v>90</v>
      </c>
      <c r="C46" s="28" t="s">
        <v>91</v>
      </c>
      <c r="D46" s="28"/>
      <c r="E46" s="29" t="s">
        <v>92</v>
      </c>
      <c r="F46" s="29"/>
      <c r="G46" s="29"/>
      <c r="H46" s="29"/>
      <c r="I46" s="29"/>
    </row>
    <row r="49" customFormat="false" ht="15" hidden="false" customHeight="true" outlineLevel="0" collapsed="false">
      <c r="B49" s="16" t="s">
        <v>93</v>
      </c>
      <c r="C49" s="16"/>
      <c r="D49" s="16"/>
      <c r="E49" s="16"/>
      <c r="F49" s="16"/>
      <c r="G49" s="16"/>
      <c r="H49" s="16"/>
      <c r="I49" s="16"/>
    </row>
    <row r="50" customFormat="false" ht="15" hidden="false" customHeight="true" outlineLevel="0" collapsed="false">
      <c r="B50" s="16"/>
      <c r="C50" s="16"/>
      <c r="D50" s="16"/>
      <c r="E50" s="16"/>
      <c r="F50" s="16"/>
      <c r="G50" s="16"/>
      <c r="H50" s="16"/>
      <c r="I50" s="16"/>
    </row>
    <row r="51" customFormat="false" ht="15" hidden="false" customHeight="true" outlineLevel="0" collapsed="false">
      <c r="B51" s="16"/>
      <c r="C51" s="16"/>
      <c r="D51" s="16"/>
      <c r="E51" s="16"/>
      <c r="F51" s="16"/>
      <c r="G51" s="16"/>
      <c r="H51" s="16"/>
      <c r="I51" s="16"/>
    </row>
  </sheetData>
  <mergeCells count="44">
    <mergeCell ref="B3:I4"/>
    <mergeCell ref="B7:C7"/>
    <mergeCell ref="D7:E7"/>
    <mergeCell ref="F7:G7"/>
    <mergeCell ref="H7:I7"/>
    <mergeCell ref="B8:C8"/>
    <mergeCell ref="D8:E8"/>
    <mergeCell ref="F8:G8"/>
    <mergeCell ref="H8:I8"/>
    <mergeCell ref="B9:C9"/>
    <mergeCell ref="D9:E9"/>
    <mergeCell ref="F9:G9"/>
    <mergeCell ref="H9:I9"/>
    <mergeCell ref="B19:I20"/>
    <mergeCell ref="H24:I24"/>
    <mergeCell ref="H25:I25"/>
    <mergeCell ref="H26:I26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42:D42"/>
    <mergeCell ref="E42:I42"/>
    <mergeCell ref="C43:D43"/>
    <mergeCell ref="E43:I43"/>
    <mergeCell ref="C44:D44"/>
    <mergeCell ref="E44:I44"/>
    <mergeCell ref="C45:D45"/>
    <mergeCell ref="E45:I45"/>
    <mergeCell ref="C46:D46"/>
    <mergeCell ref="E46:I46"/>
    <mergeCell ref="B49:I51"/>
  </mergeCells>
  <conditionalFormatting sqref="E13:E17">
    <cfRule type="dataBar" priority="2">
      <dataBar showValue="1" minLength="10" maxLength="90">
        <cfvo type="num" val="0"/>
        <cfvo type="num" val="90000"/>
        <color rgb="FF2E75B6"/>
      </dataBar>
      <extLst>
        <ext xmlns:x14="http://schemas.microsoft.com/office/spreadsheetml/2009/9/main" uri="{B025F937-C7B1-47D3-B67F-A62EFF666E3E}">
          <x14:id>{69913C2A-5068-4322-9E32-309C635D109D}</x14:id>
        </ext>
      </extLst>
    </cfRule>
  </conditionalFormatting>
  <conditionalFormatting sqref="C24:F27">
    <cfRule type="cellIs" priority="3" operator="equal" aboveAverage="0" equalAverage="0" bottom="0" percent="0" rank="0" text="" dxfId="0">
      <formula>MIN($C24,$D24,$F24)</formula>
    </cfRule>
  </conditionalFormatting>
  <printOptions headings="false" gridLines="false" gridLinesSet="true" horizontalCentered="true" verticalCentered="false"/>
  <pageMargins left="0.3" right="0.3" top="0.4" bottom="0.4" header="0.511811023622047" footer="0.5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&amp;L&amp;A&amp;RPage &amp;P of &amp;N</oddFoot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9913C2A-5068-4322-9E32-309C635D109D}">
            <x14:dataBar minLength="10" maxLength="90" axisPosition="none" gradient="true">
              <x14:cfvo type="num">
                <xm:f>0</xm:f>
              </x14:cfvo>
              <x14:cfvo type="num">
                <xm:f>90000</xm:f>
              </x14:cfvo>
              <x14:negativeFillColor rgb="FF2E75B6"/>
              <x14:axisColor rgb="FF000000"/>
            </x14:dataBar>
          </x14:cfRule>
          <xm:sqref>E13:E17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J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0"/>
    <col collapsed="false" customWidth="true" hidden="false" outlineLevel="0" max="7" min="3" style="1" width="13"/>
    <col collapsed="false" customWidth="true" hidden="false" outlineLevel="0" max="8" min="8" style="1" width="11"/>
    <col collapsed="false" customWidth="true" hidden="false" outlineLevel="0" max="9" min="9" style="1" width="14"/>
    <col collapsed="false" customWidth="true" hidden="false" outlineLevel="0" max="10" min="10" style="1" width="58"/>
  </cols>
  <sheetData>
    <row r="2" customFormat="false" ht="17.25" hidden="false" customHeight="true" outlineLevel="0" collapsed="false">
      <c r="B2" s="32" t="s">
        <v>94</v>
      </c>
    </row>
    <row r="3" customFormat="false" ht="21.75" hidden="false" customHeight="true" outlineLevel="0" collapsed="false">
      <c r="B3" s="16" t="s">
        <v>95</v>
      </c>
      <c r="C3" s="16"/>
      <c r="D3" s="16"/>
      <c r="E3" s="16"/>
      <c r="F3" s="16"/>
      <c r="G3" s="16"/>
      <c r="H3" s="16"/>
      <c r="I3" s="16"/>
    </row>
    <row r="5" customFormat="false" ht="15" hidden="false" customHeight="true" outlineLevel="0" collapsed="false">
      <c r="B5" s="4" t="s">
        <v>96</v>
      </c>
      <c r="C5" s="4"/>
      <c r="D5" s="4"/>
      <c r="E5" s="4"/>
      <c r="F5" s="4"/>
      <c r="G5" s="4"/>
      <c r="H5" s="4"/>
      <c r="I5" s="4"/>
    </row>
    <row r="6" customFormat="false" ht="23.25" hidden="false" customHeight="true" outlineLevel="0" collapsed="false">
      <c r="B6" s="9"/>
      <c r="C6" s="9" t="s">
        <v>97</v>
      </c>
      <c r="D6" s="9" t="s">
        <v>98</v>
      </c>
      <c r="E6" s="9" t="s">
        <v>21</v>
      </c>
      <c r="F6" s="9" t="s">
        <v>99</v>
      </c>
      <c r="G6" s="9"/>
      <c r="H6" s="9"/>
      <c r="I6" s="9"/>
    </row>
    <row r="7" customFormat="false" ht="27.75" hidden="false" customHeight="true" outlineLevel="0" collapsed="false">
      <c r="B7" s="33" t="s">
        <v>100</v>
      </c>
      <c r="C7" s="34" t="s">
        <v>101</v>
      </c>
      <c r="D7" s="34" t="s">
        <v>101</v>
      </c>
      <c r="E7" s="34" t="s">
        <v>102</v>
      </c>
      <c r="F7" s="34" t="s">
        <v>101</v>
      </c>
      <c r="G7" s="16" t="s">
        <v>103</v>
      </c>
      <c r="H7" s="16"/>
      <c r="I7" s="16"/>
      <c r="J7" s="16"/>
    </row>
    <row r="8" customFormat="false" ht="15" hidden="false" customHeight="true" outlineLevel="0" collapsed="false">
      <c r="B8" s="33" t="s">
        <v>104</v>
      </c>
      <c r="C8" s="34" t="s">
        <v>105</v>
      </c>
      <c r="D8" s="34" t="s">
        <v>106</v>
      </c>
      <c r="E8" s="34" t="s">
        <v>107</v>
      </c>
      <c r="F8" s="34" t="s">
        <v>108</v>
      </c>
      <c r="G8" s="16" t="s">
        <v>109</v>
      </c>
      <c r="H8" s="16"/>
      <c r="I8" s="16"/>
      <c r="J8" s="16"/>
    </row>
    <row r="9" customFormat="false" ht="15" hidden="false" customHeight="true" outlineLevel="0" collapsed="false">
      <c r="B9" s="33" t="s">
        <v>110</v>
      </c>
      <c r="C9" s="34" t="s">
        <v>111</v>
      </c>
      <c r="D9" s="34" t="s">
        <v>112</v>
      </c>
      <c r="E9" s="34" t="s">
        <v>113</v>
      </c>
      <c r="F9" s="34" t="s">
        <v>114</v>
      </c>
      <c r="G9" s="16" t="s">
        <v>115</v>
      </c>
      <c r="H9" s="16"/>
      <c r="I9" s="16"/>
      <c r="J9" s="16"/>
    </row>
    <row r="10" customFormat="false" ht="15" hidden="false" customHeight="true" outlineLevel="0" collapsed="false">
      <c r="B10" s="33" t="s">
        <v>116</v>
      </c>
      <c r="C10" s="34" t="s">
        <v>78</v>
      </c>
      <c r="D10" s="34" t="s">
        <v>117</v>
      </c>
      <c r="E10" s="34" t="s">
        <v>118</v>
      </c>
      <c r="F10" s="34" t="s">
        <v>118</v>
      </c>
      <c r="G10" s="35" t="s">
        <v>119</v>
      </c>
      <c r="H10" s="35"/>
      <c r="I10" s="35"/>
      <c r="J10" s="35"/>
    </row>
    <row r="11" customFormat="false" ht="15" hidden="false" customHeight="true" outlineLevel="0" collapsed="false">
      <c r="B11" s="33" t="s">
        <v>13</v>
      </c>
      <c r="C11" s="34" t="s">
        <v>28</v>
      </c>
      <c r="D11" s="34" t="s">
        <v>28</v>
      </c>
      <c r="E11" s="34" t="s">
        <v>22</v>
      </c>
      <c r="F11" s="34" t="s">
        <v>22</v>
      </c>
      <c r="G11" s="16" t="s">
        <v>120</v>
      </c>
      <c r="H11" s="16"/>
      <c r="I11" s="16"/>
      <c r="J11" s="16"/>
    </row>
    <row r="12" customFormat="false" ht="15" hidden="false" customHeight="true" outlineLevel="0" collapsed="false">
      <c r="B12" s="33" t="s">
        <v>50</v>
      </c>
      <c r="C12" s="34" t="s">
        <v>121</v>
      </c>
      <c r="D12" s="34" t="s">
        <v>121</v>
      </c>
      <c r="E12" s="34" t="s">
        <v>52</v>
      </c>
      <c r="F12" s="34" t="s">
        <v>51</v>
      </c>
      <c r="G12" s="16" t="s">
        <v>122</v>
      </c>
      <c r="H12" s="16"/>
      <c r="I12" s="16"/>
      <c r="J12" s="16"/>
    </row>
    <row r="13" customFormat="false" ht="15" hidden="false" customHeight="true" outlineLevel="0" collapsed="false">
      <c r="B13" s="33" t="s">
        <v>123</v>
      </c>
      <c r="C13" s="34" t="s">
        <v>124</v>
      </c>
      <c r="D13" s="34" t="s">
        <v>124</v>
      </c>
      <c r="E13" s="34" t="s">
        <v>124</v>
      </c>
      <c r="F13" s="34" t="s">
        <v>124</v>
      </c>
      <c r="G13" s="16" t="s">
        <v>125</v>
      </c>
      <c r="H13" s="16"/>
      <c r="I13" s="16"/>
      <c r="J13" s="16"/>
    </row>
    <row r="14" customFormat="false" ht="15" hidden="false" customHeight="true" outlineLevel="0" collapsed="false">
      <c r="B14" s="33" t="s">
        <v>126</v>
      </c>
      <c r="C14" s="34" t="s">
        <v>127</v>
      </c>
      <c r="D14" s="34" t="s">
        <v>127</v>
      </c>
      <c r="E14" s="34" t="s">
        <v>128</v>
      </c>
      <c r="F14" s="34" t="s">
        <v>129</v>
      </c>
      <c r="G14" s="16" t="s">
        <v>130</v>
      </c>
      <c r="H14" s="16"/>
      <c r="I14" s="16"/>
      <c r="J14" s="16"/>
    </row>
    <row r="16" customFormat="false" ht="15" hidden="false" customHeight="true" outlineLevel="0" collapsed="false">
      <c r="B16" s="4" t="s">
        <v>131</v>
      </c>
      <c r="C16" s="4"/>
      <c r="D16" s="4"/>
      <c r="E16" s="4"/>
      <c r="F16" s="4"/>
      <c r="G16" s="4"/>
      <c r="H16" s="4"/>
      <c r="I16" s="4"/>
    </row>
    <row r="17" customFormat="false" ht="23.25" hidden="false" customHeight="true" outlineLevel="0" collapsed="false">
      <c r="B17" s="9" t="s">
        <v>32</v>
      </c>
      <c r="C17" s="9" t="s">
        <v>132</v>
      </c>
      <c r="D17" s="9" t="s">
        <v>133</v>
      </c>
      <c r="E17" s="9" t="s">
        <v>134</v>
      </c>
      <c r="F17" s="9" t="s">
        <v>135</v>
      </c>
      <c r="G17" s="9" t="s">
        <v>136</v>
      </c>
      <c r="H17" s="9" t="s">
        <v>137</v>
      </c>
      <c r="I17" s="9" t="s">
        <v>138</v>
      </c>
    </row>
    <row r="18" customFormat="false" ht="15" hidden="false" customHeight="true" outlineLevel="0" collapsed="false">
      <c r="B18" s="33" t="s">
        <v>139</v>
      </c>
      <c r="C18" s="36" t="n">
        <v>2.56</v>
      </c>
      <c r="D18" s="37" t="n">
        <v>168.68</v>
      </c>
      <c r="E18" s="37" t="n">
        <v>159.8</v>
      </c>
      <c r="F18" s="37" t="n">
        <v>58.54</v>
      </c>
      <c r="G18" s="37" t="n">
        <v>53.71</v>
      </c>
      <c r="H18" s="37" t="n">
        <v>59.58</v>
      </c>
      <c r="I18" s="37" t="n">
        <v>71.93</v>
      </c>
    </row>
    <row r="19" customFormat="false" ht="15" hidden="false" customHeight="true" outlineLevel="0" collapsed="false">
      <c r="B19" s="33" t="s">
        <v>140</v>
      </c>
      <c r="C19" s="36" t="n">
        <v>11.952</v>
      </c>
      <c r="D19" s="37" t="n">
        <v>1039.11</v>
      </c>
      <c r="E19" s="37" t="n">
        <v>984.42</v>
      </c>
      <c r="F19" s="37" t="n">
        <v>648.38</v>
      </c>
      <c r="G19" s="37" t="n">
        <v>616.18</v>
      </c>
      <c r="H19" s="37" t="n">
        <v>378.56</v>
      </c>
      <c r="I19" s="37" t="n">
        <v>541.58</v>
      </c>
    </row>
    <row r="20" customFormat="false" ht="15" hidden="false" customHeight="true" outlineLevel="0" collapsed="false">
      <c r="B20" s="33" t="s">
        <v>141</v>
      </c>
      <c r="C20" s="36" t="n">
        <v>25.007</v>
      </c>
      <c r="D20" s="37" t="n">
        <v>1709.77</v>
      </c>
      <c r="E20" s="37" t="n">
        <v>1619.78</v>
      </c>
      <c r="F20" s="37" t="n">
        <v>1101.19</v>
      </c>
      <c r="G20" s="37" t="n">
        <v>1046.65</v>
      </c>
      <c r="H20" s="37" t="n">
        <v>652.66</v>
      </c>
      <c r="I20" s="37" t="n">
        <v>733.77</v>
      </c>
    </row>
    <row r="21" customFormat="false" ht="15" hidden="false" customHeight="true" outlineLevel="0" collapsed="false">
      <c r="B21" s="38" t="s">
        <v>142</v>
      </c>
      <c r="C21" s="39" t="n">
        <f aca="false">SUM(C18:C20)</f>
        <v>39.519</v>
      </c>
      <c r="D21" s="40" t="n">
        <f aca="false">SUM(D18:D20)</f>
        <v>2917.56</v>
      </c>
      <c r="E21" s="40" t="n">
        <f aca="false">SUM(E18:E20)</f>
        <v>2764</v>
      </c>
      <c r="F21" s="40" t="n">
        <f aca="false">SUM(F18:F20)</f>
        <v>1808.11</v>
      </c>
      <c r="G21" s="40" t="n">
        <f aca="false">SUM(G18:G20)</f>
        <v>1716.54</v>
      </c>
      <c r="H21" s="40" t="n">
        <f aca="false">SUM(H18:H20)</f>
        <v>1090.8</v>
      </c>
      <c r="I21" s="40" t="n">
        <f aca="false">SUM(I18:I20)</f>
        <v>1347.28</v>
      </c>
    </row>
    <row r="23" customFormat="false" ht="15" hidden="false" customHeight="true" outlineLevel="0" collapsed="false">
      <c r="B23" s="4" t="s">
        <v>143</v>
      </c>
      <c r="C23" s="4"/>
      <c r="D23" s="4"/>
      <c r="E23" s="4"/>
      <c r="F23" s="4"/>
      <c r="G23" s="4"/>
      <c r="H23" s="4"/>
      <c r="I23" s="4"/>
    </row>
    <row r="24" customFormat="false" ht="23.25" hidden="false" customHeight="true" outlineLevel="0" collapsed="false">
      <c r="B24" s="9"/>
      <c r="C24" s="9"/>
      <c r="D24" s="9" t="s">
        <v>134</v>
      </c>
      <c r="E24" s="9" t="s">
        <v>135</v>
      </c>
      <c r="F24" s="9" t="s">
        <v>136</v>
      </c>
      <c r="G24" s="9" t="s">
        <v>137</v>
      </c>
      <c r="H24" s="9"/>
      <c r="I24" s="9"/>
    </row>
    <row r="25" customFormat="false" ht="15" hidden="false" customHeight="true" outlineLevel="0" collapsed="false">
      <c r="B25" s="33" t="s">
        <v>144</v>
      </c>
      <c r="D25" s="41" t="n">
        <v>6</v>
      </c>
      <c r="E25" s="41" t="n">
        <v>20</v>
      </c>
      <c r="F25" s="41" t="n">
        <v>32</v>
      </c>
      <c r="G25" s="41" t="n">
        <v>35</v>
      </c>
    </row>
    <row r="26" customFormat="false" ht="15" hidden="false" customHeight="true" outlineLevel="0" collapsed="false">
      <c r="B26" s="16" t="s">
        <v>145</v>
      </c>
      <c r="C26" s="16"/>
      <c r="D26" s="16"/>
      <c r="E26" s="16"/>
      <c r="F26" s="16"/>
      <c r="G26" s="16"/>
      <c r="H26" s="16"/>
      <c r="I26" s="16"/>
    </row>
    <row r="27" customFormat="false" ht="15" hidden="false" customHeight="true" outlineLevel="0" collapsed="false">
      <c r="B27" s="16"/>
      <c r="C27" s="16"/>
      <c r="D27" s="16"/>
      <c r="E27" s="16"/>
      <c r="F27" s="16"/>
      <c r="G27" s="16"/>
      <c r="H27" s="16"/>
      <c r="I27" s="16"/>
    </row>
    <row r="29" customFormat="false" ht="15" hidden="false" customHeight="true" outlineLevel="0" collapsed="false">
      <c r="B29" s="4" t="s">
        <v>146</v>
      </c>
      <c r="C29" s="4"/>
      <c r="D29" s="4"/>
      <c r="E29" s="4"/>
      <c r="F29" s="4"/>
      <c r="G29" s="4"/>
      <c r="H29" s="4"/>
      <c r="I29" s="4"/>
    </row>
    <row r="30" customFormat="false" ht="15" hidden="false" customHeight="true" outlineLevel="0" collapsed="false">
      <c r="B30" s="33" t="s">
        <v>147</v>
      </c>
      <c r="C30" s="42" t="n">
        <v>50</v>
      </c>
      <c r="E30" s="16" t="s">
        <v>148</v>
      </c>
      <c r="F30" s="16"/>
      <c r="G30" s="16"/>
      <c r="H30" s="16"/>
      <c r="I30" s="16"/>
    </row>
    <row r="32" customFormat="false" ht="15" hidden="false" customHeight="true" outlineLevel="0" collapsed="false">
      <c r="B32" s="35" t="s">
        <v>149</v>
      </c>
      <c r="C32" s="35"/>
      <c r="D32" s="35"/>
      <c r="E32" s="35"/>
      <c r="F32" s="35"/>
      <c r="G32" s="35"/>
      <c r="H32" s="35"/>
      <c r="I32" s="35"/>
      <c r="J32" s="35"/>
    </row>
    <row r="33" customFormat="false" ht="15" hidden="false" customHeight="true" outlineLevel="0" collapsed="false">
      <c r="B33" s="35"/>
      <c r="C33" s="35"/>
      <c r="D33" s="35"/>
      <c r="E33" s="35"/>
      <c r="F33" s="35"/>
      <c r="G33" s="35"/>
      <c r="H33" s="35"/>
      <c r="I33" s="35"/>
      <c r="J33" s="35"/>
    </row>
    <row r="34" customFormat="false" ht="15" hidden="false" customHeight="true" outlineLevel="0" collapsed="false">
      <c r="B34" s="35"/>
      <c r="C34" s="35"/>
      <c r="D34" s="35"/>
      <c r="E34" s="35"/>
      <c r="F34" s="35"/>
      <c r="G34" s="35"/>
      <c r="H34" s="35"/>
      <c r="I34" s="35"/>
      <c r="J34" s="35"/>
    </row>
  </sheetData>
  <mergeCells count="12">
    <mergeCell ref="B3:I3"/>
    <mergeCell ref="G7:J7"/>
    <mergeCell ref="G8:J8"/>
    <mergeCell ref="G9:J9"/>
    <mergeCell ref="G10:J10"/>
    <mergeCell ref="G11:J11"/>
    <mergeCell ref="G12:J12"/>
    <mergeCell ref="G13:J13"/>
    <mergeCell ref="G14:J14"/>
    <mergeCell ref="B26:I27"/>
    <mergeCell ref="E30:I30"/>
    <mergeCell ref="B32:J34"/>
  </mergeCells>
  <printOptions headings="false" gridLines="false" gridLinesSet="true" horizontalCentered="true" verticalCentered="false"/>
  <pageMargins left="0.3" right="0.3" top="0.4" bottom="0.4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&amp;L&amp;A&amp;RPage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I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7"/>
    <col collapsed="false" customWidth="true" hidden="false" outlineLevel="0" max="5" min="3" style="1" width="14"/>
    <col collapsed="false" customWidth="true" hidden="false" outlineLevel="0" max="6" min="6" style="1" width="13"/>
    <col collapsed="false" customWidth="true" hidden="false" outlineLevel="0" max="7" min="7" style="1" width="12"/>
    <col collapsed="false" customWidth="true" hidden="false" outlineLevel="0" max="8" min="8" style="1" width="13"/>
    <col collapsed="false" customWidth="true" hidden="false" outlineLevel="0" max="9" min="9" style="1" width="15"/>
  </cols>
  <sheetData>
    <row r="2" customFormat="false" ht="17.25" hidden="false" customHeight="true" outlineLevel="0" collapsed="false">
      <c r="B2" s="32" t="s">
        <v>150</v>
      </c>
    </row>
    <row r="3" customFormat="false" ht="21.75" hidden="false" customHeight="true" outlineLevel="0" collapsed="false">
      <c r="B3" s="16" t="s">
        <v>151</v>
      </c>
      <c r="C3" s="16"/>
      <c r="D3" s="16"/>
      <c r="E3" s="16"/>
      <c r="F3" s="16"/>
      <c r="G3" s="16"/>
      <c r="H3" s="16"/>
      <c r="I3" s="16"/>
    </row>
    <row r="5" customFormat="false" ht="23.25" hidden="false" customHeight="true" outlineLevel="0" collapsed="false">
      <c r="B5" s="9" t="s">
        <v>32</v>
      </c>
      <c r="C5" s="9" t="s">
        <v>152</v>
      </c>
      <c r="D5" s="9" t="s">
        <v>153</v>
      </c>
      <c r="E5" s="9" t="s">
        <v>154</v>
      </c>
      <c r="F5" s="9" t="s">
        <v>155</v>
      </c>
      <c r="G5" s="9" t="s">
        <v>156</v>
      </c>
      <c r="H5" s="9" t="s">
        <v>157</v>
      </c>
      <c r="I5" s="9" t="s">
        <v>158</v>
      </c>
    </row>
    <row r="6" customFormat="false" ht="15" hidden="false" customHeight="true" outlineLevel="0" collapsed="false">
      <c r="B6" s="43" t="str">
        <f aca="false">'Inputs &amp; Assumptions'!B18</f>
        <v>667357  Valve receptacle</v>
      </c>
      <c r="C6" s="40" t="n">
        <f aca="false">'Inputs &amp; Assumptions'!G18</f>
        <v>53.71</v>
      </c>
      <c r="D6" s="40" t="n">
        <f aca="false">'Inputs &amp; Assumptions'!H18</f>
        <v>59.58</v>
      </c>
      <c r="E6" s="40" t="n">
        <f aca="false">C6-D6</f>
        <v>-5.87</v>
      </c>
      <c r="F6" s="44" t="n">
        <f aca="false">IF(MAX(C6,D6)=0,0,ABS(C6-D6)/MAX(C6,D6))</f>
        <v>0.098522994293387</v>
      </c>
      <c r="G6" s="45" t="str">
        <f aca="false">IF(C6&lt;D6,"FICTIV","XOMETRY")</f>
        <v>FICTIV</v>
      </c>
      <c r="H6" s="40" t="n">
        <f aca="false">IF('Inputs &amp; Assumptions'!C18=0,0,C6/'Inputs &amp; Assumptions'!C18)</f>
        <v>20.98046875</v>
      </c>
      <c r="I6" s="40" t="n">
        <f aca="false">IF('Inputs &amp; Assumptions'!C18=0,0,D6/'Inputs &amp; Assumptions'!C18)</f>
        <v>23.2734375</v>
      </c>
    </row>
    <row r="7" customFormat="false" ht="15" hidden="false" customHeight="true" outlineLevel="0" collapsed="false">
      <c r="B7" s="43" t="str">
        <f aca="false">'Inputs &amp; Assumptions'!B19</f>
        <v>667355  Chest</v>
      </c>
      <c r="C7" s="40" t="n">
        <f aca="false">'Inputs &amp; Assumptions'!G19</f>
        <v>616.18</v>
      </c>
      <c r="D7" s="40" t="n">
        <f aca="false">'Inputs &amp; Assumptions'!H19</f>
        <v>378.56</v>
      </c>
      <c r="E7" s="40" t="n">
        <f aca="false">C7-D7</f>
        <v>237.62</v>
      </c>
      <c r="F7" s="44" t="n">
        <f aca="false">IF(MAX(C7,D7)=0,0,ABS(C7-D7)/MAX(C7,D7))</f>
        <v>0.385634067967152</v>
      </c>
      <c r="G7" s="45" t="str">
        <f aca="false">IF(C7&lt;D7,"FICTIV","XOMETRY")</f>
        <v>XOMETRY</v>
      </c>
      <c r="H7" s="40" t="n">
        <f aca="false">IF('Inputs &amp; Assumptions'!C19=0,0,C7/'Inputs &amp; Assumptions'!C19)</f>
        <v>51.5545515394913</v>
      </c>
      <c r="I7" s="40" t="n">
        <f aca="false">IF('Inputs &amp; Assumptions'!C19=0,0,D7/'Inputs &amp; Assumptions'!C19)</f>
        <v>31.673360107095</v>
      </c>
    </row>
    <row r="8" customFormat="false" ht="15" hidden="false" customHeight="true" outlineLevel="0" collapsed="false">
      <c r="B8" s="43" t="str">
        <f aca="false">'Inputs &amp; Assumptions'!B20</f>
        <v>667354  Base</v>
      </c>
      <c r="C8" s="40" t="n">
        <f aca="false">'Inputs &amp; Assumptions'!G20</f>
        <v>1046.65</v>
      </c>
      <c r="D8" s="40" t="n">
        <f aca="false">'Inputs &amp; Assumptions'!H20</f>
        <v>652.66</v>
      </c>
      <c r="E8" s="40" t="n">
        <f aca="false">C8-D8</f>
        <v>393.99</v>
      </c>
      <c r="F8" s="44" t="n">
        <f aca="false">IF(MAX(C8,D8)=0,0,ABS(C8-D8)/MAX(C8,D8))</f>
        <v>0.376429560980271</v>
      </c>
      <c r="G8" s="45" t="str">
        <f aca="false">IF(C8&lt;D8,"FICTIV","XOMETRY")</f>
        <v>XOMETRY</v>
      </c>
      <c r="H8" s="40" t="n">
        <f aca="false">IF('Inputs &amp; Assumptions'!C20=0,0,C8/'Inputs &amp; Assumptions'!C20)</f>
        <v>41.8542808013756</v>
      </c>
      <c r="I8" s="40" t="n">
        <f aca="false">IF('Inputs &amp; Assumptions'!C20=0,0,D8/'Inputs &amp; Assumptions'!C20)</f>
        <v>26.0990922541688</v>
      </c>
    </row>
    <row r="9" customFormat="false" ht="15" hidden="false" customHeight="true" outlineLevel="0" collapsed="false">
      <c r="B9" s="38" t="s">
        <v>159</v>
      </c>
      <c r="C9" s="40" t="n">
        <f aca="false">SUM(C6:C8)</f>
        <v>1716.54</v>
      </c>
      <c r="D9" s="40" t="n">
        <f aca="false">SUM(D6:D8)</f>
        <v>1090.8</v>
      </c>
      <c r="E9" s="40" t="n">
        <f aca="false">C9-D9</f>
        <v>625.74</v>
      </c>
      <c r="F9" s="44" t="n">
        <f aca="false">IF(MAX(C9,D9)=0,0,ABS(C9-D9)/MAX(C9,D9))</f>
        <v>0.364535635639135</v>
      </c>
      <c r="G9" s="45" t="str">
        <f aca="false">IF(C9&lt;D9,"FICTIV","XOMETRY")</f>
        <v>XOMETRY</v>
      </c>
      <c r="H9" s="40" t="n">
        <f aca="false">IF(VolKit=0,0,C9/VolKit)</f>
        <v>43.4358156835952</v>
      </c>
      <c r="I9" s="40" t="n">
        <f aca="false">IF(VolKit=0,0,D9/VolKit)</f>
        <v>27.6019130038716</v>
      </c>
    </row>
    <row r="11" customFormat="false" ht="15" hidden="false" customHeight="true" outlineLevel="0" collapsed="false">
      <c r="B11" s="4" t="s">
        <v>160</v>
      </c>
      <c r="C11" s="4"/>
      <c r="D11" s="4"/>
      <c r="E11" s="4"/>
      <c r="F11" s="4"/>
      <c r="G11" s="4"/>
      <c r="H11" s="4"/>
    </row>
    <row r="12" customFormat="false" ht="15" hidden="false" customHeight="true" outlineLevel="0" collapsed="false">
      <c r="B12" s="33" t="s">
        <v>161</v>
      </c>
      <c r="C12" s="46" t="n">
        <f aca="false">C9*QtyKits</f>
        <v>85827</v>
      </c>
    </row>
    <row r="13" customFormat="false" ht="15" hidden="false" customHeight="true" outlineLevel="0" collapsed="false">
      <c r="B13" s="33" t="s">
        <v>162</v>
      </c>
      <c r="C13" s="46" t="n">
        <f aca="false">D9*QtyKits</f>
        <v>54540</v>
      </c>
    </row>
    <row r="14" customFormat="false" ht="15" hidden="false" customHeight="true" outlineLevel="0" collapsed="false">
      <c r="B14" s="33" t="s">
        <v>163</v>
      </c>
      <c r="C14" s="47" t="n">
        <f aca="false">C12-C13</f>
        <v>31287</v>
      </c>
    </row>
    <row r="15" customFormat="false" ht="15" hidden="false" customHeight="true" outlineLevel="0" collapsed="false">
      <c r="B15" s="33" t="s">
        <v>164</v>
      </c>
      <c r="C15" s="44" t="n">
        <f aca="false">IF(C12=0,0,(C12-C13)/C12)</f>
        <v>0.364535635639135</v>
      </c>
    </row>
    <row r="17" customFormat="false" ht="15" hidden="false" customHeight="true" outlineLevel="0" collapsed="false">
      <c r="B17" s="4" t="s">
        <v>165</v>
      </c>
      <c r="C17" s="4"/>
      <c r="D17" s="4"/>
      <c r="E17" s="4"/>
      <c r="F17" s="4"/>
      <c r="G17" s="4"/>
      <c r="H17" s="4"/>
    </row>
    <row r="18" customFormat="false" ht="15" hidden="false" customHeight="true" outlineLevel="0" collapsed="false">
      <c r="B18" s="33" t="s">
        <v>166</v>
      </c>
      <c r="C18" s="44" t="n">
        <f aca="false">IF(KitA0=0,0,1-KitX50/KitA0)</f>
        <v>0.626125940854687</v>
      </c>
      <c r="D18" s="16" t="s">
        <v>167</v>
      </c>
      <c r="E18" s="16"/>
      <c r="F18" s="16"/>
      <c r="G18" s="16"/>
      <c r="H18" s="16"/>
      <c r="I18" s="16"/>
    </row>
    <row r="19" customFormat="false" ht="15" hidden="false" customHeight="true" outlineLevel="0" collapsed="false">
      <c r="B19" s="33" t="s">
        <v>168</v>
      </c>
      <c r="C19" s="44" t="n">
        <f aca="false">IF(C9=0,0,1-D9/C9)</f>
        <v>0.364535635639135</v>
      </c>
      <c r="D19" s="16" t="s">
        <v>169</v>
      </c>
      <c r="E19" s="16"/>
      <c r="F19" s="16"/>
      <c r="G19" s="16"/>
      <c r="H19" s="16"/>
      <c r="I19" s="16"/>
    </row>
    <row r="20" customFormat="false" ht="15" hidden="false" customHeight="true" outlineLevel="0" collapsed="false">
      <c r="B20" s="33" t="s">
        <v>170</v>
      </c>
      <c r="C20" s="44" t="n">
        <f aca="false">IF(KitA1q1=0,0,1-KitA1q50/KitA1q1)</f>
        <v>0.378965267727931</v>
      </c>
      <c r="D20" s="16" t="s">
        <v>171</v>
      </c>
      <c r="E20" s="16"/>
      <c r="F20" s="16"/>
      <c r="G20" s="16"/>
      <c r="H20" s="16"/>
      <c r="I20" s="16"/>
    </row>
    <row r="21" customFormat="false" ht="15" hidden="false" customHeight="true" outlineLevel="0" collapsed="false">
      <c r="B21" s="33" t="s">
        <v>172</v>
      </c>
      <c r="C21" s="44" t="n">
        <f aca="false">IF(KitA1q1=0,0,1-KitX50/KitA1q1)</f>
        <v>0.605354558610709</v>
      </c>
      <c r="D21" s="16" t="s">
        <v>173</v>
      </c>
      <c r="E21" s="16"/>
      <c r="F21" s="16"/>
      <c r="G21" s="16"/>
      <c r="H21" s="16"/>
      <c r="I21" s="16"/>
    </row>
    <row r="23" customFormat="false" ht="15" hidden="false" customHeight="true" outlineLevel="0" collapsed="false">
      <c r="B23" s="35" t="s">
        <v>174</v>
      </c>
      <c r="C23" s="35"/>
      <c r="D23" s="35"/>
      <c r="E23" s="35"/>
      <c r="F23" s="35"/>
      <c r="G23" s="35"/>
      <c r="H23" s="35"/>
      <c r="I23" s="35"/>
    </row>
    <row r="24" customFormat="false" ht="15" hidden="false" customHeight="true" outlineLevel="0" collapsed="false">
      <c r="B24" s="35"/>
      <c r="C24" s="35"/>
      <c r="D24" s="35"/>
      <c r="E24" s="35"/>
      <c r="F24" s="35"/>
      <c r="G24" s="35"/>
      <c r="H24" s="35"/>
      <c r="I24" s="35"/>
    </row>
  </sheetData>
  <mergeCells count="6">
    <mergeCell ref="B3:I3"/>
    <mergeCell ref="D18:I18"/>
    <mergeCell ref="D19:I19"/>
    <mergeCell ref="D20:I20"/>
    <mergeCell ref="D21:I21"/>
    <mergeCell ref="B23:I24"/>
  </mergeCells>
  <conditionalFormatting sqref="G6:G9">
    <cfRule type="cellIs" priority="2" operator="equal" aboveAverage="0" equalAverage="0" bottom="0" percent="0" rank="0" text="" dxfId="0">
      <formula>"FICTIV"</formula>
    </cfRule>
  </conditionalFormatting>
  <printOptions headings="false" gridLines="false" gridLinesSet="true" horizontalCentered="true" verticalCentered="false"/>
  <pageMargins left="0.3" right="0.3" top="0.4" bottom="0.4" header="0.511811023622047" footer="0.5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&amp;L&amp;A&amp;RPage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H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8"/>
    <col collapsed="false" customWidth="true" hidden="false" outlineLevel="0" max="4" min="3" style="1" width="14"/>
    <col collapsed="false" customWidth="true" hidden="false" outlineLevel="0" max="5" min="5" style="1" width="12"/>
    <col collapsed="false" customWidth="true" hidden="false" outlineLevel="0" max="7" min="6" style="1" width="14"/>
    <col collapsed="false" customWidth="true" hidden="false" outlineLevel="0" max="8" min="8" style="1" width="44"/>
  </cols>
  <sheetData>
    <row r="2" customFormat="false" ht="17.25" hidden="false" customHeight="true" outlineLevel="0" collapsed="false">
      <c r="B2" s="32" t="s">
        <v>175</v>
      </c>
    </row>
    <row r="3" customFormat="false" ht="15" hidden="false" customHeight="true" outlineLevel="0" collapsed="false">
      <c r="B3" s="16" t="s">
        <v>176</v>
      </c>
      <c r="C3" s="16"/>
      <c r="D3" s="16"/>
      <c r="E3" s="16"/>
      <c r="F3" s="16"/>
      <c r="G3" s="16"/>
      <c r="H3" s="16"/>
    </row>
    <row r="5" customFormat="false" ht="15" hidden="false" customHeight="true" outlineLevel="0" collapsed="false">
      <c r="B5" s="9" t="s">
        <v>32</v>
      </c>
      <c r="C5" s="9" t="s">
        <v>33</v>
      </c>
      <c r="D5" s="9" t="s">
        <v>34</v>
      </c>
      <c r="E5" s="9" t="s">
        <v>177</v>
      </c>
      <c r="F5" s="9" t="s">
        <v>36</v>
      </c>
      <c r="G5" s="9" t="s">
        <v>37</v>
      </c>
      <c r="H5" s="9" t="s">
        <v>38</v>
      </c>
    </row>
    <row r="6" customFormat="false" ht="21.75" hidden="false" customHeight="true" outlineLevel="0" collapsed="false">
      <c r="B6" s="43" t="str">
        <f aca="false">'Inputs &amp; Assumptions'!B18</f>
        <v>667357  Valve receptacle</v>
      </c>
      <c r="C6" s="40" t="n">
        <f aca="false">'Inputs &amp; Assumptions'!G18</f>
        <v>53.71</v>
      </c>
      <c r="D6" s="40" t="n">
        <f aca="false">'Inputs &amp; Assumptions'!I18</f>
        <v>71.93</v>
      </c>
      <c r="E6" s="44" t="n">
        <f aca="false">IF(C6=0,0,D6/C6-1)</f>
        <v>0.339229193818656</v>
      </c>
      <c r="F6" s="40" t="n">
        <f aca="false">'Inputs &amp; Assumptions'!H18</f>
        <v>59.58</v>
      </c>
      <c r="G6" s="45" t="str">
        <f aca="false">IF(MIN(C6,D6,F6)=C6,"Fictiv MJF",IF(MIN(C6,D6,F6)=D6,"Fictiv SLS","Xometry"))</f>
        <v>Fictiv MJF</v>
      </c>
      <c r="H6" s="48" t="s">
        <v>178</v>
      </c>
    </row>
    <row r="7" customFormat="false" ht="21.75" hidden="false" customHeight="true" outlineLevel="0" collapsed="false">
      <c r="B7" s="43" t="str">
        <f aca="false">'Inputs &amp; Assumptions'!B19</f>
        <v>667355  Chest</v>
      </c>
      <c r="C7" s="40" t="n">
        <f aca="false">'Inputs &amp; Assumptions'!G19</f>
        <v>616.18</v>
      </c>
      <c r="D7" s="40" t="n">
        <f aca="false">'Inputs &amp; Assumptions'!I19</f>
        <v>541.58</v>
      </c>
      <c r="E7" s="44" t="n">
        <f aca="false">IF(C7=0,0,D7/C7-1)</f>
        <v>-0.121068518939271</v>
      </c>
      <c r="F7" s="40" t="n">
        <f aca="false">'Inputs &amp; Assumptions'!H19</f>
        <v>378.56</v>
      </c>
      <c r="G7" s="45" t="str">
        <f aca="false">IF(MIN(C7,D7,F7)=C7,"Fictiv MJF",IF(MIN(C7,D7,F7)=D7,"Fictiv SLS","Xometry"))</f>
        <v>Xometry</v>
      </c>
      <c r="H7" s="48" t="s">
        <v>179</v>
      </c>
    </row>
    <row r="8" customFormat="false" ht="21.75" hidden="false" customHeight="true" outlineLevel="0" collapsed="false">
      <c r="B8" s="43" t="str">
        <f aca="false">'Inputs &amp; Assumptions'!B20</f>
        <v>667354  Base</v>
      </c>
      <c r="C8" s="40" t="n">
        <f aca="false">'Inputs &amp; Assumptions'!G20</f>
        <v>1046.65</v>
      </c>
      <c r="D8" s="40" t="n">
        <f aca="false">'Inputs &amp; Assumptions'!I20</f>
        <v>733.77</v>
      </c>
      <c r="E8" s="44" t="n">
        <f aca="false">IF(C8=0,0,D8/C8-1)</f>
        <v>-0.298934696412363</v>
      </c>
      <c r="F8" s="40" t="n">
        <f aca="false">'Inputs &amp; Assumptions'!H20</f>
        <v>652.66</v>
      </c>
      <c r="G8" s="45" t="str">
        <f aca="false">IF(MIN(C8,D8,F8)=C8,"Fictiv MJF",IF(MIN(C8,D8,F8)=D8,"Fictiv SLS","Xometry"))</f>
        <v>Xometry</v>
      </c>
      <c r="H8" s="48" t="s">
        <v>180</v>
      </c>
    </row>
    <row r="9" customFormat="false" ht="15" hidden="false" customHeight="true" outlineLevel="0" collapsed="false">
      <c r="B9" s="38" t="s">
        <v>42</v>
      </c>
      <c r="C9" s="40" t="n">
        <f aca="false">SUM(C6:C8)</f>
        <v>1716.54</v>
      </c>
      <c r="D9" s="40" t="n">
        <f aca="false">SUM(D6:D8)</f>
        <v>1347.28</v>
      </c>
      <c r="E9" s="44" t="n">
        <f aca="false">IF(C9=0,0,D9/C9-1)</f>
        <v>-0.215118785463782</v>
      </c>
      <c r="F9" s="40" t="n">
        <f aca="false">SUM(F6:F8)</f>
        <v>1090.8</v>
      </c>
      <c r="G9" s="49" t="str">
        <f aca="false">IF(MIN(C9,D9,F9)=C9,"Fictiv MJF",IF(MIN(C9,D9,F9)=D9,"Fictiv SLS","Xometry"))</f>
        <v>Xometry</v>
      </c>
    </row>
    <row r="11" customFormat="false" ht="15" hidden="false" customHeight="true" outlineLevel="0" collapsed="false">
      <c r="B11" s="4" t="s">
        <v>181</v>
      </c>
      <c r="C11" s="4"/>
      <c r="D11" s="4"/>
      <c r="E11" s="4"/>
      <c r="F11" s="4"/>
      <c r="G11" s="4"/>
    </row>
    <row r="12" customFormat="false" ht="15" hidden="false" customHeight="true" outlineLevel="0" collapsed="false">
      <c r="B12" s="33" t="s">
        <v>27</v>
      </c>
      <c r="C12" s="46" t="n">
        <f aca="false">C9*QtyKits</f>
        <v>85827</v>
      </c>
    </row>
    <row r="13" customFormat="false" ht="15" hidden="false" customHeight="true" outlineLevel="0" collapsed="false">
      <c r="B13" s="33" t="s">
        <v>182</v>
      </c>
      <c r="C13" s="46" t="n">
        <f aca="false">D9*QtyKits</f>
        <v>67364</v>
      </c>
    </row>
    <row r="14" customFormat="false" ht="15" hidden="false" customHeight="true" outlineLevel="0" collapsed="false">
      <c r="B14" s="33" t="s">
        <v>46</v>
      </c>
      <c r="C14" s="46" t="n">
        <f aca="false">F9*QtyKits</f>
        <v>54540</v>
      </c>
    </row>
    <row r="15" customFormat="false" ht="15" hidden="false" customHeight="true" outlineLevel="0" collapsed="false">
      <c r="B15" s="33" t="s">
        <v>183</v>
      </c>
      <c r="C15" s="50" t="n">
        <f aca="false">C12-C13</f>
        <v>18463</v>
      </c>
      <c r="D15" s="16" t="s">
        <v>184</v>
      </c>
      <c r="E15" s="16"/>
      <c r="F15" s="16"/>
      <c r="G15" s="16"/>
      <c r="H15" s="16"/>
    </row>
    <row r="16" customFormat="false" ht="15" hidden="false" customHeight="true" outlineLevel="0" collapsed="false">
      <c r="B16" s="33" t="s">
        <v>185</v>
      </c>
      <c r="C16" s="47" t="n">
        <f aca="false">C13-C14</f>
        <v>12824</v>
      </c>
      <c r="D16" s="16" t="s">
        <v>186</v>
      </c>
      <c r="E16" s="16"/>
      <c r="F16" s="16"/>
      <c r="G16" s="16"/>
      <c r="H16" s="16"/>
    </row>
    <row r="17" customFormat="false" ht="15" hidden="false" customHeight="true" outlineLevel="0" collapsed="false">
      <c r="B17" s="33" t="s">
        <v>187</v>
      </c>
      <c r="C17" s="44" t="n">
        <f aca="false">IF(C13=0,0,(C13-C14)/C13)</f>
        <v>0.190368742948756</v>
      </c>
      <c r="D17" s="16" t="s">
        <v>188</v>
      </c>
      <c r="E17" s="16"/>
      <c r="F17" s="16"/>
      <c r="G17" s="16"/>
      <c r="H17" s="16"/>
    </row>
    <row r="19" customFormat="false" ht="15" hidden="false" customHeight="true" outlineLevel="0" collapsed="false">
      <c r="B19" s="4" t="s">
        <v>189</v>
      </c>
      <c r="C19" s="4"/>
      <c r="D19" s="4"/>
      <c r="E19" s="4"/>
      <c r="F19" s="4"/>
      <c r="G19" s="4"/>
    </row>
    <row r="20" customFormat="false" ht="15" hidden="false" customHeight="true" outlineLevel="0" collapsed="false">
      <c r="B20" s="33" t="s">
        <v>190</v>
      </c>
      <c r="C20" s="46" t="n">
        <f aca="false">(MIN(C6,D6,F6)+MIN(C7,D7,F7)+MIN(C8,D8,F8))*QtyKits</f>
        <v>54246.5</v>
      </c>
      <c r="D20" s="16" t="s">
        <v>191</v>
      </c>
      <c r="E20" s="16"/>
      <c r="F20" s="16"/>
      <c r="G20" s="16"/>
      <c r="H20" s="16"/>
    </row>
    <row r="21" customFormat="false" ht="15" hidden="false" customHeight="true" outlineLevel="0" collapsed="false">
      <c r="B21" s="33" t="s">
        <v>192</v>
      </c>
      <c r="C21" s="46" t="n">
        <f aca="false">(MIN(C6,D6)+MIN(C7,D7)+MIN(C8,D8))*QtyKits</f>
        <v>66453</v>
      </c>
      <c r="D21" s="16" t="s">
        <v>193</v>
      </c>
      <c r="E21" s="16"/>
      <c r="F21" s="16"/>
      <c r="G21" s="16"/>
      <c r="H21" s="16"/>
    </row>
    <row r="22" customFormat="false" ht="15" hidden="false" customHeight="true" outlineLevel="0" collapsed="false">
      <c r="B22" s="33" t="s">
        <v>194</v>
      </c>
      <c r="C22" s="46" t="n">
        <f aca="false">F9*QtyKits</f>
        <v>54540</v>
      </c>
      <c r="D22" s="16" t="s">
        <v>195</v>
      </c>
      <c r="E22" s="16"/>
      <c r="F22" s="16"/>
      <c r="G22" s="16"/>
      <c r="H22" s="16"/>
    </row>
    <row r="24" customFormat="false" ht="15" hidden="false" customHeight="true" outlineLevel="0" collapsed="false">
      <c r="B24" s="35" t="s">
        <v>196</v>
      </c>
      <c r="C24" s="35"/>
      <c r="D24" s="35"/>
      <c r="E24" s="35"/>
      <c r="F24" s="35"/>
      <c r="G24" s="35"/>
      <c r="H24" s="35"/>
    </row>
    <row r="25" customFormat="false" ht="15" hidden="false" customHeight="true" outlineLevel="0" collapsed="false">
      <c r="B25" s="35"/>
      <c r="C25" s="35"/>
      <c r="D25" s="35"/>
      <c r="E25" s="35"/>
      <c r="F25" s="35"/>
      <c r="G25" s="35"/>
      <c r="H25" s="35"/>
    </row>
    <row r="26" customFormat="false" ht="15" hidden="false" customHeight="true" outlineLevel="0" collapsed="false">
      <c r="B26" s="35"/>
      <c r="C26" s="35"/>
      <c r="D26" s="35"/>
      <c r="E26" s="35"/>
      <c r="F26" s="35"/>
      <c r="G26" s="35"/>
      <c r="H26" s="35"/>
    </row>
  </sheetData>
  <mergeCells count="8">
    <mergeCell ref="B3:H3"/>
    <mergeCell ref="D15:H15"/>
    <mergeCell ref="D16:H16"/>
    <mergeCell ref="D17:H17"/>
    <mergeCell ref="D20:H20"/>
    <mergeCell ref="D21:H21"/>
    <mergeCell ref="D22:H22"/>
    <mergeCell ref="B24:H26"/>
  </mergeCells>
  <conditionalFormatting sqref="C6:F9">
    <cfRule type="cellIs" priority="2" operator="equal" aboveAverage="0" equalAverage="0" bottom="0" percent="0" rank="0" text="" dxfId="0">
      <formula>MIN($C6,$D6,$F6)</formula>
    </cfRule>
  </conditionalFormatting>
  <printOptions headings="false" gridLines="false" gridLinesSet="true" horizontalCentered="true" verticalCentered="false"/>
  <pageMargins left="0.3" right="0.3" top="0.4" bottom="0.4" header="0.511811023622047" footer="0.5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&amp;L&amp;A&amp;RPage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M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4"/>
    <col collapsed="false" customWidth="true" hidden="false" outlineLevel="0" max="7" min="3" style="1" width="15"/>
    <col collapsed="false" customWidth="true" hidden="false" outlineLevel="0" max="8" min="8" style="1" width="40"/>
  </cols>
  <sheetData>
    <row r="2" customFormat="false" ht="17.25" hidden="false" customHeight="true" outlineLevel="0" collapsed="false">
      <c r="B2" s="32" t="s">
        <v>197</v>
      </c>
    </row>
    <row r="3" customFormat="false" ht="15" hidden="false" customHeight="true" outlineLevel="0" collapsed="false">
      <c r="B3" s="16" t="s">
        <v>198</v>
      </c>
      <c r="C3" s="16"/>
      <c r="D3" s="16"/>
      <c r="E3" s="16"/>
      <c r="F3" s="16"/>
      <c r="G3" s="16"/>
      <c r="H3" s="16"/>
    </row>
    <row r="4" customFormat="false" ht="15" hidden="false" customHeight="true" outlineLevel="0" collapsed="false">
      <c r="K4" s="51" t="s">
        <v>199</v>
      </c>
    </row>
    <row r="5" customFormat="false" ht="15" hidden="false" customHeight="true" outlineLevel="0" collapsed="false">
      <c r="B5" s="4" t="s">
        <v>200</v>
      </c>
      <c r="C5" s="4"/>
      <c r="D5" s="4"/>
      <c r="E5" s="4"/>
      <c r="F5" s="4"/>
      <c r="G5" s="4"/>
      <c r="K5" s="52" t="s">
        <v>201</v>
      </c>
      <c r="L5" s="52" t="s">
        <v>202</v>
      </c>
      <c r="M5" s="52" t="s">
        <v>203</v>
      </c>
    </row>
    <row r="6" customFormat="false" ht="15" hidden="false" customHeight="true" outlineLevel="0" collapsed="false">
      <c r="B6" s="9"/>
      <c r="C6" s="9" t="s">
        <v>204</v>
      </c>
      <c r="D6" s="9" t="s">
        <v>205</v>
      </c>
      <c r="E6" s="9" t="s">
        <v>206</v>
      </c>
      <c r="F6" s="9"/>
      <c r="G6" s="9"/>
      <c r="K6" s="53" t="n">
        <v>1</v>
      </c>
      <c r="L6" s="54" t="n">
        <f aca="false">KitA1q1</f>
        <v>2764</v>
      </c>
      <c r="M6" s="54" t="n">
        <f aca="false">KitX50</f>
        <v>1090.8</v>
      </c>
    </row>
    <row r="7" customFormat="false" ht="15" hidden="false" customHeight="true" outlineLevel="0" collapsed="false">
      <c r="B7" s="33" t="s">
        <v>207</v>
      </c>
      <c r="C7" s="40" t="n">
        <f aca="false">KitA1q1</f>
        <v>2764</v>
      </c>
      <c r="D7" s="40" t="n">
        <f aca="false">KitA1q20</f>
        <v>1808.11</v>
      </c>
      <c r="E7" s="40" t="n">
        <f aca="false">KitA1q50</f>
        <v>1716.54</v>
      </c>
      <c r="K7" s="53" t="n">
        <v>20</v>
      </c>
      <c r="L7" s="54" t="n">
        <f aca="false">KitA1q20</f>
        <v>1808.11</v>
      </c>
      <c r="M7" s="54" t="n">
        <f aca="false">KitX50</f>
        <v>1090.8</v>
      </c>
    </row>
    <row r="8" customFormat="false" ht="15" hidden="false" customHeight="true" outlineLevel="0" collapsed="false">
      <c r="B8" s="33" t="s">
        <v>208</v>
      </c>
      <c r="C8" s="55" t="s">
        <v>209</v>
      </c>
      <c r="D8" s="55" t="s">
        <v>209</v>
      </c>
      <c r="E8" s="40" t="n">
        <f aca="false">KitX50</f>
        <v>1090.8</v>
      </c>
      <c r="K8" s="53" t="n">
        <v>50</v>
      </c>
      <c r="L8" s="54" t="n">
        <f aca="false">KitA1q50</f>
        <v>1716.54</v>
      </c>
      <c r="M8" s="54" t="n">
        <f aca="false">KitX50</f>
        <v>1090.8</v>
      </c>
    </row>
    <row r="9" customFormat="false" ht="15" hidden="false" customHeight="true" outlineLevel="0" collapsed="false">
      <c r="B9" s="33" t="s">
        <v>210</v>
      </c>
      <c r="C9" s="55" t="s">
        <v>209</v>
      </c>
      <c r="D9" s="55" t="s">
        <v>209</v>
      </c>
      <c r="E9" s="44" t="n">
        <f aca="false">IF(KitX50=0,0,KitA1q50/KitX50-1)</f>
        <v>0.573652365236524</v>
      </c>
    </row>
    <row r="11" customFormat="false" ht="15" hidden="false" customHeight="true" outlineLevel="0" collapsed="false">
      <c r="B11" s="4" t="s">
        <v>211</v>
      </c>
      <c r="C11" s="4"/>
      <c r="D11" s="4"/>
      <c r="E11" s="4"/>
      <c r="F11" s="4"/>
      <c r="G11" s="4"/>
    </row>
    <row r="12" customFormat="false" ht="15" hidden="false" customHeight="true" outlineLevel="0" collapsed="false">
      <c r="B12" s="9" t="s">
        <v>32</v>
      </c>
      <c r="C12" s="9" t="s">
        <v>212</v>
      </c>
      <c r="D12" s="9" t="s">
        <v>213</v>
      </c>
      <c r="E12" s="9" t="s">
        <v>214</v>
      </c>
      <c r="F12" s="9"/>
      <c r="G12" s="9"/>
    </row>
    <row r="13" customFormat="false" ht="15" hidden="false" customHeight="true" outlineLevel="0" collapsed="false">
      <c r="B13" s="43" t="str">
        <f aca="false">'Inputs &amp; Assumptions'!B18</f>
        <v>667357  Valve receptacle</v>
      </c>
      <c r="C13" s="44" t="n">
        <f aca="false">IF('Inputs &amp; Assumptions'!E18=0,0,'Inputs &amp; Assumptions'!F18/'Inputs &amp; Assumptions'!E18-1)</f>
        <v>-0.633667083854819</v>
      </c>
      <c r="D13" s="44" t="n">
        <f aca="false">IF('Inputs &amp; Assumptions'!F18=0,0,'Inputs &amp; Assumptions'!G18/'Inputs &amp; Assumptions'!F18-1)</f>
        <v>-0.0825076870515886</v>
      </c>
      <c r="E13" s="44" t="n">
        <f aca="false">IF('Inputs &amp; Assumptions'!E18=0,0,'Inputs &amp; Assumptions'!G18/'Inputs &amp; Assumptions'!E18-1)</f>
        <v>-0.663892365456821</v>
      </c>
    </row>
    <row r="14" customFormat="false" ht="15" hidden="false" customHeight="true" outlineLevel="0" collapsed="false">
      <c r="B14" s="43" t="str">
        <f aca="false">'Inputs &amp; Assumptions'!B19</f>
        <v>667355  Chest</v>
      </c>
      <c r="C14" s="44" t="n">
        <f aca="false">IF('Inputs &amp; Assumptions'!E19=0,0,'Inputs &amp; Assumptions'!F19/'Inputs &amp; Assumptions'!E19-1)</f>
        <v>-0.341358363300217</v>
      </c>
      <c r="D14" s="44" t="n">
        <f aca="false">IF('Inputs &amp; Assumptions'!F19=0,0,'Inputs &amp; Assumptions'!G19/'Inputs &amp; Assumptions'!F19-1)</f>
        <v>-0.0496622351090411</v>
      </c>
      <c r="E14" s="44" t="n">
        <f aca="false">IF('Inputs &amp; Assumptions'!E19=0,0,'Inputs &amp; Assumptions'!G19/'Inputs &amp; Assumptions'!E19-1)</f>
        <v>-0.374067979114606</v>
      </c>
    </row>
    <row r="15" customFormat="false" ht="15" hidden="false" customHeight="true" outlineLevel="0" collapsed="false">
      <c r="B15" s="43" t="str">
        <f aca="false">'Inputs &amp; Assumptions'!B20</f>
        <v>667354  Base</v>
      </c>
      <c r="C15" s="44" t="n">
        <f aca="false">IF('Inputs &amp; Assumptions'!E20=0,0,'Inputs &amp; Assumptions'!F20/'Inputs &amp; Assumptions'!E20-1)</f>
        <v>-0.320160762572695</v>
      </c>
      <c r="D15" s="44" t="n">
        <f aca="false">IF('Inputs &amp; Assumptions'!F20=0,0,'Inputs &amp; Assumptions'!G20/'Inputs &amp; Assumptions'!F20-1)</f>
        <v>-0.0495282376338324</v>
      </c>
      <c r="E15" s="44" t="n">
        <f aca="false">IF('Inputs &amp; Assumptions'!E20=0,0,'Inputs &amp; Assumptions'!G20/'Inputs &amp; Assumptions'!E20-1)</f>
        <v>-0.353832001876798</v>
      </c>
    </row>
    <row r="16" customFormat="false" ht="15" hidden="false" customHeight="true" outlineLevel="0" collapsed="false">
      <c r="B16" s="38" t="s">
        <v>215</v>
      </c>
      <c r="C16" s="44" t="n">
        <f aca="false">IF(KitA1q1=0,0,KitA1q20/KitA1q1-1)</f>
        <v>-0.345835745296672</v>
      </c>
      <c r="D16" s="44" t="n">
        <f aca="false">IF(KitA1q20=0,0,KitA1q50/KitA1q20-1)</f>
        <v>-0.0506440426743949</v>
      </c>
      <c r="E16" s="44" t="n">
        <f aca="false">IF(KitA1q1=0,0,KitA1q50/KitA1q1-1)</f>
        <v>-0.378965267727931</v>
      </c>
    </row>
    <row r="18" customFormat="false" ht="15" hidden="false" customHeight="true" outlineLevel="0" collapsed="false">
      <c r="B18" s="35" t="s">
        <v>216</v>
      </c>
      <c r="C18" s="35"/>
      <c r="D18" s="35"/>
      <c r="E18" s="35"/>
      <c r="F18" s="35"/>
      <c r="G18" s="35"/>
      <c r="H18" s="35"/>
    </row>
    <row r="19" customFormat="false" ht="15" hidden="false" customHeight="true" outlineLevel="0" collapsed="false">
      <c r="B19" s="35"/>
      <c r="C19" s="35"/>
      <c r="D19" s="35"/>
      <c r="E19" s="35"/>
      <c r="F19" s="35"/>
      <c r="G19" s="35"/>
      <c r="H19" s="35"/>
    </row>
    <row r="21" customFormat="false" ht="15" hidden="false" customHeight="true" outlineLevel="0" collapsed="false">
      <c r="B21" s="4" t="s">
        <v>217</v>
      </c>
      <c r="C21" s="4"/>
      <c r="D21" s="4"/>
      <c r="E21" s="4"/>
      <c r="F21" s="4"/>
      <c r="G21" s="4"/>
    </row>
    <row r="22" customFormat="false" ht="15" hidden="false" customHeight="true" outlineLevel="0" collapsed="false">
      <c r="B22" s="33" t="s">
        <v>218</v>
      </c>
      <c r="C22" s="40" t="n">
        <f aca="false">KitA1q50</f>
        <v>1716.54</v>
      </c>
    </row>
    <row r="23" customFormat="false" ht="15" hidden="false" customHeight="true" outlineLevel="0" collapsed="false">
      <c r="B23" s="33" t="s">
        <v>219</v>
      </c>
      <c r="C23" s="40" t="n">
        <f aca="false">KitX50</f>
        <v>1090.8</v>
      </c>
    </row>
    <row r="24" customFormat="false" ht="15" hidden="false" customHeight="true" outlineLevel="0" collapsed="false">
      <c r="B24" s="33" t="s">
        <v>220</v>
      </c>
      <c r="C24" s="56" t="n">
        <f aca="false">IF(KitA1q50=0,0,1-KitX50/KitA1q50)</f>
        <v>0.364535635639135</v>
      </c>
    </row>
    <row r="25" customFormat="false" ht="15" hidden="false" customHeight="true" outlineLevel="0" collapsed="false">
      <c r="B25" s="33" t="s">
        <v>221</v>
      </c>
      <c r="C25" s="40" t="n">
        <f aca="false">KitA1q50-KitX50</f>
        <v>625.74</v>
      </c>
    </row>
    <row r="26" customFormat="false" ht="15" hidden="false" customHeight="true" outlineLevel="0" collapsed="false">
      <c r="B26" s="33" t="s">
        <v>222</v>
      </c>
      <c r="C26" s="46" t="n">
        <f aca="false">(KitA1q50-KitX50)*QtyKits</f>
        <v>31287</v>
      </c>
    </row>
  </sheetData>
  <mergeCells count="2">
    <mergeCell ref="B3:H3"/>
    <mergeCell ref="B18:H19"/>
  </mergeCells>
  <printOptions headings="false" gridLines="false" gridLinesSet="true" horizontalCentered="true" verticalCentered="false"/>
  <pageMargins left="0.3" right="0.3" top="0.4" bottom="0.4" header="0.511811023622047" footer="0.5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&amp;L&amp;A&amp;RPage &amp;P of &amp;N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H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8"/>
    <col collapsed="false" customWidth="true" hidden="false" outlineLevel="0" max="5" min="3" style="1" width="14"/>
    <col collapsed="false" customWidth="true" hidden="false" outlineLevel="0" max="6" min="6" style="1" width="13"/>
    <col collapsed="false" customWidth="true" hidden="false" outlineLevel="0" max="7" min="7" style="1" width="14"/>
    <col collapsed="false" customWidth="true" hidden="false" outlineLevel="0" max="8" min="8" style="1" width="40"/>
  </cols>
  <sheetData>
    <row r="2" customFormat="false" ht="17.25" hidden="false" customHeight="true" outlineLevel="0" collapsed="false">
      <c r="B2" s="32" t="s">
        <v>223</v>
      </c>
    </row>
    <row r="3" customFormat="false" ht="15" hidden="false" customHeight="true" outlineLevel="0" collapsed="false">
      <c r="B3" s="16" t="s">
        <v>224</v>
      </c>
      <c r="C3" s="16"/>
      <c r="D3" s="16"/>
      <c r="E3" s="16"/>
      <c r="F3" s="16"/>
      <c r="G3" s="16"/>
      <c r="H3" s="16"/>
    </row>
    <row r="5" customFormat="false" ht="15" hidden="false" customHeight="true" outlineLevel="0" collapsed="false">
      <c r="B5" s="9" t="s">
        <v>32</v>
      </c>
      <c r="C5" s="9" t="s">
        <v>225</v>
      </c>
      <c r="D5" s="9" t="s">
        <v>226</v>
      </c>
      <c r="E5" s="9" t="s">
        <v>227</v>
      </c>
      <c r="F5" s="9" t="s">
        <v>228</v>
      </c>
      <c r="G5" s="9" t="s">
        <v>229</v>
      </c>
      <c r="H5" s="9"/>
    </row>
    <row r="6" customFormat="false" ht="15" hidden="false" customHeight="true" outlineLevel="0" collapsed="false">
      <c r="B6" s="43" t="str">
        <f aca="false">'Head-to-Head @ 50'!B6</f>
        <v>667357  Valve receptacle</v>
      </c>
      <c r="C6" s="40" t="n">
        <f aca="false">'Head-to-Head @ 50'!C6</f>
        <v>53.71</v>
      </c>
      <c r="D6" s="40" t="n">
        <f aca="false">'Head-to-Head @ 50'!D6</f>
        <v>59.58</v>
      </c>
      <c r="E6" s="45" t="str">
        <f aca="false">IF(C6&lt;D6,"FICTIV","XOMETRY")</f>
        <v>FICTIV</v>
      </c>
      <c r="F6" s="40" t="n">
        <f aca="false">MIN(C6,D6)</f>
        <v>53.71</v>
      </c>
      <c r="G6" s="46" t="n">
        <f aca="false">F6*QtyKits</f>
        <v>2685.5</v>
      </c>
    </row>
    <row r="7" customFormat="false" ht="15" hidden="false" customHeight="true" outlineLevel="0" collapsed="false">
      <c r="B7" s="43" t="str">
        <f aca="false">'Head-to-Head @ 50'!B7</f>
        <v>667355  Chest</v>
      </c>
      <c r="C7" s="40" t="n">
        <f aca="false">'Head-to-Head @ 50'!C7</f>
        <v>616.18</v>
      </c>
      <c r="D7" s="40" t="n">
        <f aca="false">'Head-to-Head @ 50'!D7</f>
        <v>378.56</v>
      </c>
      <c r="E7" s="45" t="str">
        <f aca="false">IF(C7&lt;D7,"FICTIV","XOMETRY")</f>
        <v>XOMETRY</v>
      </c>
      <c r="F7" s="40" t="n">
        <f aca="false">MIN(C7,D7)</f>
        <v>378.56</v>
      </c>
      <c r="G7" s="46" t="n">
        <f aca="false">F7*QtyKits</f>
        <v>18928</v>
      </c>
    </row>
    <row r="8" customFormat="false" ht="15" hidden="false" customHeight="true" outlineLevel="0" collapsed="false">
      <c r="B8" s="43" t="str">
        <f aca="false">'Head-to-Head @ 50'!B8</f>
        <v>667354  Base</v>
      </c>
      <c r="C8" s="40" t="n">
        <f aca="false">'Head-to-Head @ 50'!C8</f>
        <v>1046.65</v>
      </c>
      <c r="D8" s="40" t="n">
        <f aca="false">'Head-to-Head @ 50'!D8</f>
        <v>652.66</v>
      </c>
      <c r="E8" s="45" t="str">
        <f aca="false">IF(C8&lt;D8,"FICTIV","XOMETRY")</f>
        <v>XOMETRY</v>
      </c>
      <c r="F8" s="40" t="n">
        <f aca="false">MIN(C8,D8)</f>
        <v>652.66</v>
      </c>
      <c r="G8" s="46" t="n">
        <f aca="false">F8*QtyKits</f>
        <v>32633</v>
      </c>
    </row>
    <row r="9" customFormat="false" ht="15" hidden="false" customHeight="true" outlineLevel="0" collapsed="false">
      <c r="B9" s="38" t="s">
        <v>230</v>
      </c>
      <c r="F9" s="40" t="n">
        <f aca="false">SUM(F6:F8)</f>
        <v>1084.93</v>
      </c>
      <c r="G9" s="46" t="n">
        <f aca="false">SUM(G6:G8)</f>
        <v>54246.5</v>
      </c>
    </row>
    <row r="11" customFormat="false" ht="15" hidden="false" customHeight="true" outlineLevel="0" collapsed="false">
      <c r="B11" s="4" t="s">
        <v>231</v>
      </c>
      <c r="C11" s="4"/>
      <c r="D11" s="4"/>
      <c r="E11" s="4"/>
      <c r="F11" s="4"/>
      <c r="G11" s="4"/>
    </row>
    <row r="12" customFormat="false" ht="15" hidden="false" customHeight="true" outlineLevel="0" collapsed="false">
      <c r="B12" s="33" t="s">
        <v>232</v>
      </c>
      <c r="C12" s="46" t="n">
        <f aca="false">KitX50*QtyKits</f>
        <v>54540</v>
      </c>
    </row>
    <row r="13" customFormat="false" ht="15" hidden="false" customHeight="true" outlineLevel="0" collapsed="false">
      <c r="B13" s="33" t="s">
        <v>233</v>
      </c>
      <c r="C13" s="46" t="n">
        <f aca="false">KitA1q50*QtyKits</f>
        <v>85827</v>
      </c>
    </row>
    <row r="14" customFormat="false" ht="15" hidden="false" customHeight="true" outlineLevel="0" collapsed="false">
      <c r="B14" s="33" t="s">
        <v>234</v>
      </c>
      <c r="C14" s="46" t="n">
        <f aca="false">G9</f>
        <v>54246.5</v>
      </c>
    </row>
    <row r="15" customFormat="false" ht="15" hidden="false" customHeight="true" outlineLevel="0" collapsed="false">
      <c r="B15" s="33" t="s">
        <v>235</v>
      </c>
      <c r="C15" s="57" t="n">
        <f aca="false">C12-C14</f>
        <v>293.5</v>
      </c>
      <c r="D15" s="16" t="s">
        <v>236</v>
      </c>
      <c r="E15" s="16"/>
      <c r="F15" s="16"/>
      <c r="G15" s="16"/>
      <c r="H15" s="16"/>
    </row>
    <row r="16" customFormat="false" ht="15" hidden="false" customHeight="true" outlineLevel="0" collapsed="false">
      <c r="B16" s="33" t="s">
        <v>237</v>
      </c>
      <c r="C16" s="44" t="n">
        <f aca="false">IF(C12=0,0,(C12-C14)/C12)</f>
        <v>0.00538137147048038</v>
      </c>
      <c r="D16" s="16" t="s">
        <v>238</v>
      </c>
      <c r="E16" s="16"/>
      <c r="F16" s="16"/>
      <c r="G16" s="16"/>
      <c r="H16" s="16"/>
    </row>
    <row r="17" customFormat="false" ht="15" hidden="false" customHeight="true" outlineLevel="0" collapsed="false">
      <c r="B17" s="33" t="s">
        <v>239</v>
      </c>
      <c r="C17" s="46" t="n">
        <f aca="false">C13-C14</f>
        <v>31580.5</v>
      </c>
      <c r="D17" s="16" t="s">
        <v>240</v>
      </c>
      <c r="E17" s="16"/>
      <c r="F17" s="16"/>
      <c r="G17" s="16"/>
      <c r="H17" s="16"/>
    </row>
    <row r="19" customFormat="false" ht="15" hidden="false" customHeight="true" outlineLevel="0" collapsed="false">
      <c r="B19" s="35" t="s">
        <v>241</v>
      </c>
      <c r="C19" s="35"/>
      <c r="D19" s="35"/>
      <c r="E19" s="35"/>
      <c r="F19" s="35"/>
      <c r="G19" s="35"/>
      <c r="H19" s="35"/>
    </row>
    <row r="20" customFormat="false" ht="15" hidden="false" customHeight="true" outlineLevel="0" collapsed="false">
      <c r="B20" s="35"/>
      <c r="C20" s="35"/>
      <c r="D20" s="35"/>
      <c r="E20" s="35"/>
      <c r="F20" s="35"/>
      <c r="G20" s="35"/>
      <c r="H20" s="35"/>
    </row>
    <row r="21" customFormat="false" ht="15" hidden="false" customHeight="true" outlineLevel="0" collapsed="false">
      <c r="B21" s="35"/>
      <c r="C21" s="35"/>
      <c r="D21" s="35"/>
      <c r="E21" s="35"/>
      <c r="F21" s="35"/>
      <c r="G21" s="35"/>
      <c r="H21" s="35"/>
    </row>
  </sheetData>
  <mergeCells count="5">
    <mergeCell ref="B3:H3"/>
    <mergeCell ref="D15:H15"/>
    <mergeCell ref="D16:H16"/>
    <mergeCell ref="D17:H17"/>
    <mergeCell ref="B19:H21"/>
  </mergeCells>
  <conditionalFormatting sqref="E6:E8">
    <cfRule type="cellIs" priority="2" operator="equal" aboveAverage="0" equalAverage="0" bottom="0" percent="0" rank="0" text="" dxfId="0">
      <formula>"FICTIV"</formula>
    </cfRule>
  </conditionalFormatting>
  <printOptions headings="false" gridLines="false" gridLinesSet="true" horizontalCentered="true" verticalCentered="false"/>
  <pageMargins left="0.3" right="0.3" top="0.4" bottom="0.4" header="0.511811023622047" footer="0.5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&amp;L&amp;A&amp;RPage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G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0"/>
    <col collapsed="false" customWidth="true" hidden="false" outlineLevel="0" max="5" min="3" style="1" width="15"/>
    <col collapsed="false" customWidth="true" hidden="false" outlineLevel="0" max="6" min="6" style="1" width="14"/>
    <col collapsed="false" customWidth="true" hidden="false" outlineLevel="0" max="7" min="7" style="1" width="46"/>
  </cols>
  <sheetData>
    <row r="2" customFormat="false" ht="17.25" hidden="false" customHeight="true" outlineLevel="0" collapsed="false">
      <c r="B2" s="32" t="s">
        <v>242</v>
      </c>
    </row>
    <row r="3" customFormat="false" ht="15" hidden="false" customHeight="true" outlineLevel="0" collapsed="false">
      <c r="B3" s="16" t="s">
        <v>243</v>
      </c>
      <c r="C3" s="16"/>
      <c r="D3" s="16"/>
      <c r="E3" s="16"/>
      <c r="F3" s="16"/>
      <c r="G3" s="16"/>
    </row>
    <row r="5" customFormat="false" ht="15" hidden="false" customHeight="true" outlineLevel="0" collapsed="false">
      <c r="B5" s="9" t="s">
        <v>32</v>
      </c>
      <c r="C5" s="9" t="s">
        <v>244</v>
      </c>
      <c r="D5" s="9" t="s">
        <v>245</v>
      </c>
      <c r="E5" s="9" t="s">
        <v>246</v>
      </c>
      <c r="F5" s="9" t="s">
        <v>247</v>
      </c>
      <c r="G5" s="9"/>
    </row>
    <row r="6" customFormat="false" ht="15" hidden="false" customHeight="true" outlineLevel="0" collapsed="false">
      <c r="B6" s="43" t="str">
        <f aca="false">'Inputs &amp; Assumptions'!B18</f>
        <v>667357  Valve receptacle</v>
      </c>
      <c r="C6" s="40" t="n">
        <f aca="false">'Inputs &amp; Assumptions'!D18</f>
        <v>168.68</v>
      </c>
      <c r="D6" s="40" t="n">
        <f aca="false">'Inputs &amp; Assumptions'!E18</f>
        <v>159.8</v>
      </c>
      <c r="E6" s="40" t="n">
        <f aca="false">D6-C6</f>
        <v>-8.88</v>
      </c>
      <c r="F6" s="58" t="n">
        <f aca="false">IF(C6=0,0,D6/C6-1)</f>
        <v>-0.0526440597581218</v>
      </c>
    </row>
    <row r="7" customFormat="false" ht="15" hidden="false" customHeight="true" outlineLevel="0" collapsed="false">
      <c r="B7" s="43" t="str">
        <f aca="false">'Inputs &amp; Assumptions'!B19</f>
        <v>667355  Chest</v>
      </c>
      <c r="C7" s="40" t="n">
        <f aca="false">'Inputs &amp; Assumptions'!D19</f>
        <v>1039.11</v>
      </c>
      <c r="D7" s="40" t="n">
        <f aca="false">'Inputs &amp; Assumptions'!E19</f>
        <v>984.42</v>
      </c>
      <c r="E7" s="40" t="n">
        <f aca="false">D7-C7</f>
        <v>-54.6899999999999</v>
      </c>
      <c r="F7" s="58" t="n">
        <f aca="false">IF(C7=0,0,D7/C7-1)</f>
        <v>-0.0526315789473684</v>
      </c>
    </row>
    <row r="8" customFormat="false" ht="15" hidden="false" customHeight="true" outlineLevel="0" collapsed="false">
      <c r="B8" s="43" t="str">
        <f aca="false">'Inputs &amp; Assumptions'!B20</f>
        <v>667354  Base</v>
      </c>
      <c r="C8" s="40" t="n">
        <f aca="false">'Inputs &amp; Assumptions'!D20</f>
        <v>1709.77</v>
      </c>
      <c r="D8" s="40" t="n">
        <f aca="false">'Inputs &amp; Assumptions'!E20</f>
        <v>1619.78</v>
      </c>
      <c r="E8" s="40" t="n">
        <f aca="false">D8-C8</f>
        <v>-89.99</v>
      </c>
      <c r="F8" s="58" t="n">
        <f aca="false">IF(C8=0,0,D8/C8-1)</f>
        <v>-0.0526328102610293</v>
      </c>
    </row>
    <row r="9" customFormat="false" ht="15" hidden="false" customHeight="true" outlineLevel="0" collapsed="false">
      <c r="B9" s="38" t="s">
        <v>215</v>
      </c>
      <c r="C9" s="40" t="n">
        <f aca="false">SUM(C6:C8)</f>
        <v>2917.56</v>
      </c>
      <c r="D9" s="40" t="n">
        <f aca="false">SUM(D6:D8)</f>
        <v>2764</v>
      </c>
      <c r="E9" s="40" t="n">
        <f aca="false">D9-C9</f>
        <v>-153.56</v>
      </c>
      <c r="F9" s="58" t="n">
        <f aca="false">IF(C9=0,0,D9/C9-1)</f>
        <v>-0.0526330221143695</v>
      </c>
    </row>
    <row r="11" customFormat="false" ht="15" hidden="false" customHeight="true" outlineLevel="0" collapsed="false">
      <c r="B11" s="4" t="s">
        <v>248</v>
      </c>
      <c r="C11" s="4"/>
      <c r="D11" s="4"/>
      <c r="E11" s="4"/>
      <c r="F11" s="4"/>
    </row>
    <row r="12" customFormat="false" ht="31.5" hidden="false" customHeight="true" outlineLevel="0" collapsed="false">
      <c r="B12" s="59" t="s">
        <v>249</v>
      </c>
      <c r="C12" s="60" t="s">
        <v>250</v>
      </c>
      <c r="D12" s="60"/>
      <c r="E12" s="60"/>
      <c r="F12" s="60"/>
      <c r="G12" s="60"/>
    </row>
    <row r="13" customFormat="false" ht="31.5" hidden="false" customHeight="true" outlineLevel="0" collapsed="false">
      <c r="B13" s="59" t="s">
        <v>251</v>
      </c>
      <c r="C13" s="60" t="s">
        <v>252</v>
      </c>
      <c r="D13" s="60"/>
      <c r="E13" s="60"/>
      <c r="F13" s="60"/>
      <c r="G13" s="60"/>
    </row>
    <row r="14" customFormat="false" ht="31.5" hidden="false" customHeight="true" outlineLevel="0" collapsed="false">
      <c r="B14" s="59" t="s">
        <v>253</v>
      </c>
      <c r="C14" s="60" t="s">
        <v>254</v>
      </c>
      <c r="D14" s="60"/>
      <c r="E14" s="60"/>
      <c r="F14" s="60"/>
      <c r="G14" s="60"/>
    </row>
  </sheetData>
  <mergeCells count="4">
    <mergeCell ref="B3:G3"/>
    <mergeCell ref="C12:G12"/>
    <mergeCell ref="C13:G13"/>
    <mergeCell ref="C14:G14"/>
  </mergeCells>
  <printOptions headings="false" gridLines="false" gridLinesSet="true" horizontalCentered="true" verticalCentered="false"/>
  <pageMargins left="0.3" right="0.3" top="0.4" bottom="0.4" header="0.511811023622047" footer="0.5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&amp;L&amp;A&amp;RPage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D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3" topLeftCell="B14" activePane="bottomRight" state="frozen"/>
      <selection pane="topLeft" activeCell="A1" activeCellId="0" sqref="A1"/>
      <selection pane="topRight" activeCell="B1" activeCellId="0" sqref="B1"/>
      <selection pane="bottomLeft" activeCell="A14" activeCellId="0" sqref="A1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6"/>
    <col collapsed="false" customWidth="true" hidden="false" outlineLevel="0" max="3" min="3" style="1" width="74"/>
    <col collapsed="false" customWidth="true" hidden="false" outlineLevel="0" max="4" min="4" style="1" width="16"/>
  </cols>
  <sheetData>
    <row r="2" customFormat="false" ht="17.25" hidden="false" customHeight="true" outlineLevel="0" collapsed="false">
      <c r="B2" s="32" t="s">
        <v>255</v>
      </c>
    </row>
    <row r="3" customFormat="false" ht="15" hidden="false" customHeight="true" outlineLevel="0" collapsed="false">
      <c r="B3" s="16" t="s">
        <v>256</v>
      </c>
      <c r="C3" s="16"/>
      <c r="D3" s="16"/>
    </row>
    <row r="5" customFormat="false" ht="15" hidden="false" customHeight="true" outlineLevel="0" collapsed="false">
      <c r="B5" s="4" t="s">
        <v>257</v>
      </c>
      <c r="C5" s="4"/>
      <c r="D5" s="4"/>
    </row>
    <row r="6" customFormat="false" ht="25.5" hidden="false" customHeight="true" outlineLevel="0" collapsed="false">
      <c r="B6" s="59" t="s">
        <v>258</v>
      </c>
      <c r="C6" s="61" t="s">
        <v>259</v>
      </c>
      <c r="D6" s="61"/>
    </row>
    <row r="7" customFormat="false" ht="25.5" hidden="false" customHeight="true" outlineLevel="0" collapsed="false">
      <c r="B7" s="59" t="s">
        <v>260</v>
      </c>
      <c r="C7" s="61" t="s">
        <v>261</v>
      </c>
      <c r="D7" s="61"/>
    </row>
    <row r="8" customFormat="false" ht="13.5" hidden="false" customHeight="true" outlineLevel="0" collapsed="false">
      <c r="B8" s="59" t="s">
        <v>262</v>
      </c>
      <c r="C8" s="61" t="s">
        <v>263</v>
      </c>
      <c r="D8" s="61"/>
    </row>
    <row r="9" customFormat="false" ht="13.5" hidden="false" customHeight="true" outlineLevel="0" collapsed="false">
      <c r="B9" s="59" t="s">
        <v>264</v>
      </c>
      <c r="C9" s="61" t="s">
        <v>265</v>
      </c>
      <c r="D9" s="61"/>
    </row>
    <row r="10" customFormat="false" ht="13.5" hidden="false" customHeight="true" outlineLevel="0" collapsed="false">
      <c r="B10" s="59" t="s">
        <v>266</v>
      </c>
      <c r="C10" s="61" t="s">
        <v>267</v>
      </c>
      <c r="D10" s="61"/>
    </row>
    <row r="11" customFormat="false" ht="25.5" hidden="false" customHeight="true" outlineLevel="0" collapsed="false">
      <c r="B11" s="59" t="s">
        <v>268</v>
      </c>
      <c r="C11" s="61" t="s">
        <v>269</v>
      </c>
      <c r="D11" s="61"/>
    </row>
    <row r="13" customFormat="false" ht="15" hidden="false" customHeight="true" outlineLevel="0" collapsed="false">
      <c r="B13" s="9" t="s">
        <v>270</v>
      </c>
      <c r="C13" s="9" t="s">
        <v>271</v>
      </c>
      <c r="D13" s="9" t="s">
        <v>272</v>
      </c>
    </row>
    <row r="14" customFormat="false" ht="37.5" hidden="false" customHeight="true" outlineLevel="0" collapsed="false">
      <c r="B14" s="62" t="s">
        <v>273</v>
      </c>
      <c r="C14" s="63" t="s">
        <v>274</v>
      </c>
      <c r="D14" s="64" t="s">
        <v>275</v>
      </c>
    </row>
    <row r="15" customFormat="false" ht="37.5" hidden="false" customHeight="true" outlineLevel="0" collapsed="false">
      <c r="B15" s="62" t="s">
        <v>276</v>
      </c>
      <c r="C15" s="63" t="s">
        <v>277</v>
      </c>
      <c r="D15" s="26" t="s">
        <v>278</v>
      </c>
    </row>
    <row r="16" customFormat="false" ht="37.5" hidden="false" customHeight="true" outlineLevel="0" collapsed="false">
      <c r="B16" s="62" t="s">
        <v>279</v>
      </c>
      <c r="C16" s="63" t="s">
        <v>280</v>
      </c>
      <c r="D16" s="25" t="s">
        <v>281</v>
      </c>
    </row>
    <row r="17" customFormat="false" ht="37.5" hidden="false" customHeight="true" outlineLevel="0" collapsed="false">
      <c r="B17" s="62" t="s">
        <v>282</v>
      </c>
      <c r="C17" s="63" t="s">
        <v>283</v>
      </c>
      <c r="D17" s="65" t="s">
        <v>284</v>
      </c>
    </row>
    <row r="18" customFormat="false" ht="37.5" hidden="false" customHeight="true" outlineLevel="0" collapsed="false">
      <c r="B18" s="62" t="s">
        <v>285</v>
      </c>
      <c r="C18" s="63" t="s">
        <v>286</v>
      </c>
      <c r="D18" s="66" t="s">
        <v>287</v>
      </c>
    </row>
    <row r="19" customFormat="false" ht="37.5" hidden="false" customHeight="true" outlineLevel="0" collapsed="false">
      <c r="B19" s="62" t="s">
        <v>288</v>
      </c>
      <c r="C19" s="63" t="s">
        <v>289</v>
      </c>
      <c r="D19" s="64" t="s">
        <v>275</v>
      </c>
    </row>
    <row r="20" customFormat="false" ht="37.5" hidden="false" customHeight="true" outlineLevel="0" collapsed="false">
      <c r="B20" s="62" t="s">
        <v>290</v>
      </c>
      <c r="C20" s="63" t="s">
        <v>291</v>
      </c>
      <c r="D20" s="64" t="s">
        <v>275</v>
      </c>
    </row>
    <row r="21" customFormat="false" ht="37.5" hidden="false" customHeight="true" outlineLevel="0" collapsed="false">
      <c r="B21" s="62" t="s">
        <v>292</v>
      </c>
      <c r="C21" s="63" t="s">
        <v>293</v>
      </c>
      <c r="D21" s="65" t="s">
        <v>284</v>
      </c>
    </row>
    <row r="22" customFormat="false" ht="37.5" hidden="false" customHeight="true" outlineLevel="0" collapsed="false">
      <c r="B22" s="62" t="s">
        <v>294</v>
      </c>
      <c r="C22" s="63" t="s">
        <v>295</v>
      </c>
      <c r="D22" s="65" t="s">
        <v>284</v>
      </c>
    </row>
    <row r="24" customFormat="false" ht="15" hidden="false" customHeight="true" outlineLevel="0" collapsed="false">
      <c r="B24" s="16" t="s">
        <v>296</v>
      </c>
      <c r="C24" s="16"/>
      <c r="D24" s="16"/>
    </row>
    <row r="25" customFormat="false" ht="15" hidden="false" customHeight="true" outlineLevel="0" collapsed="false">
      <c r="B25" s="16"/>
      <c r="C25" s="16"/>
      <c r="D25" s="16"/>
    </row>
  </sheetData>
  <mergeCells count="8">
    <mergeCell ref="B3:D3"/>
    <mergeCell ref="C6:D6"/>
    <mergeCell ref="C7:D7"/>
    <mergeCell ref="C8:D8"/>
    <mergeCell ref="C9:D9"/>
    <mergeCell ref="C10:D10"/>
    <mergeCell ref="C11:D11"/>
    <mergeCell ref="B24:D25"/>
  </mergeCells>
  <printOptions headings="false" gridLines="false" gridLinesSet="true" horizontalCentered="true" verticalCentered="false"/>
  <pageMargins left="0.3" right="0.3" top="0.4" bottom="0.4" header="0.511811023622047" footer="0.5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&amp;L&amp;A&amp;RPage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2026-08-31T14:17:59Z</dcterms:created>
  <dc:creator>openpyxl</dc:creator>
  <dc:description/>
  <dc:language>en-US</dc:language>
  <cp:lastModifiedBy/>
  <dcterms:modified xsi:type="dcterms:W3CDTF">2026-10-01T13:47:41Z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