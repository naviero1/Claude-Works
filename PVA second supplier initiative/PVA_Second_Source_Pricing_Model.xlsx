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 &amp; Assumptions" sheetId="1" state="visible" r:id="rId1"/>
    <sheet xmlns:r="http://schemas.openxmlformats.org/officeDocument/2006/relationships" name="Split Scenarios" sheetId="2" state="visible" r:id="rId2"/>
    <sheet xmlns:r="http://schemas.openxmlformats.org/officeDocument/2006/relationships" name="Price Sensitivity" sheetId="3" state="visible" r:id="rId3"/>
    <sheet xmlns:r="http://schemas.openxmlformats.org/officeDocument/2006/relationships" name="SNP Re-pricing Risk" sheetId="4" state="visible" r:id="rId4"/>
    <sheet xmlns:r="http://schemas.openxmlformats.org/officeDocument/2006/relationships" name="Supplier Roster" sheetId="5" state="visible" r:id="rId5"/>
    <sheet xmlns:r="http://schemas.openxmlformats.org/officeDocument/2006/relationships" name="CJB Interview" sheetId="6" state="visible" r:id="rId6"/>
  </sheets>
  <definedNames>
    <definedName name="DrumGal">'Inputs &amp; Assumptions'!$C$6</definedName>
    <definedName name="DrumLb">'Inputs &amp; Assumptions'!$C$7</definedName>
    <definedName name="WeeksYr">'Inputs &amp; Assumptions'!$C$8</definedName>
    <definedName name="DemandLbWk">'Inputs &amp; Assumptions'!$C$9</definedName>
    <definedName name="SNPlb">'Inputs &amp; Assumptions'!$C$10</definedName>
    <definedName name="SNPdrum">'Inputs &amp; Assumptions'!$C$11</definedName>
    <definedName name="DrumsWk">'Inputs &amp; Assumptions'!$C$12</definedName>
    <definedName name="DrumsYr">'Inputs &amp; Assumptions'!$C$13</definedName>
    <definedName name="GalYr">'Inputs &amp; Assumptions'!$C$14</definedName>
    <definedName name="BaselineSpend">'Inputs &amp; Assumptions'!$C$15</definedName>
    <definedName name="MinBatch">'Inputs &amp; Assumptions'!$C$18</definedName>
    <definedName name="APVlow">'Inputs &amp; Assumptions'!$C$19</definedName>
    <definedName name="APVlikely">'Inputs &amp; Assumptions'!$C$20</definedName>
    <definedName name="APVhigh">'Inputs &amp; Assumptions'!$C$21</definedName>
    <definedName name="SNPsurch">'Inputs &amp; Assumptions'!$C$24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0.00"/>
    <numFmt numFmtId="165" formatCode="$#,##0"/>
    <numFmt numFmtId="166" formatCode="0.0"/>
    <numFmt numFmtId="167" formatCode="0.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808080"/>
      <sz val="9"/>
    </font>
    <font>
      <b val="1"/>
      <color rgb="00FFFFFF"/>
      <sz val="11"/>
    </font>
    <font>
      <b val="1"/>
      <color rgb="007F6000"/>
    </font>
    <font>
      <b val="1"/>
      <color rgb="00375623"/>
    </font>
    <font>
      <b val="1"/>
    </font>
    <font>
      <b val="1"/>
      <color rgb="00FFFFFF"/>
      <sz val="12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404040"/>
      </patternFill>
    </fill>
    <fill>
      <patternFill patternType="solid">
        <fgColor rgb="00C6EFCE"/>
      </patternFill>
    </fill>
    <fill>
      <patternFill patternType="solid">
        <fgColor rgb="00A9D08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horizontal="left" vertical="center" wrapText="1"/>
    </xf>
    <xf numFmtId="1" fontId="4" fillId="3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9" fontId="4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9" fontId="0" fillId="6" borderId="1" applyAlignment="1" pivotButton="0" quotePrefix="0" xfId="0">
      <alignment horizontal="center" vertical="center"/>
    </xf>
    <xf numFmtId="166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167" fontId="0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wrapText="1"/>
    </xf>
    <xf numFmtId="9" fontId="7" fillId="5" borderId="1" applyAlignment="1" pivotButton="0" quotePrefix="0" xfId="0">
      <alignment horizontal="center" vertical="center"/>
    </xf>
    <xf numFmtId="0" fontId="6" fillId="0" borderId="0" pivotButton="0" quotePrefix="0" xfId="0"/>
    <xf numFmtId="165" fontId="6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8" fillId="7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6" customWidth="1" min="3" max="3"/>
    <col width="14" customWidth="1" min="4" max="4"/>
    <col width="62" customWidth="1" min="5" max="5"/>
  </cols>
  <sheetData>
    <row r="2">
      <c r="B2" s="1" t="inlineStr">
        <is>
          <t>PVA Second-Source — Volume &amp; Pricing Model</t>
        </is>
      </c>
    </row>
    <row r="3">
      <c r="B3" s="2" t="inlineStr">
        <is>
          <t>Working model. Edit only the YELLOW cells; green cells are calculated. Updated 2026-06-26.</t>
        </is>
      </c>
    </row>
    <row r="5">
      <c r="B5" s="3" t="inlineStr">
        <is>
          <t>1) ACCOUNT FUNDAMENTALS</t>
        </is>
      </c>
      <c r="C5" s="3" t="n"/>
      <c r="D5" s="3" t="n"/>
    </row>
    <row r="6">
      <c r="B6" s="4" t="inlineStr">
        <is>
          <t>Drum size (gallons)</t>
        </is>
      </c>
      <c r="C6" s="5" t="n">
        <v>55</v>
      </c>
      <c r="E6" s="6" t="inlineStr">
        <is>
          <t>Standard 55-gal drum.</t>
        </is>
      </c>
    </row>
    <row r="7">
      <c r="B7" s="4" t="inlineStr">
        <is>
          <t>Drum net weight (lb)</t>
        </is>
      </c>
      <c r="C7" s="5" t="n">
        <v>450</v>
      </c>
      <c r="E7" s="6" t="inlineStr">
        <is>
          <t>From SNP quote: '1/450 lb. drum'. ~1.0 density solution.</t>
        </is>
      </c>
    </row>
    <row r="8">
      <c r="B8" s="4" t="inlineStr">
        <is>
          <t>Weeks per year</t>
        </is>
      </c>
      <c r="C8" s="5" t="n">
        <v>52</v>
      </c>
    </row>
    <row r="9">
      <c r="B9" s="4" t="inlineStr">
        <is>
          <t>TOTAL demand (lb finished PVA / week)  &lt;-- KEY INPUT</t>
        </is>
      </c>
      <c r="C9" s="7" t="n">
        <v>1300</v>
      </c>
      <c r="E9" s="6" t="inlineStr">
        <is>
          <t>Confirmed by Oscar 2026-06-26: ~1,300 lb finished liquid/wk. This is how SNP bills (per lb).</t>
        </is>
      </c>
    </row>
    <row r="10">
      <c r="B10" s="4" t="inlineStr">
        <is>
          <t>SNP price ($/lb)</t>
        </is>
      </c>
      <c r="C10" s="8" t="n">
        <v>0.75</v>
      </c>
      <c r="E10" s="6" t="inlineStr">
        <is>
          <t>From SNP Estimate 012726-1, item 5TT-11A.</t>
        </is>
      </c>
    </row>
    <row r="11">
      <c r="B11" s="4" t="inlineStr">
        <is>
          <t>SNP price per drum ($)</t>
        </is>
      </c>
      <c r="C11" s="9">
        <f>SNPlb*DrumLb</f>
        <v/>
      </c>
      <c r="E11" s="6">
        <f> $/lb x drum lb</f>
        <v/>
      </c>
    </row>
    <row r="12">
      <c r="B12" s="4" t="inlineStr">
        <is>
          <t>Total demand (drums / week)</t>
        </is>
      </c>
      <c r="C12" s="10">
        <f>DemandLbWk/DrumLb</f>
        <v/>
      </c>
      <c r="E12" s="6">
        <f> lb/wk / drum lb</f>
        <v/>
      </c>
    </row>
    <row r="13">
      <c r="B13" s="4" t="inlineStr">
        <is>
          <t>Total drums per year</t>
        </is>
      </c>
      <c r="C13" s="11">
        <f>DrumsWk*WeeksYr</f>
        <v/>
      </c>
    </row>
    <row r="14">
      <c r="B14" s="4" t="inlineStr">
        <is>
          <t>Total gallons per year</t>
        </is>
      </c>
      <c r="C14" s="12">
        <f>DrumsYr*DrumGal</f>
        <v/>
      </c>
    </row>
    <row r="15">
      <c r="B15" s="4" t="inlineStr">
        <is>
          <t>CURRENT all-SNP annual spend ($)</t>
        </is>
      </c>
      <c r="C15" s="9">
        <f>DrumsYr*SNPdrum</f>
        <v/>
      </c>
      <c r="E15" s="6" t="inlineStr">
        <is>
          <t>Baseline: 100% to SNP.</t>
        </is>
      </c>
    </row>
    <row r="17">
      <c r="B17" s="3" t="inlineStr">
        <is>
          <t>2) SECOND-SOURCE PRICE ASSUMPTIONS (placeholders until real quote)</t>
        </is>
      </c>
      <c r="C17" s="3" t="n"/>
      <c r="D17" s="3" t="n"/>
    </row>
    <row r="18">
      <c r="B18" s="4" t="inlineStr">
        <is>
          <t>Min batch of best small-batch candidates (gal)</t>
        </is>
      </c>
      <c r="C18" s="5" t="n">
        <v>40</v>
      </c>
      <c r="E18" s="6" t="inlineStr">
        <is>
          <t>CJB confirmed (06/26): 40 gal min, MOQ 100 gal, will do 55 gal = 1 drum. A single drum is within a batch.</t>
        </is>
      </c>
    </row>
    <row r="19">
      <c r="B19" s="4" t="inlineStr">
        <is>
          <t>2nd-source price/drum - LOW (best case)</t>
        </is>
      </c>
      <c r="C19" s="13">
        <f>SNPdrum</f>
        <v/>
      </c>
      <c r="E19" s="6" t="inlineStr">
        <is>
          <t>Parity with SNP. Optimistic floor.</t>
        </is>
      </c>
    </row>
    <row r="20">
      <c r="B20" s="4" t="inlineStr">
        <is>
          <t>2nd-source price/drum - LIKELY</t>
        </is>
      </c>
      <c r="C20" s="13">
        <f>ROUND(SNPdrum*1.5,2)</f>
        <v/>
      </c>
      <c r="E20" s="6" t="inlineStr">
        <is>
          <t>+50% small-batch premium. ADJUST when a real quote lands.</t>
        </is>
      </c>
    </row>
    <row r="21">
      <c r="B21" s="4" t="inlineStr">
        <is>
          <t>2nd-source price/drum - HIGH</t>
        </is>
      </c>
      <c r="C21" s="13">
        <f>ROUND(SNPdrum*2,2)</f>
        <v/>
      </c>
      <c r="E21" s="6" t="inlineStr">
        <is>
          <t>+100% worst case.</t>
        </is>
      </c>
    </row>
    <row r="23">
      <c r="B23" s="3" t="inlineStr">
        <is>
          <t>3) SNP RE-PRICING RISK (if SNP loses volume to a 2nd source)</t>
        </is>
      </c>
      <c r="C23" s="3" t="n"/>
      <c r="D23" s="3" t="n"/>
    </row>
    <row r="24">
      <c r="B24" s="4" t="inlineStr">
        <is>
          <t>SNP surcharge if volume reduced (%)</t>
        </is>
      </c>
      <c r="C24" s="14" t="n">
        <v>0</v>
      </c>
      <c r="E24" s="6" t="inlineStr">
        <is>
          <t>Set e.g. 10% to test whether SNP raises the rate on remaining drums. Used in scenarios.</t>
        </is>
      </c>
    </row>
    <row r="26">
      <c r="B26" s="15" t="inlineStr">
        <is>
          <t>HOW TO USE:</t>
        </is>
      </c>
    </row>
    <row r="27">
      <c r="B27" s="6" t="inlineStr">
        <is>
          <t xml:space="preserve">  - 'Split Scenarios': compare giving the 2nd source 0/10/20/25/33/50% of volume at the LIKELY price.</t>
        </is>
      </c>
    </row>
    <row r="28">
      <c r="B28" s="6" t="inlineStr">
        <is>
          <t xml:space="preserve">  - 'Price Sensitivity': how total cost moves with the real per-drum quote x the split.</t>
        </is>
      </c>
    </row>
    <row r="29">
      <c r="B29" s="6" t="inlineStr">
        <is>
          <t xml:space="preserve">  - 'SNP Re-pricing Risk': breakeven - how big an SNP surcharge erases the value of a 2nd source.</t>
        </is>
      </c>
    </row>
    <row r="30">
      <c r="B30" s="6" t="inlineStr">
        <is>
          <t xml:space="preserve">  - 'Supplier Roster': US candidates grouped by status + volume feasibility for a ~1 drum/wk slice.</t>
        </is>
      </c>
    </row>
    <row r="31">
      <c r="B31" s="6" t="inlineStr">
        <is>
          <t>DECIDED: fixed split ~20-25% to the 2nd source (~30-38 drums/yr), quoted per drum as a recurring rotation.</t>
        </is>
      </c>
    </row>
    <row r="32">
      <c r="B32" s="6" t="inlineStr">
        <is>
          <t>GATING for any firm quote: viscosity target still pending from SNP CoA history.</t>
        </is>
      </c>
    </row>
    <row r="33">
      <c r="B33" s="6" t="inlineStr">
        <is>
          <t>SECOND-SOURCE SLICE (~1 drum/wk) + 18-day shelf life =&gt; prefer suppliers with a SMALL min batch so you don't make more than ~2 drums you can use in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5" customWidth="1" min="7" max="7"/>
    <col width="16" customWidth="1" min="8" max="8"/>
    <col width="15" customWidth="1" min="9" max="9"/>
    <col width="9" customWidth="1" min="10" max="10"/>
  </cols>
  <sheetData>
    <row r="1">
      <c r="A1" s="1" t="inlineStr">
        <is>
          <t>Volume-Split Scenarios  (2nd source priced at LIKELY; SNP includes any surcharge from Inputs)</t>
        </is>
      </c>
    </row>
    <row r="2">
      <c r="A2" s="2" t="inlineStr">
        <is>
          <t>Each row = a different share of total annual drums sent to the 2nd source. SNP keeps the rest.</t>
        </is>
      </c>
    </row>
    <row r="4" ht="30" customHeight="1">
      <c r="A4" s="16" t="inlineStr">
        <is>
          <t>Split % to 2nd src</t>
        </is>
      </c>
      <c r="B4" s="16" t="inlineStr">
        <is>
          <t>2nd-src drums/yr</t>
        </is>
      </c>
      <c r="C4" s="16" t="inlineStr">
        <is>
          <t>SNP drums/yr</t>
        </is>
      </c>
      <c r="D4" s="16" t="inlineStr">
        <is>
          <t>SNP $/drum
(w/ surcharge)</t>
        </is>
      </c>
      <c r="E4" s="16" t="inlineStr">
        <is>
          <t>2nd-src $/drum
(Likely)</t>
        </is>
      </c>
      <c r="F4" s="16" t="inlineStr">
        <is>
          <t>SNP annual $</t>
        </is>
      </c>
      <c r="G4" s="16" t="inlineStr">
        <is>
          <t>2nd-src annual $</t>
        </is>
      </c>
      <c r="H4" s="16" t="inlineStr">
        <is>
          <t>TOTAL annual $</t>
        </is>
      </c>
      <c r="I4" s="16" t="inlineStr">
        <is>
          <t>Δ vs all-SNP $</t>
        </is>
      </c>
      <c r="J4" s="16" t="inlineStr">
        <is>
          <t>Δ %</t>
        </is>
      </c>
    </row>
    <row r="5">
      <c r="A5" s="17" t="n">
        <v>0</v>
      </c>
      <c r="B5" s="18">
        <f>ROUND(DrumsYr*A5,1)</f>
        <v/>
      </c>
      <c r="C5" s="18">
        <f>ROUND(DrumsYr*(1-A5),1)</f>
        <v/>
      </c>
      <c r="D5" s="19">
        <f>IF(A5&gt;0,SNPdrum*(1+SNPsurch),SNPdrum)</f>
        <v/>
      </c>
      <c r="E5" s="19">
        <f>APVlikely</f>
        <v/>
      </c>
      <c r="F5" s="19">
        <f>C5*D5</f>
        <v/>
      </c>
      <c r="G5" s="19">
        <f>B5*E5</f>
        <v/>
      </c>
      <c r="H5" s="19">
        <f>F5+G5</f>
        <v/>
      </c>
      <c r="I5" s="19">
        <f>H5-BaselineSpend</f>
        <v/>
      </c>
      <c r="J5" s="20">
        <f>IF(BaselineSpend=0,0,I5/BaselineSpend)</f>
        <v/>
      </c>
    </row>
    <row r="6">
      <c r="A6" s="17" t="n">
        <v>0.1</v>
      </c>
      <c r="B6" s="18">
        <f>ROUND(DrumsYr*A6,1)</f>
        <v/>
      </c>
      <c r="C6" s="18">
        <f>ROUND(DrumsYr*(1-A6),1)</f>
        <v/>
      </c>
      <c r="D6" s="19">
        <f>IF(A6&gt;0,SNPdrum*(1+SNPsurch),SNPdrum)</f>
        <v/>
      </c>
      <c r="E6" s="19">
        <f>APVlikely</f>
        <v/>
      </c>
      <c r="F6" s="19">
        <f>C6*D6</f>
        <v/>
      </c>
      <c r="G6" s="19">
        <f>B6*E6</f>
        <v/>
      </c>
      <c r="H6" s="19">
        <f>F6+G6</f>
        <v/>
      </c>
      <c r="I6" s="19">
        <f>H6-BaselineSpend</f>
        <v/>
      </c>
      <c r="J6" s="20">
        <f>IF(BaselineSpend=0,0,I6/BaselineSpend)</f>
        <v/>
      </c>
    </row>
    <row r="7">
      <c r="A7" s="21" t="n">
        <v>0.2</v>
      </c>
      <c r="B7" s="22">
        <f>ROUND(DrumsYr*A7,1)</f>
        <v/>
      </c>
      <c r="C7" s="22">
        <f>ROUND(DrumsYr*(1-A7),1)</f>
        <v/>
      </c>
      <c r="D7" s="23">
        <f>IF(A7&gt;0,SNPdrum*(1+SNPsurch),SNPdrum)</f>
        <v/>
      </c>
      <c r="E7" s="23">
        <f>APVlikely</f>
        <v/>
      </c>
      <c r="F7" s="23">
        <f>C7*D7</f>
        <v/>
      </c>
      <c r="G7" s="23">
        <f>B7*E7</f>
        <v/>
      </c>
      <c r="H7" s="23">
        <f>F7+G7</f>
        <v/>
      </c>
      <c r="I7" s="23">
        <f>H7-BaselineSpend</f>
        <v/>
      </c>
      <c r="J7" s="24">
        <f>IF(BaselineSpend=0,0,I7/BaselineSpend)</f>
        <v/>
      </c>
    </row>
    <row r="8">
      <c r="A8" s="21" t="n">
        <v>0.25</v>
      </c>
      <c r="B8" s="22">
        <f>ROUND(DrumsYr*A8,1)</f>
        <v/>
      </c>
      <c r="C8" s="22">
        <f>ROUND(DrumsYr*(1-A8),1)</f>
        <v/>
      </c>
      <c r="D8" s="23">
        <f>IF(A8&gt;0,SNPdrum*(1+SNPsurch),SNPdrum)</f>
        <v/>
      </c>
      <c r="E8" s="23">
        <f>APVlikely</f>
        <v/>
      </c>
      <c r="F8" s="23">
        <f>C8*D8</f>
        <v/>
      </c>
      <c r="G8" s="23">
        <f>B8*E8</f>
        <v/>
      </c>
      <c r="H8" s="23">
        <f>F8+G8</f>
        <v/>
      </c>
      <c r="I8" s="23">
        <f>H8-BaselineSpend</f>
        <v/>
      </c>
      <c r="J8" s="24">
        <f>IF(BaselineSpend=0,0,I8/BaselineSpend)</f>
        <v/>
      </c>
    </row>
    <row r="9">
      <c r="A9" s="17" t="n">
        <v>0.33</v>
      </c>
      <c r="B9" s="18">
        <f>ROUND(DrumsYr*A9,1)</f>
        <v/>
      </c>
      <c r="C9" s="18">
        <f>ROUND(DrumsYr*(1-A9),1)</f>
        <v/>
      </c>
      <c r="D9" s="19">
        <f>IF(A9&gt;0,SNPdrum*(1+SNPsurch),SNPdrum)</f>
        <v/>
      </c>
      <c r="E9" s="19">
        <f>APVlikely</f>
        <v/>
      </c>
      <c r="F9" s="19">
        <f>C9*D9</f>
        <v/>
      </c>
      <c r="G9" s="19">
        <f>B9*E9</f>
        <v/>
      </c>
      <c r="H9" s="19">
        <f>F9+G9</f>
        <v/>
      </c>
      <c r="I9" s="19">
        <f>H9-BaselineSpend</f>
        <v/>
      </c>
      <c r="J9" s="20">
        <f>IF(BaselineSpend=0,0,I9/BaselineSpend)</f>
        <v/>
      </c>
    </row>
    <row r="10">
      <c r="A10" s="17" t="n">
        <v>0.5</v>
      </c>
      <c r="B10" s="18">
        <f>ROUND(DrumsYr*A10,1)</f>
        <v/>
      </c>
      <c r="C10" s="18">
        <f>ROUND(DrumsYr*(1-A10),1)</f>
        <v/>
      </c>
      <c r="D10" s="19">
        <f>IF(A10&gt;0,SNPdrum*(1+SNPsurch),SNPdrum)</f>
        <v/>
      </c>
      <c r="E10" s="19">
        <f>APVlikely</f>
        <v/>
      </c>
      <c r="F10" s="19">
        <f>C10*D10</f>
        <v/>
      </c>
      <c r="G10" s="19">
        <f>B10*E10</f>
        <v/>
      </c>
      <c r="H10" s="19">
        <f>F10+G10</f>
        <v/>
      </c>
      <c r="I10" s="19">
        <f>H10-BaselineSpend</f>
        <v/>
      </c>
      <c r="J10" s="20">
        <f>IF(BaselineSpend=0,0,I10/BaselineSpend)</f>
        <v/>
      </c>
    </row>
    <row r="12">
      <c r="A12" s="2" t="inlineStr">
        <is>
          <t>Highlighted rows (20% / 25%) = decided fixed-split range. 'Δ vs all-SNP' = annual cost of redundancy.</t>
        </is>
      </c>
    </row>
  </sheetData>
  <mergeCells count="3">
    <mergeCell ref="A1:J1"/>
    <mergeCell ref="A12:J12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2nd-Source Price Sensitivity — TOTAL annual cost ($)</t>
        </is>
      </c>
    </row>
    <row r="2">
      <c r="A2" s="2" t="inlineStr">
        <is>
          <t>Rows = the 2nd source's actual price per drum (fill in once they quote). Cols = % of volume to them. SNP at base.</t>
        </is>
      </c>
    </row>
    <row r="4">
      <c r="A4" s="25" t="inlineStr">
        <is>
          <t>$/drum  ↓   Split →</t>
        </is>
      </c>
      <c r="B4" s="26" t="n">
        <v>0.1</v>
      </c>
      <c r="C4" s="26" t="n">
        <v>0.2</v>
      </c>
      <c r="D4" s="26" t="n">
        <v>0.25</v>
      </c>
      <c r="E4" s="26" t="n">
        <v>0.33</v>
      </c>
      <c r="F4" s="26" t="n">
        <v>0.5</v>
      </c>
    </row>
    <row r="5">
      <c r="A5" s="13" t="n">
        <v>337.5</v>
      </c>
      <c r="B5" s="19">
        <f>DrumsYr*(1-0.1)*SNPdrum + DrumsYr*0.1*$A5</f>
        <v/>
      </c>
      <c r="C5" s="19">
        <f>DrumsYr*(1-0.2)*SNPdrum + DrumsYr*0.2*$A5</f>
        <v/>
      </c>
      <c r="D5" s="19">
        <f>DrumsYr*(1-0.25)*SNPdrum + DrumsYr*0.25*$A5</f>
        <v/>
      </c>
      <c r="E5" s="19">
        <f>DrumsYr*(1-0.33)*SNPdrum + DrumsYr*0.33*$A5</f>
        <v/>
      </c>
      <c r="F5" s="19">
        <f>DrumsYr*(1-0.5)*SNPdrum + DrumsYr*0.5*$A5</f>
        <v/>
      </c>
    </row>
    <row r="6">
      <c r="A6" s="13" t="n">
        <v>400</v>
      </c>
      <c r="B6" s="19">
        <f>DrumsYr*(1-0.1)*SNPdrum + DrumsYr*0.1*$A6</f>
        <v/>
      </c>
      <c r="C6" s="19">
        <f>DrumsYr*(1-0.2)*SNPdrum + DrumsYr*0.2*$A6</f>
        <v/>
      </c>
      <c r="D6" s="19">
        <f>DrumsYr*(1-0.25)*SNPdrum + DrumsYr*0.25*$A6</f>
        <v/>
      </c>
      <c r="E6" s="19">
        <f>DrumsYr*(1-0.33)*SNPdrum + DrumsYr*0.33*$A6</f>
        <v/>
      </c>
      <c r="F6" s="19">
        <f>DrumsYr*(1-0.5)*SNPdrum + DrumsYr*0.5*$A6</f>
        <v/>
      </c>
    </row>
    <row r="7">
      <c r="A7" s="13" t="n">
        <v>450</v>
      </c>
      <c r="B7" s="19">
        <f>DrumsYr*(1-0.1)*SNPdrum + DrumsYr*0.1*$A7</f>
        <v/>
      </c>
      <c r="C7" s="19">
        <f>DrumsYr*(1-0.2)*SNPdrum + DrumsYr*0.2*$A7</f>
        <v/>
      </c>
      <c r="D7" s="19">
        <f>DrumsYr*(1-0.25)*SNPdrum + DrumsYr*0.25*$A7</f>
        <v/>
      </c>
      <c r="E7" s="19">
        <f>DrumsYr*(1-0.33)*SNPdrum + DrumsYr*0.33*$A7</f>
        <v/>
      </c>
      <c r="F7" s="19">
        <f>DrumsYr*(1-0.5)*SNPdrum + DrumsYr*0.5*$A7</f>
        <v/>
      </c>
    </row>
    <row r="8">
      <c r="A8" s="13" t="n">
        <v>506.25</v>
      </c>
      <c r="B8" s="19">
        <f>DrumsYr*(1-0.1)*SNPdrum + DrumsYr*0.1*$A8</f>
        <v/>
      </c>
      <c r="C8" s="19">
        <f>DrumsYr*(1-0.2)*SNPdrum + DrumsYr*0.2*$A8</f>
        <v/>
      </c>
      <c r="D8" s="19">
        <f>DrumsYr*(1-0.25)*SNPdrum + DrumsYr*0.25*$A8</f>
        <v/>
      </c>
      <c r="E8" s="19">
        <f>DrumsYr*(1-0.33)*SNPdrum + DrumsYr*0.33*$A8</f>
        <v/>
      </c>
      <c r="F8" s="19">
        <f>DrumsYr*(1-0.5)*SNPdrum + DrumsYr*0.5*$A8</f>
        <v/>
      </c>
    </row>
    <row r="9">
      <c r="A9" s="13" t="n">
        <v>600</v>
      </c>
      <c r="B9" s="19">
        <f>DrumsYr*(1-0.1)*SNPdrum + DrumsYr*0.1*$A9</f>
        <v/>
      </c>
      <c r="C9" s="19">
        <f>DrumsYr*(1-0.2)*SNPdrum + DrumsYr*0.2*$A9</f>
        <v/>
      </c>
      <c r="D9" s="19">
        <f>DrumsYr*(1-0.25)*SNPdrum + DrumsYr*0.25*$A9</f>
        <v/>
      </c>
      <c r="E9" s="19">
        <f>DrumsYr*(1-0.33)*SNPdrum + DrumsYr*0.33*$A9</f>
        <v/>
      </c>
      <c r="F9" s="19">
        <f>DrumsYr*(1-0.5)*SNPdrum + DrumsYr*0.5*$A9</f>
        <v/>
      </c>
    </row>
    <row r="10">
      <c r="A10" s="13" t="n">
        <v>675</v>
      </c>
      <c r="B10" s="19">
        <f>DrumsYr*(1-0.1)*SNPdrum + DrumsYr*0.1*$A10</f>
        <v/>
      </c>
      <c r="C10" s="19">
        <f>DrumsYr*(1-0.2)*SNPdrum + DrumsYr*0.2*$A10</f>
        <v/>
      </c>
      <c r="D10" s="19">
        <f>DrumsYr*(1-0.25)*SNPdrum + DrumsYr*0.25*$A10</f>
        <v/>
      </c>
      <c r="E10" s="19">
        <f>DrumsYr*(1-0.33)*SNPdrum + DrumsYr*0.33*$A10</f>
        <v/>
      </c>
      <c r="F10" s="19">
        <f>DrumsYr*(1-0.5)*SNPdrum + DrumsYr*0.5*$A10</f>
        <v/>
      </c>
    </row>
    <row r="11">
      <c r="A11" s="13" t="n">
        <v>750</v>
      </c>
      <c r="B11" s="19">
        <f>DrumsYr*(1-0.1)*SNPdrum + DrumsYr*0.1*$A11</f>
        <v/>
      </c>
      <c r="C11" s="19">
        <f>DrumsYr*(1-0.2)*SNPdrum + DrumsYr*0.2*$A11</f>
        <v/>
      </c>
      <c r="D11" s="19">
        <f>DrumsYr*(1-0.25)*SNPdrum + DrumsYr*0.25*$A11</f>
        <v/>
      </c>
      <c r="E11" s="19">
        <f>DrumsYr*(1-0.33)*SNPdrum + DrumsYr*0.33*$A11</f>
        <v/>
      </c>
      <c r="F11" s="19">
        <f>DrumsYr*(1-0.5)*SNPdrum + DrumsYr*0.5*$A11</f>
        <v/>
      </c>
    </row>
    <row r="13">
      <c r="A13" s="27" t="inlineStr">
        <is>
          <t>Baseline all-SNP:</t>
        </is>
      </c>
      <c r="C13" s="28">
        <f>BaselineSpend</f>
        <v/>
      </c>
    </row>
    <row r="14">
      <c r="A14" s="2" t="inlineStr">
        <is>
          <t>Yellow column = type the real per-drum quote here to read total cost across splits.</t>
        </is>
      </c>
    </row>
  </sheetData>
  <mergeCells count="3">
    <mergeCell ref="A14:F14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7" customWidth="1" min="4" max="4"/>
    <col width="14" customWidth="1" min="5" max="5"/>
    <col width="15" customWidth="1" min="6" max="6"/>
    <col width="30" customWidth="1" min="7" max="7"/>
  </cols>
  <sheetData>
    <row r="1">
      <c r="A1" s="1" t="inlineStr">
        <is>
          <t>SNP Re-pricing Risk — what if SNP raises its rate after losing volume?</t>
        </is>
      </c>
    </row>
    <row r="2">
      <c r="A2" s="2" t="inlineStr">
        <is>
          <t>Scenario: 25% to 2nd source at LIKELY price; SNP applies a surcharge on its remaining 75%.</t>
        </is>
      </c>
    </row>
    <row r="4" ht="28" customHeight="1">
      <c r="A4" s="16" t="inlineStr">
        <is>
          <t>SNP surcharge %</t>
        </is>
      </c>
      <c r="B4" s="16" t="inlineStr">
        <is>
          <t>SNP $/drum</t>
        </is>
      </c>
      <c r="C4" s="16" t="inlineStr">
        <is>
          <t>SNP annual (75%)</t>
        </is>
      </c>
      <c r="D4" s="16" t="inlineStr">
        <is>
          <t>2nd-src annual (25%)</t>
        </is>
      </c>
      <c r="E4" s="16" t="inlineStr">
        <is>
          <t>TOTAL annual</t>
        </is>
      </c>
      <c r="F4" s="16" t="inlineStr">
        <is>
          <t>Δ vs all-SNP</t>
        </is>
      </c>
      <c r="G4" s="16" t="inlineStr">
        <is>
          <t>Verdict</t>
        </is>
      </c>
    </row>
    <row r="5">
      <c r="A5" s="17" t="n">
        <v>0</v>
      </c>
      <c r="B5" s="19">
        <f>SNPdrum*(1+A5)</f>
        <v/>
      </c>
      <c r="C5" s="19">
        <f>DrumsYr*(1-0.25)*B5</f>
        <v/>
      </c>
      <c r="D5" s="19">
        <f>DrumsYr*0.25*APVlikely</f>
        <v/>
      </c>
      <c r="E5" s="19">
        <f>C5+D5</f>
        <v/>
      </c>
      <c r="F5" s="19">
        <f>E5-BaselineSpend</f>
        <v/>
      </c>
      <c r="G5" s="29">
        <f>IF(F5&lt;=0,"Cheaper than baseline","Redundancy premium: "&amp;TEXT(F5,"$#,##0"))</f>
        <v/>
      </c>
    </row>
    <row r="6">
      <c r="A6" s="17" t="n">
        <v>0.05</v>
      </c>
      <c r="B6" s="19">
        <f>SNPdrum*(1+A6)</f>
        <v/>
      </c>
      <c r="C6" s="19">
        <f>DrumsYr*(1-0.25)*B6</f>
        <v/>
      </c>
      <c r="D6" s="19">
        <f>DrumsYr*0.25*APVlikely</f>
        <v/>
      </c>
      <c r="E6" s="19">
        <f>C6+D6</f>
        <v/>
      </c>
      <c r="F6" s="19">
        <f>E6-BaselineSpend</f>
        <v/>
      </c>
      <c r="G6" s="29">
        <f>IF(F6&lt;=0,"Cheaper than baseline","Redundancy premium: "&amp;TEXT(F6,"$#,##0"))</f>
        <v/>
      </c>
    </row>
    <row r="7">
      <c r="A7" s="17" t="n">
        <v>0.1</v>
      </c>
      <c r="B7" s="19">
        <f>SNPdrum*(1+A7)</f>
        <v/>
      </c>
      <c r="C7" s="19">
        <f>DrumsYr*(1-0.25)*B7</f>
        <v/>
      </c>
      <c r="D7" s="19">
        <f>DrumsYr*0.25*APVlikely</f>
        <v/>
      </c>
      <c r="E7" s="19">
        <f>C7+D7</f>
        <v/>
      </c>
      <c r="F7" s="19">
        <f>E7-BaselineSpend</f>
        <v/>
      </c>
      <c r="G7" s="29">
        <f>IF(F7&lt;=0,"Cheaper than baseline","Redundancy premium: "&amp;TEXT(F7,"$#,##0"))</f>
        <v/>
      </c>
    </row>
    <row r="8">
      <c r="A8" s="17" t="n">
        <v>0.15</v>
      </c>
      <c r="B8" s="19">
        <f>SNPdrum*(1+A8)</f>
        <v/>
      </c>
      <c r="C8" s="19">
        <f>DrumsYr*(1-0.25)*B8</f>
        <v/>
      </c>
      <c r="D8" s="19">
        <f>DrumsYr*0.25*APVlikely</f>
        <v/>
      </c>
      <c r="E8" s="19">
        <f>C8+D8</f>
        <v/>
      </c>
      <c r="F8" s="19">
        <f>E8-BaselineSpend</f>
        <v/>
      </c>
      <c r="G8" s="29">
        <f>IF(F8&lt;=0,"Cheaper than baseline","Redundancy premium: "&amp;TEXT(F8,"$#,##0"))</f>
        <v/>
      </c>
    </row>
    <row r="9">
      <c r="A9" s="17" t="n">
        <v>0.2</v>
      </c>
      <c r="B9" s="19">
        <f>SNPdrum*(1+A9)</f>
        <v/>
      </c>
      <c r="C9" s="19">
        <f>DrumsYr*(1-0.25)*B9</f>
        <v/>
      </c>
      <c r="D9" s="19">
        <f>DrumsYr*0.25*APVlikely</f>
        <v/>
      </c>
      <c r="E9" s="19">
        <f>C9+D9</f>
        <v/>
      </c>
      <c r="F9" s="19">
        <f>E9-BaselineSpend</f>
        <v/>
      </c>
      <c r="G9" s="29">
        <f>IF(F9&lt;=0,"Cheaper than baseline","Redundancy premium: "&amp;TEXT(F9,"$#,##0"))</f>
        <v/>
      </c>
    </row>
    <row r="10">
      <c r="A10" s="17" t="n">
        <v>0.25</v>
      </c>
      <c r="B10" s="19">
        <f>SNPdrum*(1+A10)</f>
        <v/>
      </c>
      <c r="C10" s="19">
        <f>DrumsYr*(1-0.25)*B10</f>
        <v/>
      </c>
      <c r="D10" s="19">
        <f>DrumsYr*0.25*APVlikely</f>
        <v/>
      </c>
      <c r="E10" s="19">
        <f>C10+D10</f>
        <v/>
      </c>
      <c r="F10" s="19">
        <f>E10-BaselineSpend</f>
        <v/>
      </c>
      <c r="G10" s="29">
        <f>IF(F10&lt;=0,"Cheaper than baseline","Redundancy premium: "&amp;TEXT(F10,"$#,##0"))</f>
        <v/>
      </c>
    </row>
    <row r="12">
      <c r="A12" s="2" t="inlineStr">
        <is>
          <t>The redundancy 'premium' = the 2nd source's higher price + any SNP surcharge = the insurance cost of dual-sourcing.</t>
        </is>
      </c>
    </row>
  </sheetData>
  <mergeCells count="3">
    <mergeCell ref="A2:G2"/>
    <mergeCell ref="A1:G1"/>
    <mergeCell ref="A12:G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16" customWidth="1" min="4" max="4"/>
    <col width="18" customWidth="1" min="5" max="5"/>
    <col width="26" customWidth="1" min="6" max="6"/>
    <col width="18" customWidth="1" min="7" max="7"/>
    <col width="60" customWidth="1" min="8" max="8"/>
  </cols>
  <sheetData>
    <row r="1">
      <c r="A1" s="1" t="inlineStr">
        <is>
          <t>Supplier Roster &amp; Volume Feasibility  (US-only)</t>
        </is>
      </c>
    </row>
    <row r="2" ht="28" customHeight="1">
      <c r="A2" s="2" t="inlineStr">
        <is>
          <t>Sized for the SECOND-SOURCE slice: ~1 drum/week (~38 drums/yr), made FRESH each batch (18-day shelf life). Hard gates: (1) hold 90-95 C; (2) small/partial batches so you don't make more than the ~2 drums usable within 18 days.</t>
        </is>
      </c>
    </row>
    <row r="4" ht="30" customHeight="1">
      <c r="A4" s="16" t="inlineStr">
        <is>
          <t>Supplier</t>
        </is>
      </c>
      <c r="B4" s="16" t="inlineStr">
        <is>
          <t>Location</t>
        </is>
      </c>
      <c r="C4" s="16" t="inlineStr">
        <is>
          <t>Status</t>
        </is>
      </c>
      <c r="D4" s="16" t="inlineStr">
        <is>
          <t>Holds 90-95 C?</t>
        </is>
      </c>
      <c r="E4" s="16" t="inlineStr">
        <is>
          <t>Min batch</t>
        </is>
      </c>
      <c r="F4" s="16" t="inlineStr">
        <is>
          <t>Small-batch + 18-day fit</t>
        </is>
      </c>
      <c r="G4" s="16" t="inlineStr">
        <is>
          <t>Volume feasibility</t>
        </is>
      </c>
      <c r="H4" s="16" t="inlineStr">
        <is>
          <t>Notes</t>
        </is>
      </c>
    </row>
    <row r="5">
      <c r="A5" s="30" t="inlineStr">
        <is>
          <t>ACTIVE SHORTLIST — right-sized for ~1 drum/wk + 18-day shelf life</t>
        </is>
      </c>
    </row>
    <row r="6">
      <c r="A6" s="29" t="inlineStr">
        <is>
          <t>APV Engineered Coatings</t>
        </is>
      </c>
      <c r="B6" s="29" t="inlineStr">
        <is>
          <t>Akron, OH</t>
        </is>
      </c>
      <c r="C6" s="29" t="inlineStr">
        <is>
          <t>▶ INTERVIEWING</t>
        </is>
      </c>
      <c r="D6" s="29" t="inlineStr">
        <is>
          <t>Re-confirm (verbal yes earlier; list flags as gating)</t>
        </is>
      </c>
      <c r="E6" s="29" t="inlineStr">
        <is>
          <t>from 5 gal</t>
        </is>
      </c>
      <c r="F6" s="29" t="inlineStr">
        <is>
          <t>Excellent — 5-gal floor easily makes 1 partial/full drum</t>
        </is>
      </c>
      <c r="G6" s="31" t="inlineStr">
        <is>
          <t>GOOD</t>
        </is>
      </c>
      <c r="H6" s="29" t="inlineStr">
        <is>
          <t>Coatings house; pigment-dispersion specialty (good for your pigments); ISO 9001 / EPA-reg. CORRECTED: floor is ~5 gal, not 100. Gate to close in interview: 90-95 C hold.</t>
        </is>
      </c>
    </row>
    <row r="7">
      <c r="A7" s="29" t="inlineStr">
        <is>
          <t>CJB Applied Technologies</t>
        </is>
      </c>
      <c r="B7" s="29" t="inlineStr">
        <is>
          <t>Valdosta, GA</t>
        </is>
      </c>
      <c r="C7" s="29" t="inlineStr">
        <is>
          <t>✔ INTERVIEWED 06/26 — GATE CLEARED</t>
        </is>
      </c>
      <c r="D7" s="29" t="inlineStr">
        <is>
          <t>YES — holds 90-95 C for 45 min-1 hr (confirmed 06/26)</t>
        </is>
      </c>
      <c r="E7" s="29" t="inlineStr">
        <is>
          <t>40 gal min; MOQ 100 gal, will do 55 gal (1 drum)</t>
        </is>
      </c>
      <c r="F7" s="29" t="inlineStr">
        <is>
          <t>Excellent — single drum OK; lab-batch available for qualification</t>
        </is>
      </c>
      <c r="G7" s="32" t="inlineStr">
        <is>
          <t>STRONG</t>
        </is>
      </c>
      <c r="H7" s="29" t="inlineStr">
        <is>
          <t>GATE CLEARED: jacketed 316L, agitation no fisheyes, cools to &lt;=40 C, prior HMW PVA experience. Lead 3-4 days or overnight; packaging flexible; ISO not required. Ex-Lonza (Proxel) formulator on staff. OPEN: NDA needed on process before full spec; PRICE not yet quoted (Option A/B).</t>
        </is>
      </c>
    </row>
    <row r="8">
      <c r="A8" s="29" t="inlineStr">
        <is>
          <t>Piedmont Chemical</t>
        </is>
      </c>
      <c r="B8" s="29" t="inlineStr">
        <is>
          <t>High Point, NC</t>
        </is>
      </c>
      <c r="C8" s="29" t="inlineStr">
        <is>
          <t>Active</t>
        </is>
      </c>
      <c r="D8" s="29" t="inlineStr">
        <is>
          <t>Confirm 90-95 C</t>
        </is>
      </c>
      <c r="E8" s="29" t="inlineStr">
        <is>
          <t>pilot reactors 5-100 gal</t>
        </is>
      </c>
      <c r="F8" s="29" t="inlineStr">
        <is>
          <t>Good — 5-gal floor fits a single drum</t>
        </is>
      </c>
      <c r="G8" s="31" t="inlineStr">
        <is>
          <t>GOOD</t>
        </is>
      </c>
      <c r="H8" s="29" t="inlineStr">
        <is>
          <t>UPGRADED from earlier 'too big': textile/PVA heritage = real PVA know-how; family-owned/agile. Best blend of PVA expertise + small-batch fit. (336) 885-5131.</t>
        </is>
      </c>
    </row>
    <row r="9">
      <c r="A9" s="29" t="inlineStr">
        <is>
          <t>Columbus Chemical (CCI)</t>
        </is>
      </c>
      <c r="B9" s="29" t="inlineStr">
        <is>
          <t>Columbus, WI / Phoenix, AZ</t>
        </is>
      </c>
      <c r="C9" s="29" t="inlineStr">
        <is>
          <t>Active</t>
        </is>
      </c>
      <c r="D9" s="29" t="inlineStr">
        <is>
          <t>Yes — heating/cooling</t>
        </is>
      </c>
      <c r="E9" s="29" t="inlineStr">
        <is>
          <t>20 L - 20,000 L (~5 gal floor)</t>
        </is>
      </c>
      <c r="F9" s="29" t="inlineStr">
        <is>
          <t>Excellent — lowest floor, widest range</t>
        </is>
      </c>
      <c r="G9" s="32" t="inlineStr">
        <is>
          <t>STRONG</t>
        </is>
      </c>
      <c r="H9" s="29" t="inlineStr">
        <is>
          <t>In-house lab, ISO 9001. Widest batch range = least shelf-life waste; can scale if demand grows.</t>
        </is>
      </c>
    </row>
    <row r="10">
      <c r="A10" s="29" t="inlineStr">
        <is>
          <t>CORECHEM</t>
        </is>
      </c>
      <c r="B10" s="29" t="inlineStr">
        <is>
          <t>Knoxville, TN</t>
        </is>
      </c>
      <c r="C10" s="29" t="inlineStr">
        <is>
          <t>Active</t>
        </is>
      </c>
      <c r="D10" s="29" t="inlineStr">
        <is>
          <t>Confirm</t>
        </is>
      </c>
      <c r="E10" s="29" t="inlineStr">
        <is>
          <t>smallest tank ~250 gal (~4.5 drums)</t>
        </is>
      </c>
      <c r="F10" s="29" t="inlineStr">
        <is>
          <t>CAUTION — 250-gal min may overshoot 18-day shelf life</t>
        </is>
      </c>
      <c r="G10" s="33" t="inlineStr">
        <is>
          <t>CAUTION</t>
        </is>
      </c>
      <c r="H10" s="29" t="inlineStr">
        <is>
          <t>Low-MOQ, start-up-friendly, family-owned. ASK about PARTIAL batches: a full 250-gal batch = ~4.5 drums but you can only use ~2 within 18 days.</t>
        </is>
      </c>
    </row>
    <row r="11">
      <c r="A11" s="29" t="inlineStr">
        <is>
          <t>Northstar Chemical</t>
        </is>
      </c>
      <c r="B11" s="29" t="inlineStr">
        <is>
          <t>Charlotte, NC</t>
        </is>
      </c>
      <c r="C11" s="29" t="inlineStr">
        <is>
          <t>Backup</t>
        </is>
      </c>
      <c r="D11" s="29" t="inlineStr">
        <is>
          <t>Confirm</t>
        </is>
      </c>
      <c r="E11" s="29" t="inlineStr">
        <is>
          <t>unknown (small custom/toll)</t>
        </is>
      </c>
      <c r="F11" s="29" t="inlineStr">
        <is>
          <t>Likely good — verify</t>
        </is>
      </c>
      <c r="G11" s="31" t="inlineStr">
        <is>
          <t>LIKELY GOOD</t>
        </is>
      </c>
      <c r="H11" s="29" t="inlineStr">
        <is>
          <t>Smaller dry-to-liquid custom/toll blender. (800) 570-0204.</t>
        </is>
      </c>
    </row>
    <row r="12">
      <c r="A12" s="30" t="inlineStr">
        <is>
          <t>TECHNICAL ADVISOR — won't supply at this volume, but free expert call</t>
        </is>
      </c>
    </row>
    <row r="13">
      <c r="A13" s="29" t="inlineStr">
        <is>
          <t>Sekisui Specialty Chemicals</t>
        </is>
      </c>
      <c r="B13" s="29" t="inlineStr">
        <is>
          <t>Calvert City, KY / Pasadena, TX</t>
        </is>
      </c>
      <c r="C13" s="29" t="inlineStr">
        <is>
          <t>Advisor only</t>
        </is>
      </c>
      <c r="D13" s="29" t="inlineStr">
        <is>
          <t>n/a</t>
        </is>
      </c>
      <c r="E13" s="29" t="inlineStr">
        <is>
          <t>n/a (producer, bulk only)</t>
        </is>
      </c>
      <c r="F13" s="29" t="inlineStr">
        <is>
          <t>n/a</t>
        </is>
      </c>
      <c r="G13" s="34" t="inlineStr">
        <is>
          <t>N/A — advisor</t>
        </is>
      </c>
      <c r="H13" s="29" t="inlineStr">
        <is>
          <t>Largest US PVOH (Selvol) producer. Free Tech Services call on grade selection + cook procedure. +1 855 436 8683.</t>
        </is>
      </c>
    </row>
    <row r="14">
      <c r="A14" s="30" t="inlineStr">
        <is>
          <t>DROPPED — too large / MOQ mismatch for ~1 drum/wk</t>
        </is>
      </c>
    </row>
    <row r="15">
      <c r="A15" s="29" t="inlineStr">
        <is>
          <t>Goulston Technologies</t>
        </is>
      </c>
      <c r="B15" s="29" t="inlineStr">
        <is>
          <t>Monroe, NC</t>
        </is>
      </c>
      <c r="C15" s="29" t="inlineStr">
        <is>
          <t>Dropped</t>
        </is>
      </c>
      <c r="D15" s="29" t="inlineStr">
        <is>
          <t>—</t>
        </is>
      </c>
      <c r="E15" s="29" t="inlineStr">
        <is>
          <t>large</t>
        </is>
      </c>
      <c r="F15" s="29" t="inlineStr">
        <is>
          <t>Too big</t>
        </is>
      </c>
      <c r="G15" s="35" t="inlineStr">
        <is>
          <t>NO</t>
        </is>
      </c>
      <c r="H15" s="29" t="inlineStr">
        <is>
          <t>Large textile chemical maker. 704-289-6464.</t>
        </is>
      </c>
    </row>
    <row r="16">
      <c r="A16" s="29" t="inlineStr">
        <is>
          <t>3V Sigma USA</t>
        </is>
      </c>
      <c r="B16" s="29" t="inlineStr">
        <is>
          <t>Georgetown, SC</t>
        </is>
      </c>
      <c r="C16" s="29" t="inlineStr">
        <is>
          <t>Dropped</t>
        </is>
      </c>
      <c r="D16" s="29" t="inlineStr">
        <is>
          <t>—</t>
        </is>
      </c>
      <c r="E16" s="29" t="inlineStr">
        <is>
          <t>large</t>
        </is>
      </c>
      <c r="F16" s="29" t="inlineStr">
        <is>
          <t>Too big</t>
        </is>
      </c>
      <c r="G16" s="35" t="inlineStr">
        <is>
          <t>NO</t>
        </is>
      </c>
      <c r="H16" s="29" t="inlineStr">
        <is>
          <t>Large specialty chemical producer.</t>
        </is>
      </c>
    </row>
    <row r="17">
      <c r="A17" s="29" t="inlineStr">
        <is>
          <t>Royal Chemical</t>
        </is>
      </c>
      <c r="B17" s="29" t="inlineStr">
        <is>
          <t>Twinsburg, OH (+5 sites)</t>
        </is>
      </c>
      <c r="C17" s="29" t="inlineStr">
        <is>
          <t>Dropped</t>
        </is>
      </c>
      <c r="D17" s="29" t="inlineStr">
        <is>
          <t>—</t>
        </is>
      </c>
      <c r="E17" s="29" t="inlineStr">
        <is>
          <t>220-gal liquid MOQ (~4 drums)</t>
        </is>
      </c>
      <c r="F17" s="29" t="inlineStr">
        <is>
          <t>MOQ overshoots shelf life</t>
        </is>
      </c>
      <c r="G17" s="35" t="inlineStr">
        <is>
          <t>NO</t>
        </is>
      </c>
      <c r="H17" s="29" t="inlineStr">
        <is>
          <t>220-gal min = ~4 drums = ~4 wks supply &gt; 18-day shelf life.</t>
        </is>
      </c>
    </row>
    <row r="18">
      <c r="A18" s="29" t="inlineStr">
        <is>
          <t>Columbia Chemical</t>
        </is>
      </c>
      <c r="B18" s="29" t="inlineStr">
        <is>
          <t>Brunswick, OH</t>
        </is>
      </c>
      <c r="C18" s="29" t="inlineStr">
        <is>
          <t>Dropped</t>
        </is>
      </c>
      <c r="D18" s="29" t="inlineStr">
        <is>
          <t>—</t>
        </is>
      </c>
      <c r="E18" s="29" t="inlineStr">
        <is>
          <t>large</t>
        </is>
      </c>
      <c r="F18" s="29" t="inlineStr">
        <is>
          <t>Too big / mismatch</t>
        </is>
      </c>
      <c r="G18" s="35" t="inlineStr">
        <is>
          <t>NO</t>
        </is>
      </c>
      <c r="H18" s="29" t="inlineStr"/>
    </row>
    <row r="19">
      <c r="A19" s="30" t="inlineStr">
        <is>
          <t>ELIMINATED — failed the 90-95 C cook</t>
        </is>
      </c>
    </row>
    <row r="20">
      <c r="A20" s="29" t="inlineStr">
        <is>
          <t>ArroChem</t>
        </is>
      </c>
      <c r="B20" s="29" t="inlineStr">
        <is>
          <t>Mt. Holly, NC</t>
        </is>
      </c>
      <c r="C20" s="29" t="inlineStr">
        <is>
          <t>ELIMINATED</t>
        </is>
      </c>
      <c r="D20" s="29" t="inlineStr">
        <is>
          <t>85 C ceiling — FAILS</t>
        </is>
      </c>
      <c r="E20" s="29" t="inlineStr">
        <is>
          <t>55 gal (would have fit)</t>
        </is>
      </c>
      <c r="F20" s="29" t="inlineStr">
        <is>
          <t>n/a</t>
        </is>
      </c>
      <c r="G20" s="35" t="inlineStr">
        <is>
          <t>NO</t>
        </is>
      </c>
      <c r="H20" s="29" t="inlineStr">
        <is>
          <t>Volume fit was perfect (55-gal floor) but can't reach the 90-95 C cook.</t>
        </is>
      </c>
    </row>
    <row r="21">
      <c r="A21" s="29" t="inlineStr">
        <is>
          <t>ILC Dover</t>
        </is>
      </c>
      <c r="B21" s="29" t="inlineStr">
        <is>
          <t>Frederica, DE</t>
        </is>
      </c>
      <c r="C21" s="29" t="inlineStr">
        <is>
          <t>ELIMINATED</t>
        </is>
      </c>
      <c r="D21" s="29" t="inlineStr">
        <is>
          <t>Can't reach 95 C</t>
        </is>
      </c>
      <c r="E21" s="29" t="inlineStr">
        <is>
          <t>n/a (equipment firm)</t>
        </is>
      </c>
      <c r="F21" s="29" t="inlineStr">
        <is>
          <t>n/a</t>
        </is>
      </c>
      <c r="G21" s="35" t="inlineStr">
        <is>
          <t>NO</t>
        </is>
      </c>
      <c r="H21" s="29" t="inlineStr">
        <is>
          <t>Wrong category (Ingersoll Rand containment/equipment) + heating fail. Close out.</t>
        </is>
      </c>
    </row>
    <row r="22">
      <c r="A22" s="30" t="inlineStr">
        <is>
          <t>RAW RESIN PATH — reference only (supply Selvol resin, not the liquid blend)</t>
        </is>
      </c>
    </row>
    <row r="23">
      <c r="A23" s="29" t="inlineStr">
        <is>
          <t>Brenntag</t>
        </is>
      </c>
      <c r="B23" s="29" t="inlineStr">
        <is>
          <t>US-wide</t>
        </is>
      </c>
      <c r="C23" s="29" t="inlineStr">
        <is>
          <t>Reference</t>
        </is>
      </c>
      <c r="D23" s="29" t="inlineStr">
        <is>
          <t>n/a</t>
        </is>
      </c>
      <c r="E23" s="29" t="inlineStr">
        <is>
          <t>single drums (core)</t>
        </is>
      </c>
      <c r="F23" s="29" t="inlineStr">
        <is>
          <t>n/a</t>
        </is>
      </c>
      <c r="G23" s="34" t="inlineStr">
        <is>
          <t>N/A — distributor</t>
        </is>
      </c>
      <c r="H23" s="29" t="inlineStr">
        <is>
          <t>Already lists Sekisui Selvol → easiest source of genuine resin in drums if a blender needs it supplied.</t>
        </is>
      </c>
    </row>
    <row r="24">
      <c r="A24" s="29" t="inlineStr">
        <is>
          <t>Tilley / Palmer Holland</t>
        </is>
      </c>
      <c r="B24" s="29" t="inlineStr">
        <is>
          <t>Baltimore, MD / Westlake, OH</t>
        </is>
      </c>
      <c r="C24" s="29" t="inlineStr">
        <is>
          <t>Reference</t>
        </is>
      </c>
      <c r="D24" s="29" t="inlineStr">
        <is>
          <t>n/a</t>
        </is>
      </c>
      <c r="E24" s="29" t="inlineStr">
        <is>
          <t>drums</t>
        </is>
      </c>
      <c r="F24" s="29" t="inlineStr">
        <is>
          <t>n/a</t>
        </is>
      </c>
      <c r="G24" s="34" t="inlineStr">
        <is>
          <t>N/A — distributor</t>
        </is>
      </c>
      <c r="H24" s="29" t="inlineStr">
        <is>
          <t>Relationship-sized distributors; confirm they carry a PVA brand. Use only if sourcing raw resin.</t>
        </is>
      </c>
    </row>
    <row r="26">
      <c r="A26" s="6" t="inlineStr">
        <is>
          <t>Legend: STRONG/GOOD = green, CAUTION/LIKELY = amber, NO = red, advisor/distributor = grey. 'Holds 90-95 C?' is the hard gate — re-confirm in every interview.</t>
        </is>
      </c>
    </row>
  </sheetData>
  <mergeCells count="8">
    <mergeCell ref="A12:H12"/>
    <mergeCell ref="A1:H1"/>
    <mergeCell ref="A26:H26"/>
    <mergeCell ref="A2:H2"/>
    <mergeCell ref="A19:H19"/>
    <mergeCell ref="A14:H14"/>
    <mergeCell ref="A5:H5"/>
    <mergeCell ref="A22:H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6" customWidth="1" min="2" max="2"/>
    <col width="30" customWidth="1" min="3" max="3"/>
    <col width="18" customWidth="1" min="4" max="4"/>
    <col width="22" customWidth="1" min="5" max="5"/>
  </cols>
  <sheetData>
    <row r="1">
      <c r="B1" s="1" t="inlineStr">
        <is>
          <t>Supplier Interview — Agenda &amp; Intake</t>
        </is>
      </c>
    </row>
    <row r="2" ht="28" customHeight="1">
      <c r="B2" s="2" t="inlineStr">
        <is>
          <t>COMPLETED 2026-06-26 — HARD GATE CLEARED. Captured answers below; blanks = not covered on the call. OPEN: pricing (Option A/B) not yet quoted; NDA needed on process first. Duplicate this tab to reuse for APV / Columbus / Piedmont.</t>
        </is>
      </c>
    </row>
    <row r="4">
      <c r="B4" s="15" t="inlineStr">
        <is>
          <t>Supplier</t>
        </is>
      </c>
      <c r="C4" s="36" t="inlineStr">
        <is>
          <t>CJB Applied Technologies (Valdosta, GA)</t>
        </is>
      </c>
      <c r="D4" s="37" t="n"/>
      <c r="E4" s="38" t="n"/>
    </row>
    <row r="5">
      <c r="B5" s="15" t="inlineStr">
        <is>
          <t>Phone / contact</t>
        </is>
      </c>
      <c r="C5" s="36" t="inlineStr">
        <is>
          <t>(229) 588-7200  /  ____</t>
        </is>
      </c>
      <c r="D5" s="37" t="n"/>
      <c r="E5" s="38" t="n"/>
    </row>
    <row r="6">
      <c r="B6" s="15" t="inlineStr">
        <is>
          <t>Date of call</t>
        </is>
      </c>
      <c r="C6" s="36" t="inlineStr">
        <is>
          <t>2026-06-26</t>
        </is>
      </c>
      <c r="D6" s="37" t="n"/>
      <c r="E6" s="38" t="n"/>
    </row>
    <row r="7">
      <c r="B7" s="15" t="inlineStr">
        <is>
          <t>Interviewer</t>
        </is>
      </c>
      <c r="C7" s="36" t="inlineStr">
        <is>
          <t>Oscar P</t>
        </is>
      </c>
      <c r="D7" s="37" t="n"/>
      <c r="E7" s="38" t="n"/>
    </row>
    <row r="9">
      <c r="B9" s="3" t="inlineStr">
        <is>
          <t>① KEY DATA CAPTURE  (these map straight into the model)</t>
        </is>
      </c>
      <c r="C9" s="3" t="n"/>
      <c r="D9" s="3" t="n"/>
      <c r="E9" s="3" t="n"/>
    </row>
    <row r="10">
      <c r="B10" s="39" t="inlineStr">
        <is>
          <t>Field</t>
        </is>
      </c>
      <c r="C10" s="39" t="inlineStr">
        <is>
          <t>Answer</t>
        </is>
      </c>
      <c r="D10" s="39" t="inlineStr">
        <is>
          <t>Maps to</t>
        </is>
      </c>
      <c r="E10" s="38" t="n"/>
    </row>
    <row r="11">
      <c r="B11" s="29" t="inlineStr">
        <is>
          <t>Holds 90-95 C cook 30-45 min? (Y/N)</t>
        </is>
      </c>
      <c r="C11" s="40" t="inlineStr">
        <is>
          <t>YES — holds 45 min to 1 hr</t>
        </is>
      </c>
      <c r="D11" s="41" t="inlineStr">
        <is>
          <t>HARD GATE — CLEARED</t>
        </is>
      </c>
      <c r="E11" s="38" t="n"/>
    </row>
    <row r="12">
      <c r="B12" s="29" t="inlineStr">
        <is>
          <t>Dissolves super-hydrolyzed HMW PVA? (Y/N)</t>
        </is>
      </c>
      <c r="C12" s="40" t="inlineStr">
        <is>
          <t>YES — has prior experience</t>
        </is>
      </c>
      <c r="D12" s="41" t="inlineStr">
        <is>
          <t>HARD GATE — CLEARED</t>
        </is>
      </c>
      <c r="E12" s="38" t="n"/>
    </row>
    <row r="13">
      <c r="B13" s="29" t="inlineStr">
        <is>
          <t>Min batch size (gal)</t>
        </is>
      </c>
      <c r="C13" s="40" t="inlineStr">
        <is>
          <t>40 gal min</t>
        </is>
      </c>
      <c r="D13" s="41" t="inlineStr">
        <is>
          <t>Inputs!MinBatch + shelf-life fit</t>
        </is>
      </c>
      <c r="E13" s="38" t="n"/>
    </row>
    <row r="14">
      <c r="B14" s="29" t="inlineStr">
        <is>
          <t>Will do partial / short batches? (Y/N)</t>
        </is>
      </c>
      <c r="C14" s="40" t="inlineStr">
        <is>
          <t>YES — down to 40 gal; can lab-batch</t>
        </is>
      </c>
      <c r="D14" s="41" t="inlineStr">
        <is>
          <t>18-day shelf-life fit</t>
        </is>
      </c>
      <c r="E14" s="38" t="n"/>
    </row>
    <row r="15">
      <c r="B15" s="29" t="inlineStr">
        <is>
          <t>MOQ per order (drums)</t>
        </is>
      </c>
      <c r="C15" s="40" t="inlineStr">
        <is>
          <t>100 gal (~2 drums); will do 55 gal (1 drum)</t>
        </is>
      </c>
      <c r="D15" s="41" t="inlineStr">
        <is>
          <t>Roster</t>
        </is>
      </c>
      <c r="E15" s="38" t="n"/>
    </row>
    <row r="16">
      <c r="B16" s="29" t="inlineStr">
        <is>
          <t>Price/drum — Option A, base ($)</t>
        </is>
      </c>
      <c r="C16" s="40" t="inlineStr">
        <is>
          <t>NOT yet quoted (pending NDA + spec)</t>
        </is>
      </c>
      <c r="D16" s="41" t="inlineStr">
        <is>
          <t>Price Sensitivity input</t>
        </is>
      </c>
      <c r="E16" s="38" t="n"/>
    </row>
    <row r="17">
      <c r="B17" s="29" t="inlineStr">
        <is>
          <t>Price/drum — Option B, compounded ($)</t>
        </is>
      </c>
      <c r="C17" s="40" t="inlineStr">
        <is>
          <t>NOT yet quoted</t>
        </is>
      </c>
      <c r="D17" s="41" t="inlineStr">
        <is>
          <t>Price Sensitivity input</t>
        </is>
      </c>
      <c r="E17" s="38" t="n"/>
    </row>
    <row r="18">
      <c r="B18" s="29" t="inlineStr">
        <is>
          <t>Lead time PO-&gt;delivery (days)</t>
        </is>
      </c>
      <c r="C18" s="40" t="inlineStr">
        <is>
          <t>3-4 days, or overnight</t>
        </is>
      </c>
      <c r="D18" s="41" t="inlineStr">
        <is>
          <t>Roster</t>
        </is>
      </c>
      <c r="E18" s="38" t="n"/>
    </row>
    <row r="19">
      <c r="B19" s="29" t="inlineStr">
        <is>
          <t>Qualification sample qty &amp; cost</t>
        </is>
      </c>
      <c r="C19" s="40" t="inlineStr">
        <is>
          <t>(not stated on call)</t>
        </is>
      </c>
      <c r="D19" s="41" t="inlineStr">
        <is>
          <t>Roster</t>
        </is>
      </c>
      <c r="E19" s="38" t="n"/>
    </row>
    <row r="20">
      <c r="B20" s="29" t="inlineStr">
        <is>
          <t>ISO 9001 / 13485? (which)</t>
        </is>
      </c>
      <c r="C20" s="40" t="inlineStr">
        <is>
          <t>We don't require it</t>
        </is>
      </c>
      <c r="D20" s="41" t="inlineStr">
        <is>
          <t>Roster</t>
        </is>
      </c>
      <c r="E20" s="38" t="n"/>
    </row>
    <row r="21">
      <c r="B21" s="29" t="inlineStr">
        <is>
          <t>Prior PVA / HMW polymer experience? (Y/N)</t>
        </is>
      </c>
      <c r="C21" s="40" t="inlineStr">
        <is>
          <t>YES</t>
        </is>
      </c>
      <c r="D21" s="41" t="inlineStr">
        <is>
          <t>Roster</t>
        </is>
      </c>
      <c r="E21" s="38" t="n"/>
    </row>
    <row r="22">
      <c r="B22" s="29" t="inlineStr">
        <is>
          <t>NDA status</t>
        </is>
      </c>
      <c r="C22" s="40" t="inlineStr">
        <is>
          <t>Needed on process before full spec shared</t>
        </is>
      </c>
      <c r="D22" s="41" t="inlineStr">
        <is>
          <t>Roster</t>
        </is>
      </c>
      <c r="E22" s="38" t="n"/>
    </row>
    <row r="24">
      <c r="B24" s="3" t="inlineStr">
        <is>
          <t>② FULL AGENDA  (Flag = Pass / Fail / Follow-up)</t>
        </is>
      </c>
      <c r="C24" s="3" t="n"/>
      <c r="D24" s="3" t="n"/>
      <c r="E24" s="3" t="n"/>
    </row>
    <row r="25">
      <c r="A25" s="39" t="inlineStr">
        <is>
          <t>#</t>
        </is>
      </c>
      <c r="B25" s="39" t="inlineStr">
        <is>
          <t>Question</t>
        </is>
      </c>
      <c r="C25" s="39" t="inlineStr">
        <is>
          <t>Answer</t>
        </is>
      </c>
      <c r="D25" s="39" t="inlineStr">
        <is>
          <t>Flag</t>
        </is>
      </c>
      <c r="E25" s="38" t="n"/>
    </row>
    <row r="26">
      <c r="A26" s="42" t="n"/>
      <c r="B26" s="4" t="n"/>
    </row>
    <row r="27" ht="30" customHeight="1">
      <c r="A27" s="43" t="n">
        <v>1</v>
      </c>
      <c r="B27" s="29" t="inlineStr">
        <is>
          <t>Can you heat a FULL batch to 90-95 C (194-203 F) and HOLD 30-45 min under steady agitation? Our cook requires it.</t>
        </is>
      </c>
      <c r="C27" s="40" t="inlineStr">
        <is>
          <t>Yes — holds 45 min to 1 hr</t>
        </is>
      </c>
      <c r="D27" s="44" t="inlineStr">
        <is>
          <t>PASS</t>
        </is>
      </c>
      <c r="E27" s="38" t="n"/>
    </row>
    <row r="28" ht="30" customHeight="1">
      <c r="A28" s="43" t="n">
        <v>2</v>
      </c>
      <c r="B28" s="29" t="inlineStr">
        <is>
          <t>Jacketed, temperature-controlled tank; 316L stainless contact surfaces?</t>
        </is>
      </c>
      <c r="C28" s="40" t="inlineStr">
        <is>
          <t>Yes</t>
        </is>
      </c>
      <c r="D28" s="44" t="inlineStr">
        <is>
          <t>PASS</t>
        </is>
      </c>
      <c r="E28" s="38" t="n"/>
    </row>
    <row r="29" ht="30" customHeight="1">
      <c r="A29" s="43" t="n">
        <v>3</v>
      </c>
      <c r="B29" s="29" t="inlineStr">
        <is>
          <t>Variable-speed agitation able to dissolve high-MW super-hydrolyzed PVA with NO fisheyes / gels?</t>
        </is>
      </c>
      <c r="C29" s="40" t="inlineStr">
        <is>
          <t>Yes</t>
        </is>
      </c>
      <c r="D29" s="44" t="inlineStr">
        <is>
          <t>PASS</t>
        </is>
      </c>
      <c r="E29" s="38" t="n"/>
    </row>
    <row r="30" ht="30" customHeight="1">
      <c r="A30" s="43" t="n">
        <v>4</v>
      </c>
      <c r="B30" s="29" t="inlineStr">
        <is>
          <t>Cooling capability to bring batch to &lt;=40 C?</t>
        </is>
      </c>
      <c r="C30" s="40" t="inlineStr">
        <is>
          <t>Yes</t>
        </is>
      </c>
      <c r="D30" s="44" t="inlineStr">
        <is>
          <t>PASS</t>
        </is>
      </c>
      <c r="E30" s="38" t="n"/>
    </row>
    <row r="31" ht="30" customHeight="1">
      <c r="A31" s="43" t="n">
        <v>5</v>
      </c>
      <c r="B31" s="29" t="inlineStr">
        <is>
          <t>Have you dissolved PVA or similar high-MW water-soluble polymers before? Examples?</t>
        </is>
      </c>
      <c r="C31" s="40" t="inlineStr">
        <is>
          <t>Yes</t>
        </is>
      </c>
      <c r="D31" s="44" t="inlineStr">
        <is>
          <t>PASS</t>
        </is>
      </c>
      <c r="E31" s="38" t="n"/>
    </row>
    <row r="32">
      <c r="A32" s="42" t="n"/>
      <c r="B32" s="4" t="n"/>
    </row>
    <row r="33" ht="30" customHeight="1">
      <c r="A33" s="43" t="n">
        <v>6</v>
      </c>
      <c r="B33" s="29" t="inlineStr">
        <is>
          <t>Smallest batch you'll run? Will you do PARTIAL / short batches (~1-2 drums = 55-110 gal)?</t>
        </is>
      </c>
      <c r="C33" s="40" t="inlineStr">
        <is>
          <t>40 gallons minimum</t>
        </is>
      </c>
      <c r="D33" s="44" t="inlineStr">
        <is>
          <t>PASS</t>
        </is>
      </c>
      <c r="E33" s="38" t="n"/>
    </row>
    <row r="34" ht="30" customHeight="1">
      <c r="A34" s="43" t="n">
        <v>7</v>
      </c>
      <c r="B34" s="29" t="inlineStr">
        <is>
          <t>MOQ per order and standard batch size?</t>
        </is>
      </c>
      <c r="C34" s="40" t="inlineStr">
        <is>
          <t>100 gal; could do 55 gal</t>
        </is>
      </c>
      <c r="D34" s="44" t="inlineStr">
        <is>
          <t>PASS</t>
        </is>
      </c>
      <c r="E34" s="38" t="n"/>
    </row>
    <row r="35" ht="30" customHeight="1">
      <c r="A35" s="43" t="n">
        <v>8</v>
      </c>
      <c r="B35" s="29" t="inlineStr">
        <is>
          <t>Can you make-to-order on a ~weekly cadence? (18-day shelf life — we cannot stockpile.)</t>
        </is>
      </c>
      <c r="C35" s="40" t="inlineStr">
        <is>
          <t>Yes — able to lab batch</t>
        </is>
      </c>
      <c r="D35" s="44" t="inlineStr">
        <is>
          <t>PASS</t>
        </is>
      </c>
      <c r="E35" s="38" t="n"/>
    </row>
    <row r="36">
      <c r="A36" s="42" t="n"/>
      <c r="B36" s="4" t="n"/>
    </row>
    <row r="37" ht="30" customHeight="1">
      <c r="A37" s="43" t="n">
        <v>9</v>
      </c>
      <c r="B37" s="29" t="inlineStr">
        <is>
          <t>Comfortable running OUR supplied process: charge water -&gt; add resin + NaCl + pigments -&gt; heat/hold 90-95 C -&gt; add Proxel BD20 hot in final 10 min -&gt; filter 200 micron -&gt; drum?</t>
        </is>
      </c>
      <c r="C37" s="40" t="inlineStr">
        <is>
          <t>(not covered — confirm w/ full spec)</t>
        </is>
      </c>
      <c r="D37" s="44" t="inlineStr">
        <is>
          <t>Follow-up</t>
        </is>
      </c>
      <c r="E37" s="38" t="n"/>
    </row>
    <row r="38" ht="30" customHeight="1">
      <c r="A38" s="43" t="n">
        <v>10</v>
      </c>
      <c r="B38" s="29" t="inlineStr">
        <is>
          <t>Filtration to 200 micron (100 mesh or finer)?</t>
        </is>
      </c>
      <c r="C38" s="40" t="inlineStr">
        <is>
          <t>(not covered)</t>
        </is>
      </c>
      <c r="D38" s="44" t="inlineStr">
        <is>
          <t>Follow-up</t>
        </is>
      </c>
      <c r="E38" s="38" t="n"/>
    </row>
    <row r="39" ht="30" customHeight="1">
      <c r="A39" s="43" t="n">
        <v>11</v>
      </c>
      <c r="B39" s="29" t="inlineStr">
        <is>
          <t>Your ex-Lonza formulator — any input on Proxel BD20 addition point / order / dosing?</t>
        </is>
      </c>
      <c r="C39" s="40" t="inlineStr">
        <is>
          <t>(not covered)</t>
        </is>
      </c>
      <c r="D39" s="44" t="inlineStr">
        <is>
          <t>Follow-up</t>
        </is>
      </c>
      <c r="E39" s="38" t="n"/>
    </row>
    <row r="40" ht="30" customHeight="1">
      <c r="A40" s="43" t="n">
        <v>12</v>
      </c>
      <c r="B40" s="29" t="inlineStr">
        <is>
          <t>Will you source raw materials to spec (Selvol S-1551F-D or equivalent) or do we supply the resin?</t>
        </is>
      </c>
      <c r="C40" s="40" t="inlineStr">
        <is>
          <t>(not covered)</t>
        </is>
      </c>
      <c r="D40" s="44" t="inlineStr">
        <is>
          <t>Follow-up</t>
        </is>
      </c>
      <c r="E40" s="38" t="n"/>
    </row>
    <row r="41">
      <c r="A41" s="42" t="n"/>
      <c r="B41" s="4" t="n"/>
    </row>
    <row r="42" ht="30" customHeight="1">
      <c r="A42" s="43" t="n">
        <v>13</v>
      </c>
      <c r="B42" s="29" t="inlineStr">
        <is>
          <t>55-gallon drum fill? 275-gal IBC totes optional?</t>
        </is>
      </c>
      <c r="C42" s="40" t="inlineStr">
        <is>
          <t>Packaging is flexible</t>
        </is>
      </c>
      <c r="D42" s="44" t="inlineStr">
        <is>
          <t>PASS</t>
        </is>
      </c>
      <c r="E42" s="38" t="n"/>
    </row>
    <row r="43" ht="30" customHeight="1">
      <c r="A43" s="43" t="n">
        <v>14</v>
      </c>
      <c r="B43" s="29" t="inlineStr">
        <is>
          <t>Protect-from-freezing handling in shipping/storage?</t>
        </is>
      </c>
      <c r="C43" s="40" t="inlineStr">
        <is>
          <t>(not covered)</t>
        </is>
      </c>
      <c r="D43" s="44" t="inlineStr">
        <is>
          <t>Follow-up</t>
        </is>
      </c>
      <c r="E43" s="38" t="n"/>
    </row>
    <row r="44" ht="30" customHeight="1">
      <c r="A44" s="43" t="n">
        <v>15</v>
      </c>
      <c r="B44" s="29" t="inlineStr">
        <is>
          <t>Shipping from GA to us — lead time &amp; freight cost?</t>
        </is>
      </c>
      <c r="C44" s="40" t="inlineStr">
        <is>
          <t>Lead time ~3-4 days, or overnight</t>
        </is>
      </c>
      <c r="D44" s="44" t="inlineStr">
        <is>
          <t>PASS</t>
        </is>
      </c>
      <c r="E44" s="38" t="n"/>
    </row>
    <row r="45">
      <c r="A45" s="42" t="n"/>
      <c r="B45" s="4" t="n"/>
    </row>
    <row r="46" ht="30" customHeight="1">
      <c r="A46" s="43" t="n">
        <v>16</v>
      </c>
      <c r="B46" s="29" t="inlineStr">
        <is>
          <t>CoC every shipment with lot#, production date, %TS, final pH, Brookfield viscosity (spindle #3, 10 RPM, 25 C)?</t>
        </is>
      </c>
      <c r="C46" s="40" t="inlineStr">
        <is>
          <t>(not covered — confirm)</t>
        </is>
      </c>
      <c r="D46" s="44" t="inlineStr">
        <is>
          <t>Follow-up</t>
        </is>
      </c>
      <c r="E46" s="38" t="n"/>
    </row>
    <row r="47" ht="30" customHeight="1">
      <c r="A47" s="43" t="n">
        <v>17</v>
      </c>
      <c r="B47" s="29" t="inlineStr">
        <is>
          <t>Typical batch-to-batch variability on viscosity &amp; pH for similar solutions?</t>
        </is>
      </c>
      <c r="C47" s="40" t="inlineStr">
        <is>
          <t>(not covered)</t>
        </is>
      </c>
      <c r="D47" s="44" t="inlineStr">
        <is>
          <t>Follow-up</t>
        </is>
      </c>
      <c r="E47" s="38" t="n"/>
    </row>
    <row r="48" ht="30" customHeight="1">
      <c r="A48" s="43" t="n">
        <v>18</v>
      </c>
      <c r="B48" s="29" t="inlineStr">
        <is>
          <t>Certifications — ISO 9001 minimum; ISO 13485 if available?</t>
        </is>
      </c>
      <c r="C48" s="40" t="inlineStr">
        <is>
          <t>We don't require ISO certs</t>
        </is>
      </c>
      <c r="D48" s="44" t="inlineStr">
        <is>
          <t>N/A</t>
        </is>
      </c>
      <c r="E48" s="38" t="n"/>
    </row>
    <row r="49">
      <c r="A49" s="42" t="n"/>
      <c r="B49" s="4" t="n"/>
    </row>
    <row r="50" ht="30" customHeight="1">
      <c r="A50" s="43" t="n">
        <v>19</v>
      </c>
      <c r="B50" s="29" t="inlineStr">
        <is>
          <t>Quote BOTH Option A (base PVA solution) and Option B (full compounded w/ NaCl + pigments)?</t>
        </is>
      </c>
      <c r="C50" s="40" t="inlineStr">
        <is>
          <t>(not yet — needs spec/NDA)</t>
        </is>
      </c>
      <c r="D50" s="44" t="inlineStr">
        <is>
          <t>Follow-up</t>
        </is>
      </c>
      <c r="E50" s="38" t="n"/>
    </row>
    <row r="51" ht="30" customHeight="1">
      <c r="A51" s="43" t="n">
        <v>20</v>
      </c>
      <c r="B51" s="29" t="inlineStr">
        <is>
          <t>Per-drum pricing — we'll run this as a recurring rotation, ~1 drum/wk slice, ~30-38 drums/yr. Volume-agnostic per-drum quote?</t>
        </is>
      </c>
      <c r="C51" s="40" t="inlineStr">
        <is>
          <t>(not yet quoted)</t>
        </is>
      </c>
      <c r="D51" s="44" t="inlineStr">
        <is>
          <t>Follow-up</t>
        </is>
      </c>
      <c r="E51" s="38" t="n"/>
    </row>
    <row r="52" ht="30" customHeight="1">
      <c r="A52" s="43" t="n">
        <v>21</v>
      </c>
      <c r="B52" s="29" t="inlineStr">
        <is>
          <t>Lead time, qualification sample cost, and NDA needed before we share the full spec?</t>
        </is>
      </c>
      <c r="C52" s="40" t="inlineStr">
        <is>
          <t>NDA needed on process</t>
        </is>
      </c>
      <c r="D52" s="44" t="inlineStr">
        <is>
          <t>Follow-up</t>
        </is>
      </c>
      <c r="E52" s="38" t="n"/>
    </row>
    <row r="54">
      <c r="B54" s="6" t="inlineStr">
        <is>
          <t>NOTE: viscosity target/tolerance still PENDING from SNP CoA history — tell CJB it's coming; they can quote against the solids spec (10-12% TS, water) meanwhile.</t>
        </is>
      </c>
    </row>
  </sheetData>
  <mergeCells count="48">
    <mergeCell ref="D20:E20"/>
    <mergeCell ref="D10:E10"/>
    <mergeCell ref="D19:E19"/>
    <mergeCell ref="D34:E34"/>
    <mergeCell ref="A49:E49"/>
    <mergeCell ref="A45:E45"/>
    <mergeCell ref="D46:E46"/>
    <mergeCell ref="D22:E22"/>
    <mergeCell ref="A36:E36"/>
    <mergeCell ref="D40:E40"/>
    <mergeCell ref="D31:E31"/>
    <mergeCell ref="D21:E21"/>
    <mergeCell ref="D52:E52"/>
    <mergeCell ref="D11:E11"/>
    <mergeCell ref="D13:E13"/>
    <mergeCell ref="D27:E27"/>
    <mergeCell ref="A41:E41"/>
    <mergeCell ref="B54:E54"/>
    <mergeCell ref="C7:E7"/>
    <mergeCell ref="D48:E48"/>
    <mergeCell ref="D17:E17"/>
    <mergeCell ref="D47:E47"/>
    <mergeCell ref="D16:E16"/>
    <mergeCell ref="A26:E26"/>
    <mergeCell ref="D43:E43"/>
    <mergeCell ref="D37:E37"/>
    <mergeCell ref="D28:E28"/>
    <mergeCell ref="A32:E32"/>
    <mergeCell ref="B2:E2"/>
    <mergeCell ref="D18:E18"/>
    <mergeCell ref="D12:E12"/>
    <mergeCell ref="C6:E6"/>
    <mergeCell ref="D25:E25"/>
    <mergeCell ref="D39:E39"/>
    <mergeCell ref="B1:E1"/>
    <mergeCell ref="D30:E30"/>
    <mergeCell ref="C5:E5"/>
    <mergeCell ref="D42:E42"/>
    <mergeCell ref="D15:E15"/>
    <mergeCell ref="D33:E33"/>
    <mergeCell ref="D29:E29"/>
    <mergeCell ref="D51:E51"/>
    <mergeCell ref="D38:E38"/>
    <mergeCell ref="C4:E4"/>
    <mergeCell ref="D14:E14"/>
    <mergeCell ref="D50:E50"/>
    <mergeCell ref="D44:E44"/>
    <mergeCell ref="D35:E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2026-06-26T17:36:23Z</dcterms:created>
  <dcterms:modified xmlns:dcterms="http://purl.org/dc/terms/" xmlns:xsi="http://www.w3.org/2001/XMLSchema-instance" xsi:type="dcterms:W3CDTF">2026-06-26T17:36:23Z</dcterms:modified>
</cp:coreProperties>
</file>