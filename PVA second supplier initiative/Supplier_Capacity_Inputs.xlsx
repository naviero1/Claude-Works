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  <sheet name="Capacity vs Demand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<sst xmlns="http://schemas.openxmlformats.org/spreadsheetml/2006/main" count="44" uniqueCount="37">
  <si>
    <t xml:space="preserve">Part Number</t>
  </si>
  <si>
    <t xml:space="preserve">Description</t>
  </si>
  <si>
    <t xml:space="preserve">Q4'26</t>
  </si>
  <si>
    <t xml:space="preserve">Q1'27</t>
  </si>
  <si>
    <t xml:space="preserve">Q2'27</t>
  </si>
  <si>
    <t xml:space="preserve">Q3'27</t>
  </si>
  <si>
    <t xml:space="preserve">Q4'27</t>
  </si>
  <si>
    <t xml:space="preserve">BARIATRIC FOREGUT COMPLEX</t>
  </si>
  <si>
    <t xml:space="preserve">666037-01</t>
  </si>
  <si>
    <t xml:space="preserve">COLORECTAL</t>
  </si>
  <si>
    <t xml:space="preserve">GYN</t>
  </si>
  <si>
    <t xml:space="preserve">dV TECH</t>
  </si>
  <si>
    <t xml:space="preserve">Spec Yield</t>
  </si>
  <si>
    <t xml:space="preserve">Harvest YIELD</t>
  </si>
  <si>
    <t xml:space="preserve">Graph this in blocks</t>
  </si>
  <si>
    <t xml:space="preserve">Graph each of these demands per block/qrtr</t>
  </si>
  <si>
    <t xml:space="preserve">Weekly</t>
  </si>
  <si>
    <t xml:space="preserve">QTR</t>
  </si>
  <si>
    <t xml:space="preserve">Spec</t>
  </si>
  <si>
    <t xml:space="preserve">Net:</t>
  </si>
  <si>
    <t xml:space="preserve">harvest</t>
  </si>
  <si>
    <t xml:space="preserve">Net2</t>
  </si>
  <si>
    <t xml:space="preserve">Martins</t>
  </si>
  <si>
    <t xml:space="preserve">Nahunta</t>
  </si>
  <si>
    <t xml:space="preserve">Customs</t>
  </si>
  <si>
    <t xml:space="preserve">Parks</t>
  </si>
  <si>
    <t xml:space="preserve">w.avrg</t>
  </si>
  <si>
    <t xml:space="preserve">Net1</t>
  </si>
  <si>
    <t xml:space="preserve">Qtr</t>
  </si>
  <si>
    <t xml:space="preserve">harvst</t>
  </si>
  <si>
    <t xml:space="preserve">net2</t>
  </si>
  <si>
    <t xml:space="preserve">Slaughterhouse Capacity vs Tissue Demand per Quarter</t>
  </si>
  <si>
    <t xml:space="preserve">Net = harvested pigs (Sheet1!J16:J19 = gross kill x wtd spec yield x wtd harvest yield). Yield loss = gross - net, drawn as the hatched extension of each block. Demand = tissue units consumed per quarter (Sheet1!L10:P13), assuming 1 tissue = 1 pig equivalent (per request). Capacity is flat across quarters because Sheet1 gives a single weekly kill rate (x13 wks/qtr). All cells link to Sheet1.</t>
  </si>
  <si>
    <t xml:space="preserve">Series</t>
  </si>
  <si>
    <t xml:space="preserve">Total gross kill (pigs)</t>
  </si>
  <si>
    <t xml:space="preserve">Total net harvested (pigs)</t>
  </si>
  <si>
    <t xml:space="preserve">Total tissue demand (pigs, 1 tissue = 1 pig)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</si>
</sst>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General"/>
    <numFmt numFmtId="166" formatCode="0%"/>
    <numFmt numFmtId="167" formatCode="0.00%"/>
    <numFmt numFmtId="168" formatCode="#,##0"/>
  </numFmts>
  <fonts count="12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FF0000"/>
      <name val="Aptos Narrow"/>
      <family val="2"/>
      <charset val="1"/>
    </font>
    <font>
      <b val="true"/>
      <sz val="14"/>
      <color rgb="FF000000"/>
      <name val="Aptos Narrow"/>
      <family val="0"/>
      <charset val="1"/>
    </font>
    <font>
      <i val="true"/>
      <sz val="9"/>
      <color rgb="FF595959"/>
      <name val="Aptos Narrow"/>
      <family val="0"/>
      <charset val="1"/>
    </font>
    <font>
      <b val="true"/>
      <sz val="11"/>
      <color rgb="FF000000"/>
      <name val="Aptos Narrow"/>
      <family val="0"/>
      <charset val="1"/>
    </font>
    <font>
      <sz val="11"/>
      <color rgb="FF000000"/>
      <name val="Aptos Narrow"/>
      <family val="0"/>
      <charset val="1"/>
    </font>
    <font>
      <b val="true"/>
      <sz val="18"/>
      <color rgb="FF000000"/>
      <name val="Aptos Narrow"/>
      <family val="2"/>
    </font>
    <font>
      <sz val="10"/>
      <color rgb="FF000000"/>
      <name val="Aptos Narrow"/>
      <family val="2"/>
    </font>
    <font>
      <b val="true"/>
      <sz val="10"/>
      <color rgb="FF000000"/>
      <name val="Aptos Narrow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300"/>
      <rgbColor rgb="FF000080"/>
      <rgbColor rgb="FF808000"/>
      <rgbColor rgb="FF800080"/>
      <rgbColor rgb="FF008080"/>
      <rgbColor rgb="FFBFBFBF"/>
      <rgbColor rgb="FF8B8B8B"/>
      <rgbColor rgb="FF9999FF"/>
      <rgbColor rgb="FFE34948"/>
      <rgbColor rgb="FFFFFFCC"/>
      <rgbColor rgb="FFCCFFFF"/>
      <rgbColor rgb="FF660066"/>
      <rgbColor rgb="FFE87BA4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A78D6"/>
      <rgbColor rgb="FF33CCCC"/>
      <rgbColor rgb="FF99CC00"/>
      <rgbColor rgb="FFFFCC00"/>
      <rgbColor rgb="FFEDA100"/>
      <rgbColor rgb="FFEB6834"/>
      <rgbColor rgb="FF595959"/>
      <rgbColor rgb="FF969696"/>
      <rgbColor rgb="FF003366"/>
      <rgbColor rgb="FF1BAF7A"/>
      <rgbColor rgb="FF0B0B0B"/>
      <rgbColor rgb="FF333300"/>
      <rgbColor rgb="FF993300"/>
      <rgbColor rgb="FF993366"/>
      <rgbColor rgb="FF4A3AA7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Aptos Narrow"/>
              </a:defRPr>
            </a:pPr>
            <a:r>
              <a:rPr b="1" sz="1800" spc="-1" strike="noStrike">
                <a:solidFill>
                  <a:srgbClr val="000000"/>
                </a:solidFill>
                <a:latin typeface="Aptos Narrow"/>
              </a:rPr>
              <a:t>Net harvested capacity (solid) vs gross kill (hatched) vs total tissue demand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'Capacity vs Demand'!A10</c:f>
              <c:strCache>
                <c:ptCount val="1"/>
                <c:pt idx="0">
                  <c:v>Martins (net harvested)</c:v>
                </c:pt>
              </c:strCache>
            </c:strRef>
          </c:tx>
          <c:spPr>
            <a:solidFill>
              <a:srgbClr val="2a78d6"/>
            </a:solidFill>
            <a:ln w="9360">
              <a:solidFill>
                <a:srgbClr val="ffffff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'Capacity vs Demand'!$B$4:$F$4</c:f>
              <c:strCache>
                <c:ptCount val="5"/>
                <c:pt idx="0">
                  <c:v>Q4'26</c:v>
                </c:pt>
                <c:pt idx="1">
                  <c:v>Q1'27</c:v>
                </c:pt>
                <c:pt idx="2">
                  <c:v>Q2'27</c:v>
                </c:pt>
                <c:pt idx="3">
                  <c:v>Q3'27</c:v>
                </c:pt>
                <c:pt idx="4">
                  <c:v>Q4'27</c:v>
                </c:pt>
              </c:strCache>
            </c:strRef>
          </c:cat>
          <c:val>
            <c:numRef>
              <c:f>'Capacity vs Demand'!$B$10:$F$10</c:f>
              <c:numCache>
                <c:formatCode>#,##0</c:formatCode>
                <c:ptCount val="5"/>
                <c:pt idx="0">
                  <c:v>17220.7857529863</c:v>
                </c:pt>
                <c:pt idx="1">
                  <c:v>17220.7857529863</c:v>
                </c:pt>
                <c:pt idx="2">
                  <c:v>17220.7857529863</c:v>
                </c:pt>
                <c:pt idx="3">
                  <c:v>17220.7857529863</c:v>
                </c:pt>
                <c:pt idx="4">
                  <c:v>17220.7857529863</c:v>
                </c:pt>
              </c:numCache>
            </c:numRef>
          </c:val>
        </c:ser>
        <c:ser>
          <c:idx val="1"/>
          <c:order val="1"/>
          <c:tx>
            <c:strRef>
              <c:f>'Capacity vs Demand'!A15</c:f>
              <c:strCache>
                <c:ptCount val="1"/>
                <c:pt idx="0">
                  <c:v>Martins (yield loss)</c:v>
                </c:pt>
              </c:strCache>
            </c:strRef>
          </c:tx>
          <c:spPr>
            <a:pattFill prst="wdUpDiag">
              <a:fgClr>
                <a:srgbClr val="2a78d6"/>
              </a:fgClr>
              <a:bgClr>
                <a:srgbClr val="ffffff"/>
              </a:bgClr>
            </a:pattFill>
            <a:ln w="9360">
              <a:solidFill>
                <a:srgbClr val="ffffff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'Capacity vs Demand'!$B$4:$F$4</c:f>
              <c:strCache>
                <c:ptCount val="5"/>
                <c:pt idx="0">
                  <c:v>Q4'26</c:v>
                </c:pt>
                <c:pt idx="1">
                  <c:v>Q1'27</c:v>
                </c:pt>
                <c:pt idx="2">
                  <c:v>Q2'27</c:v>
                </c:pt>
                <c:pt idx="3">
                  <c:v>Q3'27</c:v>
                </c:pt>
                <c:pt idx="4">
                  <c:v>Q4'27</c:v>
                </c:pt>
              </c:strCache>
            </c:strRef>
          </c:cat>
          <c:val>
            <c:numRef>
              <c:f>'Capacity vs Demand'!$B$15:$F$15</c:f>
              <c:numCache>
                <c:formatCode>#,##0</c:formatCode>
                <c:ptCount val="5"/>
                <c:pt idx="0">
                  <c:v>15279.2142470137</c:v>
                </c:pt>
                <c:pt idx="1">
                  <c:v>15279.2142470137</c:v>
                </c:pt>
                <c:pt idx="2">
                  <c:v>15279.2142470137</c:v>
                </c:pt>
                <c:pt idx="3">
                  <c:v>15279.2142470137</c:v>
                </c:pt>
                <c:pt idx="4">
                  <c:v>15279.2142470137</c:v>
                </c:pt>
              </c:numCache>
            </c:numRef>
          </c:val>
        </c:ser>
        <c:ser>
          <c:idx val="2"/>
          <c:order val="2"/>
          <c:tx>
            <c:strRef>
              <c:f>'Capacity vs Demand'!A11</c:f>
              <c:strCache>
                <c:ptCount val="1"/>
                <c:pt idx="0">
                  <c:v>Nahunta (net harvested)</c:v>
                </c:pt>
              </c:strCache>
            </c:strRef>
          </c:tx>
          <c:spPr>
            <a:solidFill>
              <a:srgbClr val="eb6834"/>
            </a:solidFill>
            <a:ln w="9360">
              <a:solidFill>
                <a:srgbClr val="ffffff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'Capacity vs Demand'!$B$4:$F$4</c:f>
              <c:strCache>
                <c:ptCount val="5"/>
                <c:pt idx="0">
                  <c:v>Q4'26</c:v>
                </c:pt>
                <c:pt idx="1">
                  <c:v>Q1'27</c:v>
                </c:pt>
                <c:pt idx="2">
                  <c:v>Q2'27</c:v>
                </c:pt>
                <c:pt idx="3">
                  <c:v>Q3'27</c:v>
                </c:pt>
                <c:pt idx="4">
                  <c:v>Q4'27</c:v>
                </c:pt>
              </c:strCache>
            </c:strRef>
          </c:cat>
          <c:val>
            <c:numRef>
              <c:f>'Capacity vs Demand'!$B$11:$F$11</c:f>
              <c:numCache>
                <c:formatCode>#,##0</c:formatCode>
                <c:ptCount val="5"/>
                <c:pt idx="0">
                  <c:v>1239.89657421501</c:v>
                </c:pt>
                <c:pt idx="1">
                  <c:v>1239.89657421501</c:v>
                </c:pt>
                <c:pt idx="2">
                  <c:v>1239.89657421501</c:v>
                </c:pt>
                <c:pt idx="3">
                  <c:v>1239.89657421501</c:v>
                </c:pt>
                <c:pt idx="4">
                  <c:v>1239.89657421501</c:v>
                </c:pt>
              </c:numCache>
            </c:numRef>
          </c:val>
        </c:ser>
        <c:ser>
          <c:idx val="3"/>
          <c:order val="3"/>
          <c:tx>
            <c:strRef>
              <c:f>'Capacity vs Demand'!A16</c:f>
              <c:strCache>
                <c:ptCount val="1"/>
                <c:pt idx="0">
                  <c:v>Nahunta (yield loss)</c:v>
                </c:pt>
              </c:strCache>
            </c:strRef>
          </c:tx>
          <c:spPr>
            <a:pattFill prst="wdUpDiag">
              <a:fgClr>
                <a:srgbClr val="eb6834"/>
              </a:fgClr>
              <a:bgClr>
                <a:srgbClr val="ffffff"/>
              </a:bgClr>
            </a:pattFill>
            <a:ln w="9360">
              <a:solidFill>
                <a:srgbClr val="ffffff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'Capacity vs Demand'!$B$4:$F$4</c:f>
              <c:strCache>
                <c:ptCount val="5"/>
                <c:pt idx="0">
                  <c:v>Q4'26</c:v>
                </c:pt>
                <c:pt idx="1">
                  <c:v>Q1'27</c:v>
                </c:pt>
                <c:pt idx="2">
                  <c:v>Q2'27</c:v>
                </c:pt>
                <c:pt idx="3">
                  <c:v>Q3'27</c:v>
                </c:pt>
                <c:pt idx="4">
                  <c:v>Q4'27</c:v>
                </c:pt>
              </c:strCache>
            </c:strRef>
          </c:cat>
          <c:val>
            <c:numRef>
              <c:f>'Capacity vs Demand'!$B$16:$F$16</c:f>
              <c:numCache>
                <c:formatCode>#,##0</c:formatCode>
                <c:ptCount val="5"/>
                <c:pt idx="0">
                  <c:v>1100.10342578499</c:v>
                </c:pt>
                <c:pt idx="1">
                  <c:v>1100.10342578499</c:v>
                </c:pt>
                <c:pt idx="2">
                  <c:v>1100.10342578499</c:v>
                </c:pt>
                <c:pt idx="3">
                  <c:v>1100.10342578499</c:v>
                </c:pt>
                <c:pt idx="4">
                  <c:v>1100.10342578499</c:v>
                </c:pt>
              </c:numCache>
            </c:numRef>
          </c:val>
        </c:ser>
        <c:ser>
          <c:idx val="4"/>
          <c:order val="4"/>
          <c:tx>
            <c:strRef>
              <c:f>'Capacity vs Demand'!A12</c:f>
              <c:strCache>
                <c:ptCount val="1"/>
                <c:pt idx="0">
                  <c:v>Customs (net harvested)</c:v>
                </c:pt>
              </c:strCache>
            </c:strRef>
          </c:tx>
          <c:spPr>
            <a:solidFill>
              <a:srgbClr val="1baf7a"/>
            </a:solidFill>
            <a:ln w="9360">
              <a:solidFill>
                <a:srgbClr val="ffffff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'Capacity vs Demand'!$B$4:$F$4</c:f>
              <c:strCache>
                <c:ptCount val="5"/>
                <c:pt idx="0">
                  <c:v>Q4'26</c:v>
                </c:pt>
                <c:pt idx="1">
                  <c:v>Q1'27</c:v>
                </c:pt>
                <c:pt idx="2">
                  <c:v>Q2'27</c:v>
                </c:pt>
                <c:pt idx="3">
                  <c:v>Q3'27</c:v>
                </c:pt>
                <c:pt idx="4">
                  <c:v>Q4'27</c:v>
                </c:pt>
              </c:strCache>
            </c:strRef>
          </c:cat>
          <c:val>
            <c:numRef>
              <c:f>'Capacity vs Demand'!$B$12:$F$12</c:f>
              <c:numCache>
                <c:formatCode>#,##0</c:formatCode>
                <c:ptCount val="5"/>
                <c:pt idx="0">
                  <c:v>1033.24714517918</c:v>
                </c:pt>
                <c:pt idx="1">
                  <c:v>1033.24714517918</c:v>
                </c:pt>
                <c:pt idx="2">
                  <c:v>1033.24714517918</c:v>
                </c:pt>
                <c:pt idx="3">
                  <c:v>1033.24714517918</c:v>
                </c:pt>
                <c:pt idx="4">
                  <c:v>1033.24714517918</c:v>
                </c:pt>
              </c:numCache>
            </c:numRef>
          </c:val>
        </c:ser>
        <c:ser>
          <c:idx val="5"/>
          <c:order val="5"/>
          <c:tx>
            <c:strRef>
              <c:f>'Capacity vs Demand'!A17</c:f>
              <c:strCache>
                <c:ptCount val="1"/>
                <c:pt idx="0">
                  <c:v>Customs (yield loss)</c:v>
                </c:pt>
              </c:strCache>
            </c:strRef>
          </c:tx>
          <c:spPr>
            <a:pattFill prst="wdUpDiag">
              <a:fgClr>
                <a:srgbClr val="1baf7a"/>
              </a:fgClr>
              <a:bgClr>
                <a:srgbClr val="ffffff"/>
              </a:bgClr>
            </a:pattFill>
            <a:ln w="9360">
              <a:solidFill>
                <a:srgbClr val="ffffff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'Capacity vs Demand'!$B$4:$F$4</c:f>
              <c:strCache>
                <c:ptCount val="5"/>
                <c:pt idx="0">
                  <c:v>Q4'26</c:v>
                </c:pt>
                <c:pt idx="1">
                  <c:v>Q1'27</c:v>
                </c:pt>
                <c:pt idx="2">
                  <c:v>Q2'27</c:v>
                </c:pt>
                <c:pt idx="3">
                  <c:v>Q3'27</c:v>
                </c:pt>
                <c:pt idx="4">
                  <c:v>Q4'27</c:v>
                </c:pt>
              </c:strCache>
            </c:strRef>
          </c:cat>
          <c:val>
            <c:numRef>
              <c:f>'Capacity vs Demand'!$B$17:$F$17</c:f>
              <c:numCache>
                <c:formatCode>#,##0</c:formatCode>
                <c:ptCount val="5"/>
                <c:pt idx="0">
                  <c:v>916.752854820824</c:v>
                </c:pt>
                <c:pt idx="1">
                  <c:v>916.752854820824</c:v>
                </c:pt>
                <c:pt idx="2">
                  <c:v>916.752854820824</c:v>
                </c:pt>
                <c:pt idx="3">
                  <c:v>916.752854820824</c:v>
                </c:pt>
                <c:pt idx="4">
                  <c:v>916.752854820824</c:v>
                </c:pt>
              </c:numCache>
            </c:numRef>
          </c:val>
        </c:ser>
        <c:ser>
          <c:idx val="6"/>
          <c:order val="6"/>
          <c:tx>
            <c:strRef>
              <c:f>'Capacity vs Demand'!A13</c:f>
              <c:strCache>
                <c:ptCount val="1"/>
                <c:pt idx="0">
                  <c:v>Parks (net harvested)</c:v>
                </c:pt>
              </c:strCache>
            </c:strRef>
          </c:tx>
          <c:spPr>
            <a:solidFill>
              <a:srgbClr val="eda100"/>
            </a:solidFill>
            <a:ln w="9360">
              <a:solidFill>
                <a:srgbClr val="ffffff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'Capacity vs Demand'!$B$4:$F$4</c:f>
              <c:strCache>
                <c:ptCount val="5"/>
                <c:pt idx="0">
                  <c:v>Q4'26</c:v>
                </c:pt>
                <c:pt idx="1">
                  <c:v>Q1'27</c:v>
                </c:pt>
                <c:pt idx="2">
                  <c:v>Q2'27</c:v>
                </c:pt>
                <c:pt idx="3">
                  <c:v>Q3'27</c:v>
                </c:pt>
                <c:pt idx="4">
                  <c:v>Q4'27</c:v>
                </c:pt>
              </c:strCache>
            </c:strRef>
          </c:cat>
          <c:val>
            <c:numRef>
              <c:f>'Capacity vs Demand'!$B$13:$F$13</c:f>
              <c:numCache>
                <c:formatCode>#,##0</c:formatCode>
                <c:ptCount val="5"/>
                <c:pt idx="0">
                  <c:v>2396.61114142236</c:v>
                </c:pt>
                <c:pt idx="1">
                  <c:v>2396.61114142236</c:v>
                </c:pt>
                <c:pt idx="2">
                  <c:v>2396.61114142236</c:v>
                </c:pt>
                <c:pt idx="3">
                  <c:v>2396.61114142236</c:v>
                </c:pt>
                <c:pt idx="4">
                  <c:v>2396.61114142236</c:v>
                </c:pt>
              </c:numCache>
            </c:numRef>
          </c:val>
        </c:ser>
        <c:ser>
          <c:idx val="7"/>
          <c:order val="7"/>
          <c:tx>
            <c:strRef>
              <c:f>'Capacity vs Demand'!A18</c:f>
              <c:strCache>
                <c:ptCount val="1"/>
                <c:pt idx="0">
                  <c:v>Parks (yield loss)</c:v>
                </c:pt>
              </c:strCache>
            </c:strRef>
          </c:tx>
          <c:spPr>
            <a:pattFill prst="wdUpDiag">
              <a:fgClr>
                <a:srgbClr val="eda100"/>
              </a:fgClr>
              <a:bgClr>
                <a:srgbClr val="ffffff"/>
              </a:bgClr>
            </a:pattFill>
            <a:ln w="9360">
              <a:solidFill>
                <a:srgbClr val="ffffff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'Capacity vs Demand'!$B$4:$F$4</c:f>
              <c:strCache>
                <c:ptCount val="5"/>
                <c:pt idx="0">
                  <c:v>Q4'26</c:v>
                </c:pt>
                <c:pt idx="1">
                  <c:v>Q1'27</c:v>
                </c:pt>
                <c:pt idx="2">
                  <c:v>Q2'27</c:v>
                </c:pt>
                <c:pt idx="3">
                  <c:v>Q3'27</c:v>
                </c:pt>
                <c:pt idx="4">
                  <c:v>Q4'27</c:v>
                </c:pt>
              </c:strCache>
            </c:strRef>
          </c:cat>
          <c:val>
            <c:numRef>
              <c:f>'Capacity vs Demand'!$B$18:$F$18</c:f>
              <c:numCache>
                <c:formatCode>#,##0</c:formatCode>
                <c:ptCount val="5"/>
                <c:pt idx="0">
                  <c:v>2803.38885857764</c:v>
                </c:pt>
                <c:pt idx="1">
                  <c:v>2803.38885857764</c:v>
                </c:pt>
                <c:pt idx="2">
                  <c:v>2803.38885857764</c:v>
                </c:pt>
                <c:pt idx="3">
                  <c:v>2803.38885857764</c:v>
                </c:pt>
                <c:pt idx="4">
                  <c:v>2803.38885857764</c:v>
                </c:pt>
              </c:numCache>
            </c:numRef>
          </c:val>
        </c:ser>
        <c:gapWidth val="60"/>
        <c:overlap val="100"/>
        <c:axId val="313599"/>
        <c:axId val="20721379"/>
      </c:barChart>
      <c:lineChart>
        <c:grouping val="standard"/>
        <c:varyColors val="0"/>
        <c:ser>
          <c:idx val="8"/>
          <c:order val="8"/>
          <c:tx>
            <c:strRef>
              <c:f>'Capacity vs Demand'!A23</c:f>
              <c:strCache>
                <c:ptCount val="1"/>
                <c:pt idx="0">
                  <c:v>Total tissue demand (pigs, 1 tissue = 1 pig)</c:v>
                </c:pt>
              </c:strCache>
            </c:strRef>
          </c:tx>
          <c:spPr>
            <a:solidFill>
              <a:srgbClr val="0b0b0b"/>
            </a:solidFill>
            <a:ln w="31680">
              <a:solidFill>
                <a:srgbClr val="0b0b0b"/>
              </a:solidFill>
              <a:round/>
            </a:ln>
          </c:spPr>
          <c:marker>
            <c:symbol val="circle"/>
            <c:size val="7"/>
            <c:spPr>
              <a:solidFill>
                <a:srgbClr val="0b0b0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'Capacity vs Demand'!$B$4:$F$4</c:f>
              <c:strCache>
                <c:ptCount val="5"/>
                <c:pt idx="0">
                  <c:v>Q4'26</c:v>
                </c:pt>
                <c:pt idx="1">
                  <c:v>Q1'27</c:v>
                </c:pt>
                <c:pt idx="2">
                  <c:v>Q2'27</c:v>
                </c:pt>
                <c:pt idx="3">
                  <c:v>Q3'27</c:v>
                </c:pt>
                <c:pt idx="4">
                  <c:v>Q4'27</c:v>
                </c:pt>
              </c:strCache>
            </c:strRef>
          </c:cat>
          <c:val>
            <c:numRef>
              <c:f>'Capacity vs Demand'!$B$23:$F$23</c:f>
              <c:numCache>
                <c:formatCode>#,##0</c:formatCode>
                <c:ptCount val="5"/>
                <c:pt idx="0">
                  <c:v>7305</c:v>
                </c:pt>
                <c:pt idx="1">
                  <c:v>7810</c:v>
                </c:pt>
                <c:pt idx="2">
                  <c:v>8225</c:v>
                </c:pt>
                <c:pt idx="3">
                  <c:v>8425</c:v>
                </c:pt>
                <c:pt idx="4">
                  <c:v>8434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313599"/>
        <c:axId val="20721379"/>
      </c:lineChart>
      <c:catAx>
        <c:axId val="31359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Aptos Narrow"/>
                  </a:rPr>
                  <a:t>Quarter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ptos Narrow"/>
              </a:defRPr>
            </a:pPr>
          </a:p>
        </c:txPr>
        <c:crossAx val="20721379"/>
        <c:crosses val="autoZero"/>
        <c:auto val="1"/>
        <c:lblAlgn val="ctr"/>
        <c:lblOffset val="100"/>
        <c:noMultiLvlLbl val="0"/>
      </c:catAx>
      <c:valAx>
        <c:axId val="20721379"/>
        <c:scaling>
          <c:orientation val="minMax"/>
        </c:scaling>
        <c:delete val="0"/>
        <c:axPos val="l"/>
        <c:majorGridlines>
          <c:spPr>
            <a:ln w="12600">
              <a:solidFill>
                <a:srgbClr val="8b8b8b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Aptos Narrow"/>
                  </a:rPr>
                  <a:t>Pigs per quarter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ptos Narrow"/>
              </a:defRPr>
            </a:pPr>
          </a:p>
        </c:txPr>
        <c:crossAx val="313599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Aptos Narrow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Aptos Narrow"/>
              </a:defRPr>
            </a:pPr>
            <a:r>
              <a:rPr b="1" sz="1800" spc="-1" strike="noStrike">
                <a:solidFill>
                  <a:srgbClr val="000000"/>
                </a:solidFill>
                <a:latin typeface="Aptos Narrow"/>
              </a:rPr>
              <a:t>Gross kill capacity (pigs) vs tissue demand by part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'Capacity vs Demand'!A5</c:f>
              <c:strCache>
                <c:ptCount val="1"/>
                <c:pt idx="0">
                  <c:v>Martins (gross kill)</c:v>
                </c:pt>
              </c:strCache>
            </c:strRef>
          </c:tx>
          <c:spPr>
            <a:solidFill>
              <a:srgbClr val="2a78d6"/>
            </a:solidFill>
            <a:ln w="9360">
              <a:solidFill>
                <a:srgbClr val="ffffff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'Capacity vs Demand'!$B$4:$F$4</c:f>
              <c:strCache>
                <c:ptCount val="5"/>
                <c:pt idx="0">
                  <c:v>Q4'26</c:v>
                </c:pt>
                <c:pt idx="1">
                  <c:v>Q1'27</c:v>
                </c:pt>
                <c:pt idx="2">
                  <c:v>Q2'27</c:v>
                </c:pt>
                <c:pt idx="3">
                  <c:v>Q3'27</c:v>
                </c:pt>
                <c:pt idx="4">
                  <c:v>Q4'27</c:v>
                </c:pt>
              </c:strCache>
            </c:strRef>
          </c:cat>
          <c:val>
            <c:numRef>
              <c:f>'Capacity vs Demand'!$B$5:$F$5</c:f>
              <c:numCache>
                <c:formatCode>#,##0</c:formatCode>
                <c:ptCount val="5"/>
                <c:pt idx="0">
                  <c:v>32500</c:v>
                </c:pt>
                <c:pt idx="1">
                  <c:v>32500</c:v>
                </c:pt>
                <c:pt idx="2">
                  <c:v>32500</c:v>
                </c:pt>
                <c:pt idx="3">
                  <c:v>32500</c:v>
                </c:pt>
                <c:pt idx="4">
                  <c:v>32500</c:v>
                </c:pt>
              </c:numCache>
            </c:numRef>
          </c:val>
        </c:ser>
        <c:ser>
          <c:idx val="1"/>
          <c:order val="1"/>
          <c:tx>
            <c:strRef>
              <c:f>'Capacity vs Demand'!A6</c:f>
              <c:strCache>
                <c:ptCount val="1"/>
                <c:pt idx="0">
                  <c:v>Nahunta (gross kill)</c:v>
                </c:pt>
              </c:strCache>
            </c:strRef>
          </c:tx>
          <c:spPr>
            <a:solidFill>
              <a:srgbClr val="eb6834"/>
            </a:solidFill>
            <a:ln w="9360">
              <a:solidFill>
                <a:srgbClr val="ffffff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'Capacity vs Demand'!$B$4:$F$4</c:f>
              <c:strCache>
                <c:ptCount val="5"/>
                <c:pt idx="0">
                  <c:v>Q4'26</c:v>
                </c:pt>
                <c:pt idx="1">
                  <c:v>Q1'27</c:v>
                </c:pt>
                <c:pt idx="2">
                  <c:v>Q2'27</c:v>
                </c:pt>
                <c:pt idx="3">
                  <c:v>Q3'27</c:v>
                </c:pt>
                <c:pt idx="4">
                  <c:v>Q4'27</c:v>
                </c:pt>
              </c:strCache>
            </c:strRef>
          </c:cat>
          <c:val>
            <c:numRef>
              <c:f>'Capacity vs Demand'!$B$6:$F$6</c:f>
              <c:numCache>
                <c:formatCode>#,##0</c:formatCode>
                <c:ptCount val="5"/>
                <c:pt idx="0">
                  <c:v>2340</c:v>
                </c:pt>
                <c:pt idx="1">
                  <c:v>2340</c:v>
                </c:pt>
                <c:pt idx="2">
                  <c:v>2340</c:v>
                </c:pt>
                <c:pt idx="3">
                  <c:v>2340</c:v>
                </c:pt>
                <c:pt idx="4">
                  <c:v>2340</c:v>
                </c:pt>
              </c:numCache>
            </c:numRef>
          </c:val>
        </c:ser>
        <c:ser>
          <c:idx val="2"/>
          <c:order val="2"/>
          <c:tx>
            <c:strRef>
              <c:f>'Capacity vs Demand'!A7</c:f>
              <c:strCache>
                <c:ptCount val="1"/>
                <c:pt idx="0">
                  <c:v>Customs (gross kill)</c:v>
                </c:pt>
              </c:strCache>
            </c:strRef>
          </c:tx>
          <c:spPr>
            <a:solidFill>
              <a:srgbClr val="1baf7a"/>
            </a:solidFill>
            <a:ln w="9360">
              <a:solidFill>
                <a:srgbClr val="ffffff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'Capacity vs Demand'!$B$4:$F$4</c:f>
              <c:strCache>
                <c:ptCount val="5"/>
                <c:pt idx="0">
                  <c:v>Q4'26</c:v>
                </c:pt>
                <c:pt idx="1">
                  <c:v>Q1'27</c:v>
                </c:pt>
                <c:pt idx="2">
                  <c:v>Q2'27</c:v>
                </c:pt>
                <c:pt idx="3">
                  <c:v>Q3'27</c:v>
                </c:pt>
                <c:pt idx="4">
                  <c:v>Q4'27</c:v>
                </c:pt>
              </c:strCache>
            </c:strRef>
          </c:cat>
          <c:val>
            <c:numRef>
              <c:f>'Capacity vs Demand'!$B$7:$F$7</c:f>
              <c:numCache>
                <c:formatCode>#,##0</c:formatCode>
                <c:ptCount val="5"/>
                <c:pt idx="0">
                  <c:v>1950</c:v>
                </c:pt>
                <c:pt idx="1">
                  <c:v>1950</c:v>
                </c:pt>
                <c:pt idx="2">
                  <c:v>1950</c:v>
                </c:pt>
                <c:pt idx="3">
                  <c:v>1950</c:v>
                </c:pt>
                <c:pt idx="4">
                  <c:v>1950</c:v>
                </c:pt>
              </c:numCache>
            </c:numRef>
          </c:val>
        </c:ser>
        <c:ser>
          <c:idx val="3"/>
          <c:order val="3"/>
          <c:tx>
            <c:strRef>
              <c:f>'Capacity vs Demand'!A8</c:f>
              <c:strCache>
                <c:ptCount val="1"/>
                <c:pt idx="0">
                  <c:v>Parks (gross kill)</c:v>
                </c:pt>
              </c:strCache>
            </c:strRef>
          </c:tx>
          <c:spPr>
            <a:solidFill>
              <a:srgbClr val="eda100"/>
            </a:solidFill>
            <a:ln w="9360">
              <a:solidFill>
                <a:srgbClr val="ffffff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'Capacity vs Demand'!$B$4:$F$4</c:f>
              <c:strCache>
                <c:ptCount val="5"/>
                <c:pt idx="0">
                  <c:v>Q4'26</c:v>
                </c:pt>
                <c:pt idx="1">
                  <c:v>Q1'27</c:v>
                </c:pt>
                <c:pt idx="2">
                  <c:v>Q2'27</c:v>
                </c:pt>
                <c:pt idx="3">
                  <c:v>Q3'27</c:v>
                </c:pt>
                <c:pt idx="4">
                  <c:v>Q4'27</c:v>
                </c:pt>
              </c:strCache>
            </c:strRef>
          </c:cat>
          <c:val>
            <c:numRef>
              <c:f>'Capacity vs Demand'!$B$8:$F$8</c:f>
              <c:numCache>
                <c:formatCode>#,##0</c:formatCode>
                <c:ptCount val="5"/>
                <c:pt idx="0">
                  <c:v>5200</c:v>
                </c:pt>
                <c:pt idx="1">
                  <c:v>5200</c:v>
                </c:pt>
                <c:pt idx="2">
                  <c:v>5200</c:v>
                </c:pt>
                <c:pt idx="3">
                  <c:v>5200</c:v>
                </c:pt>
                <c:pt idx="4">
                  <c:v>5200</c:v>
                </c:pt>
              </c:numCache>
            </c:numRef>
          </c:val>
        </c:ser>
        <c:gapWidth val="60"/>
        <c:overlap val="100"/>
        <c:axId val="96558933"/>
        <c:axId val="73157146"/>
      </c:barChart>
      <c:lineChart>
        <c:grouping val="standard"/>
        <c:varyColors val="0"/>
        <c:ser>
          <c:idx val="4"/>
          <c:order val="4"/>
          <c:tx>
            <c:strRef>
              <c:f>'Capacity vs Demand'!A19</c:f>
              <c:strCache>
                <c:ptCount val="1"/>
                <c:pt idx="0">
                  <c:v>Demand 666501</c:v>
                </c:pt>
              </c:strCache>
            </c:strRef>
          </c:tx>
          <c:spPr>
            <a:solidFill>
              <a:srgbClr val="e87ba4"/>
            </a:solidFill>
            <a:ln w="22320">
              <a:solidFill>
                <a:srgbClr val="e87ba4"/>
              </a:solidFill>
              <a:round/>
            </a:ln>
          </c:spPr>
          <c:marker>
            <c:symbol val="circle"/>
            <c:size val="5"/>
            <c:spPr>
              <a:solidFill>
                <a:srgbClr val="e87ba4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'Capacity vs Demand'!$B$4:$F$4</c:f>
              <c:strCache>
                <c:ptCount val="5"/>
                <c:pt idx="0">
                  <c:v>Q4'26</c:v>
                </c:pt>
                <c:pt idx="1">
                  <c:v>Q1'27</c:v>
                </c:pt>
                <c:pt idx="2">
                  <c:v>Q2'27</c:v>
                </c:pt>
                <c:pt idx="3">
                  <c:v>Q3'27</c:v>
                </c:pt>
                <c:pt idx="4">
                  <c:v>Q4'27</c:v>
                </c:pt>
              </c:strCache>
            </c:strRef>
          </c:cat>
          <c:val>
            <c:numRef>
              <c:f>'Capacity vs Demand'!$B$19:$F$19</c:f>
              <c:numCache>
                <c:formatCode>#,##0</c:formatCode>
                <c:ptCount val="5"/>
                <c:pt idx="0">
                  <c:v>2970</c:v>
                </c:pt>
                <c:pt idx="1">
                  <c:v>3150</c:v>
                </c:pt>
                <c:pt idx="2">
                  <c:v>3320</c:v>
                </c:pt>
                <c:pt idx="3">
                  <c:v>3420</c:v>
                </c:pt>
                <c:pt idx="4">
                  <c:v>3446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'Capacity vs Demand'!A20</c:f>
              <c:strCache>
                <c:ptCount val="1"/>
                <c:pt idx="0">
                  <c:v>Demand 666502</c:v>
                </c:pt>
              </c:strCache>
            </c:strRef>
          </c:tx>
          <c:spPr>
            <a:solidFill>
              <a:srgbClr val="008300"/>
            </a:solidFill>
            <a:ln w="22320">
              <a:solidFill>
                <a:srgbClr val="008300"/>
              </a:solidFill>
              <a:round/>
            </a:ln>
          </c:spPr>
          <c:marker>
            <c:symbol val="circle"/>
            <c:size val="5"/>
            <c:spPr>
              <a:solidFill>
                <a:srgbClr val="00830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'Capacity vs Demand'!$B$4:$F$4</c:f>
              <c:strCache>
                <c:ptCount val="5"/>
                <c:pt idx="0">
                  <c:v>Q4'26</c:v>
                </c:pt>
                <c:pt idx="1">
                  <c:v>Q1'27</c:v>
                </c:pt>
                <c:pt idx="2">
                  <c:v>Q2'27</c:v>
                </c:pt>
                <c:pt idx="3">
                  <c:v>Q3'27</c:v>
                </c:pt>
                <c:pt idx="4">
                  <c:v>Q4'27</c:v>
                </c:pt>
              </c:strCache>
            </c:strRef>
          </c:cat>
          <c:val>
            <c:numRef>
              <c:f>'Capacity vs Demand'!$B$20:$F$20</c:f>
              <c:numCache>
                <c:formatCode>#,##0</c:formatCode>
                <c:ptCount val="5"/>
                <c:pt idx="0">
                  <c:v>1800</c:v>
                </c:pt>
                <c:pt idx="1">
                  <c:v>1950</c:v>
                </c:pt>
                <c:pt idx="2">
                  <c:v>2050</c:v>
                </c:pt>
                <c:pt idx="3">
                  <c:v>2075</c:v>
                </c:pt>
                <c:pt idx="4">
                  <c:v>2050</c:v>
                </c:pt>
              </c:numCache>
            </c:numRef>
          </c:val>
          <c:smooth val="0"/>
        </c:ser>
        <c:ser>
          <c:idx val="6"/>
          <c:order val="6"/>
          <c:tx>
            <c:strRef>
              <c:f>'Capacity vs Demand'!A21</c:f>
              <c:strCache>
                <c:ptCount val="1"/>
                <c:pt idx="0">
                  <c:v>Demand 666506</c:v>
                </c:pt>
              </c:strCache>
            </c:strRef>
          </c:tx>
          <c:spPr>
            <a:solidFill>
              <a:srgbClr val="4a3aa7"/>
            </a:solidFill>
            <a:ln w="22320">
              <a:solidFill>
                <a:srgbClr val="4a3aa7"/>
              </a:solidFill>
              <a:round/>
            </a:ln>
          </c:spPr>
          <c:marker>
            <c:symbol val="circle"/>
            <c:size val="5"/>
            <c:spPr>
              <a:solidFill>
                <a:srgbClr val="4a3aa7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'Capacity vs Demand'!$B$4:$F$4</c:f>
              <c:strCache>
                <c:ptCount val="5"/>
                <c:pt idx="0">
                  <c:v>Q4'26</c:v>
                </c:pt>
                <c:pt idx="1">
                  <c:v>Q1'27</c:v>
                </c:pt>
                <c:pt idx="2">
                  <c:v>Q2'27</c:v>
                </c:pt>
                <c:pt idx="3">
                  <c:v>Q3'27</c:v>
                </c:pt>
                <c:pt idx="4">
                  <c:v>Q4'27</c:v>
                </c:pt>
              </c:strCache>
            </c:strRef>
          </c:cat>
          <c:val>
            <c:numRef>
              <c:f>'Capacity vs Demand'!$B$21:$F$21</c:f>
              <c:numCache>
                <c:formatCode>#,##0</c:formatCode>
                <c:ptCount val="5"/>
                <c:pt idx="0">
                  <c:v>735</c:v>
                </c:pt>
                <c:pt idx="1">
                  <c:v>760</c:v>
                </c:pt>
                <c:pt idx="2">
                  <c:v>805</c:v>
                </c:pt>
                <c:pt idx="3">
                  <c:v>855</c:v>
                </c:pt>
                <c:pt idx="4">
                  <c:v>888</c:v>
                </c:pt>
              </c:numCache>
            </c:numRef>
          </c:val>
          <c:smooth val="0"/>
        </c:ser>
        <c:ser>
          <c:idx val="7"/>
          <c:order val="7"/>
          <c:tx>
            <c:strRef>
              <c:f>'Capacity vs Demand'!A22</c:f>
              <c:strCache>
                <c:ptCount val="1"/>
                <c:pt idx="0">
                  <c:v>Demand 666541</c:v>
                </c:pt>
              </c:strCache>
            </c:strRef>
          </c:tx>
          <c:spPr>
            <a:solidFill>
              <a:srgbClr val="e34948"/>
            </a:solidFill>
            <a:ln w="22320">
              <a:solidFill>
                <a:srgbClr val="e34948"/>
              </a:solidFill>
              <a:round/>
            </a:ln>
          </c:spPr>
          <c:marker>
            <c:symbol val="circle"/>
            <c:size val="5"/>
            <c:spPr>
              <a:solidFill>
                <a:srgbClr val="e34948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'Capacity vs Demand'!$B$4:$F$4</c:f>
              <c:strCache>
                <c:ptCount val="5"/>
                <c:pt idx="0">
                  <c:v>Q4'26</c:v>
                </c:pt>
                <c:pt idx="1">
                  <c:v>Q1'27</c:v>
                </c:pt>
                <c:pt idx="2">
                  <c:v>Q2'27</c:v>
                </c:pt>
                <c:pt idx="3">
                  <c:v>Q3'27</c:v>
                </c:pt>
                <c:pt idx="4">
                  <c:v>Q4'27</c:v>
                </c:pt>
              </c:strCache>
            </c:strRef>
          </c:cat>
          <c:val>
            <c:numRef>
              <c:f>'Capacity vs Demand'!$B$22:$F$22</c:f>
              <c:numCache>
                <c:formatCode>#,##0</c:formatCode>
                <c:ptCount val="5"/>
                <c:pt idx="0">
                  <c:v>1800</c:v>
                </c:pt>
                <c:pt idx="1">
                  <c:v>1950</c:v>
                </c:pt>
                <c:pt idx="2">
                  <c:v>2050</c:v>
                </c:pt>
                <c:pt idx="3">
                  <c:v>2075</c:v>
                </c:pt>
                <c:pt idx="4">
                  <c:v>2050</c:v>
                </c:pt>
              </c:numCache>
            </c:numRef>
          </c:val>
          <c:smooth val="0"/>
        </c:ser>
        <c:ser>
          <c:idx val="8"/>
          <c:order val="8"/>
          <c:tx>
            <c:strRef>
              <c:f>'Capacity vs Demand'!A23</c:f>
              <c:strCache>
                <c:ptCount val="1"/>
                <c:pt idx="0">
                  <c:v>Total tissue demand (pigs, 1 tissue = 1 pig)</c:v>
                </c:pt>
              </c:strCache>
            </c:strRef>
          </c:tx>
          <c:spPr>
            <a:solidFill>
              <a:srgbClr val="0b0b0b"/>
            </a:solidFill>
            <a:ln w="31680">
              <a:solidFill>
                <a:srgbClr val="0b0b0b"/>
              </a:solidFill>
              <a:round/>
            </a:ln>
          </c:spPr>
          <c:marker>
            <c:symbol val="circle"/>
            <c:size val="7"/>
            <c:spPr>
              <a:solidFill>
                <a:srgbClr val="0b0b0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'Capacity vs Demand'!$B$4:$F$4</c:f>
              <c:strCache>
                <c:ptCount val="5"/>
                <c:pt idx="0">
                  <c:v>Q4'26</c:v>
                </c:pt>
                <c:pt idx="1">
                  <c:v>Q1'27</c:v>
                </c:pt>
                <c:pt idx="2">
                  <c:v>Q2'27</c:v>
                </c:pt>
                <c:pt idx="3">
                  <c:v>Q3'27</c:v>
                </c:pt>
                <c:pt idx="4">
                  <c:v>Q4'27</c:v>
                </c:pt>
              </c:strCache>
            </c:strRef>
          </c:cat>
          <c:val>
            <c:numRef>
              <c:f>'Capacity vs Demand'!$B$23:$F$23</c:f>
              <c:numCache>
                <c:formatCode>#,##0</c:formatCode>
                <c:ptCount val="5"/>
                <c:pt idx="0">
                  <c:v>7305</c:v>
                </c:pt>
                <c:pt idx="1">
                  <c:v>7810</c:v>
                </c:pt>
                <c:pt idx="2">
                  <c:v>8225</c:v>
                </c:pt>
                <c:pt idx="3">
                  <c:v>8425</c:v>
                </c:pt>
                <c:pt idx="4">
                  <c:v>8434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96558933"/>
        <c:axId val="73157146"/>
      </c:lineChart>
      <c:catAx>
        <c:axId val="96558933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Aptos Narrow"/>
                  </a:rPr>
                  <a:t>Quarter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ptos Narrow"/>
              </a:defRPr>
            </a:pPr>
          </a:p>
        </c:txPr>
        <c:crossAx val="73157146"/>
        <c:crosses val="autoZero"/>
        <c:auto val="1"/>
        <c:lblAlgn val="ctr"/>
        <c:lblOffset val="100"/>
        <c:noMultiLvlLbl val="0"/>
      </c:catAx>
      <c:valAx>
        <c:axId val="73157146"/>
        <c:scaling>
          <c:orientation val="minMax"/>
        </c:scaling>
        <c:delete val="0"/>
        <c:axPos val="l"/>
        <c:majorGridlines>
          <c:spPr>
            <a:ln w="12600">
              <a:solidFill>
                <a:srgbClr val="8b8b8b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Aptos Narrow"/>
                  </a:rPr>
                  <a:t>Pigs / tissue units per quarter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0"/>
        <c:majorTickMark val="none"/>
        <c:minorTickMark val="none"/>
        <c:tickLblPos val="nextTo"/>
        <c:spPr>
          <a:ln w="1260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ptos Narrow"/>
              </a:defRPr>
            </a:pPr>
          </a:p>
        </c:txPr>
        <c:crossAx val="96558933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Aptos Narrow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24</xdr:row>
      <xdr:rowOff>160560</xdr:rowOff>
    </xdr:from>
    <xdr:to>
      <xdr:col>9</xdr:col>
      <xdr:colOff>610920</xdr:colOff>
      <xdr:row>51</xdr:row>
      <xdr:rowOff>56880</xdr:rowOff>
    </xdr:to>
    <xdr:graphicFrame>
      <xdr:nvGraphicFramePr>
        <xdr:cNvPr id="0" name="Chart 1"/>
        <xdr:cNvGraphicFramePr/>
      </xdr:nvGraphicFramePr>
      <xdr:xfrm>
        <a:off x="0" y="4762440"/>
        <a:ext cx="10799640" cy="50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0</xdr:colOff>
      <xdr:row>53</xdr:row>
      <xdr:rowOff>160560</xdr:rowOff>
    </xdr:from>
    <xdr:to>
      <xdr:col>9</xdr:col>
      <xdr:colOff>610920</xdr:colOff>
      <xdr:row>80</xdr:row>
      <xdr:rowOff>56880</xdr:rowOff>
    </xdr:to>
    <xdr:graphicFrame>
      <xdr:nvGraphicFramePr>
        <xdr:cNvPr id="1" name="Chart 2"/>
        <xdr:cNvGraphicFramePr/>
      </xdr:nvGraphicFramePr>
      <xdr:xfrm>
        <a:off x="0" y="10287000"/>
        <a:ext cx="10799640" cy="50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C3:S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K16" activeCellId="0" sqref="K16"/>
    </sheetView>
  </sheetViews>
  <sheetFormatPr defaultColWidth="8.5390625" defaultRowHeight="14.25" zeroHeight="false" outlineLevelRow="0" outlineLevelCol="0"/>
  <cols>
    <col collapsed="false" customWidth="true" hidden="false" outlineLevel="0" max="3" min="3" style="0" width="12.11"/>
    <col collapsed="false" customWidth="true" hidden="false" outlineLevel="0" max="4" min="4" style="0" width="27.88"/>
    <col collapsed="false" customWidth="true" hidden="false" outlineLevel="0" max="6" min="6" style="0" width="9.44"/>
    <col collapsed="false" customWidth="true" hidden="false" outlineLevel="0" max="19" min="19" style="0" width="16.44"/>
  </cols>
  <sheetData>
    <row r="3" customFormat="false" ht="14.25" hidden="false" customHeight="false" outlineLevel="0" collapsed="false">
      <c r="C3" s="1" t="s">
        <v>0</v>
      </c>
      <c r="D3" s="1" t="s">
        <v>1</v>
      </c>
      <c r="E3" s="1" t="s">
        <v>2</v>
      </c>
      <c r="F3" s="1" t="s">
        <v>3</v>
      </c>
      <c r="G3" s="1" t="s">
        <v>4</v>
      </c>
      <c r="H3" s="1" t="s">
        <v>5</v>
      </c>
      <c r="I3" s="1" t="s">
        <v>6</v>
      </c>
      <c r="L3" s="1" t="n">
        <v>666501</v>
      </c>
      <c r="M3" s="0" t="n">
        <v>666502</v>
      </c>
      <c r="N3" s="0" t="n">
        <v>666506</v>
      </c>
      <c r="O3" s="0" t="n">
        <v>666541</v>
      </c>
    </row>
    <row r="4" customFormat="false" ht="14.25" hidden="false" customHeight="false" outlineLevel="0" collapsed="false">
      <c r="C4" s="1" t="n">
        <v>666035</v>
      </c>
      <c r="D4" s="1" t="s">
        <v>7</v>
      </c>
      <c r="E4" s="1" t="n">
        <v>90</v>
      </c>
      <c r="F4" s="1" t="n">
        <v>90</v>
      </c>
      <c r="G4" s="1" t="n">
        <v>95</v>
      </c>
      <c r="H4" s="1" t="n">
        <v>90</v>
      </c>
      <c r="I4" s="1" t="n">
        <v>80</v>
      </c>
      <c r="L4" s="2" t="n">
        <v>0</v>
      </c>
      <c r="M4" s="2" t="n">
        <v>0</v>
      </c>
      <c r="N4" s="2" t="n">
        <v>0</v>
      </c>
      <c r="O4" s="2" t="n">
        <v>0</v>
      </c>
    </row>
    <row r="5" customFormat="false" ht="14.25" hidden="false" customHeight="false" outlineLevel="0" collapsed="false">
      <c r="C5" s="1" t="s">
        <v>8</v>
      </c>
      <c r="D5" s="1" t="s">
        <v>9</v>
      </c>
      <c r="E5" s="1" t="n">
        <v>300</v>
      </c>
      <c r="F5" s="1" t="n">
        <v>320</v>
      </c>
      <c r="G5" s="1" t="n">
        <v>340</v>
      </c>
      <c r="H5" s="1" t="n">
        <v>365</v>
      </c>
      <c r="I5" s="1" t="n">
        <v>380</v>
      </c>
      <c r="L5" s="2" t="n">
        <v>3</v>
      </c>
      <c r="M5" s="2" t="n">
        <v>0</v>
      </c>
      <c r="N5" s="2" t="n">
        <v>2</v>
      </c>
      <c r="O5" s="2" t="n">
        <v>0</v>
      </c>
    </row>
    <row r="6" customFormat="false" ht="14.25" hidden="false" customHeight="false" outlineLevel="0" collapsed="false">
      <c r="C6" s="1" t="n">
        <v>666052</v>
      </c>
      <c r="D6" s="1" t="s">
        <v>10</v>
      </c>
      <c r="E6" s="1" t="n">
        <v>135</v>
      </c>
      <c r="F6" s="1" t="n">
        <v>120</v>
      </c>
      <c r="G6" s="1" t="n">
        <v>125</v>
      </c>
      <c r="H6" s="1" t="n">
        <v>125</v>
      </c>
      <c r="I6" s="1" t="n">
        <v>128</v>
      </c>
      <c r="L6" s="2" t="n">
        <v>2</v>
      </c>
      <c r="M6" s="2" t="n">
        <v>0</v>
      </c>
      <c r="N6" s="2" t="n">
        <v>1</v>
      </c>
      <c r="O6" s="2" t="n">
        <v>0</v>
      </c>
    </row>
    <row r="7" customFormat="false" ht="14.25" hidden="false" customHeight="false" outlineLevel="0" collapsed="false">
      <c r="C7" s="1" t="n">
        <v>666069</v>
      </c>
      <c r="D7" s="1" t="s">
        <v>11</v>
      </c>
      <c r="E7" s="1" t="n">
        <v>1800</v>
      </c>
      <c r="F7" s="1" t="n">
        <v>1950</v>
      </c>
      <c r="G7" s="1" t="n">
        <v>2050</v>
      </c>
      <c r="H7" s="1" t="n">
        <v>2075</v>
      </c>
      <c r="I7" s="1" t="n">
        <v>2050</v>
      </c>
      <c r="L7" s="2" t="n">
        <v>1</v>
      </c>
      <c r="M7" s="2" t="n">
        <v>1</v>
      </c>
      <c r="N7" s="2" t="n">
        <v>0</v>
      </c>
      <c r="O7" s="2" t="n">
        <v>1</v>
      </c>
    </row>
    <row r="9" customFormat="false" ht="14.25" hidden="false" customHeight="false" outlineLevel="0" collapsed="false">
      <c r="L9" s="1" t="s">
        <v>2</v>
      </c>
      <c r="M9" s="1" t="s">
        <v>3</v>
      </c>
      <c r="N9" s="1" t="s">
        <v>4</v>
      </c>
      <c r="O9" s="1" t="s">
        <v>5</v>
      </c>
      <c r="P9" s="1" t="s">
        <v>6</v>
      </c>
      <c r="R9" s="1" t="s">
        <v>12</v>
      </c>
      <c r="S9" s="1" t="s">
        <v>13</v>
      </c>
    </row>
    <row r="10" customFormat="false" ht="14.25" hidden="false" customHeight="false" outlineLevel="0" collapsed="false">
      <c r="K10" s="1" t="n">
        <v>666501</v>
      </c>
      <c r="L10" s="3" t="n">
        <f aca="false" t="array" ref="L10:L10">SUM(E$4:E$7*$L$4:$L$7)</f>
        <v>2970</v>
      </c>
      <c r="M10" s="3" t="n">
        <f aca="false" t="array" ref="M10:M10">SUM(F$4:F$7*$L$4:$L$7)</f>
        <v>3150</v>
      </c>
      <c r="N10" s="3" t="n">
        <f aca="false" t="array" ref="N10:N10">SUM(G$4:G$7*$L$4:$L$7)</f>
        <v>3320</v>
      </c>
      <c r="O10" s="3" t="n">
        <f aca="false" t="array" ref="O10:O10">SUM(H$4:H$7*$L$4:$L$7)</f>
        <v>3420</v>
      </c>
      <c r="P10" s="3" t="n">
        <f aca="false" t="array" ref="P10:P10">SUM(I$4:I$7*$L$4:$L$7)</f>
        <v>3446</v>
      </c>
      <c r="R10" s="4" t="n">
        <v>0.99</v>
      </c>
      <c r="S10" s="4" t="n">
        <v>0.95</v>
      </c>
    </row>
    <row r="11" customFormat="false" ht="14.25" hidden="false" customHeight="false" outlineLevel="0" collapsed="false">
      <c r="K11" s="1" t="n">
        <v>666502</v>
      </c>
      <c r="L11" s="3" t="n">
        <f aca="false" t="array" ref="L11:L11">SUM(E$4:E$7*$M$4:$M$7)</f>
        <v>1800</v>
      </c>
      <c r="M11" s="3" t="n">
        <f aca="false" t="array" ref="M11:M11">SUM(F$4:F$7*$M$4:$M$7)</f>
        <v>1950</v>
      </c>
      <c r="N11" s="3" t="n">
        <f aca="false" t="array" ref="N11:N11">SUM(G$4:G$7*$M$4:$M$7)</f>
        <v>2050</v>
      </c>
      <c r="O11" s="3" t="n">
        <f aca="false" t="array" ref="O11:O11">SUM(H$4:H$7*$M$4:$M$7)</f>
        <v>2075</v>
      </c>
      <c r="P11" s="3" t="n">
        <f aca="false" t="array" ref="P11:P11">SUM(I$4:I$7*$M$4:$M$7)</f>
        <v>2050</v>
      </c>
      <c r="R11" s="4" t="n">
        <v>0.85</v>
      </c>
      <c r="S11" s="4" t="n">
        <v>0.88</v>
      </c>
    </row>
    <row r="12" customFormat="false" ht="14.25" hidden="false" customHeight="false" outlineLevel="0" collapsed="false">
      <c r="K12" s="1" t="n">
        <v>666506</v>
      </c>
      <c r="L12" s="3" t="n">
        <f aca="false" t="array" ref="L12:L12">SUM(E$4:E$7*$N$4:$N$7)</f>
        <v>735</v>
      </c>
      <c r="M12" s="3" t="n">
        <f aca="false" t="array" ref="M12:M12">SUM(F$4:F$7*$N$4:$N$7)</f>
        <v>760</v>
      </c>
      <c r="N12" s="3" t="n">
        <f aca="false" t="array" ref="N12:N12">SUM(G$4:G$7*$N$4:$N$7)</f>
        <v>805</v>
      </c>
      <c r="O12" s="3" t="n">
        <f aca="false" t="array" ref="O12:O12">SUM(H$4:H$7*$N$4:$N$7)</f>
        <v>855</v>
      </c>
      <c r="P12" s="3" t="n">
        <f aca="false" t="array" ref="P12:P12">SUM(I$4:I$7*$N$4:$N$7)</f>
        <v>888</v>
      </c>
      <c r="R12" s="4" t="n">
        <v>0.45</v>
      </c>
      <c r="S12" s="4" t="n">
        <v>0.25</v>
      </c>
    </row>
    <row r="13" customFormat="false" ht="14.25" hidden="false" customHeight="false" outlineLevel="0" collapsed="false">
      <c r="K13" s="1" t="n">
        <v>666541</v>
      </c>
      <c r="L13" s="3" t="n">
        <f aca="false" t="array" ref="L13:L13">SUM(E$4:E$7*$O$4:$O$7)</f>
        <v>1800</v>
      </c>
      <c r="M13" s="3" t="n">
        <f aca="false" t="array" ref="M13:M13">SUM(F$4:F$7*$O$4:$O$7)</f>
        <v>1950</v>
      </c>
      <c r="N13" s="3" t="n">
        <f aca="false" t="array" ref="N13:N13">SUM(G$4:G$7*$O$4:$O$7)</f>
        <v>2050</v>
      </c>
      <c r="O13" s="3" t="n">
        <f aca="false" t="array" ref="O13:O13">SUM(H$4:H$7*$O$4:$O$7)</f>
        <v>2075</v>
      </c>
      <c r="P13" s="3" t="n">
        <f aca="false" t="array" ref="P13:P13">SUM(I$4:I$7*$O$4:$O$7)</f>
        <v>2050</v>
      </c>
      <c r="R13" s="4" t="n">
        <v>0.45</v>
      </c>
      <c r="S13" s="4" t="n">
        <v>0.25</v>
      </c>
    </row>
    <row r="14" customFormat="false" ht="14.25" hidden="false" customHeight="false" outlineLevel="0" collapsed="false">
      <c r="F14" s="0" t="n">
        <v>13</v>
      </c>
      <c r="H14" s="5" t="s">
        <v>14</v>
      </c>
      <c r="L14" s="5" t="s">
        <v>15</v>
      </c>
    </row>
    <row r="15" customFormat="false" ht="14.25" hidden="false" customHeight="false" outlineLevel="0" collapsed="false">
      <c r="E15" s="0" t="s">
        <v>16</v>
      </c>
      <c r="F15" s="0" t="s">
        <v>17</v>
      </c>
      <c r="G15" s="0" t="s">
        <v>18</v>
      </c>
      <c r="H15" s="6" t="s">
        <v>19</v>
      </c>
      <c r="I15" s="3" t="s">
        <v>20</v>
      </c>
      <c r="J15" s="6" t="s">
        <v>21</v>
      </c>
    </row>
    <row r="16" customFormat="false" ht="14.25" hidden="false" customHeight="false" outlineLevel="0" collapsed="false">
      <c r="D16" s="0" t="s">
        <v>22</v>
      </c>
      <c r="E16" s="0" t="n">
        <v>2500</v>
      </c>
      <c r="F16" s="0" t="n">
        <f aca="false">E16*$F$14</f>
        <v>32500</v>
      </c>
      <c r="G16" s="7" t="n">
        <f aca="false">SUMPRODUCT(L$10:L$13,R$10:R$13)/SUM(L$10:L$13)</f>
        <v>0.768110882956879</v>
      </c>
      <c r="H16" s="8" t="n">
        <f aca="false">F16*G16</f>
        <v>24963.6036960986</v>
      </c>
      <c r="I16" s="7" t="n">
        <f aca="false">SUMPRODUCT(L$10:L$13,S$10:S$13)/SUM(L$10:L$13)</f>
        <v>0.689835728952772</v>
      </c>
      <c r="J16" s="8" t="n">
        <f aca="false">H16*I16</f>
        <v>17220.7857529863</v>
      </c>
    </row>
    <row r="17" customFormat="false" ht="14.25" hidden="false" customHeight="false" outlineLevel="0" collapsed="false">
      <c r="D17" s="0" t="s">
        <v>23</v>
      </c>
      <c r="E17" s="0" t="n">
        <v>180</v>
      </c>
      <c r="F17" s="0" t="n">
        <f aca="false">E17*$F$14</f>
        <v>2340</v>
      </c>
      <c r="G17" s="7" t="n">
        <f aca="false">SUMPRODUCT(L$10:L$13,R$10:R$13)/SUM(L$10:L$13)</f>
        <v>0.768110882956879</v>
      </c>
      <c r="H17" s="8" t="n">
        <f aca="false">F17*G17</f>
        <v>1797.3794661191</v>
      </c>
      <c r="I17" s="7" t="n">
        <f aca="false">SUMPRODUCT(L$10:L$13,S$10:S$13)/SUM(L$10:L$13)</f>
        <v>0.689835728952772</v>
      </c>
      <c r="J17" s="8" t="n">
        <f aca="false">H17*I17</f>
        <v>1239.89657421501</v>
      </c>
    </row>
    <row r="18" customFormat="false" ht="14.25" hidden="false" customHeight="false" outlineLevel="0" collapsed="false">
      <c r="D18" s="0" t="s">
        <v>24</v>
      </c>
      <c r="E18" s="0" t="n">
        <v>150</v>
      </c>
      <c r="F18" s="0" t="n">
        <f aca="false">E18*$F$14</f>
        <v>1950</v>
      </c>
      <c r="G18" s="7" t="n">
        <f aca="false">SUMPRODUCT(L$10:L$13,R$10:R$13)/SUM(L$10:L$13)</f>
        <v>0.768110882956879</v>
      </c>
      <c r="H18" s="8" t="n">
        <f aca="false">F18*G18</f>
        <v>1497.81622176591</v>
      </c>
      <c r="I18" s="7" t="n">
        <f aca="false">SUMPRODUCT(L$10:L$13,S$10:S$13)/SUM(L$10:L$13)</f>
        <v>0.689835728952772</v>
      </c>
      <c r="J18" s="8" t="n">
        <f aca="false">H18*I18</f>
        <v>1033.24714517918</v>
      </c>
    </row>
    <row r="19" customFormat="false" ht="14.25" hidden="false" customHeight="false" outlineLevel="0" collapsed="false">
      <c r="D19" s="0" t="s">
        <v>25</v>
      </c>
      <c r="E19" s="0" t="n">
        <v>400</v>
      </c>
      <c r="F19" s="0" t="n">
        <f aca="false">E19*$F$14</f>
        <v>5200</v>
      </c>
      <c r="G19" s="7" t="n">
        <f aca="false">SUMPRODUCT(L$10:L$13,R$10:R$13)/SUM(L$10:L$13)-10%</f>
        <v>0.668110882956879</v>
      </c>
      <c r="H19" s="8" t="n">
        <f aca="false">F19*G19</f>
        <v>3474.17659137577</v>
      </c>
      <c r="I19" s="7" t="n">
        <f aca="false">SUMPRODUCT(L$10:L$13,S$10:S$13)/SUM(L$10:L$13)</f>
        <v>0.689835728952772</v>
      </c>
      <c r="J19" s="8" t="n">
        <f aca="false">H19*I19</f>
        <v>2396.61114142236</v>
      </c>
    </row>
    <row r="22" customFormat="false" ht="14.25" hidden="false" customHeight="false" outlineLevel="0" collapsed="false">
      <c r="I22" s="0" t="s">
        <v>26</v>
      </c>
      <c r="L22" s="0" t="s">
        <v>26</v>
      </c>
    </row>
    <row r="23" customFormat="false" ht="14.25" hidden="false" customHeight="false" outlineLevel="0" collapsed="false">
      <c r="I23" s="0" t="s">
        <v>12</v>
      </c>
      <c r="J23" s="0" t="s">
        <v>27</v>
      </c>
      <c r="K23" s="0" t="s">
        <v>28</v>
      </c>
      <c r="L23" s="0" t="s">
        <v>29</v>
      </c>
      <c r="M23" s="0" t="s">
        <v>30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6" min="2" style="0" width="11"/>
  </cols>
  <sheetData>
    <row r="1" customFormat="false" ht="17.35" hidden="false" customHeight="false" outlineLevel="0" collapsed="false">
      <c r="A1" s="9" t="s">
        <v>31</v>
      </c>
    </row>
    <row r="2" customFormat="false" ht="15" hidden="false" customHeight="false" outlineLevel="0" collapsed="false">
      <c r="A2" s="10" t="s">
        <v>32</v>
      </c>
    </row>
    <row r="4" customFormat="false" ht="15" hidden="false" customHeight="false" outlineLevel="0" collapsed="false">
      <c r="A4" s="11" t="s">
        <v>33</v>
      </c>
      <c r="B4" s="12" t="str">
        <f aca="false">Sheet1!L9</f>
        <v>Q4'26</v>
      </c>
      <c r="C4" s="12" t="str">
        <f aca="false">Sheet1!M9</f>
        <v>Q1'27</v>
      </c>
      <c r="D4" s="12" t="str">
        <f aca="false">Sheet1!N9</f>
        <v>Q2'27</v>
      </c>
      <c r="E4" s="12" t="str">
        <f aca="false">Sheet1!O9</f>
        <v>Q3'27</v>
      </c>
      <c r="F4" s="12" t="str">
        <f aca="false">Sheet1!P9</f>
        <v>Q4'27</v>
      </c>
    </row>
    <row r="5" customFormat="false" ht="15" hidden="false" customHeight="false" outlineLevel="0" collapsed="false">
      <c r="A5" s="13" t="str">
        <f aca="false">Sheet1!$D$16&amp;" (gross kill)"</f>
        <v>Martins (gross kill)</v>
      </c>
      <c r="B5" s="14" t="n">
        <f aca="false">Sheet1!$F$16</f>
        <v>32500</v>
      </c>
      <c r="C5" s="14" t="n">
        <f aca="false">Sheet1!$F$16</f>
        <v>32500</v>
      </c>
      <c r="D5" s="14" t="n">
        <f aca="false">Sheet1!$F$16</f>
        <v>32500</v>
      </c>
      <c r="E5" s="14" t="n">
        <f aca="false">Sheet1!$F$16</f>
        <v>32500</v>
      </c>
      <c r="F5" s="14" t="n">
        <f aca="false">Sheet1!$F$16</f>
        <v>32500</v>
      </c>
    </row>
    <row r="6" customFormat="false" ht="15" hidden="false" customHeight="false" outlineLevel="0" collapsed="false">
      <c r="A6" s="13" t="str">
        <f aca="false">Sheet1!$D$17&amp;" (gross kill)"</f>
        <v>Nahunta (gross kill)</v>
      </c>
      <c r="B6" s="14" t="n">
        <f aca="false">Sheet1!$F$17</f>
        <v>2340</v>
      </c>
      <c r="C6" s="14" t="n">
        <f aca="false">Sheet1!$F$17</f>
        <v>2340</v>
      </c>
      <c r="D6" s="14" t="n">
        <f aca="false">Sheet1!$F$17</f>
        <v>2340</v>
      </c>
      <c r="E6" s="14" t="n">
        <f aca="false">Sheet1!$F$17</f>
        <v>2340</v>
      </c>
      <c r="F6" s="14" t="n">
        <f aca="false">Sheet1!$F$17</f>
        <v>2340</v>
      </c>
    </row>
    <row r="7" customFormat="false" ht="15" hidden="false" customHeight="false" outlineLevel="0" collapsed="false">
      <c r="A7" s="13" t="str">
        <f aca="false">Sheet1!$D$18&amp;" (gross kill)"</f>
        <v>Customs (gross kill)</v>
      </c>
      <c r="B7" s="14" t="n">
        <f aca="false">Sheet1!$F$18</f>
        <v>1950</v>
      </c>
      <c r="C7" s="14" t="n">
        <f aca="false">Sheet1!$F$18</f>
        <v>1950</v>
      </c>
      <c r="D7" s="14" t="n">
        <f aca="false">Sheet1!$F$18</f>
        <v>1950</v>
      </c>
      <c r="E7" s="14" t="n">
        <f aca="false">Sheet1!$F$18</f>
        <v>1950</v>
      </c>
      <c r="F7" s="14" t="n">
        <f aca="false">Sheet1!$F$18</f>
        <v>1950</v>
      </c>
    </row>
    <row r="8" customFormat="false" ht="15" hidden="false" customHeight="false" outlineLevel="0" collapsed="false">
      <c r="A8" s="13" t="str">
        <f aca="false">Sheet1!$D$19&amp;" (gross kill)"</f>
        <v>Parks (gross kill)</v>
      </c>
      <c r="B8" s="14" t="n">
        <f aca="false">Sheet1!$F$19</f>
        <v>5200</v>
      </c>
      <c r="C8" s="14" t="n">
        <f aca="false">Sheet1!$F$19</f>
        <v>5200</v>
      </c>
      <c r="D8" s="14" t="n">
        <f aca="false">Sheet1!$F$19</f>
        <v>5200</v>
      </c>
      <c r="E8" s="14" t="n">
        <f aca="false">Sheet1!$F$19</f>
        <v>5200</v>
      </c>
      <c r="F8" s="14" t="n">
        <f aca="false">Sheet1!$F$19</f>
        <v>5200</v>
      </c>
    </row>
    <row r="9" customFormat="false" ht="15" hidden="false" customHeight="false" outlineLevel="0" collapsed="false">
      <c r="A9" s="11" t="s">
        <v>34</v>
      </c>
      <c r="B9" s="15" t="n">
        <f aca="false">SUM(B5:B8)</f>
        <v>41990</v>
      </c>
      <c r="C9" s="15" t="n">
        <f aca="false">SUM(C5:C8)</f>
        <v>41990</v>
      </c>
      <c r="D9" s="15" t="n">
        <f aca="false">SUM(D5:D8)</f>
        <v>41990</v>
      </c>
      <c r="E9" s="15" t="n">
        <f aca="false">SUM(E5:E8)</f>
        <v>41990</v>
      </c>
      <c r="F9" s="15" t="n">
        <f aca="false">SUM(F5:F8)</f>
        <v>41990</v>
      </c>
    </row>
    <row r="10" customFormat="false" ht="15" hidden="false" customHeight="false" outlineLevel="0" collapsed="false">
      <c r="A10" s="13" t="str">
        <f aca="false">Sheet1!$D$16&amp;" (net harvested)"</f>
        <v>Martins (net harvested)</v>
      </c>
      <c r="B10" s="14" t="n">
        <f aca="false">Sheet1!$J$16</f>
        <v>17220.7857529863</v>
      </c>
      <c r="C10" s="14" t="n">
        <f aca="false">Sheet1!$J$16</f>
        <v>17220.7857529863</v>
      </c>
      <c r="D10" s="14" t="n">
        <f aca="false">Sheet1!$J$16</f>
        <v>17220.7857529863</v>
      </c>
      <c r="E10" s="14" t="n">
        <f aca="false">Sheet1!$J$16</f>
        <v>17220.7857529863</v>
      </c>
      <c r="F10" s="14" t="n">
        <f aca="false">Sheet1!$J$16</f>
        <v>17220.7857529863</v>
      </c>
    </row>
    <row r="11" customFormat="false" ht="15" hidden="false" customHeight="false" outlineLevel="0" collapsed="false">
      <c r="A11" s="13" t="str">
        <f aca="false">Sheet1!$D$17&amp;" (net harvested)"</f>
        <v>Nahunta (net harvested)</v>
      </c>
      <c r="B11" s="14" t="n">
        <f aca="false">Sheet1!$J$17</f>
        <v>1239.89657421501</v>
      </c>
      <c r="C11" s="14" t="n">
        <f aca="false">Sheet1!$J$17</f>
        <v>1239.89657421501</v>
      </c>
      <c r="D11" s="14" t="n">
        <f aca="false">Sheet1!$J$17</f>
        <v>1239.89657421501</v>
      </c>
      <c r="E11" s="14" t="n">
        <f aca="false">Sheet1!$J$17</f>
        <v>1239.89657421501</v>
      </c>
      <c r="F11" s="14" t="n">
        <f aca="false">Sheet1!$J$17</f>
        <v>1239.89657421501</v>
      </c>
    </row>
    <row r="12" customFormat="false" ht="15" hidden="false" customHeight="false" outlineLevel="0" collapsed="false">
      <c r="A12" s="13" t="str">
        <f aca="false">Sheet1!$D$18&amp;" (net harvested)"</f>
        <v>Customs (net harvested)</v>
      </c>
      <c r="B12" s="14" t="n">
        <f aca="false">Sheet1!$J$18</f>
        <v>1033.24714517918</v>
      </c>
      <c r="C12" s="14" t="n">
        <f aca="false">Sheet1!$J$18</f>
        <v>1033.24714517918</v>
      </c>
      <c r="D12" s="14" t="n">
        <f aca="false">Sheet1!$J$18</f>
        <v>1033.24714517918</v>
      </c>
      <c r="E12" s="14" t="n">
        <f aca="false">Sheet1!$J$18</f>
        <v>1033.24714517918</v>
      </c>
      <c r="F12" s="14" t="n">
        <f aca="false">Sheet1!$J$18</f>
        <v>1033.24714517918</v>
      </c>
    </row>
    <row r="13" customFormat="false" ht="15" hidden="false" customHeight="false" outlineLevel="0" collapsed="false">
      <c r="A13" s="13" t="str">
        <f aca="false">Sheet1!$D$19&amp;" (net harvested)"</f>
        <v>Parks (net harvested)</v>
      </c>
      <c r="B13" s="14" t="n">
        <f aca="false">Sheet1!$J$19</f>
        <v>2396.61114142236</v>
      </c>
      <c r="C13" s="14" t="n">
        <f aca="false">Sheet1!$J$19</f>
        <v>2396.61114142236</v>
      </c>
      <c r="D13" s="14" t="n">
        <f aca="false">Sheet1!$J$19</f>
        <v>2396.61114142236</v>
      </c>
      <c r="E13" s="14" t="n">
        <f aca="false">Sheet1!$J$19</f>
        <v>2396.61114142236</v>
      </c>
      <c r="F13" s="14" t="n">
        <f aca="false">Sheet1!$J$19</f>
        <v>2396.61114142236</v>
      </c>
    </row>
    <row r="14" customFormat="false" ht="15" hidden="false" customHeight="false" outlineLevel="0" collapsed="false">
      <c r="A14" s="11" t="s">
        <v>35</v>
      </c>
      <c r="B14" s="15" t="n">
        <f aca="false">SUM(B10:B13)</f>
        <v>21890.5406138028</v>
      </c>
      <c r="C14" s="15" t="n">
        <f aca="false">SUM(C10:C13)</f>
        <v>21890.5406138028</v>
      </c>
      <c r="D14" s="15" t="n">
        <f aca="false">SUM(D10:D13)</f>
        <v>21890.5406138028</v>
      </c>
      <c r="E14" s="15" t="n">
        <f aca="false">SUM(E10:E13)</f>
        <v>21890.5406138028</v>
      </c>
      <c r="F14" s="15" t="n">
        <f aca="false">SUM(F10:F13)</f>
        <v>21890.5406138028</v>
      </c>
    </row>
    <row r="15" customFormat="false" ht="15" hidden="false" customHeight="false" outlineLevel="0" collapsed="false">
      <c r="A15" s="13" t="str">
        <f aca="false">Sheet1!$D$16&amp;" (yield loss)"</f>
        <v>Martins (yield loss)</v>
      </c>
      <c r="B15" s="14" t="n">
        <f aca="false">B5-B10</f>
        <v>15279.2142470137</v>
      </c>
      <c r="C15" s="14" t="n">
        <f aca="false">C5-C10</f>
        <v>15279.2142470137</v>
      </c>
      <c r="D15" s="14" t="n">
        <f aca="false">D5-D10</f>
        <v>15279.2142470137</v>
      </c>
      <c r="E15" s="14" t="n">
        <f aca="false">E5-E10</f>
        <v>15279.2142470137</v>
      </c>
      <c r="F15" s="14" t="n">
        <f aca="false">F5-F10</f>
        <v>15279.2142470137</v>
      </c>
    </row>
    <row r="16" customFormat="false" ht="15" hidden="false" customHeight="false" outlineLevel="0" collapsed="false">
      <c r="A16" s="13" t="str">
        <f aca="false">Sheet1!$D$17&amp;" (yield loss)"</f>
        <v>Nahunta (yield loss)</v>
      </c>
      <c r="B16" s="14" t="n">
        <f aca="false">B6-B11</f>
        <v>1100.10342578499</v>
      </c>
      <c r="C16" s="14" t="n">
        <f aca="false">C6-C11</f>
        <v>1100.10342578499</v>
      </c>
      <c r="D16" s="14" t="n">
        <f aca="false">D6-D11</f>
        <v>1100.10342578499</v>
      </c>
      <c r="E16" s="14" t="n">
        <f aca="false">E6-E11</f>
        <v>1100.10342578499</v>
      </c>
      <c r="F16" s="14" t="n">
        <f aca="false">F6-F11</f>
        <v>1100.10342578499</v>
      </c>
    </row>
    <row r="17" customFormat="false" ht="15" hidden="false" customHeight="false" outlineLevel="0" collapsed="false">
      <c r="A17" s="13" t="str">
        <f aca="false">Sheet1!$D$18&amp;" (yield loss)"</f>
        <v>Customs (yield loss)</v>
      </c>
      <c r="B17" s="14" t="n">
        <f aca="false">B7-B12</f>
        <v>916.752854820824</v>
      </c>
      <c r="C17" s="14" t="n">
        <f aca="false">C7-C12</f>
        <v>916.752854820824</v>
      </c>
      <c r="D17" s="14" t="n">
        <f aca="false">D7-D12</f>
        <v>916.752854820824</v>
      </c>
      <c r="E17" s="14" t="n">
        <f aca="false">E7-E12</f>
        <v>916.752854820824</v>
      </c>
      <c r="F17" s="14" t="n">
        <f aca="false">F7-F12</f>
        <v>916.752854820824</v>
      </c>
    </row>
    <row r="18" customFormat="false" ht="15" hidden="false" customHeight="false" outlineLevel="0" collapsed="false">
      <c r="A18" s="13" t="str">
        <f aca="false">Sheet1!$D$19&amp;" (yield loss)"</f>
        <v>Parks (yield loss)</v>
      </c>
      <c r="B18" s="14" t="n">
        <f aca="false">B8-B13</f>
        <v>2803.38885857764</v>
      </c>
      <c r="C18" s="14" t="n">
        <f aca="false">C8-C13</f>
        <v>2803.38885857764</v>
      </c>
      <c r="D18" s="14" t="n">
        <f aca="false">D8-D13</f>
        <v>2803.38885857764</v>
      </c>
      <c r="E18" s="14" t="n">
        <f aca="false">E8-E13</f>
        <v>2803.38885857764</v>
      </c>
      <c r="F18" s="14" t="n">
        <f aca="false">F8-F13</f>
        <v>2803.38885857764</v>
      </c>
    </row>
    <row r="19" customFormat="false" ht="15" hidden="false" customHeight="false" outlineLevel="0" collapsed="false">
      <c r="A19" s="13" t="str">
        <f aca="false">"Demand "&amp;Sheet1!$K$10</f>
        <v>Demand 666501</v>
      </c>
      <c r="B19" s="14" t="n">
        <f aca="false">Sheet1!L10</f>
        <v>2970</v>
      </c>
      <c r="C19" s="14" t="n">
        <f aca="false">Sheet1!M10</f>
        <v>3150</v>
      </c>
      <c r="D19" s="14" t="n">
        <f aca="false">Sheet1!N10</f>
        <v>3320</v>
      </c>
      <c r="E19" s="14" t="n">
        <f aca="false">Sheet1!O10</f>
        <v>3420</v>
      </c>
      <c r="F19" s="14" t="n">
        <f aca="false">Sheet1!P10</f>
        <v>3446</v>
      </c>
    </row>
    <row r="20" customFormat="false" ht="15" hidden="false" customHeight="false" outlineLevel="0" collapsed="false">
      <c r="A20" s="13" t="str">
        <f aca="false">"Demand "&amp;Sheet1!$K$11</f>
        <v>Demand 666502</v>
      </c>
      <c r="B20" s="14" t="n">
        <f aca="false">Sheet1!L11</f>
        <v>1800</v>
      </c>
      <c r="C20" s="14" t="n">
        <f aca="false">Sheet1!M11</f>
        <v>1950</v>
      </c>
      <c r="D20" s="14" t="n">
        <f aca="false">Sheet1!N11</f>
        <v>2050</v>
      </c>
      <c r="E20" s="14" t="n">
        <f aca="false">Sheet1!O11</f>
        <v>2075</v>
      </c>
      <c r="F20" s="14" t="n">
        <f aca="false">Sheet1!P11</f>
        <v>2050</v>
      </c>
    </row>
    <row r="21" customFormat="false" ht="15" hidden="false" customHeight="false" outlineLevel="0" collapsed="false">
      <c r="A21" s="13" t="str">
        <f aca="false">"Demand "&amp;Sheet1!$K$12</f>
        <v>Demand 666506</v>
      </c>
      <c r="B21" s="14" t="n">
        <f aca="false">Sheet1!L12</f>
        <v>735</v>
      </c>
      <c r="C21" s="14" t="n">
        <f aca="false">Sheet1!M12</f>
        <v>760</v>
      </c>
      <c r="D21" s="14" t="n">
        <f aca="false">Sheet1!N12</f>
        <v>805</v>
      </c>
      <c r="E21" s="14" t="n">
        <f aca="false">Sheet1!O12</f>
        <v>855</v>
      </c>
      <c r="F21" s="14" t="n">
        <f aca="false">Sheet1!P12</f>
        <v>888</v>
      </c>
    </row>
    <row r="22" customFormat="false" ht="15" hidden="false" customHeight="false" outlineLevel="0" collapsed="false">
      <c r="A22" s="13" t="str">
        <f aca="false">"Demand "&amp;Sheet1!$K$13</f>
        <v>Demand 666541</v>
      </c>
      <c r="B22" s="14" t="n">
        <f aca="false">Sheet1!L13</f>
        <v>1800</v>
      </c>
      <c r="C22" s="14" t="n">
        <f aca="false">Sheet1!M13</f>
        <v>1950</v>
      </c>
      <c r="D22" s="14" t="n">
        <f aca="false">Sheet1!N13</f>
        <v>2050</v>
      </c>
      <c r="E22" s="14" t="n">
        <f aca="false">Sheet1!O13</f>
        <v>2075</v>
      </c>
      <c r="F22" s="14" t="n">
        <f aca="false">Sheet1!P13</f>
        <v>2050</v>
      </c>
    </row>
    <row r="23" customFormat="false" ht="15" hidden="false" customHeight="false" outlineLevel="0" collapsed="false">
      <c r="A23" s="11" t="s">
        <v>36</v>
      </c>
      <c r="B23" s="15" t="n">
        <f aca="false">SUM(B19:B22)</f>
        <v>7305</v>
      </c>
      <c r="C23" s="15" t="n">
        <f aca="false">SUM(C19:C22)</f>
        <v>7810</v>
      </c>
      <c r="D23" s="15" t="n">
        <f aca="false">SUM(D19:D22)</f>
        <v>8225</v>
      </c>
      <c r="E23" s="15" t="n">
        <f aca="false">SUM(E19:E22)</f>
        <v>8425</v>
      </c>
      <c r="F23" s="15" t="n">
        <f aca="false">SUM(F19:F22)</f>
        <v>8434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2026-08-05T17:59:55Z</dcterms:created>
  <dc:creator>Oscar.Penny@intusurg.com</dc:creator>
  <dc:description/>
  <dc:language>en-US</dc:language>
  <cp:lastModifiedBy/>
  <dcterms:modified xsi:type="dcterms:W3CDTF">2026-08-11T15:38:41Z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