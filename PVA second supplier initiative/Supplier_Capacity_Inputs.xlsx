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Viz 1 - Supply vs Demand" sheetId="2" state="visible" r:id="rId4"/>
    <sheet name="Viz 2 - Dashboard" sheetId="3" state="visible" r:id="rId5"/>
    <sheet name="Viz 3 - Capacity Funnel" sheetId="4" state="visible" r:id="rId6"/>
    <sheet name="Chart 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<sst xmlns="http://schemas.openxmlformats.org/spreadsheetml/2006/main" count="96" uniqueCount="74">
  <si>
    <t xml:space="preserve">Part Number</t>
  </si>
  <si>
    <t xml:space="preserve">Description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</si>
  <si>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</si>
  <si>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</si>
  <si>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</si>
  <si>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</si>
  <si>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</si>
  <si>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BARIATRIC FOREGUT COMPLEX</t>
  </si>
  <si>
    <t xml:space="preserve">666037-01</t>
  </si>
  <si>
    <t xml:space="preserve">COLORECTAL</t>
  </si>
  <si>
    <t xml:space="preserve">GYN</t>
  </si>
  <si>
    <t xml:space="preserve">dV TECH</t>
  </si>
  <si>
    <t xml:space="preserve">Spec Yield</t>
  </si>
  <si>
    <t xml:space="preserve">Harvest YIELD</t>
  </si>
  <si>
    <t xml:space="preserve">Graph this in blocks</t>
  </si>
  <si>
    <t xml:space="preserve">Graph each of these demands per block/qrtr</t>
  </si>
  <si>
    <t xml:space="preserve">Weekly</t>
  </si>
  <si>
    <t xml:space="preserve">QTR</t>
  </si>
  <si>
    <t xml:space="preserve">Spec</t>
  </si>
  <si>
    <t xml:space="preserve">Net:</t>
  </si>
  <si>
    <t xml:space="preserve">harvest</t>
  </si>
  <si>
    <t xml:space="preserve">Net2</t>
  </si>
  <si>
    <t xml:space="preserve">Martins</t>
  </si>
  <si>
    <t xml:space="preserve">Nahunta</t>
  </si>
  <si>
    <t xml:space="preserve">Customs</t>
  </si>
  <si>
    <t xml:space="preserve">Parks</t>
  </si>
  <si>
    <t xml:space="preserve">w.avrg</t>
  </si>
  <si>
    <t xml:space="preserve">Net1</t>
  </si>
  <si>
    <t xml:space="preserve">Qtr</t>
  </si>
  <si>
    <t xml:space="preserve">harvst</t>
  </si>
  <si>
    <t xml:space="preserve">net2</t>
  </si>
  <si>
    <t xml:space="preserve">Pig tissue supply vs demand, Q4'26-Q4'27</t>
  </si>
  <si>
    <t xml:space="preserve">Coverage at peak demand</t>
  </si>
  <si>
    <t xml:space="preserve">Net harvested capacity</t>
  </si>
  <si>
    <t xml:space="preserve">Peak quarterly demand</t>
  </si>
  <si>
    <t xml:space="preserve">Martins share of net harvested</t>
  </si>
  <si>
    <t xml:space="preserve">pigs per quarter, flat</t>
  </si>
  <si>
    <t xml:space="preserve">Source &amp; assumptions</t>
  </si>
  <si>
    <t xml:space="preserve">Supply assumes one constant weekly kill rate x 13 weeks per quarter, held flat Q4'26-Q4'27; no seasonality or downtime modeled.</t>
  </si>
  <si>
    <t xml:space="preserve">Demand = total tissue units across parts 666501, 666502, 666506, 666541.</t>
  </si>
  <si>
    <t xml:space="preserve">House</t>
  </si>
  <si>
    <t xml:space="preserve">Gross kill</t>
  </si>
  <si>
    <t xml:space="preserve">Net at spec</t>
  </si>
  <si>
    <t xml:space="preserve">Net harvested</t>
  </si>
  <si>
    <t xml:space="preserve">Total</t>
  </si>
  <si>
    <t xml:space="preserve">Pig tissue supply plan - capacity vs demand</t>
  </si>
  <si>
    <t xml:space="preserve">All figures in pigs per quarter. Supply is flat across quarters (single weekly kill rate x 13). Q4'26-Q4'27.</t>
  </si>
  <si>
    <t xml:space="preserve">Gross kill capacity</t>
  </si>
  <si>
    <t xml:space="preserve">Net at spec yield</t>
  </si>
  <si>
    <t xml:space="preserve">Coverage at peak</t>
  </si>
  <si>
    <t xml:space="preserve">pigs/qtr, 4 houses</t>
  </si>
  <si>
    <t xml:space="preserve">Supply per quarter by slaughterhouse (flat across quarters)</t>
  </si>
  <si>
    <t xml:space="preserve">% of net</t>
  </si>
  <si>
    <t xml:space="preserve">Tissue demand and coverage by quarter</t>
  </si>
  <si>
    <t xml:space="preserve">Demand (tissue units)</t>
  </si>
  <si>
    <t xml:space="preserve">Coverage (net / demand)</t>
  </si>
  <si>
    <t xml:space="preserve">Tissue supply capacity funnel, Q4'26-Q4'27</t>
  </si>
  <si>
    <t xml:space="preserve">Net harvested capacity / quarter</t>
  </si>
  <si>
    <t xml:space="preserve">Gross-to-harvest yield</t>
  </si>
  <si>
    <t xml:space="preserve">flat: weekly kill rate x 13</t>
  </si>
  <si>
    <t xml:space="preserve">Supply by slaughterhouse (pigs per quarter)</t>
  </si>
  <si>
    <t xml:space="preserve">Demand by tissue part (pigs per quarter)</t>
  </si>
  <si>
    <t xml:space="preserve">Part</t>
  </si>
  <si>
    <t xml:space="preserve">Supply is flat: single weekly kill rate x 13 weeks per quarter. 1 tissue unit = 1 pig equivalent.</t>
  </si>
  <si>
    <t xml:space="preserve">Chart Data — feeds the three Viz sheets</t>
  </si>
  <si>
    <t xml:space="preserve">Every cell links to Sheet1: gross = weekly kill x 13 wks/qtr (Sheet1!E16:F19); net @ spec yield = Sheet1!H16:H19; net harvested = Sheet1!J16:J19 (spec x harvest yields); demand = tissue units per quarter (Sheet1!L10:P13), counted at 1 tissue = 1 pig equivalent (per planning assumption). Capacity is flat across quarters because Sheet1 holds a single weekly kill rate.</t>
  </si>
  <si>
    <t xml:space="preserve">Funnel view (stages as categories)</t>
  </si>
  <si>
    <t xml:space="preserve">Series</t>
  </si>
  <si>
    <t xml:space="preserve">Total capacity @ spec yield (pigs)</t>
  </si>
  <si>
    <t xml:space="preserve">Tissue demand</t>
  </si>
  <si>
    <t xml:space="preserve">Total net harvested (pigs)</t>
  </si>
  <si>
    <t xml:space="preserve">Total gross kill (pigs)</t>
  </si>
  <si>
    <t xml:space="preserve">Gross kill above spec yield (pigs)</t>
  </si>
  <si>
    <t xml:space="preserve">Total tissue demand (pigs, 1 tissue = 1 pig)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</si>
</sst>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%"/>
    <numFmt numFmtId="167" formatCode="0.00%"/>
    <numFmt numFmtId="168" formatCode="#,##0"/>
    <numFmt numFmtId="169" formatCode="0.0\x"/>
    <numFmt numFmtId="170" formatCode="#,##0.0,\K"/>
    <numFmt numFmtId="171" formatCode="[=0]0;#,##0,\K"/>
  </numFmts>
  <fonts count="3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b val="true"/>
      <sz val="16"/>
      <color rgb="FF000000"/>
      <name val="Aptos Narrow"/>
      <family val="0"/>
      <charset val="1"/>
    </font>
    <font>
      <sz val="10.5"/>
      <color rgb="FF595959"/>
      <name val="Aptos Narrow"/>
      <family val="0"/>
      <charset val="1"/>
    </font>
    <font>
      <sz val="10"/>
      <color rgb="FF7F7F7F"/>
      <name val="Aptos Narrow"/>
      <family val="0"/>
      <charset val="1"/>
    </font>
    <font>
      <b val="true"/>
      <sz val="28"/>
      <color rgb="FF000000"/>
      <name val="Aptos Narrow"/>
      <family val="0"/>
      <charset val="1"/>
    </font>
    <font>
      <sz val="9"/>
      <color rgb="FF7F7F7F"/>
      <name val="Aptos Narrow"/>
      <family val="0"/>
      <charset val="1"/>
    </font>
    <font>
      <b val="true"/>
      <sz val="9"/>
      <color rgb="FF595959"/>
      <name val="Aptos Narrow"/>
      <family val="0"/>
      <charset val="1"/>
    </font>
    <font>
      <sz val="8.5"/>
      <color rgb="FF7F7F7F"/>
      <name val="Aptos Narrow"/>
      <family val="0"/>
      <charset val="1"/>
    </font>
    <font>
      <sz val="9"/>
      <color rgb="FF000000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2"/>
      <color rgb="FF0B0B0B"/>
      <name val="Aptos Narrow"/>
      <family val="2"/>
    </font>
    <font>
      <sz val="9"/>
      <color rgb="FF7F7F7F"/>
      <name val="Aptos Narrow"/>
      <family val="2"/>
    </font>
    <font>
      <b val="true"/>
      <sz val="9"/>
      <color rgb="FF0B0B0B"/>
      <name val="Aptos Narrow"/>
      <family val="2"/>
    </font>
    <font>
      <sz val="9"/>
      <color rgb="FF595959"/>
      <name val="Aptos Narrow"/>
      <family val="2"/>
    </font>
    <font>
      <b val="true"/>
      <sz val="9"/>
      <color rgb="FFFFFFFF"/>
      <name val="Aptos Narrow"/>
      <family val="2"/>
    </font>
    <font>
      <sz val="10"/>
      <color rgb="FF000000"/>
      <name val="Aptos Narrow"/>
      <family val="2"/>
    </font>
    <font>
      <b val="true"/>
      <sz val="20"/>
      <color rgb="FF000000"/>
      <name val="Aptos Narrow"/>
      <family val="0"/>
      <charset val="1"/>
    </font>
    <font>
      <b val="true"/>
      <sz val="30"/>
      <color rgb="FF000000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b val="true"/>
      <sz val="14"/>
      <color rgb="FF0B0B0B"/>
      <name val="Aptos Narrow"/>
      <family val="2"/>
    </font>
    <font>
      <sz val="9.5"/>
      <color rgb="FF7F7F7F"/>
      <name val="Aptos Narrow"/>
      <family val="2"/>
    </font>
    <font>
      <b val="true"/>
      <sz val="10"/>
      <color rgb="FFFFFFFF"/>
      <name val="Aptos Narrow"/>
      <family val="2"/>
    </font>
    <font>
      <b val="true"/>
      <sz val="12.5"/>
      <color rgb="FF0B0B0B"/>
      <name val="Aptos Narrow"/>
      <family val="2"/>
    </font>
    <font>
      <b val="true"/>
      <sz val="9.5"/>
      <color rgb="FFFFFFFF"/>
      <name val="Aptos Narrow"/>
      <family val="2"/>
    </font>
    <font>
      <sz val="8"/>
      <color rgb="FF999999"/>
      <name val="Aptos Narrow"/>
      <family val="0"/>
      <charset val="1"/>
    </font>
    <font>
      <b val="true"/>
      <sz val="9"/>
      <color rgb="FF595959"/>
      <name val="Aptos Narrow"/>
      <family val="2"/>
    </font>
    <font>
      <sz val="9"/>
      <color rgb="FF404040"/>
      <name val="Aptos Narrow"/>
      <family val="2"/>
    </font>
    <font>
      <b val="true"/>
      <sz val="13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10"/>
      <color rgb="FF595959"/>
      <name val="Aptos Narrow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7F7F7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ck">
        <color rgb="FFD9D9D9"/>
      </top>
      <bottom/>
      <diagonal/>
    </border>
    <border diagonalUp="false" diagonalDown="false">
      <left/>
      <right/>
      <top style="thick">
        <color rgb="FFB3B3B3"/>
      </top>
      <bottom/>
      <diagonal/>
    </border>
    <border diagonalUp="false" diagonalDown="false">
      <left/>
      <right/>
      <top style="thick">
        <color rgb="FF595959"/>
      </top>
      <bottom/>
      <diagonal/>
    </border>
    <border diagonalUp="false" diagonalDown="false">
      <left/>
      <right/>
      <top style="thick">
        <color rgb="FF0B0B0B"/>
      </top>
      <bottom/>
      <diagonal/>
    </border>
    <border diagonalUp="false" diagonalDown="false">
      <left style="thick">
        <color rgb="FF2A78D6"/>
      </left>
      <right/>
      <top/>
      <bottom/>
      <diagonal/>
    </border>
    <border diagonalUp="false" diagonalDown="false">
      <left style="thick">
        <color rgb="FFEB6834"/>
      </left>
      <right/>
      <top/>
      <bottom/>
      <diagonal/>
    </border>
    <border diagonalUp="false" diagonalDown="false">
      <left style="thick">
        <color rgb="FF1BAF7A"/>
      </left>
      <right/>
      <top/>
      <bottom/>
      <diagonal/>
    </border>
    <border diagonalUp="false" diagonalDown="false">
      <left style="thick">
        <color rgb="FFEDA100"/>
      </left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300"/>
      <rgbColor rgb="FF000080"/>
      <rgbColor rgb="FF7F7F7F"/>
      <rgbColor rgb="FF800080"/>
      <rgbColor rgb="FF008080"/>
      <rgbColor rgb="FFBFBFBF"/>
      <rgbColor rgb="FF808080"/>
      <rgbColor rgb="FF8B8B8B"/>
      <rgbColor rgb="FFE34948"/>
      <rgbColor rgb="FFF7F7F7"/>
      <rgbColor rgb="FFE7E7E7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595959"/>
      <rgbColor rgb="FF999999"/>
      <rgbColor rgb="FF003366"/>
      <rgbColor rgb="FF1BAF7A"/>
      <rgbColor rgb="FF0B0B0B"/>
      <rgbColor rgb="FF333300"/>
      <rgbColor rgb="FF993300"/>
      <rgbColor rgb="FF993366"/>
      <rgbColor rgb="FF4A3AA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 i="0">
                <a:solidFill>
                  <a:srgbClr val="0B0B0B"/>
                </a:solidFill>
                <a:latin typeface="Aptos Narrow"/>
              </a:defRPr>
            </a:pPr>
            <a:r>
              <a:rPr sz="1200" b="1" i="0">
                <a:solidFill>
                  <a:srgbClr val="0B0B0B"/>
                </a:solidFill>
                <a:latin typeface="Aptos Narrow"/>
              </a:rPr>
              <a:t>Net supply at spec yield vs demand, Q4'26-Q4'27</a:t>
            </a:r>
          </a:p>
          <a:p>
            <a:pPr>
              <a:defRPr sz="900" b="0" i="0">
                <a:solidFill>
                  <a:srgbClr val="7F7F7F"/>
                </a:solidFill>
                <a:latin typeface="Aptos Narrow"/>
              </a:defRPr>
            </a:pPr>
            <a:r>
              <a:rPr sz="900" b="0" i="0">
                <a:solidFill>
                  <a:srgbClr val="7F7F7F"/>
                </a:solidFill>
                <a:latin typeface="Aptos Narrow"/>
              </a:rPr>
              <a:t>Pigs per quarter. Spec-yield supply covers peak demand ~3.8x; gray band = gross kill (42.0K).</a:t>
            </a:r>
          </a:p>
        </rich>
      </tx>
      <layout>
        <manualLayout>
          <xMode val="edge"/>
          <yMode val="edge"/>
          <wMode val="factor"/>
          <hMode val="factor"/>
          <x val="0.005"/>
          <y val="0.02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55"/>
          <y val="0.17"/>
          <w val="0.93"/>
          <h val="0.64"/>
        </manualLayout>
      </layout>
      <barChart>
        <barDir val="col"/>
        <grouping val="stacked"/>
        <ser>
          <idx val="0"/>
          <order val="0"/>
          <tx>
            <v>Gross kill (context)</v>
          </tx>
          <spPr>
            <a:solidFill>
              <a:srgbClr val="D9D9D9"/>
            </a:solidFill>
            <a:ln>
              <a:noFill/>
              <a:prstDash val="solid"/>
            </a:ln>
          </spPr>
          <cat>
            <numRef>
              <f>'Chart Data'!$B$4:$F$4</f>
            </numRef>
          </cat>
          <val>
            <numRef>
              <f>'Chart Data'!$B$15:$F$15</f>
            </numRef>
          </val>
        </ser>
        <gapWidth val="50"/>
        <overlap val="100"/>
        <axId val="10"/>
        <axId val="100"/>
      </barChart>
      <barChart>
        <barDir val="col"/>
        <grouping val="stacked"/>
        <ser>
          <idx val="1"/>
          <order val="1"/>
          <tx>
            <strRef>
              <f>Sheet1!$D$16</f>
            </strRef>
          </tx>
          <spPr>
            <a:solidFill>
              <a:srgbClr val="2A78D6"/>
            </a:solidFill>
            <a:ln w="15875">
              <a:solidFill>
                <a:srgbClr val="FFFFFF"/>
              </a:solidFill>
              <a:prstDash val="solid"/>
            </a:ln>
          </spPr>
          <dLbls>
            <dLbl>
              <idx val="0"/>
              <numFmt formatCode="#,##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"/>
            <txPr>
              <a:bodyPr/>
              <a:p>
                <a:pPr>
                  <a:defRPr sz="900" b="1" i="0">
                    <a:solidFill>
                      <a:srgbClr val="FFFFFF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FFFFFF"/>
                  </a:solidFill>
                  <a:latin typeface="Aptos Narrow"/>
                </a:endParaRPr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'Chart Data'!$B$5:$F$5</f>
            </numRef>
          </val>
        </ser>
        <ser>
          <idx val="2"/>
          <order val="2"/>
          <tx>
            <strRef>
              <f>Sheet1!$D$17</f>
            </strRef>
          </tx>
          <spPr>
            <a:solidFill>
              <a:srgbClr val="EB6834"/>
            </a:solidFill>
            <a:ln w="15875">
              <a:solidFill>
                <a:srgbClr val="FFFFFF"/>
              </a:solidFill>
              <a:prstDash val="solid"/>
            </a:ln>
          </spPr>
          <val>
            <numRef>
              <f>'Chart Data'!$B$6:$F$6</f>
            </numRef>
          </val>
        </ser>
        <ser>
          <idx val="3"/>
          <order val="3"/>
          <tx>
            <strRef>
              <f>Sheet1!$D$18</f>
            </strRef>
          </tx>
          <spPr>
            <a:solidFill>
              <a:srgbClr val="1BAF7A"/>
            </a:solidFill>
            <a:ln w="15875">
              <a:solidFill>
                <a:srgbClr val="FFFFFF"/>
              </a:solidFill>
              <a:prstDash val="solid"/>
            </a:ln>
          </spPr>
          <val>
            <numRef>
              <f>'Chart Data'!$B$7:$F$7</f>
            </numRef>
          </val>
        </ser>
        <ser>
          <idx val="4"/>
          <order val="4"/>
          <tx>
            <strRef>
              <f>Sheet1!$D$19</f>
            </strRef>
          </tx>
          <spPr>
            <a:solidFill>
              <a:srgbClr val="EDA100"/>
            </a:solidFill>
            <a:ln w="15875">
              <a:solidFill>
                <a:srgbClr val="FFFFFF"/>
              </a:solidFill>
              <a:prstDash val="solid"/>
            </a:ln>
          </spPr>
          <dLbls>
            <dLbl>
              <idx val="0"/>
              <numFmt formatCode="#,##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"/>
            <txPr>
              <a:bodyPr/>
              <a:p>
                <a:pPr>
                  <a:defRPr sz="900" b="1" i="0">
                    <a:solidFill>
                      <a:srgbClr val="0B0B0B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0B0B0B"/>
                  </a:solidFill>
                  <a:latin typeface="Aptos Narrow"/>
                </a:endParaRPr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'Chart Data'!$B$8:$F$8</f>
            </numRef>
          </val>
        </ser>
        <gapWidth val="200"/>
        <overlap val="100"/>
        <axId val="10"/>
        <axId val="200"/>
      </barChart>
      <lineChart>
        <grouping val="standard"/>
        <ser>
          <idx val="5"/>
          <order val="5"/>
          <tx>
            <v>Demand</v>
          </tx>
          <spPr>
            <a:ln w="19050" cap="rnd">
              <a:solidFill>
                <a:srgbClr val="0B0B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4"/>
              <numFmt formatCode="#,##0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"/>
            <txPr>
              <a:bodyPr/>
              <a:p>
                <a:pPr>
                  <a:defRPr sz="900" b="1" i="0">
                    <a:solidFill>
                      <a:srgbClr val="FFFFFF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FFFFFF"/>
                  </a:solidFill>
                  <a:latin typeface="Aptos Narrow"/>
                </a:endParaRPr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'Chart Data'!$B$21:$F$21</f>
            </numRef>
          </val>
          <smooth val="0"/>
        </ser>
        <ser>
          <idx val="6"/>
          <order val="6"/>
          <tx>
            <v>Total (label)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txPr>
              <a:bodyPr/>
              <a:p>
                <a:pPr>
                  <a:defRPr sz="900" b="1" i="0">
                    <a:solidFill>
                      <a:srgbClr val="0B0B0B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0B0B0B"/>
                  </a:solidFill>
                  <a:latin typeface="Aptos Narrow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'Chart Data'!$B$9:$F$9</f>
            </numRef>
          </val>
          <smooth val="0"/>
        </ser>
        <axId val="10"/>
        <axId val="200"/>
      </lineChart>
      <lineChart>
        <grouping val="standard"/>
        <ser>
          <idx val="7"/>
          <order val="7"/>
          <tx>
            <v>Total (label)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txPr>
              <a:bodyPr/>
              <a:p>
                <a:pPr>
                  <a:defRPr sz="900" b="1" i="0">
                    <a:solidFill>
                      <a:srgbClr val="0B0B0B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0B0B0B"/>
                  </a:solidFill>
                  <a:latin typeface="Aptos Narrow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'Chart Data'!$B$15:$F$15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tickLblPos val="nextTo"/>
        <spPr>
          <a:ln w="9525">
            <a:solidFill>
              <a:srgbClr val="BFBFBF"/>
            </a:solidFill>
            <a:prstDash val="solid"/>
          </a:ln>
        </spPr>
        <txPr>
          <a:bodyPr/>
          <a:p>
            <a:pPr>
              <a:defRPr sz="900" b="0" i="0">
                <a:solidFill>
                  <a:srgbClr val="595959"/>
                </a:solidFill>
                <a:latin typeface="Aptos Narrow"/>
              </a:defRPr>
            </a:pPr>
            <a:r>
              <a:t/>
            </a:r>
            <a:endParaRPr sz="900" b="0" i="0">
              <a:solidFill>
                <a:srgbClr val="595959"/>
              </a:solidFill>
              <a:latin typeface="Aptos Narrow"/>
            </a:endParaRPr>
          </a:p>
        </txPr>
        <crossAx val="100"/>
        <lblOffset val="100"/>
      </catAx>
      <valAx>
        <axId val="100"/>
        <scaling>
          <orientation val="minMax"/>
          <max val="45000"/>
          <min val="0"/>
        </scaling>
        <delete val="0"/>
        <axPos val="l"/>
        <majorGridlines>
          <spPr>
            <a:ln w="9525">
              <a:solidFill>
                <a:srgbClr val="E7E7E7"/>
              </a:solidFill>
              <a:prstDash val="solid"/>
            </a:ln>
          </spPr>
        </majorGridlines>
        <numFmt formatCode="[=0]0;#,##0,&quot;K&quot;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p>
            <a:pPr>
              <a:defRPr sz="900" b="0" i="0">
                <a:solidFill>
                  <a:srgbClr val="595959"/>
                </a:solidFill>
                <a:latin typeface="Aptos Narrow"/>
              </a:defRPr>
            </a:pPr>
            <a:r>
              <a:t/>
            </a:r>
            <a:endParaRPr sz="900" b="0" i="0">
              <a:solidFill>
                <a:srgbClr val="595959"/>
              </a:solidFill>
              <a:latin typeface="Aptos Narrow"/>
            </a:endParaRPr>
          </a:p>
        </txPr>
        <crossAx val="10"/>
        <majorUnit val="10000"/>
      </valAx>
      <valAx>
        <axId val="200"/>
        <scaling>
          <orientation val="minMax"/>
          <max val="45000"/>
          <min val="0"/>
        </scaling>
        <delete val="1"/>
        <axPos val="l"/>
        <numFmt formatCode="[=0]0;#,##0,&quot;K&quot;" sourceLinked="0"/>
        <majorTickMark val="none"/>
        <minorTickMark val="none"/>
        <crossAx val="10"/>
      </valAx>
    </plotArea>
    <legend>
      <legendPos val="b"/>
      <legendEntry>
        <idx val="0"/>
        <delete val="1"/>
      </legendEntry>
      <legendEntry>
        <idx val="6"/>
        <delete val="1"/>
      </legendEntry>
      <legendEntry>
        <idx val="7"/>
        <delete val="1"/>
      </legendEntry>
      <layout>
        <manualLayout>
          <xMode val="edge"/>
          <yMode val="edge"/>
          <wMode val="factor"/>
          <hMode val="factor"/>
          <x val="0.1"/>
          <y val="0.93"/>
          <w val="0.8"/>
          <h val="0.06"/>
        </manualLayout>
      </layout>
      <overlay val="0"/>
      <txPr>
        <a:bodyPr/>
        <a:p>
          <a:pPr>
            <a:defRPr sz="900" b="0" i="0">
              <a:solidFill>
                <a:srgbClr val="595959"/>
              </a:solidFill>
              <a:latin typeface="Aptos Narrow"/>
            </a:defRPr>
          </a:pPr>
          <a:r>
            <a:t/>
          </a:r>
          <a:endParaRPr sz="900" b="0" i="0">
            <a:solidFill>
              <a:srgbClr val="595959"/>
            </a:solidFill>
            <a:latin typeface="Aptos Narrow"/>
          </a:endParaRPr>
        </a:p>
      </txPr>
    </legend>
    <plotVisOnly val="1"/>
    <dispBlanksAs val="gap"/>
  </chart>
  <spPr xmlns:a="http://schemas.openxmlformats.org/drawingml/2006/main">
    <a:ln>
      <a:noFill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 i="0">
                <a:solidFill>
                  <a:srgbClr val="0B0B0B"/>
                </a:solidFill>
                <a:latin typeface="Aptos Narrow"/>
              </a:defRPr>
            </a:pPr>
            <a:r>
              <a:rPr sz="1200" b="1" i="0">
                <a:solidFill>
                  <a:srgbClr val="0B0B0B"/>
                </a:solidFill>
                <a:latin typeface="Aptos Narrow"/>
              </a:rPr>
              <a:t>Net harvested supply vs demand, Q4'26-Q4'27</a:t>
            </a:r>
          </a:p>
          <a:p>
            <a:pPr>
              <a:defRPr sz="900" b="0" i="0">
                <a:solidFill>
                  <a:srgbClr val="7F7F7F"/>
                </a:solidFill>
                <a:latin typeface="Aptos Narrow"/>
              </a:defRPr>
            </a:pPr>
            <a:r>
              <a:rPr sz="900" b="0" i="0">
                <a:solidFill>
                  <a:srgbClr val="7F7F7F"/>
                </a:solidFill>
                <a:latin typeface="Aptos Narrow"/>
              </a:rPr>
              <a:t>Pigs per quarter. Covers peak demand 2.6x; gray bands = gross kill (42.0K, light), net at spec (31.7K, mid).</a:t>
            </a:r>
          </a:p>
        </rich>
      </tx>
      <layout>
        <manualLayout>
          <xMode val="edge"/>
          <yMode val="edge"/>
          <wMode val="factor"/>
          <hMode val="factor"/>
          <x val="0.005"/>
          <y val="0.02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55"/>
          <y val="0.17"/>
          <w val="0.93"/>
          <h val="0.64"/>
        </manualLayout>
      </layout>
      <barChart>
        <barDir val="col"/>
        <grouping val="stacked"/>
        <ser>
          <idx val="0"/>
          <order val="0"/>
          <tx>
            <v>Net at spec (context)</v>
          </tx>
          <spPr>
            <a:solidFill>
              <a:srgbClr val="B3B3B3"/>
            </a:solidFill>
            <a:ln>
              <a:noFill/>
              <a:prstDash val="solid"/>
            </a:ln>
          </spPr>
          <cat>
            <numRef>
              <f>'Chart Data'!$B$4:$F$4</f>
            </numRef>
          </cat>
          <val>
            <numRef>
              <f>'Chart Data'!$B$9:$F$9</f>
            </numRef>
          </val>
        </ser>
        <ser>
          <idx val="1"/>
          <order val="1"/>
          <tx>
            <v>Spec-to-gross remainder (context)</v>
          </tx>
          <spPr>
            <a:solidFill>
              <a:srgbClr val="D9D9D9"/>
            </a:solidFill>
            <a:ln>
              <a:noFill/>
              <a:prstDash val="solid"/>
            </a:ln>
          </spPr>
          <cat>
            <numRef>
              <f>'Chart Data'!$B$4:$F$4</f>
            </numRef>
          </cat>
          <val>
            <numRef>
              <f>'Chart Data'!$B$16:$F$16</f>
            </numRef>
          </val>
        </ser>
        <gapWidth val="50"/>
        <overlap val="100"/>
        <axId val="10"/>
        <axId val="100"/>
      </barChart>
      <barChart>
        <barDir val="col"/>
        <grouping val="stacked"/>
        <ser>
          <idx val="2"/>
          <order val="2"/>
          <tx>
            <strRef>
              <f>Sheet1!$D$16</f>
            </strRef>
          </tx>
          <spPr>
            <a:solidFill>
              <a:srgbClr val="2A78D6"/>
            </a:solidFill>
            <a:ln w="15875">
              <a:solidFill>
                <a:srgbClr val="FFFFFF"/>
              </a:solidFill>
              <a:prstDash val="solid"/>
            </a:ln>
          </spPr>
          <dLbls>
            <dLbl>
              <idx val="0"/>
              <numFmt formatCode="#,##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"/>
            <txPr>
              <a:bodyPr/>
              <a:p>
                <a:pPr>
                  <a:defRPr sz="900" b="1" i="0">
                    <a:solidFill>
                      <a:srgbClr val="FFFFFF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FFFFFF"/>
                  </a:solidFill>
                  <a:latin typeface="Aptos Narrow"/>
                </a:endParaRPr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'Chart Data'!$B$10:$F$10</f>
            </numRef>
          </val>
        </ser>
        <ser>
          <idx val="3"/>
          <order val="3"/>
          <tx>
            <strRef>
              <f>Sheet1!$D$17</f>
            </strRef>
          </tx>
          <spPr>
            <a:solidFill>
              <a:srgbClr val="EB6834"/>
            </a:solidFill>
            <a:ln w="15875">
              <a:solidFill>
                <a:srgbClr val="FFFFFF"/>
              </a:solidFill>
              <a:prstDash val="solid"/>
            </a:ln>
          </spPr>
          <val>
            <numRef>
              <f>'Chart Data'!$B$11:$F$11</f>
            </numRef>
          </val>
        </ser>
        <ser>
          <idx val="4"/>
          <order val="4"/>
          <tx>
            <strRef>
              <f>Sheet1!$D$18</f>
            </strRef>
          </tx>
          <spPr>
            <a:solidFill>
              <a:srgbClr val="1BAF7A"/>
            </a:solidFill>
            <a:ln w="15875">
              <a:solidFill>
                <a:srgbClr val="FFFFFF"/>
              </a:solidFill>
              <a:prstDash val="solid"/>
            </a:ln>
          </spPr>
          <val>
            <numRef>
              <f>'Chart Data'!$B$12:$F$12</f>
            </numRef>
          </val>
        </ser>
        <ser>
          <idx val="5"/>
          <order val="5"/>
          <tx>
            <strRef>
              <f>Sheet1!$D$19</f>
            </strRef>
          </tx>
          <spPr>
            <a:solidFill>
              <a:srgbClr val="EDA100"/>
            </a:solidFill>
            <a:ln w="15875">
              <a:solidFill>
                <a:srgbClr val="FFFFFF"/>
              </a:solidFill>
              <a:prstDash val="solid"/>
            </a:ln>
          </spPr>
          <val>
            <numRef>
              <f>'Chart Data'!$B$13:$F$13</f>
            </numRef>
          </val>
        </ser>
        <gapWidth val="200"/>
        <overlap val="100"/>
        <axId val="10"/>
        <axId val="200"/>
      </barChart>
      <lineChart>
        <grouping val="standard"/>
        <ser>
          <idx val="6"/>
          <order val="6"/>
          <tx>
            <v>Demand</v>
          </tx>
          <spPr>
            <a:ln w="19050" cap="rnd">
              <a:solidFill>
                <a:srgbClr val="0B0B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4"/>
              <numFmt formatCode="#,##0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"/>
            <txPr>
              <a:bodyPr/>
              <a:p>
                <a:pPr>
                  <a:defRPr sz="900" b="1" i="0">
                    <a:solidFill>
                      <a:srgbClr val="FFFFFF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FFFFFF"/>
                  </a:solidFill>
                  <a:latin typeface="Aptos Narrow"/>
                </a:endParaRPr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'Chart Data'!$B$21:$F$21</f>
            </numRef>
          </val>
          <smooth val="0"/>
        </ser>
        <ser>
          <idx val="7"/>
          <order val="7"/>
          <tx>
            <v>Total (label)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txPr>
              <a:bodyPr/>
              <a:p>
                <a:pPr>
                  <a:defRPr sz="900" b="1" i="0">
                    <a:solidFill>
                      <a:srgbClr val="0B0B0B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0B0B0B"/>
                  </a:solidFill>
                  <a:latin typeface="Aptos Narrow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'Chart Data'!$B$14:$F$14</f>
            </numRef>
          </val>
          <smooth val="0"/>
        </ser>
        <axId val="10"/>
        <axId val="200"/>
      </lineChart>
      <lineChart>
        <grouping val="standard"/>
        <ser>
          <idx val="8"/>
          <order val="8"/>
          <tx>
            <v>Total (label)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txPr>
              <a:bodyPr/>
              <a:p>
                <a:pPr>
                  <a:defRPr sz="900" b="1" i="0">
                    <a:solidFill>
                      <a:srgbClr val="0B0B0B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0B0B0B"/>
                  </a:solidFill>
                  <a:latin typeface="Aptos Narrow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'Chart Data'!$B$15:$F$15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tickLblPos val="nextTo"/>
        <spPr>
          <a:ln w="9525">
            <a:solidFill>
              <a:srgbClr val="BFBFBF"/>
            </a:solidFill>
            <a:prstDash val="solid"/>
          </a:ln>
        </spPr>
        <txPr>
          <a:bodyPr/>
          <a:p>
            <a:pPr>
              <a:defRPr sz="900" b="0" i="0">
                <a:solidFill>
                  <a:srgbClr val="595959"/>
                </a:solidFill>
                <a:latin typeface="Aptos Narrow"/>
              </a:defRPr>
            </a:pPr>
            <a:r>
              <a:t/>
            </a:r>
            <a:endParaRPr sz="900" b="0" i="0">
              <a:solidFill>
                <a:srgbClr val="595959"/>
              </a:solidFill>
              <a:latin typeface="Aptos Narrow"/>
            </a:endParaRPr>
          </a:p>
        </txPr>
        <crossAx val="100"/>
        <lblOffset val="100"/>
      </catAx>
      <valAx>
        <axId val="100"/>
        <scaling>
          <orientation val="minMax"/>
          <max val="45000"/>
          <min val="0"/>
        </scaling>
        <delete val="0"/>
        <axPos val="l"/>
        <majorGridlines>
          <spPr>
            <a:ln w="9525">
              <a:solidFill>
                <a:srgbClr val="E7E7E7"/>
              </a:solidFill>
              <a:prstDash val="solid"/>
            </a:ln>
          </spPr>
        </majorGridlines>
        <numFmt formatCode="[=0]0;#,##0,&quot;K&quot;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p>
            <a:pPr>
              <a:defRPr sz="900" b="0" i="0">
                <a:solidFill>
                  <a:srgbClr val="595959"/>
                </a:solidFill>
                <a:latin typeface="Aptos Narrow"/>
              </a:defRPr>
            </a:pPr>
            <a:r>
              <a:t/>
            </a:r>
            <a:endParaRPr sz="900" b="0" i="0">
              <a:solidFill>
                <a:srgbClr val="595959"/>
              </a:solidFill>
              <a:latin typeface="Aptos Narrow"/>
            </a:endParaRPr>
          </a:p>
        </txPr>
        <crossAx val="10"/>
        <majorUnit val="10000"/>
      </valAx>
      <valAx>
        <axId val="200"/>
        <scaling>
          <orientation val="minMax"/>
          <max val="45000"/>
          <min val="0"/>
        </scaling>
        <delete val="1"/>
        <axPos val="l"/>
        <numFmt formatCode="[=0]0;#,##0,&quot;K&quot;" sourceLinked="0"/>
        <majorTickMark val="none"/>
        <minorTickMark val="none"/>
        <crossAx val="10"/>
      </valAx>
    </plotArea>
    <legend>
      <legendPos val="b"/>
      <legendEntry>
        <idx val="0"/>
        <delete val="1"/>
      </legendEntry>
      <legendEntry>
        <idx val="1"/>
        <delete val="1"/>
      </legendEntry>
      <legendEntry>
        <idx val="7"/>
        <delete val="1"/>
      </legendEntry>
      <legendEntry>
        <idx val="8"/>
        <delete val="1"/>
      </legendEntry>
      <layout>
        <manualLayout>
          <xMode val="edge"/>
          <yMode val="edge"/>
          <wMode val="factor"/>
          <hMode val="factor"/>
          <x val="0.1"/>
          <y val="0.93"/>
          <w val="0.8"/>
          <h val="0.06"/>
        </manualLayout>
      </layout>
      <overlay val="0"/>
      <txPr>
        <a:bodyPr/>
        <a:p>
          <a:pPr>
            <a:defRPr sz="900" b="0" i="0">
              <a:solidFill>
                <a:srgbClr val="595959"/>
              </a:solidFill>
              <a:latin typeface="Aptos Narrow"/>
            </a:defRPr>
          </a:pPr>
          <a:r>
            <a:t/>
          </a:r>
          <a:endParaRPr sz="900" b="0" i="0">
            <a:solidFill>
              <a:srgbClr val="595959"/>
            </a:solidFill>
            <a:latin typeface="Aptos Narrow"/>
          </a:endParaRPr>
        </a:p>
      </txPr>
    </legend>
    <plotVisOnly val="1"/>
    <dispBlanksAs val="gap"/>
  </chart>
  <spPr xmlns:a="http://schemas.openxmlformats.org/drawingml/2006/main">
    <a:ln>
      <a:noFill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400" b="1" i="0">
                <a:solidFill>
                  <a:srgbClr val="0B0B0B"/>
                </a:solidFill>
                <a:latin typeface="Aptos Narrow"/>
              </a:defRPr>
            </a:pPr>
            <a:r>
              <a:rPr sz="1400" b="1" i="0">
                <a:solidFill>
                  <a:srgbClr val="0B0B0B"/>
                </a:solidFill>
                <a:latin typeface="Aptos Narrow"/>
              </a:rPr>
              <a:t>Harvest capacity vs tissue demand by quarter</a:t>
            </a:r>
          </a:p>
          <a:p>
            <a:pPr>
              <a:defRPr sz="950" b="0" i="0">
                <a:solidFill>
                  <a:srgbClr val="7F7F7F"/>
                </a:solidFill>
                <a:latin typeface="Aptos Narrow"/>
              </a:defRPr>
            </a:pPr>
            <a:r>
              <a:rPr sz="950" b="0" i="0">
                <a:solidFill>
                  <a:srgbClr val="7F7F7F"/>
                </a:solidFill>
                <a:latin typeface="Aptos Narrow"/>
              </a:rPr>
              <a:t>Pigs per quarter, Q4'26-Q4'27. Blocks = net harvested; line = demand</a:t>
            </a:r>
          </a:p>
          <a:p>
            <a:pPr>
              <a:defRPr sz="950" b="0" i="0">
                <a:solidFill>
                  <a:srgbClr val="7F7F7F"/>
                </a:solidFill>
                <a:latin typeface="Aptos Narrow"/>
              </a:defRPr>
            </a:pPr>
            <a:r>
              <a:rPr sz="950" b="0" i="0">
                <a:solidFill>
                  <a:srgbClr val="7F7F7F"/>
                </a:solidFill>
                <a:latin typeface="Aptos Narrow"/>
              </a:rPr>
              <a:t>Gray bands: net at spec (31,733) and gross kill (41,990)</a:t>
            </a:r>
          </a:p>
        </rich>
      </tx>
      <layout>
        <manualLayout>
          <xMode val="edge"/>
          <yMode val="edge"/>
          <wMode val="factor"/>
          <hMode val="factor"/>
          <x val="0.005"/>
          <y val="0.02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55"/>
          <y val="0.2"/>
          <w val="0.93"/>
          <h val="0.6"/>
        </manualLayout>
      </layout>
      <barChart>
        <barDir val="col"/>
        <grouping val="stacked"/>
        <ser>
          <idx val="0"/>
          <order val="0"/>
          <tx>
            <v>Net at spec (context)</v>
          </tx>
          <spPr>
            <a:solidFill>
              <a:srgbClr val="B3B3B3"/>
            </a:solidFill>
            <a:ln>
              <a:noFill/>
              <a:prstDash val="solid"/>
            </a:ln>
          </spPr>
          <cat>
            <numRef>
              <f>'Chart Data'!$B$4:$F$4</f>
            </numRef>
          </cat>
          <val>
            <numRef>
              <f>'Chart Data'!$B$9:$F$9</f>
            </numRef>
          </val>
        </ser>
        <ser>
          <idx val="1"/>
          <order val="1"/>
          <tx>
            <v>Gross above spec (context)</v>
          </tx>
          <spPr>
            <a:solidFill>
              <a:srgbClr val="D9D9D9"/>
            </a:solidFill>
            <a:ln>
              <a:noFill/>
              <a:prstDash val="solid"/>
            </a:ln>
          </spPr>
          <cat>
            <numRef>
              <f>'Chart Data'!$B$4:$F$4</f>
            </numRef>
          </cat>
          <val>
            <numRef>
              <f>'Chart Data'!$B$16:$F$16</f>
            </numRef>
          </val>
        </ser>
        <gapWidth val="40"/>
        <overlap val="100"/>
        <axId val="10"/>
        <axId val="100"/>
      </barChart>
      <barChart>
        <barDir val="col"/>
        <grouping val="stacked"/>
        <ser>
          <idx val="2"/>
          <order val="2"/>
          <tx>
            <strRef>
              <f>Sheet1!$D$16</f>
            </strRef>
          </tx>
          <spPr>
            <a:solidFill>
              <a:srgbClr val="2A78D6"/>
            </a:solidFill>
            <a:ln w="15875">
              <a:solidFill>
                <a:srgbClr val="FFFFFF"/>
              </a:solidFill>
              <a:prstDash val="solid"/>
            </a:ln>
          </spPr>
          <dLbls>
            <dLbl>
              <idx val="0"/>
              <numFmt formatCode="#,##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"/>
            <txPr>
              <a:bodyPr/>
              <a:p>
                <a:pPr>
                  <a:defRPr sz="1000" b="1" i="0">
                    <a:solidFill>
                      <a:srgbClr val="FFFFFF"/>
                    </a:solidFill>
                    <a:latin typeface="Aptos Narrow"/>
                  </a:defRPr>
                </a:pPr>
                <a:r>
                  <a:t/>
                </a:r>
                <a:endParaRPr sz="1000" b="1" i="0">
                  <a:solidFill>
                    <a:srgbClr val="FFFFFF"/>
                  </a:solidFill>
                  <a:latin typeface="Aptos Narrow"/>
                </a:endParaRPr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'Chart Data'!$B$10:$F$10</f>
            </numRef>
          </val>
        </ser>
        <ser>
          <idx val="3"/>
          <order val="3"/>
          <tx>
            <strRef>
              <f>Sheet1!$D$17</f>
            </strRef>
          </tx>
          <spPr>
            <a:solidFill>
              <a:srgbClr val="EB6834"/>
            </a:solidFill>
            <a:ln w="15875">
              <a:solidFill>
                <a:srgbClr val="FFFFFF"/>
              </a:solidFill>
              <a:prstDash val="solid"/>
            </a:ln>
          </spPr>
          <val>
            <numRef>
              <f>'Chart Data'!$B$11:$F$11</f>
            </numRef>
          </val>
        </ser>
        <ser>
          <idx val="4"/>
          <order val="4"/>
          <tx>
            <strRef>
              <f>Sheet1!$D$18</f>
            </strRef>
          </tx>
          <spPr>
            <a:solidFill>
              <a:srgbClr val="1BAF7A"/>
            </a:solidFill>
            <a:ln w="15875">
              <a:solidFill>
                <a:srgbClr val="FFFFFF"/>
              </a:solidFill>
              <a:prstDash val="solid"/>
            </a:ln>
          </spPr>
          <val>
            <numRef>
              <f>'Chart Data'!$B$12:$F$12</f>
            </numRef>
          </val>
        </ser>
        <ser>
          <idx val="5"/>
          <order val="5"/>
          <tx>
            <strRef>
              <f>Sheet1!$D$19</f>
            </strRef>
          </tx>
          <spPr>
            <a:solidFill>
              <a:srgbClr val="EDA100"/>
            </a:solidFill>
            <a:ln w="15875">
              <a:solidFill>
                <a:srgbClr val="FFFFFF"/>
              </a:solidFill>
              <a:prstDash val="solid"/>
            </a:ln>
          </spPr>
          <val>
            <numRef>
              <f>'Chart Data'!$B$13:$F$13</f>
            </numRef>
          </val>
        </ser>
        <gapWidth val="120"/>
        <overlap val="100"/>
        <axId val="10"/>
        <axId val="200"/>
      </barChart>
      <lineChart>
        <grouping val="standard"/>
        <ser>
          <idx val="6"/>
          <order val="6"/>
          <tx>
            <v>Demand</v>
          </tx>
          <spPr>
            <a:ln w="19050" cap="rnd">
              <a:solidFill>
                <a:srgbClr val="0B0B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 Data'!$B$21:$F$21</f>
            </numRef>
          </val>
          <smooth val="0"/>
        </ser>
        <ser>
          <idx val="7"/>
          <order val="7"/>
          <tx>
            <v>Total (label)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txPr>
              <a:bodyPr/>
              <a:p>
                <a:pPr>
                  <a:defRPr sz="900" b="1" i="0">
                    <a:solidFill>
                      <a:srgbClr val="0B0B0B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0B0B0B"/>
                  </a:solidFill>
                  <a:latin typeface="Aptos Narrow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'Chart Data'!$B$14:$F$14</f>
            </numRef>
          </val>
          <smooth val="0"/>
        </ser>
        <axId val="10"/>
        <axId val="200"/>
      </lineChart>
      <lineChart>
        <grouping val="standard"/>
        <ser>
          <idx val="8"/>
          <order val="8"/>
          <tx>
            <v>Total (label)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txPr>
              <a:bodyPr/>
              <a:p>
                <a:pPr>
                  <a:defRPr sz="900" b="1" i="0">
                    <a:solidFill>
                      <a:srgbClr val="0B0B0B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0B0B0B"/>
                  </a:solidFill>
                  <a:latin typeface="Aptos Narrow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'Chart Data'!$B$15:$F$15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tickLblPos val="nextTo"/>
        <spPr>
          <a:ln w="9525">
            <a:solidFill>
              <a:srgbClr val="BFBFBF"/>
            </a:solidFill>
            <a:prstDash val="solid"/>
          </a:ln>
        </spPr>
        <txPr>
          <a:bodyPr/>
          <a:p>
            <a:pPr>
              <a:defRPr sz="900" b="0" i="0">
                <a:solidFill>
                  <a:srgbClr val="595959"/>
                </a:solidFill>
                <a:latin typeface="Aptos Narrow"/>
              </a:defRPr>
            </a:pPr>
            <a:r>
              <a:t/>
            </a:r>
            <a:endParaRPr sz="900" b="0" i="0">
              <a:solidFill>
                <a:srgbClr val="595959"/>
              </a:solidFill>
              <a:latin typeface="Aptos Narrow"/>
            </a:endParaRPr>
          </a:p>
        </txPr>
        <crossAx val="100"/>
        <lblOffset val="100"/>
      </catAx>
      <valAx>
        <axId val="100"/>
        <scaling>
          <orientation val="minMax"/>
          <max val="45000"/>
          <min val="0"/>
        </scaling>
        <delete val="0"/>
        <axPos val="l"/>
        <majorGridlines>
          <spPr>
            <a:ln w="9525">
              <a:solidFill>
                <a:srgbClr val="E7E7E7"/>
              </a:solidFill>
              <a:prstDash val="solid"/>
            </a:ln>
          </spPr>
        </majorGridlines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p>
            <a:pPr>
              <a:defRPr sz="900" b="0" i="0">
                <a:solidFill>
                  <a:srgbClr val="595959"/>
                </a:solidFill>
                <a:latin typeface="Aptos Narrow"/>
              </a:defRPr>
            </a:pPr>
            <a:r>
              <a:t/>
            </a:r>
            <a:endParaRPr sz="900" b="0" i="0">
              <a:solidFill>
                <a:srgbClr val="595959"/>
              </a:solidFill>
              <a:latin typeface="Aptos Narrow"/>
            </a:endParaRPr>
          </a:p>
        </txPr>
        <crossAx val="10"/>
        <majorUnit val="10000"/>
      </valAx>
      <valAx>
        <axId val="200"/>
        <scaling>
          <orientation val="minMax"/>
          <max val="45000"/>
          <min val="0"/>
        </scaling>
        <delete val="1"/>
        <axPos val="l"/>
        <numFmt formatCode="#,##0" sourceLinked="0"/>
        <majorTickMark val="none"/>
        <minorTickMark val="none"/>
        <crossAx val="10"/>
      </valAx>
    </plotArea>
    <legend>
      <legendPos val="b"/>
      <legendEntry>
        <idx val="0"/>
        <delete val="1"/>
      </legendEntry>
      <legendEntry>
        <idx val="1"/>
        <delete val="1"/>
      </legendEntry>
      <legendEntry>
        <idx val="7"/>
        <delete val="1"/>
      </legendEntry>
      <legendEntry>
        <idx val="8"/>
        <delete val="1"/>
      </legendEntry>
      <overlay val="0"/>
      <txPr>
        <a:bodyPr/>
        <a:p>
          <a:pPr>
            <a:defRPr sz="900" b="0" i="0">
              <a:solidFill>
                <a:srgbClr val="595959"/>
              </a:solidFill>
              <a:latin typeface="Aptos Narrow"/>
            </a:defRPr>
          </a:pPr>
          <a:r>
            <a:t/>
          </a:r>
          <a:endParaRPr sz="900" b="0" i="0">
            <a:solidFill>
              <a:srgbClr val="595959"/>
            </a:solidFill>
            <a:latin typeface="Aptos Narrow"/>
          </a:endParaRPr>
        </a:p>
      </txPr>
    </legend>
    <plotVisOnly val="1"/>
    <dispBlanksAs val="gap"/>
  </chart>
  <spPr xmlns:a="http://schemas.openxmlformats.org/drawingml/2006/main">
    <a:ln>
      <a:noFill/>
    </a:ln>
  </spPr>
</chartSpace>
</file>

<file path=xl/charts/chart4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50" b="1" i="0">
                <a:solidFill>
                  <a:srgbClr val="0B0B0B"/>
                </a:solidFill>
                <a:latin typeface="Aptos Narrow"/>
              </a:defRPr>
            </a:pPr>
            <a:r>
              <a:rPr sz="1250" b="1" i="0">
                <a:solidFill>
                  <a:srgbClr val="0B0B0B"/>
                </a:solidFill>
                <a:latin typeface="Aptos Narrow"/>
              </a:rPr>
              <a:t>Zoom: demand vs net harvested capacity</a:t>
            </a:r>
          </a:p>
          <a:p>
            <a:pPr>
              <a:defRPr sz="900" b="0" i="0">
                <a:solidFill>
                  <a:srgbClr val="7F7F7F"/>
                </a:solidFill>
                <a:latin typeface="Aptos Narrow"/>
              </a:defRPr>
            </a:pPr>
            <a:r>
              <a:rPr sz="900" b="0" i="0">
                <a:solidFill>
                  <a:srgbClr val="7F7F7F"/>
                </a:solidFill>
                <a:latin typeface="Aptos Narrow"/>
              </a:rPr>
              <a:t>Same data, y-axis capped at 25K; gray levels sit above</a:t>
            </a:r>
          </a:p>
        </rich>
      </tx>
      <layout>
        <manualLayout>
          <xMode val="edge"/>
          <yMode val="edge"/>
          <wMode val="factor"/>
          <hMode val="factor"/>
          <x val="0.005"/>
          <y val="0.02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9"/>
          <y val="0.2"/>
          <w val="0.89"/>
          <h val="0.6"/>
        </manualLayout>
      </layout>
      <barChart>
        <barDir val="col"/>
        <grouping val="stacked"/>
        <ser>
          <idx val="0"/>
          <order val="0"/>
          <tx>
            <strRef>
              <f>Sheet1!$D$16</f>
            </strRef>
          </tx>
          <spPr>
            <a:solidFill>
              <a:srgbClr val="2A78D6"/>
            </a:solidFill>
            <a:ln w="15875">
              <a:solidFill>
                <a:srgbClr val="FFFFFF"/>
              </a:solidFill>
              <a:prstDash val="solid"/>
            </a:ln>
          </spPr>
          <dLbls>
            <dLbl>
              <idx val="0"/>
              <numFmt formatCode="#,##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"/>
            <txPr>
              <a:bodyPr/>
              <a:p>
                <a:pPr>
                  <a:defRPr sz="1000" b="1" i="0">
                    <a:solidFill>
                      <a:srgbClr val="FFFFFF"/>
                    </a:solidFill>
                    <a:latin typeface="Aptos Narrow"/>
                  </a:defRPr>
                </a:pPr>
                <a:r>
                  <a:t/>
                </a:r>
                <a:endParaRPr sz="1000" b="1" i="0">
                  <a:solidFill>
                    <a:srgbClr val="FFFFFF"/>
                  </a:solidFill>
                  <a:latin typeface="Aptos Narrow"/>
                </a:endParaRPr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'Chart Data'!$B$4:$F$4</f>
            </numRef>
          </cat>
          <val>
            <numRef>
              <f>'Chart Data'!$B$10:$F$10</f>
            </numRef>
          </val>
        </ser>
        <ser>
          <idx val="1"/>
          <order val="1"/>
          <tx>
            <strRef>
              <f>Sheet1!$D$17</f>
            </strRef>
          </tx>
          <spPr>
            <a:solidFill>
              <a:srgbClr val="EB6834"/>
            </a:solidFill>
            <a:ln w="15875">
              <a:solidFill>
                <a:srgbClr val="FFFFFF"/>
              </a:solidFill>
              <a:prstDash val="solid"/>
            </a:ln>
          </spPr>
          <cat>
            <numRef>
              <f>'Chart Data'!$B$4:$F$4</f>
            </numRef>
          </cat>
          <val>
            <numRef>
              <f>'Chart Data'!$B$11:$F$11</f>
            </numRef>
          </val>
        </ser>
        <ser>
          <idx val="2"/>
          <order val="2"/>
          <tx>
            <strRef>
              <f>Sheet1!$D$18</f>
            </strRef>
          </tx>
          <spPr>
            <a:solidFill>
              <a:srgbClr val="1BAF7A"/>
            </a:solidFill>
            <a:ln w="15875">
              <a:solidFill>
                <a:srgbClr val="FFFFFF"/>
              </a:solidFill>
              <a:prstDash val="solid"/>
            </a:ln>
          </spPr>
          <cat>
            <numRef>
              <f>'Chart Data'!$B$4:$F$4</f>
            </numRef>
          </cat>
          <val>
            <numRef>
              <f>'Chart Data'!$B$12:$F$12</f>
            </numRef>
          </val>
        </ser>
        <ser>
          <idx val="3"/>
          <order val="3"/>
          <tx>
            <strRef>
              <f>Sheet1!$D$19</f>
            </strRef>
          </tx>
          <spPr>
            <a:solidFill>
              <a:srgbClr val="EDA100"/>
            </a:solidFill>
            <a:ln w="15875">
              <a:solidFill>
                <a:srgbClr val="FFFFFF"/>
              </a:solidFill>
              <a:prstDash val="solid"/>
            </a:ln>
          </spPr>
          <cat>
            <numRef>
              <f>'Chart Data'!$B$4:$F$4</f>
            </numRef>
          </cat>
          <val>
            <numRef>
              <f>'Chart Data'!$B$13:$F$13</f>
            </numRef>
          </val>
        </ser>
        <gapWidth val="120"/>
        <overlap val="100"/>
        <axId val="10"/>
        <axId val="100"/>
      </barChart>
      <lineChart>
        <grouping val="standard"/>
        <ser>
          <idx val="4"/>
          <order val="4"/>
          <tx>
            <v>Demand</v>
          </tx>
          <spPr>
            <a:ln w="19050" cap="rnd">
              <a:solidFill>
                <a:srgbClr val="0B0B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4"/>
              <numFmt formatCode="#,##0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"/>
            <txPr>
              <a:bodyPr/>
              <a:p>
                <a:pPr>
                  <a:defRPr sz="950" b="1" i="0">
                    <a:solidFill>
                      <a:srgbClr val="FFFFFF"/>
                    </a:solidFill>
                    <a:latin typeface="Aptos Narrow"/>
                  </a:defRPr>
                </a:pPr>
                <a:r>
                  <a:t/>
                </a:r>
                <a:endParaRPr sz="950" b="1" i="0">
                  <a:solidFill>
                    <a:srgbClr val="FFFFFF"/>
                  </a:solidFill>
                  <a:latin typeface="Aptos Narrow"/>
                </a:endParaRPr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'Chart Data'!$B$21:$F$21</f>
            </numRef>
          </val>
          <smooth val="0"/>
        </ser>
        <ser>
          <idx val="5"/>
          <order val="5"/>
          <tx>
            <v>Total (label)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txPr>
              <a:bodyPr/>
              <a:p>
                <a:pPr>
                  <a:defRPr sz="900" b="1" i="0">
                    <a:solidFill>
                      <a:srgbClr val="0B0B0B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0B0B0B"/>
                  </a:solidFill>
                  <a:latin typeface="Aptos Narrow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'Chart Data'!$B$14:$F$14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tickLblPos val="nextTo"/>
        <spPr>
          <a:ln w="9525">
            <a:solidFill>
              <a:srgbClr val="BFBFBF"/>
            </a:solidFill>
            <a:prstDash val="solid"/>
          </a:ln>
        </spPr>
        <txPr>
          <a:bodyPr/>
          <a:p>
            <a:pPr>
              <a:defRPr sz="900" b="0" i="0">
                <a:solidFill>
                  <a:srgbClr val="595959"/>
                </a:solidFill>
                <a:latin typeface="Aptos Narrow"/>
              </a:defRPr>
            </a:pPr>
            <a:r>
              <a:t/>
            </a:r>
            <a:endParaRPr sz="900" b="0" i="0">
              <a:solidFill>
                <a:srgbClr val="595959"/>
              </a:solidFill>
              <a:latin typeface="Aptos Narrow"/>
            </a:endParaRPr>
          </a:p>
        </txPr>
        <crossAx val="100"/>
        <lblOffset val="100"/>
      </catAx>
      <valAx>
        <axId val="100"/>
        <scaling>
          <orientation val="minMax"/>
          <max val="25000"/>
          <min val="0"/>
        </scaling>
        <delete val="0"/>
        <axPos val="l"/>
        <majorGridlines>
          <spPr>
            <a:ln w="9525">
              <a:solidFill>
                <a:srgbClr val="E7E7E7"/>
              </a:solidFill>
              <a:prstDash val="solid"/>
            </a:ln>
          </spPr>
        </majorGridlines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p>
            <a:pPr>
              <a:defRPr sz="900" b="0" i="0">
                <a:solidFill>
                  <a:srgbClr val="595959"/>
                </a:solidFill>
                <a:latin typeface="Aptos Narrow"/>
              </a:defRPr>
            </a:pPr>
            <a:r>
              <a:t/>
            </a:r>
            <a:endParaRPr sz="900" b="0" i="0">
              <a:solidFill>
                <a:srgbClr val="595959"/>
              </a:solidFill>
              <a:latin typeface="Aptos Narrow"/>
            </a:endParaRPr>
          </a:p>
        </txPr>
        <crossAx val="10"/>
        <majorUnit val="5000"/>
      </valAx>
    </plotArea>
    <legend>
      <legendPos val="b"/>
      <legendEntry>
        <idx val="5"/>
        <delete val="1"/>
      </legendEntry>
      <overlay val="0"/>
      <txPr>
        <a:bodyPr/>
        <a:p>
          <a:pPr>
            <a:defRPr sz="900" b="0" i="0">
              <a:solidFill>
                <a:srgbClr val="595959"/>
              </a:solidFill>
              <a:latin typeface="Aptos Narrow"/>
            </a:defRPr>
          </a:pPr>
          <a:r>
            <a:t/>
          </a:r>
          <a:endParaRPr sz="900" b="0" i="0">
            <a:solidFill>
              <a:srgbClr val="595959"/>
            </a:solidFill>
            <a:latin typeface="Aptos Narrow"/>
          </a:endParaRPr>
        </a:p>
      </txPr>
    </legend>
    <plotVisOnly val="1"/>
    <dispBlanksAs val="gap"/>
  </chart>
  <spPr xmlns:a="http://schemas.openxmlformats.org/drawingml/2006/main">
    <a:ln>
      <a:noFill/>
    </a:ln>
  </spPr>
</chartSpace>
</file>

<file path=xl/charts/chart5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 i="0">
                <a:solidFill>
                  <a:srgbClr val="0B0B0B"/>
                </a:solidFill>
                <a:latin typeface="Aptos Narrow"/>
              </a:defRPr>
            </a:pPr>
            <a:r>
              <a:rPr sz="1200" b="1" i="0">
                <a:solidFill>
                  <a:srgbClr val="0B0B0B"/>
                </a:solidFill>
                <a:latin typeface="Aptos Narrow"/>
              </a:rPr>
              <a:t>Capacity funnel vs peak demand</a:t>
            </a:r>
          </a:p>
          <a:p>
            <a:pPr>
              <a:defRPr sz="900" b="0" i="0">
                <a:solidFill>
                  <a:srgbClr val="7F7F7F"/>
                </a:solidFill>
                <a:latin typeface="Aptos Narrow"/>
              </a:defRPr>
            </a:pPr>
            <a:r>
              <a:rPr sz="900" b="0" i="0">
                <a:solidFill>
                  <a:srgbClr val="7F7F7F"/>
                </a:solidFill>
                <a:latin typeface="Aptos Narrow"/>
              </a:rPr>
              <a:t>Pigs per quarter by slaughterhouse, flat; demand bar = Q4'27 peak.</a:t>
            </a:r>
          </a:p>
        </rich>
      </tx>
      <layout>
        <manualLayout>
          <xMode val="edge"/>
          <yMode val="edge"/>
          <wMode val="factor"/>
          <hMode val="factor"/>
          <x val="0.005"/>
          <y val="0.02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55"/>
          <y val="0.18"/>
          <w val="0.93"/>
          <h val="0.58"/>
        </manualLayout>
      </layout>
      <barChart>
        <barDir val="col"/>
        <grouping val="stacked"/>
        <ser>
          <idx val="0"/>
          <order val="0"/>
          <tx>
            <strRef>
              <f>Sheet1!$D$16</f>
            </strRef>
          </tx>
          <spPr>
            <a:solidFill>
              <a:srgbClr val="2A78D6"/>
            </a:solidFill>
            <a:ln w="15875">
              <a:solidFill>
                <a:srgbClr val="FFFFFF"/>
              </a:solidFill>
              <a:prstDash val="solid"/>
            </a:ln>
          </spPr>
          <dLbls>
            <numFmt formatCode="#,##0"/>
            <txPr>
              <a:bodyPr/>
              <a:p>
                <a:pPr>
                  <a:defRPr sz="900" b="1" i="0">
                    <a:solidFill>
                      <a:srgbClr val="FFFFFF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FFFFFF"/>
                  </a:solidFill>
                  <a:latin typeface="Aptos Narrow"/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'Chart Data'!$I$4:$L$4</f>
            </numRef>
          </cat>
          <val>
            <numRef>
              <f>'Chart Data'!$I$5:$L$5</f>
            </numRef>
          </val>
        </ser>
        <ser>
          <idx val="1"/>
          <order val="1"/>
          <tx>
            <strRef>
              <f>Sheet1!$D$17</f>
            </strRef>
          </tx>
          <spPr>
            <a:solidFill>
              <a:srgbClr val="EB6834"/>
            </a:solidFill>
            <a:ln w="15875">
              <a:solidFill>
                <a:srgbClr val="FFFFFF"/>
              </a:solidFill>
              <a:prstDash val="solid"/>
            </a:ln>
          </spPr>
          <cat>
            <numRef>
              <f>'Chart Data'!$I$4:$L$4</f>
            </numRef>
          </cat>
          <val>
            <numRef>
              <f>'Chart Data'!$I$6:$L$6</f>
            </numRef>
          </val>
        </ser>
        <ser>
          <idx val="2"/>
          <order val="2"/>
          <tx>
            <strRef>
              <f>Sheet1!$D$18</f>
            </strRef>
          </tx>
          <spPr>
            <a:solidFill>
              <a:srgbClr val="1BAF7A"/>
            </a:solidFill>
            <a:ln w="15875">
              <a:solidFill>
                <a:srgbClr val="FFFFFF"/>
              </a:solidFill>
              <a:prstDash val="solid"/>
            </a:ln>
          </spPr>
          <cat>
            <numRef>
              <f>'Chart Data'!$I$4:$L$4</f>
            </numRef>
          </cat>
          <val>
            <numRef>
              <f>'Chart Data'!$I$7:$L$7</f>
            </numRef>
          </val>
        </ser>
        <ser>
          <idx val="3"/>
          <order val="3"/>
          <tx>
            <strRef>
              <f>Sheet1!$D$19</f>
            </strRef>
          </tx>
          <spPr>
            <a:solidFill>
              <a:srgbClr val="EDA100"/>
            </a:solidFill>
            <a:ln w="15875">
              <a:solidFill>
                <a:srgbClr val="FFFFFF"/>
              </a:solidFill>
              <a:prstDash val="solid"/>
            </a:ln>
          </spPr>
          <cat>
            <numRef>
              <f>'Chart Data'!$I$4:$L$4</f>
            </numRef>
          </cat>
          <val>
            <numRef>
              <f>'Chart Data'!$I$8:$L$8</f>
            </numRef>
          </val>
        </ser>
        <ser>
          <idx val="4"/>
          <order val="4"/>
          <tx>
            <strRef>
              <f>'Chart Data'!$H$9</f>
            </strRef>
          </tx>
          <spPr>
            <a:solidFill>
              <a:srgbClr val="0B0B0B"/>
            </a:solidFill>
            <a:ln w="15875">
              <a:solidFill>
                <a:srgbClr val="FFFFFF"/>
              </a:solidFill>
              <a:prstDash val="solid"/>
            </a:ln>
          </spPr>
          <dLbls>
            <numFmt formatCode="#,##0"/>
            <txPr>
              <a:bodyPr/>
              <a:p>
                <a:pPr>
                  <a:defRPr sz="900" b="1" i="0">
                    <a:solidFill>
                      <a:srgbClr val="FFFFFF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FFFFFF"/>
                  </a:solidFill>
                  <a:latin typeface="Aptos Narrow"/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'Chart Data'!$I$4:$L$4</f>
            </numRef>
          </cat>
          <val>
            <numRef>
              <f>'Chart Data'!$I$9:$L$9</f>
            </numRef>
          </val>
        </ser>
        <gapWidth val="12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tickLblPos val="nextTo"/>
        <spPr>
          <a:ln w="9525">
            <a:solidFill>
              <a:srgbClr val="BFBFBF"/>
            </a:solidFill>
            <a:prstDash val="solid"/>
          </a:ln>
        </spPr>
        <txPr>
          <a:bodyPr/>
          <a:p>
            <a:pPr>
              <a:defRPr sz="900" b="0" i="0">
                <a:solidFill>
                  <a:srgbClr val="595959"/>
                </a:solidFill>
                <a:latin typeface="Aptos Narrow"/>
              </a:defRPr>
            </a:pPr>
            <a:r>
              <a:t/>
            </a:r>
            <a:endParaRPr sz="900" b="0" i="0">
              <a:solidFill>
                <a:srgbClr val="595959"/>
              </a:solidFill>
              <a:latin typeface="Aptos Narrow"/>
            </a:endParaRPr>
          </a:p>
        </txPr>
        <crossAx val="100"/>
        <lblOffset val="100"/>
      </catAx>
      <valAx>
        <axId val="100"/>
        <scaling>
          <orientation val="minMax"/>
          <max val="45000"/>
          <min val="0"/>
        </scaling>
        <delete val="0"/>
        <axPos val="l"/>
        <majorGridlines>
          <spPr>
            <a:ln w="9525">
              <a:solidFill>
                <a:srgbClr val="E7E7E7"/>
              </a:solidFill>
              <a:prstDash val="solid"/>
            </a:ln>
          </spPr>
        </majorGridlines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p>
            <a:pPr>
              <a:defRPr sz="900" b="0" i="0">
                <a:solidFill>
                  <a:srgbClr val="595959"/>
                </a:solidFill>
                <a:latin typeface="Aptos Narrow"/>
              </a:defRPr>
            </a:pPr>
            <a:r>
              <a:t/>
            </a:r>
            <a:endParaRPr sz="900" b="0" i="0">
              <a:solidFill>
                <a:srgbClr val="595959"/>
              </a:solidFill>
              <a:latin typeface="Aptos Narrow"/>
            </a:endParaRPr>
          </a:p>
        </txPr>
        <crossAx val="10"/>
        <majorUnit val="10000"/>
      </valAx>
    </plotArea>
    <legend>
      <legendPos val="b"/>
      <overlay val="0"/>
      <txPr>
        <a:bodyPr/>
        <a:p>
          <a:pPr>
            <a:defRPr sz="900" b="0" i="0">
              <a:solidFill>
                <a:srgbClr val="595959"/>
              </a:solidFill>
              <a:latin typeface="Aptos Narrow"/>
            </a:defRPr>
          </a:pPr>
          <a:r>
            <a:t/>
          </a:r>
          <a:endParaRPr sz="900" b="0" i="0">
            <a:solidFill>
              <a:srgbClr val="595959"/>
            </a:solidFill>
            <a:latin typeface="Aptos Narrow"/>
          </a:endParaRPr>
        </a:p>
      </txPr>
    </legend>
    <plotVisOnly val="1"/>
    <dispBlanksAs val="gap"/>
  </chart>
  <spPr xmlns:a="http://schemas.openxmlformats.org/drawingml/2006/main">
    <a:ln>
      <a:noFill/>
    </a:ln>
  </spPr>
</chartSpace>
</file>

<file path=xl/charts/chart6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 sz="1200" b="1" i="0">
                <a:solidFill>
                  <a:srgbClr val="0B0B0B"/>
                </a:solidFill>
                <a:latin typeface="Aptos Narrow"/>
              </a:defRPr>
            </a:pPr>
            <a:r>
              <a:rPr sz="1200" b="1" i="0">
                <a:solidFill>
                  <a:srgbClr val="0B0B0B"/>
                </a:solidFill>
                <a:latin typeface="Aptos Narrow"/>
              </a:rPr>
              <a:t>Tissue demand by part vs harvested capacity</a:t>
            </a:r>
          </a:p>
          <a:p>
            <a:pPr>
              <a:defRPr sz="900" b="0" i="0">
                <a:solidFill>
                  <a:srgbClr val="7F7F7F"/>
                </a:solidFill>
                <a:latin typeface="Aptos Narrow"/>
              </a:defRPr>
            </a:pPr>
            <a:r>
              <a:rPr sz="900" b="0" i="0">
                <a:solidFill>
                  <a:srgbClr val="7F7F7F"/>
                </a:solidFill>
                <a:latin typeface="Aptos Narrow"/>
              </a:rPr>
              <a:t>Pigs per quarter; gray line = net harvested capacity (21,891/qtr).</a:t>
            </a:r>
          </a:p>
        </rich>
      </tx>
      <layout>
        <manualLayout>
          <xMode val="edge"/>
          <yMode val="edge"/>
          <wMode val="factor"/>
          <hMode val="factor"/>
          <x val="0.005"/>
          <y val="0.02"/>
        </manualLayout>
      </layout>
      <overlay val="0"/>
    </title>
    <plotArea>
      <layout>
        <manualLayout>
          <xMode val="edge"/>
          <yMode val="edge"/>
          <wMode val="factor"/>
          <hMode val="factor"/>
          <x val="0.055"/>
          <y val="0.18"/>
          <w val="0.93"/>
          <h val="0.58"/>
        </manualLayout>
      </layout>
      <barChart>
        <barDir val="col"/>
        <grouping val="stacked"/>
        <ser>
          <idx val="0"/>
          <order val="0"/>
          <tx>
            <strRef>
              <f>Sheet1!$K$10</f>
            </strRef>
          </tx>
          <spPr>
            <a:solidFill>
              <a:srgbClr val="E87BA4"/>
            </a:solidFill>
            <a:ln w="15875">
              <a:solidFill>
                <a:srgbClr val="FFFFFF"/>
              </a:solidFill>
              <a:prstDash val="solid"/>
            </a:ln>
          </spPr>
          <cat>
            <numRef>
              <f>'Chart Data'!$B$4:$F$4</f>
            </numRef>
          </cat>
          <val>
            <numRef>
              <f>'Chart Data'!$B$17:$F$17</f>
            </numRef>
          </val>
        </ser>
        <ser>
          <idx val="1"/>
          <order val="1"/>
          <tx>
            <strRef>
              <f>Sheet1!$K$11</f>
            </strRef>
          </tx>
          <spPr>
            <a:solidFill>
              <a:srgbClr val="008300"/>
            </a:solidFill>
            <a:ln w="15875">
              <a:solidFill>
                <a:srgbClr val="FFFFFF"/>
              </a:solidFill>
              <a:prstDash val="solid"/>
            </a:ln>
          </spPr>
          <cat>
            <numRef>
              <f>'Chart Data'!$B$4:$F$4</f>
            </numRef>
          </cat>
          <val>
            <numRef>
              <f>'Chart Data'!$B$18:$F$18</f>
            </numRef>
          </val>
        </ser>
        <ser>
          <idx val="2"/>
          <order val="2"/>
          <tx>
            <strRef>
              <f>Sheet1!$K$12</f>
            </strRef>
          </tx>
          <spPr>
            <a:solidFill>
              <a:srgbClr val="4A3AA7"/>
            </a:solidFill>
            <a:ln w="15875">
              <a:solidFill>
                <a:srgbClr val="FFFFFF"/>
              </a:solidFill>
              <a:prstDash val="solid"/>
            </a:ln>
          </spPr>
          <cat>
            <numRef>
              <f>'Chart Data'!$B$4:$F$4</f>
            </numRef>
          </cat>
          <val>
            <numRef>
              <f>'Chart Data'!$B$19:$F$19</f>
            </numRef>
          </val>
        </ser>
        <ser>
          <idx val="3"/>
          <order val="3"/>
          <tx>
            <strRef>
              <f>Sheet1!$K$13</f>
            </strRef>
          </tx>
          <spPr>
            <a:solidFill>
              <a:srgbClr val="E34948"/>
            </a:solidFill>
            <a:ln w="15875">
              <a:solidFill>
                <a:srgbClr val="FFFFFF"/>
              </a:solidFill>
              <a:prstDash val="solid"/>
            </a:ln>
          </spPr>
          <cat>
            <numRef>
              <f>'Chart Data'!$B$4:$F$4</f>
            </numRef>
          </cat>
          <val>
            <numRef>
              <f>'Chart Data'!$B$20:$F$20</f>
            </numRef>
          </val>
        </ser>
        <gapWidth val="100"/>
        <overlap val="100"/>
        <axId val="10"/>
        <axId val="100"/>
      </barChart>
      <lineChart>
        <grouping val="standard"/>
        <ser>
          <idx val="4"/>
          <order val="4"/>
          <tx>
            <v>Net harvested capacity</v>
          </tx>
          <spPr>
            <a:ln w="19050" cap="rnd">
              <a:solidFill>
                <a:srgbClr val="99999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4"/>
              <numFmt formatCode="#,##0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"/>
            <txPr>
              <a:bodyPr/>
              <a:p>
                <a:pPr>
                  <a:defRPr sz="900" b="1" i="0">
                    <a:solidFill>
                      <a:srgbClr val="595959"/>
                    </a:solidFill>
                    <a:latin typeface="Aptos Narrow"/>
                  </a:defRPr>
                </a:pPr>
                <a:r>
                  <a:t/>
                </a:r>
                <a:endParaRPr sz="900" b="1" i="0">
                  <a:solidFill>
                    <a:srgbClr val="595959"/>
                  </a:solidFill>
                  <a:latin typeface="Aptos Narrow"/>
                </a:endParaRPr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'Chart Data'!$B$14:$F$14</f>
            </numRef>
          </val>
          <smooth val="0"/>
        </ser>
        <ser>
          <idx val="5"/>
          <order val="5"/>
          <tx>
            <v>Demand total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#,##0"/>
            <txPr>
              <a:bodyPr/>
              <a:p>
                <a:pPr>
                  <a:defRPr sz="900" b="0" i="0">
                    <a:solidFill>
                      <a:srgbClr val="404040"/>
                    </a:solidFill>
                    <a:latin typeface="Aptos Narrow"/>
                  </a:defRPr>
                </a:pPr>
                <a:r>
                  <a:t/>
                </a:r>
                <a:endParaRPr sz="900" b="0" i="0">
                  <a:solidFill>
                    <a:srgbClr val="404040"/>
                  </a:solidFill>
                  <a:latin typeface="Aptos Narrow"/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'Chart Data'!$B$21:$F$21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tickLblPos val="nextTo"/>
        <spPr>
          <a:ln w="9525">
            <a:solidFill>
              <a:srgbClr val="BFBFBF"/>
            </a:solidFill>
            <a:prstDash val="solid"/>
          </a:ln>
        </spPr>
        <txPr>
          <a:bodyPr/>
          <a:p>
            <a:pPr>
              <a:defRPr sz="900" b="0" i="0">
                <a:solidFill>
                  <a:srgbClr val="595959"/>
                </a:solidFill>
                <a:latin typeface="Aptos Narrow"/>
              </a:defRPr>
            </a:pPr>
            <a:r>
              <a:t/>
            </a:r>
            <a:endParaRPr sz="900" b="0" i="0">
              <a:solidFill>
                <a:srgbClr val="595959"/>
              </a:solidFill>
              <a:latin typeface="Aptos Narrow"/>
            </a:endParaRPr>
          </a:p>
        </txPr>
        <crossAx val="100"/>
        <lblOffset val="100"/>
      </catAx>
      <valAx>
        <axId val="100"/>
        <scaling>
          <orientation val="minMax"/>
          <max val="24000"/>
          <min val="0"/>
        </scaling>
        <delete val="0"/>
        <axPos val="l"/>
        <majorGridlines>
          <spPr>
            <a:ln w="9525">
              <a:solidFill>
                <a:srgbClr val="E7E7E7"/>
              </a:solidFill>
              <a:prstDash val="solid"/>
            </a:ln>
          </spPr>
        </majorGridlines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p>
            <a:pPr>
              <a:defRPr sz="900" b="0" i="0">
                <a:solidFill>
                  <a:srgbClr val="595959"/>
                </a:solidFill>
                <a:latin typeface="Aptos Narrow"/>
              </a:defRPr>
            </a:pPr>
            <a:r>
              <a:t/>
            </a:r>
            <a:endParaRPr sz="900" b="0" i="0">
              <a:solidFill>
                <a:srgbClr val="595959"/>
              </a:solidFill>
              <a:latin typeface="Aptos Narrow"/>
            </a:endParaRPr>
          </a:p>
        </txPr>
        <crossAx val="10"/>
        <majorUnit val="4000"/>
      </valAx>
    </plotArea>
    <legend>
      <legendPos val="b"/>
      <legendEntry>
        <idx val="4"/>
        <delete val="1"/>
      </legendEntry>
      <legendEntry>
        <idx val="5"/>
        <delete val="1"/>
      </legendEntry>
      <overlay val="0"/>
      <txPr>
        <a:bodyPr/>
        <a:p>
          <a:pPr>
            <a:defRPr sz="900" b="0" i="0">
              <a:solidFill>
                <a:srgbClr val="595959"/>
              </a:solidFill>
              <a:latin typeface="Aptos Narrow"/>
            </a:defRPr>
          </a:pPr>
          <a:r>
            <a:t/>
          </a:r>
          <a:endParaRPr sz="900" b="0" i="0">
            <a:solidFill>
              <a:srgbClr val="595959"/>
            </a:solidFill>
            <a:latin typeface="Aptos Narrow"/>
          </a:endParaRPr>
        </a:p>
      </txPr>
    </legend>
    <plotVisOnly val="1"/>
    <dispBlanksAs val="gap"/>
  </chart>
  <spPr xmlns:a="http://schemas.openxmlformats.org/drawingml/2006/main">
    <a:ln>
      <a:noFill/>
    </a:ln>
  </spPr>
</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130680</xdr:rowOff>
    </xdr:from>
    <xdr:to>
      <xdr:col>8</xdr:col>
      <xdr:colOff>189720</xdr:colOff>
      <xdr:row>27</xdr:row>
      <xdr:rowOff>100440</xdr:rowOff>
    </xdr:to>
    <xdr:graphicFrame>
      <xdr:nvGraphicFramePr>
        <xdr:cNvPr id="0" name="Chart 1"/>
        <xdr:cNvGraphicFramePr/>
      </xdr:nvGraphicFramePr>
      <xdr:xfrm>
        <a:off x="177840" y="1838160"/>
        <a:ext cx="827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130680</xdr:rowOff>
    </xdr:from>
    <xdr:to>
      <xdr:col>8</xdr:col>
      <xdr:colOff>189720</xdr:colOff>
      <xdr:row>49</xdr:row>
      <xdr:rowOff>100440</xdr:rowOff>
    </xdr:to>
    <xdr:graphicFrame>
      <xdr:nvGraphicFramePr>
        <xdr:cNvPr id="1" name="Chart 2"/>
        <xdr:cNvGraphicFramePr/>
      </xdr:nvGraphicFramePr>
      <xdr:xfrm>
        <a:off x="177840" y="6029280"/>
        <a:ext cx="827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131040</xdr:rowOff>
    </xdr:from>
    <xdr:to>
      <xdr:col>5</xdr:col>
      <xdr:colOff>1492560</xdr:colOff>
      <xdr:row>28</xdr:row>
      <xdr:rowOff>79560</xdr:rowOff>
    </xdr:to>
    <xdr:graphicFrame>
      <xdr:nvGraphicFramePr>
        <xdr:cNvPr id="2" name="Chart 1"/>
        <xdr:cNvGraphicFramePr/>
      </xdr:nvGraphicFramePr>
      <xdr:xfrm>
        <a:off x="177840" y="1695600"/>
        <a:ext cx="5759640" cy="41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131040</xdr:rowOff>
    </xdr:from>
    <xdr:to>
      <xdr:col>11</xdr:col>
      <xdr:colOff>1826280</xdr:colOff>
      <xdr:row>28</xdr:row>
      <xdr:rowOff>79560</xdr:rowOff>
    </xdr:to>
    <xdr:graphicFrame>
      <xdr:nvGraphicFramePr>
        <xdr:cNvPr id="3" name="Chart 2"/>
        <xdr:cNvGraphicFramePr/>
      </xdr:nvGraphicFramePr>
      <xdr:xfrm>
        <a:off x="8712360" y="1695600"/>
        <a:ext cx="3959640" cy="41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130680</xdr:rowOff>
    </xdr:from>
    <xdr:to>
      <xdr:col>5</xdr:col>
      <xdr:colOff>592560</xdr:colOff>
      <xdr:row>25</xdr:row>
      <xdr:rowOff>110880</xdr:rowOff>
    </xdr:to>
    <xdr:graphicFrame>
      <xdr:nvGraphicFramePr>
        <xdr:cNvPr id="4" name="Chart 1"/>
        <xdr:cNvGraphicFramePr/>
      </xdr:nvGraphicFramePr>
      <xdr:xfrm>
        <a:off x="177840" y="1647720"/>
        <a:ext cx="48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130680</xdr:rowOff>
    </xdr:from>
    <xdr:to>
      <xdr:col>14</xdr:col>
      <xdr:colOff>599040</xdr:colOff>
      <xdr:row>25</xdr:row>
      <xdr:rowOff>110880</xdr:rowOff>
    </xdr:to>
    <xdr:graphicFrame>
      <xdr:nvGraphicFramePr>
        <xdr:cNvPr id="5" name="Chart 2"/>
        <xdr:cNvGraphicFramePr/>
      </xdr:nvGraphicFramePr>
      <xdr:xfrm>
        <a:off x="8356680" y="164772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S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8.5390625" defaultRowHeight="14.25" zeroHeight="false" outlineLevelRow="0" outlineLevelCol="0"/>
  <cols>
    <col collapsed="false" customWidth="true" hidden="false" outlineLevel="0" max="3" min="3" style="0" width="12.11"/>
    <col collapsed="false" customWidth="true" hidden="false" outlineLevel="0" max="4" min="4" style="0" width="27.88"/>
    <col collapsed="false" customWidth="true" hidden="false" outlineLevel="0" max="6" min="6" style="0" width="9.44"/>
    <col collapsed="false" customWidth="true" hidden="false" outlineLevel="0" max="19" min="19" style="0" width="16.44"/>
  </cols>
  <sheetData>
    <row r="3" customFormat="false" ht="14.25" hidden="false" customHeight="false" outlineLevel="0" collapsed="false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L3" s="1" t="n">
        <v>666501</v>
      </c>
      <c r="M3" s="0" t="n">
        <v>666502</v>
      </c>
      <c r="N3" s="0" t="n">
        <v>666506</v>
      </c>
      <c r="O3" s="0" t="n">
        <v>666541</v>
      </c>
    </row>
    <row r="4" customFormat="false" ht="14.25" hidden="false" customHeight="false" outlineLevel="0" collapsed="false">
      <c r="C4" s="1" t="n">
        <v>666035</v>
      </c>
      <c r="D4" s="1" t="s">
        <v>7</v>
      </c>
      <c r="E4" s="1" t="n">
        <v>90</v>
      </c>
      <c r="F4" s="1" t="n">
        <v>90</v>
      </c>
      <c r="G4" s="1" t="n">
        <v>95</v>
      </c>
      <c r="H4" s="1" t="n">
        <v>90</v>
      </c>
      <c r="I4" s="1" t="n">
        <v>80</v>
      </c>
      <c r="L4" s="2" t="n">
        <v>0</v>
      </c>
      <c r="M4" s="2" t="n">
        <v>0</v>
      </c>
      <c r="N4" s="2" t="n">
        <v>0</v>
      </c>
      <c r="O4" s="2" t="n">
        <v>0</v>
      </c>
    </row>
    <row r="5" customFormat="false" ht="14.25" hidden="false" customHeight="false" outlineLevel="0" collapsed="false">
      <c r="C5" s="1" t="s">
        <v>8</v>
      </c>
      <c r="D5" s="1" t="s">
        <v>9</v>
      </c>
      <c r="E5" s="1" t="n">
        <v>300</v>
      </c>
      <c r="F5" s="1" t="n">
        <v>320</v>
      </c>
      <c r="G5" s="1" t="n">
        <v>340</v>
      </c>
      <c r="H5" s="1" t="n">
        <v>365</v>
      </c>
      <c r="I5" s="1" t="n">
        <v>380</v>
      </c>
      <c r="L5" s="2" t="n">
        <v>3</v>
      </c>
      <c r="M5" s="2" t="n">
        <v>0</v>
      </c>
      <c r="N5" s="2" t="n">
        <v>2</v>
      </c>
      <c r="O5" s="2" t="n">
        <v>0</v>
      </c>
    </row>
    <row r="6" customFormat="false" ht="14.25" hidden="false" customHeight="false" outlineLevel="0" collapsed="false">
      <c r="C6" s="1" t="n">
        <v>666052</v>
      </c>
      <c r="D6" s="1" t="s">
        <v>10</v>
      </c>
      <c r="E6" s="1" t="n">
        <v>135</v>
      </c>
      <c r="F6" s="1" t="n">
        <v>120</v>
      </c>
      <c r="G6" s="1" t="n">
        <v>125</v>
      </c>
      <c r="H6" s="1" t="n">
        <v>125</v>
      </c>
      <c r="I6" s="1" t="n">
        <v>128</v>
      </c>
      <c r="L6" s="2" t="n">
        <v>2</v>
      </c>
      <c r="M6" s="2" t="n">
        <v>0</v>
      </c>
      <c r="N6" s="2" t="n">
        <v>1</v>
      </c>
      <c r="O6" s="2" t="n">
        <v>0</v>
      </c>
    </row>
    <row r="7" customFormat="false" ht="14.25" hidden="false" customHeight="false" outlineLevel="0" collapsed="false">
      <c r="C7" s="1" t="n">
        <v>666069</v>
      </c>
      <c r="D7" s="1" t="s">
        <v>11</v>
      </c>
      <c r="E7" s="1" t="n">
        <v>1800</v>
      </c>
      <c r="F7" s="1" t="n">
        <v>1950</v>
      </c>
      <c r="G7" s="1" t="n">
        <v>2050</v>
      </c>
      <c r="H7" s="1" t="n">
        <v>2075</v>
      </c>
      <c r="I7" s="1" t="n">
        <v>2050</v>
      </c>
      <c r="L7" s="2" t="n">
        <v>1</v>
      </c>
      <c r="M7" s="2" t="n">
        <v>1</v>
      </c>
      <c r="N7" s="2" t="n">
        <v>0</v>
      </c>
      <c r="O7" s="2" t="n">
        <v>1</v>
      </c>
    </row>
    <row r="9" customFormat="false" ht="14.25" hidden="false" customHeight="false" outlineLevel="0" collapsed="false">
      <c r="L9" s="1" t="s">
        <v>2</v>
      </c>
      <c r="M9" s="1" t="s">
        <v>3</v>
      </c>
      <c r="N9" s="1" t="s">
        <v>4</v>
      </c>
      <c r="O9" s="1" t="s">
        <v>5</v>
      </c>
      <c r="P9" s="1" t="s">
        <v>6</v>
      </c>
      <c r="R9" s="1" t="s">
        <v>12</v>
      </c>
      <c r="S9" s="1" t="s">
        <v>13</v>
      </c>
    </row>
    <row r="10" customFormat="false" ht="14.25" hidden="false" customHeight="false" outlineLevel="0" collapsed="false">
      <c r="K10" s="1" t="n">
        <v>666501</v>
      </c>
      <c r="L10" s="3" t="n">
        <f aca="false" t="array" ref="L10:L10">SUM(E$4:E$7*$L$4:$L$7)</f>
        <v>2970</v>
      </c>
      <c r="M10" s="3" t="n">
        <f aca="false" t="array" ref="M10:M10">SUM(F$4:F$7*$L$4:$L$7)</f>
        <v>3150</v>
      </c>
      <c r="N10" s="3" t="n">
        <f aca="false" t="array" ref="N10:N10">SUM(G$4:G$7*$L$4:$L$7)</f>
        <v>3320</v>
      </c>
      <c r="O10" s="3" t="n">
        <f aca="false" t="array" ref="O10:O10">SUM(H$4:H$7*$L$4:$L$7)</f>
        <v>3420</v>
      </c>
      <c r="P10" s="3" t="n">
        <f aca="false" t="array" ref="P10:P10">SUM(I$4:I$7*$L$4:$L$7)</f>
        <v>3446</v>
      </c>
      <c r="R10" s="4" t="n">
        <v>0.99</v>
      </c>
      <c r="S10" s="4" t="n">
        <v>0.95</v>
      </c>
    </row>
    <row r="11" customFormat="false" ht="14.25" hidden="false" customHeight="false" outlineLevel="0" collapsed="false">
      <c r="K11" s="1" t="n">
        <v>666502</v>
      </c>
      <c r="L11" s="3" t="n">
        <f aca="false" t="array" ref="L11:L11">SUM(E$4:E$7*$M$4:$M$7)</f>
        <v>1800</v>
      </c>
      <c r="M11" s="3" t="n">
        <f aca="false" t="array" ref="M11:M11">SUM(F$4:F$7*$M$4:$M$7)</f>
        <v>1950</v>
      </c>
      <c r="N11" s="3" t="n">
        <f aca="false" t="array" ref="N11:N11">SUM(G$4:G$7*$M$4:$M$7)</f>
        <v>2050</v>
      </c>
      <c r="O11" s="3" t="n">
        <f aca="false" t="array" ref="O11:O11">SUM(H$4:H$7*$M$4:$M$7)</f>
        <v>2075</v>
      </c>
      <c r="P11" s="3" t="n">
        <f aca="false" t="array" ref="P11:P11">SUM(I$4:I$7*$M$4:$M$7)</f>
        <v>2050</v>
      </c>
      <c r="R11" s="4" t="n">
        <v>0.85</v>
      </c>
      <c r="S11" s="4" t="n">
        <v>0.88</v>
      </c>
    </row>
    <row r="12" customFormat="false" ht="14.25" hidden="false" customHeight="false" outlineLevel="0" collapsed="false">
      <c r="K12" s="1" t="n">
        <v>666506</v>
      </c>
      <c r="L12" s="3" t="n">
        <f aca="false" t="array" ref="L12:L12">SUM(E$4:E$7*$N$4:$N$7)</f>
        <v>735</v>
      </c>
      <c r="M12" s="3" t="n">
        <f aca="false" t="array" ref="M12:M12">SUM(F$4:F$7*$N$4:$N$7)</f>
        <v>760</v>
      </c>
      <c r="N12" s="3" t="n">
        <f aca="false" t="array" ref="N12:N12">SUM(G$4:G$7*$N$4:$N$7)</f>
        <v>805</v>
      </c>
      <c r="O12" s="3" t="n">
        <f aca="false" t="array" ref="O12:O12">SUM(H$4:H$7*$N$4:$N$7)</f>
        <v>855</v>
      </c>
      <c r="P12" s="3" t="n">
        <f aca="false" t="array" ref="P12:P12">SUM(I$4:I$7*$N$4:$N$7)</f>
        <v>888</v>
      </c>
      <c r="R12" s="4" t="n">
        <v>0.45</v>
      </c>
      <c r="S12" s="4" t="n">
        <v>0.25</v>
      </c>
    </row>
    <row r="13" customFormat="false" ht="14.25" hidden="false" customHeight="false" outlineLevel="0" collapsed="false">
      <c r="K13" s="1" t="n">
        <v>666541</v>
      </c>
      <c r="L13" s="3" t="n">
        <f aca="false" t="array" ref="L13:L13">SUM(E$4:E$7*$O$4:$O$7)</f>
        <v>1800</v>
      </c>
      <c r="M13" s="3" t="n">
        <f aca="false" t="array" ref="M13:M13">SUM(F$4:F$7*$O$4:$O$7)</f>
        <v>1950</v>
      </c>
      <c r="N13" s="3" t="n">
        <f aca="false" t="array" ref="N13:N13">SUM(G$4:G$7*$O$4:$O$7)</f>
        <v>2050</v>
      </c>
      <c r="O13" s="3" t="n">
        <f aca="false" t="array" ref="O13:O13">SUM(H$4:H$7*$O$4:$O$7)</f>
        <v>2075</v>
      </c>
      <c r="P13" s="3" t="n">
        <f aca="false" t="array" ref="P13:P13">SUM(I$4:I$7*$O$4:$O$7)</f>
        <v>2050</v>
      </c>
      <c r="R13" s="4" t="n">
        <v>0.45</v>
      </c>
      <c r="S13" s="4" t="n">
        <v>0.25</v>
      </c>
    </row>
    <row r="14" customFormat="false" ht="14.25" hidden="false" customHeight="false" outlineLevel="0" collapsed="false">
      <c r="F14" s="0" t="n">
        <v>13</v>
      </c>
      <c r="H14" s="5" t="s">
        <v>14</v>
      </c>
      <c r="L14" s="5" t="s">
        <v>15</v>
      </c>
    </row>
    <row r="15" customFormat="false" ht="14.25" hidden="false" customHeight="false" outlineLevel="0" collapsed="false">
      <c r="E15" s="0" t="s">
        <v>16</v>
      </c>
      <c r="F15" s="0" t="s">
        <v>17</v>
      </c>
      <c r="G15" s="0" t="s">
        <v>18</v>
      </c>
      <c r="H15" s="6" t="s">
        <v>19</v>
      </c>
      <c r="I15" s="3" t="s">
        <v>20</v>
      </c>
      <c r="J15" s="6" t="s">
        <v>21</v>
      </c>
    </row>
    <row r="16" customFormat="false" ht="14.25" hidden="false" customHeight="false" outlineLevel="0" collapsed="false">
      <c r="D16" s="0" t="s">
        <v>22</v>
      </c>
      <c r="E16" s="0" t="n">
        <v>2500</v>
      </c>
      <c r="F16" s="0" t="n">
        <f aca="false">E16*$F$14</f>
        <v>32500</v>
      </c>
      <c r="G16" s="7" t="n">
        <f aca="false">SUMPRODUCT(L$10:L$13,R$10:R$13)/SUM(L$10:L$13)</f>
        <v>0.768110882956879</v>
      </c>
      <c r="H16" s="8" t="n">
        <f aca="false">F16*G16</f>
        <v>24963.6036960986</v>
      </c>
      <c r="I16" s="7" t="n">
        <f aca="false">SUMPRODUCT(L$10:L$13,S$10:S$13)/SUM(L$10:L$13)</f>
        <v>0.689835728952772</v>
      </c>
      <c r="J16" s="8" t="n">
        <f aca="false">H16*I16</f>
        <v>17220.7857529863</v>
      </c>
    </row>
    <row r="17" customFormat="false" ht="14.25" hidden="false" customHeight="false" outlineLevel="0" collapsed="false">
      <c r="D17" s="0" t="s">
        <v>23</v>
      </c>
      <c r="E17" s="0" t="n">
        <v>180</v>
      </c>
      <c r="F17" s="0" t="n">
        <f aca="false">E17*$F$14</f>
        <v>2340</v>
      </c>
      <c r="G17" s="7" t="n">
        <f aca="false">SUMPRODUCT(L$10:L$13,R$10:R$13)/SUM(L$10:L$13)</f>
        <v>0.768110882956879</v>
      </c>
      <c r="H17" s="8" t="n">
        <f aca="false">F17*G17</f>
        <v>1797.3794661191</v>
      </c>
      <c r="I17" s="7" t="n">
        <f aca="false">SUMPRODUCT(L$10:L$13,S$10:S$13)/SUM(L$10:L$13)</f>
        <v>0.689835728952772</v>
      </c>
      <c r="J17" s="8" t="n">
        <f aca="false">H17*I17</f>
        <v>1239.89657421501</v>
      </c>
    </row>
    <row r="18" customFormat="false" ht="14.25" hidden="false" customHeight="false" outlineLevel="0" collapsed="false">
      <c r="D18" s="0" t="s">
        <v>24</v>
      </c>
      <c r="E18" s="0" t="n">
        <v>150</v>
      </c>
      <c r="F18" s="0" t="n">
        <f aca="false">E18*$F$14</f>
        <v>1950</v>
      </c>
      <c r="G18" s="7" t="n">
        <f aca="false">SUMPRODUCT(L$10:L$13,R$10:R$13)/SUM(L$10:L$13)</f>
        <v>0.768110882956879</v>
      </c>
      <c r="H18" s="8" t="n">
        <f aca="false">F18*G18</f>
        <v>1497.81622176591</v>
      </c>
      <c r="I18" s="7" t="n">
        <f aca="false">SUMPRODUCT(L$10:L$13,S$10:S$13)/SUM(L$10:L$13)</f>
        <v>0.689835728952772</v>
      </c>
      <c r="J18" s="8" t="n">
        <f aca="false">H18*I18</f>
        <v>1033.24714517918</v>
      </c>
    </row>
    <row r="19" customFormat="false" ht="14.25" hidden="false" customHeight="false" outlineLevel="0" collapsed="false">
      <c r="D19" s="0" t="s">
        <v>25</v>
      </c>
      <c r="E19" s="0" t="n">
        <v>400</v>
      </c>
      <c r="F19" s="0" t="n">
        <f aca="false">E19*$F$14</f>
        <v>5200</v>
      </c>
      <c r="G19" s="7" t="n">
        <f aca="false">SUMPRODUCT(L$10:L$13,R$10:R$13)/SUM(L$10:L$13)-10%</f>
        <v>0.668110882956879</v>
      </c>
      <c r="H19" s="8" t="n">
        <f aca="false">F19*G19</f>
        <v>3474.17659137577</v>
      </c>
      <c r="I19" s="7" t="n">
        <f aca="false">SUMPRODUCT(L$10:L$13,S$10:S$13)/SUM(L$10:L$13)</f>
        <v>0.689835728952772</v>
      </c>
      <c r="J19" s="8" t="n">
        <f aca="false">H19*I19</f>
        <v>2396.61114142236</v>
      </c>
    </row>
    <row r="22" customFormat="false" ht="14.25" hidden="false" customHeight="false" outlineLevel="0" collapsed="false">
      <c r="I22" s="0" t="s">
        <v>26</v>
      </c>
      <c r="L22" s="0" t="s">
        <v>26</v>
      </c>
    </row>
    <row r="23" customFormat="false" ht="14.25" hidden="false" customHeight="false" outlineLevel="0" collapsed="false">
      <c r="I23" s="0" t="s">
        <v>12</v>
      </c>
      <c r="J23" s="0" t="s">
        <v>27</v>
      </c>
      <c r="K23" s="0" t="s">
        <v>28</v>
      </c>
      <c r="L23" s="0" t="s">
        <v>29</v>
      </c>
      <c r="M23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B2:H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9" min="9" style="0" width="9"/>
  </cols>
  <sheetData>
    <row r="2" customFormat="false" ht="19.7" hidden="false" customHeight="false" outlineLevel="0" collapsed="false">
      <c r="B2" s="9" t="s">
        <v>31</v>
      </c>
    </row>
    <row r="3" customFormat="false" ht="15" hidden="false" customHeight="false" outlineLevel="0" collapsed="false">
      <c r="B3" s="10" t="str">
        <f aca="false">"Net harvested capacity covers peak quarterly demand "&amp;TEXT('Chart Data'!B14/MAX('Chart Data'!B21:F21),"0.0")&amp;"x; Martins carries "&amp;TEXT('Chart Data'!B10/'Chart Data'!B14,"0%")&amp;" of net supply."</f>
        <v>Net harvested capacity covers peak quarterly demand 2.6x; Martins carries 79% of net supply.</v>
      </c>
    </row>
    <row r="5" customFormat="false" ht="15" hidden="false" customHeight="false" outlineLevel="0" collapsed="false">
      <c r="B5" s="11" t="s">
        <v>32</v>
      </c>
      <c r="D5" s="11" t="s">
        <v>33</v>
      </c>
      <c r="F5" s="11" t="s">
        <v>34</v>
      </c>
      <c r="H5" s="11" t="s">
        <v>35</v>
      </c>
    </row>
    <row r="6" customFormat="false" ht="39.75" hidden="false" customHeight="true" outlineLevel="0" collapsed="false">
      <c r="B6" s="12" t="n">
        <f aca="false">'Chart Data'!B14/MAX('Chart Data'!B21:F21)</f>
        <v>2.59551109957349</v>
      </c>
      <c r="D6" s="13" t="n">
        <f aca="false">'Chart Data'!B14</f>
        <v>21890.5406138028</v>
      </c>
      <c r="F6" s="13" t="n">
        <f aca="false">MAX('Chart Data'!B21:F21)</f>
        <v>8434</v>
      </c>
      <c r="H6" s="14" t="n">
        <f aca="false">'Chart Data'!B10/'Chart Data'!B14</f>
        <v>0.786677042691578</v>
      </c>
    </row>
    <row r="7" customFormat="false" ht="15" hidden="false" customHeight="false" outlineLevel="0" collapsed="false">
      <c r="B7" s="15" t="str">
        <f aca="false">TEXT('Chart Data'!B14/'Chart Data'!B21,"0.0")&amp;"x at "&amp;'Chart Data'!B4</f>
        <v>3.0x at Q4'26</v>
      </c>
      <c r="D7" s="15" t="s">
        <v>36</v>
      </c>
      <c r="F7" s="15" t="str">
        <f aca="false">'Chart Data'!F4&amp;", +"&amp;TEXT(MAX('Chart Data'!B21:F21)/'Chart Data'!B21-1,"0%")&amp;" vs "&amp;'Chart Data'!B4</f>
        <v>Q4'27, +15% vs Q4'26</v>
      </c>
      <c r="H7" s="15" t="str">
        <f aca="false">TEXT('Chart Data'!B10,"#,##0.0,")&amp;"K of "&amp;TEXT('Chart Data'!B14,"#,##0.0,")&amp;"K per qtr"</f>
        <v>17.2K of 21.9K per qtr</v>
      </c>
    </row>
    <row r="54" customFormat="false" ht="15" hidden="false" customHeight="false" outlineLevel="0" collapsed="false">
      <c r="B54" s="16" t="s">
        <v>37</v>
      </c>
    </row>
    <row r="55" customFormat="false" ht="15" hidden="false" customHeight="false" outlineLevel="0" collapsed="false">
      <c r="B55" s="15" t="s">
        <v>38</v>
      </c>
    </row>
    <row r="56" customFormat="false" ht="15" hidden="false" customHeight="false" outlineLevel="0" collapsed="false">
      <c r="B56" s="15" t="str">
        <f aca="false">"Net at spec = gross kill x spec yield ("&amp;TEXT('Chart Data'!B9/'Chart Data'!B15,"0%")&amp;"); net harvested = net at spec x harvest yield ("&amp;TEXT('Chart Data'!B14/'Chart Data'!B9,"0%")&amp;"). 1 tissue unit = 1 pig equivalent."</f>
        <v>Net at spec = gross kill x spec yield (76%); net harvested = net at spec x harvest yield (69%). 1 tissue unit = 1 pig equivalent.</v>
      </c>
    </row>
    <row r="57" customFormat="false" ht="15" hidden="false" customHeight="false" outlineLevel="0" collapsed="false">
      <c r="B57" s="15" t="s">
        <v>39</v>
      </c>
    </row>
    <row r="59" customFormat="false" ht="15" hidden="false" customHeight="false" outlineLevel="0" collapsed="false">
      <c r="B59" s="17" t="s">
        <v>40</v>
      </c>
      <c r="C59" s="18" t="s">
        <v>41</v>
      </c>
      <c r="D59" s="18" t="s">
        <v>42</v>
      </c>
      <c r="E59" s="18" t="s">
        <v>43</v>
      </c>
    </row>
    <row r="60" customFormat="false" ht="15" hidden="false" customHeight="false" outlineLevel="0" collapsed="false">
      <c r="B60" s="19" t="str">
        <f aca="false">Sheet1!$D$16</f>
        <v>Martins</v>
      </c>
      <c r="C60" s="20" t="n">
        <f aca="false">'Chart Data'!B22</f>
        <v>32500</v>
      </c>
      <c r="D60" s="20" t="n">
        <f aca="false">'Chart Data'!B5</f>
        <v>24963.6036960986</v>
      </c>
      <c r="E60" s="20" t="n">
        <f aca="false">'Chart Data'!B10</f>
        <v>17220.7857529863</v>
      </c>
    </row>
    <row r="61" customFormat="false" ht="15" hidden="false" customHeight="false" outlineLevel="0" collapsed="false">
      <c r="B61" s="19" t="str">
        <f aca="false">Sheet1!$D$17</f>
        <v>Nahunta</v>
      </c>
      <c r="C61" s="20" t="n">
        <f aca="false">'Chart Data'!B23</f>
        <v>2340</v>
      </c>
      <c r="D61" s="20" t="n">
        <f aca="false">'Chart Data'!B6</f>
        <v>1797.3794661191</v>
      </c>
      <c r="E61" s="20" t="n">
        <f aca="false">'Chart Data'!B11</f>
        <v>1239.89657421501</v>
      </c>
    </row>
    <row r="62" customFormat="false" ht="15" hidden="false" customHeight="false" outlineLevel="0" collapsed="false">
      <c r="B62" s="19" t="str">
        <f aca="false">Sheet1!$D$18</f>
        <v>Customs</v>
      </c>
      <c r="C62" s="20" t="n">
        <f aca="false">'Chart Data'!B24</f>
        <v>1950</v>
      </c>
      <c r="D62" s="20" t="n">
        <f aca="false">'Chart Data'!B7</f>
        <v>1497.81622176591</v>
      </c>
      <c r="E62" s="20" t="n">
        <f aca="false">'Chart Data'!B12</f>
        <v>1033.24714517918</v>
      </c>
    </row>
    <row r="63" customFormat="false" ht="15" hidden="false" customHeight="false" outlineLevel="0" collapsed="false">
      <c r="B63" s="21" t="str">
        <f aca="false">Sheet1!$D$19</f>
        <v>Parks</v>
      </c>
      <c r="C63" s="22" t="n">
        <f aca="false">'Chart Data'!B25</f>
        <v>5200</v>
      </c>
      <c r="D63" s="22" t="n">
        <f aca="false">'Chart Data'!B8</f>
        <v>3474.17659137577</v>
      </c>
      <c r="E63" s="22" t="n">
        <f aca="false">'Chart Data'!B13</f>
        <v>2396.61114142236</v>
      </c>
    </row>
    <row r="64" customFormat="false" ht="15" hidden="false" customHeight="false" outlineLevel="0" collapsed="false">
      <c r="B64" s="23" t="s">
        <v>44</v>
      </c>
      <c r="C64" s="24" t="n">
        <f aca="false">'Chart Data'!B15</f>
        <v>41990</v>
      </c>
      <c r="D64" s="24" t="n">
        <f aca="false">'Chart Data'!B9</f>
        <v>31732.9759753593</v>
      </c>
      <c r="E64" s="24" t="n">
        <f aca="false">'Chart Data'!B14</f>
        <v>21890.5406138028</v>
      </c>
    </row>
    <row r="66" customFormat="false" ht="15" hidden="false" customHeight="false" outlineLevel="0" collapsed="false">
      <c r="B66" s="15" t="str">
        <f aca="false">"Demand (tissue units): "&amp;'Chart Data'!B4&amp;" "&amp;TEXT('Chart Data'!B21,"#,##0")&amp;"  -  "&amp;'Chart Data'!C4&amp;" "&amp;TEXT('Chart Data'!C21,"#,##0")&amp;"  -  "&amp;'Chart Data'!D4&amp;" "&amp;TEXT('Chart Data'!D21,"#,##0")&amp;"  -  "&amp;'Chart Data'!E4&amp;" "&amp;TEXT('Chart Data'!E21,"#,##0")&amp;"  -  "&amp;'Chart Data'!F4&amp;" "&amp;TEXT('Chart Data'!F21,"#,##0")</f>
        <v>Demand (tissue units): Q4'26 7,305  -  Q1'27 7,810  -  Q2'27 8,225  -  Q3'27 8,425  -  Q4'27 8,434</v>
      </c>
    </row>
    <row r="67" customFormat="false" ht="15" hidden="false" customHeight="false" outlineLevel="0" collapsed="false">
      <c r="B67" s="15" t="str">
        <f aca="false">"Coverage (net harvested / demand): "&amp;TEXT('Chart Data'!B14/'Chart Data'!B21,"0.0")&amp;"x  -  "&amp;TEXT('Chart Data'!B14/'Chart Data'!C21,"0.0")&amp;"x  -  "&amp;TEXT('Chart Data'!B14/'Chart Data'!D21,"0.0")&amp;"x  -  "&amp;TEXT('Chart Data'!B14/'Chart Data'!E21,"0.0")&amp;"x  -  "&amp;TEXT('Chart Data'!B14/'Chart Data'!F21,"0.0")&amp;"x"</f>
        <v>Coverage (net harvested / demand): 3.0x  -  2.8x  -  2.7x  -  2.6x  -  2.6x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AF7A"/>
    <pageSetUpPr fitToPage="false"/>
  </sheetPr>
  <dimension ref="B1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2"/>
    <col collapsed="false" customWidth="true" hidden="false" outlineLevel="0" max="4" min="4" style="0" width="22"/>
    <col collapsed="false" customWidth="true" hidden="false" outlineLevel="0" max="5" min="5" style="0" width="2"/>
    <col collapsed="false" customWidth="true" hidden="false" outlineLevel="0" max="6" min="6" style="0" width="22"/>
    <col collapsed="false" customWidth="true" hidden="false" outlineLevel="0" max="7" min="7" style="0" width="2"/>
    <col collapsed="false" customWidth="true" hidden="false" outlineLevel="0" max="8" min="8" style="0" width="22"/>
    <col collapsed="false" customWidth="true" hidden="false" outlineLevel="0" max="9" min="9" style="0" width="2"/>
    <col collapsed="false" customWidth="true" hidden="false" outlineLevel="0" max="10" min="10" style="0" width="22"/>
    <col collapsed="false" customWidth="true" hidden="false" outlineLevel="0" max="11" min="11" style="0" width="2"/>
    <col collapsed="false" customWidth="true" hidden="false" outlineLevel="0" max="12" min="12" style="0" width="22"/>
    <col collapsed="false" customWidth="true" hidden="false" outlineLevel="0" max="13" min="13" style="0" width="2"/>
    <col collapsed="false" customWidth="true" hidden="false" outlineLevel="0" max="14" min="14" style="0" width="22"/>
  </cols>
  <sheetData>
    <row r="1" customFormat="false" ht="19.7" hidden="false" customHeight="false" outlineLevel="0" collapsed="false">
      <c r="B1" s="9" t="s">
        <v>45</v>
      </c>
    </row>
    <row r="2" customFormat="false" ht="15" hidden="false" customHeight="false" outlineLevel="0" collapsed="false">
      <c r="B2" s="11" t="s">
        <v>46</v>
      </c>
    </row>
    <row r="4" customFormat="false" ht="15" hidden="false" customHeight="false" outlineLevel="0" collapsed="false">
      <c r="B4" s="25" t="s">
        <v>47</v>
      </c>
      <c r="D4" s="26" t="s">
        <v>48</v>
      </c>
      <c r="F4" s="27" t="s">
        <v>43</v>
      </c>
      <c r="H4" s="28" t="s">
        <v>34</v>
      </c>
      <c r="J4" s="29" t="s">
        <v>49</v>
      </c>
    </row>
    <row r="5" customFormat="false" ht="43.5" hidden="false" customHeight="true" outlineLevel="0" collapsed="false">
      <c r="B5" s="30" t="n">
        <f aca="false">'Chart Data'!B15</f>
        <v>41990</v>
      </c>
      <c r="D5" s="30" t="n">
        <f aca="false">'Chart Data'!B9</f>
        <v>31732.9759753593</v>
      </c>
      <c r="F5" s="30" t="n">
        <f aca="false">'Chart Data'!B14</f>
        <v>21890.5406138028</v>
      </c>
      <c r="H5" s="30" t="n">
        <f aca="false">MAX('Chart Data'!B21:F21)</f>
        <v>8434</v>
      </c>
      <c r="J5" s="31" t="n">
        <f aca="false">'Chart Data'!B14/MAX('Chart Data'!B21:F21)</f>
        <v>2.59551109957349</v>
      </c>
    </row>
    <row r="6" customFormat="false" ht="15" hidden="false" customHeight="false" outlineLevel="0" collapsed="false">
      <c r="B6" s="15" t="s">
        <v>50</v>
      </c>
      <c r="D6" s="15" t="str">
        <f aca="false">"pass spec: "&amp;TEXT('Chart Data'!B9/'Chart Data'!B15,"0%")&amp;" of gross"</f>
        <v>pass spec: 76% of gross</v>
      </c>
      <c r="F6" s="15" t="str">
        <f aca="false">TEXT('Chart Data'!B14/'Chart Data'!B9,"0%")&amp;" of spec survive harvest"</f>
        <v>69% of spec survive harvest</v>
      </c>
      <c r="H6" s="15" t="str">
        <f aca="false">'Chart Data'!F4&amp;", +"&amp;TEXT(MAX('Chart Data'!B21:F21)/'Chart Data'!B21-1,"0%")&amp;" vs "&amp;'Chart Data'!B4</f>
        <v>Q4'27, +15% vs Q4'26</v>
      </c>
      <c r="J6" s="32" t="str">
        <f aca="false">TEXT('Chart Data'!B14/'Chart Data'!B21,"0.0")&amp;"x at "&amp;'Chart Data'!B4</f>
        <v>3.0x at Q4'26</v>
      </c>
    </row>
    <row r="33" customFormat="false" ht="15" hidden="false" customHeight="false" outlineLevel="0" collapsed="false">
      <c r="B33" s="33" t="s">
        <v>51</v>
      </c>
    </row>
    <row r="34" customFormat="false" ht="15" hidden="false" customHeight="false" outlineLevel="0" collapsed="false">
      <c r="B34" s="34" t="s">
        <v>40</v>
      </c>
      <c r="C34" s="35"/>
      <c r="D34" s="36" t="s">
        <v>41</v>
      </c>
      <c r="E34" s="35"/>
      <c r="F34" s="36" t="s">
        <v>42</v>
      </c>
      <c r="G34" s="35"/>
      <c r="H34" s="36" t="s">
        <v>43</v>
      </c>
      <c r="I34" s="35"/>
      <c r="J34" s="36" t="s">
        <v>52</v>
      </c>
    </row>
    <row r="35" customFormat="false" ht="15" hidden="false" customHeight="false" outlineLevel="0" collapsed="false">
      <c r="B35" s="37" t="str">
        <f aca="false">Sheet1!$D$16</f>
        <v>Martins</v>
      </c>
      <c r="D35" s="20" t="n">
        <f aca="false">'Chart Data'!B22</f>
        <v>32500</v>
      </c>
      <c r="F35" s="20" t="n">
        <f aca="false">'Chart Data'!B5</f>
        <v>24963.6036960986</v>
      </c>
      <c r="H35" s="20" t="n">
        <f aca="false">'Chart Data'!B10</f>
        <v>17220.7857529863</v>
      </c>
      <c r="J35" s="38" t="n">
        <f aca="false">'Chart Data'!B10/'Chart Data'!B14</f>
        <v>0.786677042691578</v>
      </c>
    </row>
    <row r="36" customFormat="false" ht="15" hidden="false" customHeight="false" outlineLevel="0" collapsed="false">
      <c r="B36" s="39" t="str">
        <f aca="false">Sheet1!$D$17</f>
        <v>Nahunta</v>
      </c>
      <c r="D36" s="20" t="n">
        <f aca="false">'Chart Data'!B23</f>
        <v>2340</v>
      </c>
      <c r="F36" s="20" t="n">
        <f aca="false">'Chart Data'!B6</f>
        <v>1797.3794661191</v>
      </c>
      <c r="H36" s="20" t="n">
        <f aca="false">'Chart Data'!B11</f>
        <v>1239.89657421501</v>
      </c>
      <c r="J36" s="38" t="n">
        <f aca="false">'Chart Data'!B11/'Chart Data'!B14</f>
        <v>0.0566407470737936</v>
      </c>
    </row>
    <row r="37" customFormat="false" ht="15" hidden="false" customHeight="false" outlineLevel="0" collapsed="false">
      <c r="B37" s="40" t="str">
        <f aca="false">Sheet1!$D$18</f>
        <v>Customs</v>
      </c>
      <c r="D37" s="20" t="n">
        <f aca="false">'Chart Data'!B24</f>
        <v>1950</v>
      </c>
      <c r="F37" s="20" t="n">
        <f aca="false">'Chart Data'!B7</f>
        <v>1497.81622176591</v>
      </c>
      <c r="H37" s="20" t="n">
        <f aca="false">'Chart Data'!B12</f>
        <v>1033.24714517918</v>
      </c>
      <c r="J37" s="38" t="n">
        <f aca="false">'Chart Data'!B12/'Chart Data'!B14</f>
        <v>0.0472006225614947</v>
      </c>
    </row>
    <row r="38" customFormat="false" ht="15" hidden="false" customHeight="false" outlineLevel="0" collapsed="false">
      <c r="B38" s="41" t="str">
        <f aca="false">Sheet1!$D$19</f>
        <v>Parks</v>
      </c>
      <c r="D38" s="20" t="n">
        <f aca="false">'Chart Data'!B25</f>
        <v>5200</v>
      </c>
      <c r="F38" s="20" t="n">
        <f aca="false">'Chart Data'!B8</f>
        <v>3474.17659137577</v>
      </c>
      <c r="H38" s="20" t="n">
        <f aca="false">'Chart Data'!B13</f>
        <v>2396.61114142236</v>
      </c>
      <c r="J38" s="38" t="n">
        <f aca="false">'Chart Data'!B13/'Chart Data'!B14</f>
        <v>0.109481587673134</v>
      </c>
    </row>
    <row r="39" customFormat="false" ht="15" hidden="false" customHeight="false" outlineLevel="0" collapsed="false">
      <c r="B39" s="42" t="s">
        <v>44</v>
      </c>
      <c r="C39" s="43"/>
      <c r="D39" s="44" t="n">
        <f aca="false">'Chart Data'!B15</f>
        <v>41990</v>
      </c>
      <c r="E39" s="43"/>
      <c r="F39" s="44" t="n">
        <f aca="false">'Chart Data'!B9</f>
        <v>31732.9759753593</v>
      </c>
      <c r="G39" s="43"/>
      <c r="H39" s="44" t="n">
        <f aca="false">'Chart Data'!B14</f>
        <v>21890.5406138028</v>
      </c>
      <c r="I39" s="43"/>
      <c r="J39" s="45" t="n">
        <f aca="false">SUM(J35:J38)</f>
        <v>1</v>
      </c>
    </row>
    <row r="42" customFormat="false" ht="15" hidden="false" customHeight="false" outlineLevel="0" collapsed="false">
      <c r="B42" s="33" t="s">
        <v>53</v>
      </c>
    </row>
    <row r="43" customFormat="false" ht="15" hidden="false" customHeight="false" outlineLevel="0" collapsed="false">
      <c r="B43" s="35"/>
      <c r="C43" s="35"/>
      <c r="D43" s="36" t="str">
        <f aca="false">'Chart Data'!B4</f>
        <v>Q4'26</v>
      </c>
      <c r="E43" s="35"/>
      <c r="F43" s="36" t="str">
        <f aca="false">'Chart Data'!C4</f>
        <v>Q1'27</v>
      </c>
      <c r="G43" s="35"/>
      <c r="H43" s="36" t="str">
        <f aca="false">'Chart Data'!D4</f>
        <v>Q2'27</v>
      </c>
      <c r="I43" s="35"/>
      <c r="J43" s="36" t="str">
        <f aca="false">'Chart Data'!E4</f>
        <v>Q3'27</v>
      </c>
      <c r="K43" s="35"/>
      <c r="L43" s="36" t="str">
        <f aca="false">'Chart Data'!F4</f>
        <v>Q4'27</v>
      </c>
    </row>
    <row r="44" customFormat="false" ht="15" hidden="false" customHeight="false" outlineLevel="0" collapsed="false">
      <c r="B44" s="19" t="s">
        <v>54</v>
      </c>
      <c r="D44" s="20" t="n">
        <f aca="false">'Chart Data'!B21</f>
        <v>7305</v>
      </c>
      <c r="F44" s="20" t="n">
        <f aca="false">'Chart Data'!C21</f>
        <v>7810</v>
      </c>
      <c r="H44" s="20" t="n">
        <f aca="false">'Chart Data'!D21</f>
        <v>8225</v>
      </c>
      <c r="J44" s="20" t="n">
        <f aca="false">'Chart Data'!E21</f>
        <v>8425</v>
      </c>
      <c r="L44" s="20" t="n">
        <f aca="false">'Chart Data'!F21</f>
        <v>8434</v>
      </c>
    </row>
    <row r="45" customFormat="false" ht="15" hidden="false" customHeight="false" outlineLevel="0" collapsed="false">
      <c r="B45" s="19" t="s">
        <v>55</v>
      </c>
      <c r="D45" s="46" t="n">
        <f aca="false">'Chart Data'!B14/'Chart Data'!B21</f>
        <v>2.99665169251236</v>
      </c>
      <c r="F45" s="46" t="n">
        <f aca="false">'Chart Data'!B14/'Chart Data'!C21</f>
        <v>2.80288612212584</v>
      </c>
      <c r="H45" s="46" t="n">
        <f aca="false">'Chart Data'!B14/'Chart Data'!D21</f>
        <v>2.66146390441372</v>
      </c>
      <c r="J45" s="46" t="n">
        <f aca="false">'Chart Data'!B14/'Chart Data'!E21</f>
        <v>2.59828375238016</v>
      </c>
      <c r="L45" s="46" t="n">
        <f aca="false">'Chart Data'!B14/'Chart Data'!F21</f>
        <v>2.59551109957349</v>
      </c>
    </row>
    <row r="47" customFormat="false" ht="15" hidden="false" customHeight="false" outlineLevel="0" collapsed="false">
      <c r="B47" s="47" t="str">
        <f aca="false">"Demand counted at 1 tissue unit = 1 pig equivalent; coverage = net harvested / demand. Net harvested = spec-passed x "&amp;TEXT('Chart Data'!B14/'Chart Data'!B9,"0%")&amp;" harvest yield."</f>
        <v>Demand counted at 1 tissue unit = 1 pig equivalent; coverage = net harvested / demand. Net harvested = spec-passed x 69% harvest yield.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A100"/>
    <pageSetUpPr fitToPage="false"/>
  </sheetPr>
  <dimension ref="B1:O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5" min="12" style="0" width="10"/>
  </cols>
  <sheetData>
    <row r="1" customFormat="false" ht="19.7" hidden="false" customHeight="false" outlineLevel="0" collapsed="false">
      <c r="B1" s="9" t="s">
        <v>56</v>
      </c>
    </row>
    <row r="2" customFormat="false" ht="15" hidden="false" customHeight="false" outlineLevel="0" collapsed="false">
      <c r="B2" s="11" t="str">
        <f aca="false">"Pigs per quarter; supply flat, demand rising "&amp;TEXT('Chart Data'!B21,"#,##0")&amp;" to "&amp;TEXT('Chart Data'!F21,"#,##0")&amp;"."</f>
        <v>Pigs per quarter; supply flat, demand rising 7,305 to 8,434.</v>
      </c>
    </row>
    <row r="4" customFormat="false" ht="15" hidden="false" customHeight="false" outlineLevel="0" collapsed="false">
      <c r="B4" s="11" t="s">
        <v>32</v>
      </c>
      <c r="E4" s="11" t="s">
        <v>57</v>
      </c>
      <c r="H4" s="11" t="s">
        <v>58</v>
      </c>
      <c r="K4" s="11" t="s">
        <v>35</v>
      </c>
    </row>
    <row r="5" customFormat="false" ht="39.75" hidden="false" customHeight="true" outlineLevel="0" collapsed="false">
      <c r="B5" s="12" t="n">
        <f aca="false">'Chart Data'!B14/MAX('Chart Data'!B21:F21)</f>
        <v>2.59551109957349</v>
      </c>
      <c r="E5" s="48" t="n">
        <f aca="false">'Chart Data'!B14</f>
        <v>21890.5406138028</v>
      </c>
      <c r="H5" s="14" t="n">
        <f aca="false">'Chart Data'!B14/'Chart Data'!B15</f>
        <v>0.521327473536624</v>
      </c>
      <c r="K5" s="14" t="n">
        <f aca="false">'Chart Data'!B10/'Chart Data'!B14</f>
        <v>0.786677042691578</v>
      </c>
    </row>
    <row r="6" customFormat="false" ht="15" hidden="false" customHeight="false" outlineLevel="0" collapsed="false">
      <c r="B6" s="15" t="str">
        <f aca="false">TEXT('Chart Data'!B14-MAX('Chart Data'!B21:F21),"#,##0")&amp;" pigs/qtr headroom at peak"</f>
        <v>13,457 pigs/qtr headroom at peak</v>
      </c>
      <c r="E6" s="15" t="s">
        <v>59</v>
      </c>
      <c r="H6" s="15" t="str">
        <f aca="false">"spec "&amp;TEXT('Chart Data'!B9/'Chart Data'!B15,"0%")&amp;" x harvest "&amp;TEXT('Chart Data'!B14/'Chart Data'!B9,"0%")</f>
        <v>spec 76% x harvest 69%</v>
      </c>
      <c r="K6" s="15" t="str">
        <f aca="false">TEXT('Chart Data'!B10,"#,##0")&amp;" of "&amp;TEXT('Chart Data'!B14,"#,##0")</f>
        <v>17,221 of 21,891</v>
      </c>
    </row>
    <row r="28" customFormat="false" ht="15" hidden="false" customHeight="false" outlineLevel="0" collapsed="false">
      <c r="B28" s="33" t="s">
        <v>60</v>
      </c>
      <c r="J28" s="33" t="s">
        <v>61</v>
      </c>
    </row>
    <row r="29" customFormat="false" ht="15" hidden="false" customHeight="false" outlineLevel="0" collapsed="false">
      <c r="B29" s="34" t="s">
        <v>40</v>
      </c>
      <c r="C29" s="36" t="s">
        <v>41</v>
      </c>
      <c r="D29" s="36" t="s">
        <v>42</v>
      </c>
      <c r="E29" s="36" t="s">
        <v>43</v>
      </c>
      <c r="J29" s="34" t="s">
        <v>62</v>
      </c>
      <c r="K29" s="36" t="str">
        <f aca="false">'Chart Data'!B4</f>
        <v>Q4'26</v>
      </c>
      <c r="L29" s="36" t="str">
        <f aca="false">'Chart Data'!C4</f>
        <v>Q1'27</v>
      </c>
      <c r="M29" s="36" t="str">
        <f aca="false">'Chart Data'!D4</f>
        <v>Q2'27</v>
      </c>
      <c r="N29" s="36" t="str">
        <f aca="false">'Chart Data'!E4</f>
        <v>Q3'27</v>
      </c>
      <c r="O29" s="36" t="str">
        <f aca="false">'Chart Data'!F4</f>
        <v>Q4'27</v>
      </c>
    </row>
    <row r="30" customFormat="false" ht="15" hidden="false" customHeight="false" outlineLevel="0" collapsed="false">
      <c r="B30" s="19" t="str">
        <f aca="false">Sheet1!$D$16</f>
        <v>Martins</v>
      </c>
      <c r="C30" s="20" t="n">
        <f aca="false">'Chart Data'!B22</f>
        <v>32500</v>
      </c>
      <c r="D30" s="20" t="n">
        <f aca="false">'Chart Data'!B5</f>
        <v>24963.6036960986</v>
      </c>
      <c r="E30" s="20" t="n">
        <f aca="false">'Chart Data'!B10</f>
        <v>17220.7857529863</v>
      </c>
      <c r="J30" s="19" t="n">
        <f aca="false">Sheet1!$K$10</f>
        <v>666501</v>
      </c>
      <c r="K30" s="20" t="n">
        <f aca="false">'Chart Data'!B17</f>
        <v>2970</v>
      </c>
      <c r="L30" s="20" t="n">
        <f aca="false">'Chart Data'!C17</f>
        <v>3150</v>
      </c>
      <c r="M30" s="20" t="n">
        <f aca="false">'Chart Data'!D17</f>
        <v>3320</v>
      </c>
      <c r="N30" s="20" t="n">
        <f aca="false">'Chart Data'!E17</f>
        <v>3420</v>
      </c>
      <c r="O30" s="20" t="n">
        <f aca="false">'Chart Data'!F17</f>
        <v>3446</v>
      </c>
    </row>
    <row r="31" customFormat="false" ht="15" hidden="false" customHeight="false" outlineLevel="0" collapsed="false">
      <c r="B31" s="19" t="str">
        <f aca="false">Sheet1!$D$17</f>
        <v>Nahunta</v>
      </c>
      <c r="C31" s="20" t="n">
        <f aca="false">'Chart Data'!B23</f>
        <v>2340</v>
      </c>
      <c r="D31" s="20" t="n">
        <f aca="false">'Chart Data'!B6</f>
        <v>1797.3794661191</v>
      </c>
      <c r="E31" s="20" t="n">
        <f aca="false">'Chart Data'!B11</f>
        <v>1239.89657421501</v>
      </c>
      <c r="J31" s="19" t="n">
        <f aca="false">Sheet1!$K$11</f>
        <v>666502</v>
      </c>
      <c r="K31" s="20" t="n">
        <f aca="false">'Chart Data'!B18</f>
        <v>1800</v>
      </c>
      <c r="L31" s="20" t="n">
        <f aca="false">'Chart Data'!C18</f>
        <v>1950</v>
      </c>
      <c r="M31" s="20" t="n">
        <f aca="false">'Chart Data'!D18</f>
        <v>2050</v>
      </c>
      <c r="N31" s="20" t="n">
        <f aca="false">'Chart Data'!E18</f>
        <v>2075</v>
      </c>
      <c r="O31" s="20" t="n">
        <f aca="false">'Chart Data'!F18</f>
        <v>2050</v>
      </c>
    </row>
    <row r="32" customFormat="false" ht="15" hidden="false" customHeight="false" outlineLevel="0" collapsed="false">
      <c r="B32" s="19" t="str">
        <f aca="false">Sheet1!$D$18</f>
        <v>Customs</v>
      </c>
      <c r="C32" s="20" t="n">
        <f aca="false">'Chart Data'!B24</f>
        <v>1950</v>
      </c>
      <c r="D32" s="20" t="n">
        <f aca="false">'Chart Data'!B7</f>
        <v>1497.81622176591</v>
      </c>
      <c r="E32" s="20" t="n">
        <f aca="false">'Chart Data'!B12</f>
        <v>1033.24714517918</v>
      </c>
      <c r="J32" s="19" t="n">
        <f aca="false">Sheet1!$K$12</f>
        <v>666506</v>
      </c>
      <c r="K32" s="20" t="n">
        <f aca="false">'Chart Data'!B19</f>
        <v>735</v>
      </c>
      <c r="L32" s="20" t="n">
        <f aca="false">'Chart Data'!C19</f>
        <v>760</v>
      </c>
      <c r="M32" s="20" t="n">
        <f aca="false">'Chart Data'!D19</f>
        <v>805</v>
      </c>
      <c r="N32" s="20" t="n">
        <f aca="false">'Chart Data'!E19</f>
        <v>855</v>
      </c>
      <c r="O32" s="20" t="n">
        <f aca="false">'Chart Data'!F19</f>
        <v>888</v>
      </c>
    </row>
    <row r="33" customFormat="false" ht="15" hidden="false" customHeight="false" outlineLevel="0" collapsed="false">
      <c r="B33" s="19" t="str">
        <f aca="false">Sheet1!$D$19</f>
        <v>Parks</v>
      </c>
      <c r="C33" s="20" t="n">
        <f aca="false">'Chart Data'!B25</f>
        <v>5200</v>
      </c>
      <c r="D33" s="20" t="n">
        <f aca="false">'Chart Data'!B8</f>
        <v>3474.17659137577</v>
      </c>
      <c r="E33" s="20" t="n">
        <f aca="false">'Chart Data'!B13</f>
        <v>2396.61114142236</v>
      </c>
      <c r="J33" s="19" t="n">
        <f aca="false">Sheet1!$K$13</f>
        <v>666541</v>
      </c>
      <c r="K33" s="20" t="n">
        <f aca="false">'Chart Data'!B20</f>
        <v>1800</v>
      </c>
      <c r="L33" s="20" t="n">
        <f aca="false">'Chart Data'!C20</f>
        <v>1950</v>
      </c>
      <c r="M33" s="20" t="n">
        <f aca="false">'Chart Data'!D20</f>
        <v>2050</v>
      </c>
      <c r="N33" s="20" t="n">
        <f aca="false">'Chart Data'!E20</f>
        <v>2075</v>
      </c>
      <c r="O33" s="20" t="n">
        <f aca="false">'Chart Data'!F20</f>
        <v>2050</v>
      </c>
    </row>
    <row r="34" customFormat="false" ht="15" hidden="false" customHeight="false" outlineLevel="0" collapsed="false">
      <c r="B34" s="42" t="s">
        <v>44</v>
      </c>
      <c r="C34" s="44" t="n">
        <f aca="false">'Chart Data'!B15</f>
        <v>41990</v>
      </c>
      <c r="D34" s="44" t="n">
        <f aca="false">'Chart Data'!B9</f>
        <v>31732.9759753593</v>
      </c>
      <c r="E34" s="44" t="n">
        <f aca="false">'Chart Data'!B14</f>
        <v>21890.5406138028</v>
      </c>
      <c r="J34" s="42" t="s">
        <v>44</v>
      </c>
      <c r="K34" s="44" t="n">
        <f aca="false">'Chart Data'!B21</f>
        <v>7305</v>
      </c>
      <c r="L34" s="44" t="n">
        <f aca="false">'Chart Data'!C21</f>
        <v>7810</v>
      </c>
      <c r="M34" s="44" t="n">
        <f aca="false">'Chart Data'!D21</f>
        <v>8225</v>
      </c>
      <c r="N34" s="44" t="n">
        <f aca="false">'Chart Data'!E21</f>
        <v>8425</v>
      </c>
      <c r="O34" s="44" t="n">
        <f aca="false">'Chart Data'!F21</f>
        <v>8434</v>
      </c>
    </row>
    <row r="37" customFormat="false" ht="15" hidden="false" customHeight="false" outlineLevel="0" collapsed="false">
      <c r="B37" s="47" t="str">
        <f aca="false">"Yields: "&amp;TEXT('Chart Data'!B15,"#,##0")&amp;" gross x "&amp;TEXT('Chart Data'!B9/'Chart Data'!B15,"0%")&amp;" spec = "&amp;TEXT('Chart Data'!B9,"#,##0")&amp;"; x "&amp;TEXT('Chart Data'!B14/'Chart Data'!B9,"0%")&amp;" harvest = "&amp;TEXT('Chart Data'!B14,"#,##0")&amp;" available per quarter."</f>
        <v>Yields: 41,990 gross x 76% spec = 31,733; x 69% harvest = 21,891 available per quarter.</v>
      </c>
    </row>
    <row r="38" customFormat="false" ht="15" hidden="false" customHeight="false" outlineLevel="0" collapsed="false">
      <c r="B38" s="49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1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12" min="9" style="0" width="15"/>
  </cols>
  <sheetData>
    <row r="1" customFormat="false" ht="16.15" hidden="false" customHeight="false" outlineLevel="0" collapsed="false">
      <c r="A1" s="50" t="s">
        <v>64</v>
      </c>
    </row>
    <row r="2" customFormat="false" ht="39.75" hidden="false" customHeight="true" outlineLevel="0" collapsed="false">
      <c r="A2" s="51" t="s">
        <v>65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customFormat="false" ht="15" hidden="false" customHeight="false" outlineLevel="0" collapsed="false">
      <c r="H3" s="52" t="s">
        <v>66</v>
      </c>
    </row>
    <row r="4" customFormat="false" ht="41.75" hidden="false" customHeight="false" outlineLevel="0" collapsed="false">
      <c r="A4" s="53" t="s">
        <v>67</v>
      </c>
      <c r="B4" s="54" t="str">
        <f aca="false">Sheet1!L9</f>
        <v>Q4'26</v>
      </c>
      <c r="C4" s="54" t="str">
        <f aca="false">Sheet1!M9</f>
        <v>Q1'27</v>
      </c>
      <c r="D4" s="54" t="str">
        <f aca="false">Sheet1!N9</f>
        <v>Q2'27</v>
      </c>
      <c r="E4" s="54" t="str">
        <f aca="false">Sheet1!O9</f>
        <v>Q3'27</v>
      </c>
      <c r="F4" s="54" t="str">
        <f aca="false">Sheet1!P9</f>
        <v>Q4'27</v>
      </c>
      <c r="H4" s="55"/>
      <c r="I4" s="56" t="str">
        <f aca="false">"Gross kill"&amp;CHAR(10)&amp;TEXT(B15,"#,##0")</f>
        <v>Gross kill
41,990</v>
      </c>
      <c r="J4" s="56" t="str">
        <f aca="false">"After spec yield"&amp;CHAR(10)&amp;TEXT(B9,"#,##0")&amp;"  (-"&amp;TEXT(1-B9/B15,"0%")&amp;")"</f>
        <v>After spec yield
31,733  (-24%)</v>
      </c>
      <c r="K4" s="56" t="str">
        <f aca="false">"After harvest yield"&amp;CHAR(10)&amp;TEXT(B14,"#,##0")&amp;"  (-"&amp;TEXT(1-B14/B9,"0%")&amp;")"</f>
        <v>After harvest yield
21,891  (-31%)</v>
      </c>
      <c r="L4" s="56" t="str">
        <f aca="false">"Peak demand Q4'27"&amp;CHAR(10)&amp;TEXT(F21,"#,##0")</f>
        <v>Peak demand Q4'27
8,434</v>
      </c>
    </row>
    <row r="5" customFormat="false" ht="15" hidden="false" customHeight="false" outlineLevel="0" collapsed="false">
      <c r="A5" s="57" t="str">
        <f aca="false">Sheet1!$D$16&amp;" (net, spec yield)"</f>
        <v>Martins (net, spec yield)</v>
      </c>
      <c r="B5" s="58" t="n">
        <f aca="false">Sheet1!$H$16</f>
        <v>24963.6036960986</v>
      </c>
      <c r="C5" s="58" t="n">
        <f aca="false">Sheet1!$H$16</f>
        <v>24963.6036960986</v>
      </c>
      <c r="D5" s="58" t="n">
        <f aca="false">Sheet1!$H$16</f>
        <v>24963.6036960986</v>
      </c>
      <c r="E5" s="58" t="n">
        <f aca="false">Sheet1!$H$16</f>
        <v>24963.6036960986</v>
      </c>
      <c r="F5" s="58" t="n">
        <f aca="false">Sheet1!$H$16</f>
        <v>24963.6036960986</v>
      </c>
      <c r="H5" s="57" t="str">
        <f aca="false">Sheet1!$D$16</f>
        <v>Martins</v>
      </c>
      <c r="I5" s="58" t="n">
        <f aca="false">B22</f>
        <v>32500</v>
      </c>
      <c r="J5" s="58" t="n">
        <f aca="false">B5</f>
        <v>24963.6036960986</v>
      </c>
      <c r="K5" s="58" t="n">
        <f aca="false">B10</f>
        <v>17220.7857529863</v>
      </c>
      <c r="L5" s="55"/>
    </row>
    <row r="6" customFormat="false" ht="15" hidden="false" customHeight="false" outlineLevel="0" collapsed="false">
      <c r="A6" s="57" t="str">
        <f aca="false">Sheet1!$D$17&amp;" (net, spec yield)"</f>
        <v>Nahunta (net, spec yield)</v>
      </c>
      <c r="B6" s="58" t="n">
        <f aca="false">Sheet1!$H$17</f>
        <v>1797.3794661191</v>
      </c>
      <c r="C6" s="58" t="n">
        <f aca="false">Sheet1!$H$17</f>
        <v>1797.3794661191</v>
      </c>
      <c r="D6" s="58" t="n">
        <f aca="false">Sheet1!$H$17</f>
        <v>1797.3794661191</v>
      </c>
      <c r="E6" s="58" t="n">
        <f aca="false">Sheet1!$H$17</f>
        <v>1797.3794661191</v>
      </c>
      <c r="F6" s="58" t="n">
        <f aca="false">Sheet1!$H$17</f>
        <v>1797.3794661191</v>
      </c>
      <c r="H6" s="57" t="str">
        <f aca="false">Sheet1!$D$17</f>
        <v>Nahunta</v>
      </c>
      <c r="I6" s="58" t="n">
        <f aca="false">B23</f>
        <v>2340</v>
      </c>
      <c r="J6" s="58" t="n">
        <f aca="false">B6</f>
        <v>1797.3794661191</v>
      </c>
      <c r="K6" s="58" t="n">
        <f aca="false">B11</f>
        <v>1239.89657421501</v>
      </c>
      <c r="L6" s="55"/>
    </row>
    <row r="7" customFormat="false" ht="15" hidden="false" customHeight="false" outlineLevel="0" collapsed="false">
      <c r="A7" s="57" t="str">
        <f aca="false">Sheet1!$D$18&amp;" (net, spec yield)"</f>
        <v>Customs (net, spec yield)</v>
      </c>
      <c r="B7" s="58" t="n">
        <f aca="false">Sheet1!$H$18</f>
        <v>1497.81622176591</v>
      </c>
      <c r="C7" s="58" t="n">
        <f aca="false">Sheet1!$H$18</f>
        <v>1497.81622176591</v>
      </c>
      <c r="D7" s="58" t="n">
        <f aca="false">Sheet1!$H$18</f>
        <v>1497.81622176591</v>
      </c>
      <c r="E7" s="58" t="n">
        <f aca="false">Sheet1!$H$18</f>
        <v>1497.81622176591</v>
      </c>
      <c r="F7" s="58" t="n">
        <f aca="false">Sheet1!$H$18</f>
        <v>1497.81622176591</v>
      </c>
      <c r="H7" s="57" t="str">
        <f aca="false">Sheet1!$D$18</f>
        <v>Customs</v>
      </c>
      <c r="I7" s="58" t="n">
        <f aca="false">B24</f>
        <v>1950</v>
      </c>
      <c r="J7" s="58" t="n">
        <f aca="false">B7</f>
        <v>1497.81622176591</v>
      </c>
      <c r="K7" s="58" t="n">
        <f aca="false">B12</f>
        <v>1033.24714517918</v>
      </c>
      <c r="L7" s="55"/>
    </row>
    <row r="8" customFormat="false" ht="15" hidden="false" customHeight="false" outlineLevel="0" collapsed="false">
      <c r="A8" s="57" t="str">
        <f aca="false">Sheet1!$D$19&amp;" (net, spec yield)"</f>
        <v>Parks (net, spec yield)</v>
      </c>
      <c r="B8" s="58" t="n">
        <f aca="false">Sheet1!$H$19</f>
        <v>3474.17659137577</v>
      </c>
      <c r="C8" s="58" t="n">
        <f aca="false">Sheet1!$H$19</f>
        <v>3474.17659137577</v>
      </c>
      <c r="D8" s="58" t="n">
        <f aca="false">Sheet1!$H$19</f>
        <v>3474.17659137577</v>
      </c>
      <c r="E8" s="58" t="n">
        <f aca="false">Sheet1!$H$19</f>
        <v>3474.17659137577</v>
      </c>
      <c r="F8" s="58" t="n">
        <f aca="false">Sheet1!$H$19</f>
        <v>3474.17659137577</v>
      </c>
      <c r="H8" s="57" t="str">
        <f aca="false">Sheet1!$D$19</f>
        <v>Parks</v>
      </c>
      <c r="I8" s="58" t="n">
        <f aca="false">B25</f>
        <v>5200</v>
      </c>
      <c r="J8" s="58" t="n">
        <f aca="false">B8</f>
        <v>3474.17659137577</v>
      </c>
      <c r="K8" s="58" t="n">
        <f aca="false">B13</f>
        <v>2396.61114142236</v>
      </c>
      <c r="L8" s="55"/>
    </row>
    <row r="9" customFormat="false" ht="15" hidden="false" customHeight="false" outlineLevel="0" collapsed="false">
      <c r="A9" s="53" t="s">
        <v>68</v>
      </c>
      <c r="B9" s="59" t="n">
        <f aca="false">SUM(B5:B8)</f>
        <v>31732.9759753593</v>
      </c>
      <c r="C9" s="59" t="n">
        <f aca="false">SUM(C5:C8)</f>
        <v>31732.9759753593</v>
      </c>
      <c r="D9" s="59" t="n">
        <f aca="false">SUM(D5:D8)</f>
        <v>31732.9759753593</v>
      </c>
      <c r="E9" s="59" t="n">
        <f aca="false">SUM(E5:E8)</f>
        <v>31732.9759753593</v>
      </c>
      <c r="F9" s="59" t="n">
        <f aca="false">SUM(F5:F8)</f>
        <v>31732.9759753593</v>
      </c>
      <c r="H9" s="57" t="s">
        <v>69</v>
      </c>
      <c r="I9" s="55"/>
      <c r="J9" s="55"/>
      <c r="K9" s="55"/>
      <c r="L9" s="58" t="n">
        <f aca="false">F21</f>
        <v>8434</v>
      </c>
    </row>
    <row r="10" customFormat="false" ht="15" hidden="false" customHeight="false" outlineLevel="0" collapsed="false">
      <c r="A10" s="57" t="str">
        <f aca="false">Sheet1!$D$16&amp;" (net harvested)"</f>
        <v>Martins (net harvested)</v>
      </c>
      <c r="B10" s="58" t="n">
        <f aca="false">Sheet1!$J$16</f>
        <v>17220.7857529863</v>
      </c>
      <c r="C10" s="58" t="n">
        <f aca="false">Sheet1!$J$16</f>
        <v>17220.7857529863</v>
      </c>
      <c r="D10" s="58" t="n">
        <f aca="false">Sheet1!$J$16</f>
        <v>17220.7857529863</v>
      </c>
      <c r="E10" s="58" t="n">
        <f aca="false">Sheet1!$J$16</f>
        <v>17220.7857529863</v>
      </c>
      <c r="F10" s="58" t="n">
        <f aca="false">Sheet1!$J$16</f>
        <v>17220.7857529863</v>
      </c>
    </row>
    <row r="11" customFormat="false" ht="15" hidden="false" customHeight="false" outlineLevel="0" collapsed="false">
      <c r="A11" s="57" t="str">
        <f aca="false">Sheet1!$D$17&amp;" (net harvested)"</f>
        <v>Nahunta (net harvested)</v>
      </c>
      <c r="B11" s="58" t="n">
        <f aca="false">Sheet1!$J$17</f>
        <v>1239.89657421501</v>
      </c>
      <c r="C11" s="58" t="n">
        <f aca="false">Sheet1!$J$17</f>
        <v>1239.89657421501</v>
      </c>
      <c r="D11" s="58" t="n">
        <f aca="false">Sheet1!$J$17</f>
        <v>1239.89657421501</v>
      </c>
      <c r="E11" s="58" t="n">
        <f aca="false">Sheet1!$J$17</f>
        <v>1239.89657421501</v>
      </c>
      <c r="F11" s="58" t="n">
        <f aca="false">Sheet1!$J$17</f>
        <v>1239.89657421501</v>
      </c>
    </row>
    <row r="12" customFormat="false" ht="15" hidden="false" customHeight="false" outlineLevel="0" collapsed="false">
      <c r="A12" s="57" t="str">
        <f aca="false">Sheet1!$D$18&amp;" (net harvested)"</f>
        <v>Customs (net harvested)</v>
      </c>
      <c r="B12" s="58" t="n">
        <f aca="false">Sheet1!$J$18</f>
        <v>1033.24714517918</v>
      </c>
      <c r="C12" s="58" t="n">
        <f aca="false">Sheet1!$J$18</f>
        <v>1033.24714517918</v>
      </c>
      <c r="D12" s="58" t="n">
        <f aca="false">Sheet1!$J$18</f>
        <v>1033.24714517918</v>
      </c>
      <c r="E12" s="58" t="n">
        <f aca="false">Sheet1!$J$18</f>
        <v>1033.24714517918</v>
      </c>
      <c r="F12" s="58" t="n">
        <f aca="false">Sheet1!$J$18</f>
        <v>1033.24714517918</v>
      </c>
    </row>
    <row r="13" customFormat="false" ht="15" hidden="false" customHeight="false" outlineLevel="0" collapsed="false">
      <c r="A13" s="57" t="str">
        <f aca="false">Sheet1!$D$19&amp;" (net harvested)"</f>
        <v>Parks (net harvested)</v>
      </c>
      <c r="B13" s="58" t="n">
        <f aca="false">Sheet1!$J$19</f>
        <v>2396.61114142236</v>
      </c>
      <c r="C13" s="58" t="n">
        <f aca="false">Sheet1!$J$19</f>
        <v>2396.61114142236</v>
      </c>
      <c r="D13" s="58" t="n">
        <f aca="false">Sheet1!$J$19</f>
        <v>2396.61114142236</v>
      </c>
      <c r="E13" s="58" t="n">
        <f aca="false">Sheet1!$J$19</f>
        <v>2396.61114142236</v>
      </c>
      <c r="F13" s="58" t="n">
        <f aca="false">Sheet1!$J$19</f>
        <v>2396.61114142236</v>
      </c>
    </row>
    <row r="14" customFormat="false" ht="15" hidden="false" customHeight="false" outlineLevel="0" collapsed="false">
      <c r="A14" s="53" t="s">
        <v>70</v>
      </c>
      <c r="B14" s="59" t="n">
        <f aca="false">SUM(B10:B13)</f>
        <v>21890.5406138028</v>
      </c>
      <c r="C14" s="59" t="n">
        <f aca="false">SUM(C10:C13)</f>
        <v>21890.5406138028</v>
      </c>
      <c r="D14" s="59" t="n">
        <f aca="false">SUM(D10:D13)</f>
        <v>21890.5406138028</v>
      </c>
      <c r="E14" s="59" t="n">
        <f aca="false">SUM(E10:E13)</f>
        <v>21890.5406138028</v>
      </c>
      <c r="F14" s="59" t="n">
        <f aca="false">SUM(F10:F13)</f>
        <v>21890.5406138028</v>
      </c>
    </row>
    <row r="15" customFormat="false" ht="15" hidden="false" customHeight="false" outlineLevel="0" collapsed="false">
      <c r="A15" s="53" t="s">
        <v>71</v>
      </c>
      <c r="B15" s="59" t="n">
        <f aca="false">SUM(Sheet1!$F$16:$F$19)</f>
        <v>41990</v>
      </c>
      <c r="C15" s="59" t="n">
        <f aca="false">SUM(Sheet1!$F$16:$F$19)</f>
        <v>41990</v>
      </c>
      <c r="D15" s="59" t="n">
        <f aca="false">SUM(Sheet1!$F$16:$F$19)</f>
        <v>41990</v>
      </c>
      <c r="E15" s="59" t="n">
        <f aca="false">SUM(Sheet1!$F$16:$F$19)</f>
        <v>41990</v>
      </c>
      <c r="F15" s="59" t="n">
        <f aca="false">SUM(Sheet1!$F$16:$F$19)</f>
        <v>41990</v>
      </c>
    </row>
    <row r="16" customFormat="false" ht="15" hidden="false" customHeight="false" outlineLevel="0" collapsed="false">
      <c r="A16" s="57" t="s">
        <v>72</v>
      </c>
      <c r="B16" s="58" t="n">
        <f aca="false">B15-B9</f>
        <v>10257.0240246407</v>
      </c>
      <c r="C16" s="58" t="n">
        <f aca="false">C15-C9</f>
        <v>10257.0240246407</v>
      </c>
      <c r="D16" s="58" t="n">
        <f aca="false">D15-D9</f>
        <v>10257.0240246407</v>
      </c>
      <c r="E16" s="58" t="n">
        <f aca="false">E15-E9</f>
        <v>10257.0240246407</v>
      </c>
      <c r="F16" s="58" t="n">
        <f aca="false">F15-F9</f>
        <v>10257.0240246407</v>
      </c>
    </row>
    <row r="17" customFormat="false" ht="15" hidden="false" customHeight="false" outlineLevel="0" collapsed="false">
      <c r="A17" s="57" t="str">
        <f aca="false">"Demand "&amp;Sheet1!$K$10</f>
        <v>Demand 666501</v>
      </c>
      <c r="B17" s="58" t="n">
        <f aca="false">Sheet1!L10</f>
        <v>2970</v>
      </c>
      <c r="C17" s="58" t="n">
        <f aca="false">Sheet1!M10</f>
        <v>3150</v>
      </c>
      <c r="D17" s="58" t="n">
        <f aca="false">Sheet1!N10</f>
        <v>3320</v>
      </c>
      <c r="E17" s="58" t="n">
        <f aca="false">Sheet1!O10</f>
        <v>3420</v>
      </c>
      <c r="F17" s="58" t="n">
        <f aca="false">Sheet1!P10</f>
        <v>3446</v>
      </c>
    </row>
    <row r="18" customFormat="false" ht="15" hidden="false" customHeight="false" outlineLevel="0" collapsed="false">
      <c r="A18" s="57" t="str">
        <f aca="false">"Demand "&amp;Sheet1!$K$11</f>
        <v>Demand 666502</v>
      </c>
      <c r="B18" s="58" t="n">
        <f aca="false">Sheet1!L11</f>
        <v>1800</v>
      </c>
      <c r="C18" s="58" t="n">
        <f aca="false">Sheet1!M11</f>
        <v>1950</v>
      </c>
      <c r="D18" s="58" t="n">
        <f aca="false">Sheet1!N11</f>
        <v>2050</v>
      </c>
      <c r="E18" s="58" t="n">
        <f aca="false">Sheet1!O11</f>
        <v>2075</v>
      </c>
      <c r="F18" s="58" t="n">
        <f aca="false">Sheet1!P11</f>
        <v>2050</v>
      </c>
    </row>
    <row r="19" customFormat="false" ht="15" hidden="false" customHeight="false" outlineLevel="0" collapsed="false">
      <c r="A19" s="57" t="str">
        <f aca="false">"Demand "&amp;Sheet1!$K$12</f>
        <v>Demand 666506</v>
      </c>
      <c r="B19" s="58" t="n">
        <f aca="false">Sheet1!L12</f>
        <v>735</v>
      </c>
      <c r="C19" s="58" t="n">
        <f aca="false">Sheet1!M12</f>
        <v>760</v>
      </c>
      <c r="D19" s="58" t="n">
        <f aca="false">Sheet1!N12</f>
        <v>805</v>
      </c>
      <c r="E19" s="58" t="n">
        <f aca="false">Sheet1!O12</f>
        <v>855</v>
      </c>
      <c r="F19" s="58" t="n">
        <f aca="false">Sheet1!P12</f>
        <v>888</v>
      </c>
    </row>
    <row r="20" customFormat="false" ht="15" hidden="false" customHeight="false" outlineLevel="0" collapsed="false">
      <c r="A20" s="57" t="str">
        <f aca="false">"Demand "&amp;Sheet1!$K$13</f>
        <v>Demand 666541</v>
      </c>
      <c r="B20" s="58" t="n">
        <f aca="false">Sheet1!L13</f>
        <v>1800</v>
      </c>
      <c r="C20" s="58" t="n">
        <f aca="false">Sheet1!M13</f>
        <v>1950</v>
      </c>
      <c r="D20" s="58" t="n">
        <f aca="false">Sheet1!N13</f>
        <v>2050</v>
      </c>
      <c r="E20" s="58" t="n">
        <f aca="false">Sheet1!O13</f>
        <v>2075</v>
      </c>
      <c r="F20" s="58" t="n">
        <f aca="false">Sheet1!P13</f>
        <v>2050</v>
      </c>
    </row>
    <row r="21" customFormat="false" ht="15" hidden="false" customHeight="false" outlineLevel="0" collapsed="false">
      <c r="A21" s="53" t="s">
        <v>73</v>
      </c>
      <c r="B21" s="59" t="n">
        <f aca="false">SUM(B17:B20)</f>
        <v>7305</v>
      </c>
      <c r="C21" s="59" t="n">
        <f aca="false">SUM(C17:C20)</f>
        <v>7810</v>
      </c>
      <c r="D21" s="59" t="n">
        <f aca="false">SUM(D17:D20)</f>
        <v>8225</v>
      </c>
      <c r="E21" s="59" t="n">
        <f aca="false">SUM(E17:E20)</f>
        <v>8425</v>
      </c>
      <c r="F21" s="59" t="n">
        <f aca="false">SUM(F17:F20)</f>
        <v>8434</v>
      </c>
    </row>
    <row r="22" customFormat="false" ht="15" hidden="false" customHeight="false" outlineLevel="0" collapsed="false">
      <c r="A22" s="57" t="str">
        <f aca="false">Sheet1!$D$16&amp;" (gross kill)"</f>
        <v>Martins (gross kill)</v>
      </c>
      <c r="B22" s="58" t="n">
        <f aca="false">Sheet1!$F$16</f>
        <v>32500</v>
      </c>
      <c r="C22" s="58" t="n">
        <f aca="false">Sheet1!$F$16</f>
        <v>32500</v>
      </c>
      <c r="D22" s="58" t="n">
        <f aca="false">Sheet1!$F$16</f>
        <v>32500</v>
      </c>
      <c r="E22" s="58" t="n">
        <f aca="false">Sheet1!$F$16</f>
        <v>32500</v>
      </c>
      <c r="F22" s="58" t="n">
        <f aca="false">Sheet1!$F$16</f>
        <v>32500</v>
      </c>
    </row>
    <row r="23" customFormat="false" ht="15" hidden="false" customHeight="false" outlineLevel="0" collapsed="false">
      <c r="A23" s="57" t="str">
        <f aca="false">Sheet1!$D$17&amp;" (gross kill)"</f>
        <v>Nahunta (gross kill)</v>
      </c>
      <c r="B23" s="58" t="n">
        <f aca="false">Sheet1!$F$17</f>
        <v>2340</v>
      </c>
      <c r="C23" s="58" t="n">
        <f aca="false">Sheet1!$F$17</f>
        <v>2340</v>
      </c>
      <c r="D23" s="58" t="n">
        <f aca="false">Sheet1!$F$17</f>
        <v>2340</v>
      </c>
      <c r="E23" s="58" t="n">
        <f aca="false">Sheet1!$F$17</f>
        <v>2340</v>
      </c>
      <c r="F23" s="58" t="n">
        <f aca="false">Sheet1!$F$17</f>
        <v>2340</v>
      </c>
    </row>
    <row r="24" customFormat="false" ht="15" hidden="false" customHeight="false" outlineLevel="0" collapsed="false">
      <c r="A24" s="57" t="str">
        <f aca="false">Sheet1!$D$18&amp;" (gross kill)"</f>
        <v>Customs (gross kill)</v>
      </c>
      <c r="B24" s="58" t="n">
        <f aca="false">Sheet1!$F$18</f>
        <v>1950</v>
      </c>
      <c r="C24" s="58" t="n">
        <f aca="false">Sheet1!$F$18</f>
        <v>1950</v>
      </c>
      <c r="D24" s="58" t="n">
        <f aca="false">Sheet1!$F$18</f>
        <v>1950</v>
      </c>
      <c r="E24" s="58" t="n">
        <f aca="false">Sheet1!$F$18</f>
        <v>1950</v>
      </c>
      <c r="F24" s="58" t="n">
        <f aca="false">Sheet1!$F$18</f>
        <v>1950</v>
      </c>
    </row>
    <row r="25" customFormat="false" ht="15" hidden="false" customHeight="false" outlineLevel="0" collapsed="false">
      <c r="A25" s="57" t="str">
        <f aca="false">Sheet1!$D$19&amp;" (gross kill)"</f>
        <v>Parks (gross kill)</v>
      </c>
      <c r="B25" s="58" t="n">
        <f aca="false">Sheet1!$F$19</f>
        <v>5200</v>
      </c>
      <c r="C25" s="58" t="n">
        <f aca="false">Sheet1!$F$19</f>
        <v>5200</v>
      </c>
      <c r="D25" s="58" t="n">
        <f aca="false">Sheet1!$F$19</f>
        <v>5200</v>
      </c>
      <c r="E25" s="58" t="n">
        <f aca="false">Sheet1!$F$19</f>
        <v>5200</v>
      </c>
      <c r="F25" s="58" t="n">
        <f aca="false">Sheet1!$F$19</f>
        <v>5200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2026-08-05T17:59:55Z</dcterms:created>
  <dc:creator>Oscar.Penny@intusurg.com</dc:creator>
  <dc:description/>
  <dc:language>en-US</dc:language>
  <cp:lastModifiedBy/>
  <dcterms:modified xsi:type="dcterms:W3CDTF">2026-08-11T19:55:03Z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