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P vs CJB" sheetId="1" state="visible" r:id="rId1"/>
    <sheet name="Market Reference (sourc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"/>
    <numFmt numFmtId="166" formatCode="0.0&quot;x&quot;"/>
    <numFmt numFmtId="167" formatCode="0.0%"/>
    <numFmt numFmtId="168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595959"/>
      <sz val="9"/>
    </font>
    <font>
      <name val="Arial"/>
      <i val="1"/>
      <color rgb="002E7D32"/>
      <sz val="9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color rgb="00404040"/>
      <sz val="9"/>
    </font>
    <font>
      <name val="Arial"/>
      <b val="1"/>
      <color rgb="001F3864"/>
      <sz val="14"/>
    </font>
    <font>
      <name val="Arial"/>
      <b val="1"/>
      <color rgb="00008000"/>
      <sz val="10"/>
    </font>
    <font>
      <name val="Arial"/>
      <color rgb="0040404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8" fillId="0" borderId="0" pivotButton="0" quotePrefix="0" xfId="0"/>
    <xf numFmtId="164" fontId="8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6" fontId="8" fillId="6" borderId="1" applyAlignment="1" pivotButton="0" quotePrefix="0" xfId="0">
      <alignment horizontal="center"/>
    </xf>
    <xf numFmtId="167" fontId="5" fillId="3" borderId="1" applyAlignment="1" pivotButton="0" quotePrefix="0" xfId="0">
      <alignment horizontal="center"/>
    </xf>
    <xf numFmtId="168" fontId="4" fillId="4" borderId="1" applyAlignment="1" pivotButton="0" quotePrefix="0" xfId="0">
      <alignment horizontal="center"/>
    </xf>
    <xf numFmtId="165" fontId="8" fillId="6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12" fillId="7" borderId="1" applyAlignment="1" pivotButton="0" quotePrefix="0" xfId="0">
      <alignment horizontal="center"/>
    </xf>
    <xf numFmtId="167" fontId="8" fillId="4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model</author>
  </authors>
  <commentList>
    <comment ref="C10" authorId="0" shapeId="0">
      <text>
        <t>OPEN QUESTION to CJB: $8-8.50 per pound of WHAT? Modeled here literally: per lb of the finished 450-lb drum (the same basis SNP bills on). If CJB means something else, they must state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50" customWidth="1" min="4" max="4"/>
    <col width="34" customWidth="1" min="5" max="5"/>
  </cols>
  <sheetData>
    <row r="2">
      <c r="B2" s="1" t="inlineStr">
        <is>
          <t>PVA — SNP vs CJB  (real numbers only)</t>
        </is>
      </c>
    </row>
    <row r="3">
      <c r="B3" s="2" t="inlineStr">
        <is>
          <t>Only figures we actually hold: SNP's real quote and CJB's real quote. No market column, no assumed unit basis. Yellow = given/real or 'enter actual'. Grey = calculated.</t>
        </is>
      </c>
    </row>
    <row r="5">
      <c r="B5" s="3" t="inlineStr">
        <is>
          <t>REAL INPUTS  (given quotes / confirmed facts)</t>
        </is>
      </c>
      <c r="C5" s="4" t="n"/>
      <c r="D5" s="4" t="n"/>
      <c r="E5" s="4" t="n"/>
    </row>
    <row r="6">
      <c r="B6" s="5" t="inlineStr">
        <is>
          <t>Drum net weight (lb)</t>
        </is>
      </c>
      <c r="C6" s="6" t="n">
        <v>450</v>
      </c>
      <c r="D6" s="7" t="inlineStr">
        <is>
          <t>Confirmed. SNP quote '1/450 lb. drum'.</t>
        </is>
      </c>
      <c r="E6" s="8" t="inlineStr">
        <is>
          <t>SNP Est 012726-1</t>
        </is>
      </c>
    </row>
    <row r="7">
      <c r="B7" s="5" t="inlineStr">
        <is>
          <t>Total demand (lb finished / week)</t>
        </is>
      </c>
      <c r="C7" s="6" t="n">
        <v>1300</v>
      </c>
      <c r="D7" s="7" t="inlineStr">
        <is>
          <t>Confirmed by Oscar 2026-06-26.</t>
        </is>
      </c>
      <c r="E7" s="8" t="inlineStr">
        <is>
          <t>Oscar 06-26</t>
        </is>
      </c>
    </row>
    <row r="8">
      <c r="B8" s="5" t="inlineStr">
        <is>
          <t>Weeks per year</t>
        </is>
      </c>
      <c r="C8" s="6" t="n">
        <v>52</v>
      </c>
      <c r="D8" s="7" t="inlineStr"/>
    </row>
    <row r="9">
      <c r="B9" s="5" t="inlineStr">
        <is>
          <t>SNP price ($/lb, delivered all-in)</t>
        </is>
      </c>
      <c r="C9" s="9" t="n">
        <v>0.75</v>
      </c>
      <c r="D9" s="7" t="inlineStr">
        <is>
          <t>Real quote. Includes materials + mixing + freight.</t>
        </is>
      </c>
      <c r="E9" s="8" t="inlineStr">
        <is>
          <t>SNP Est 012726-1</t>
        </is>
      </c>
    </row>
    <row r="10">
      <c r="B10" s="5" t="inlineStr">
        <is>
          <t>CJB toll processing $/lb - LOW</t>
        </is>
      </c>
      <c r="C10" s="9" t="n">
        <v>8</v>
      </c>
      <c r="D10" s="7" t="inlineStr">
        <is>
          <t>Real quote, EXCLUDING raw materials. Basis unconfirmed (see note).</t>
        </is>
      </c>
      <c r="E10" s="8" t="inlineStr">
        <is>
          <t>CJB 'RE: mix test'</t>
        </is>
      </c>
    </row>
    <row r="11">
      <c r="B11" s="5" t="inlineStr">
        <is>
          <t>CJB toll processing $/lb - HIGH</t>
        </is>
      </c>
      <c r="C11" s="9" t="n">
        <v>8.5</v>
      </c>
      <c r="D11" s="7" t="inlineStr">
        <is>
          <t>Real quote, EXCLUDING raw materials.</t>
        </is>
      </c>
      <c r="E11" s="8" t="inlineStr">
        <is>
          <t>CJB 'RE: mix test'</t>
        </is>
      </c>
    </row>
    <row r="12">
      <c r="B12" s="5" t="inlineStr">
        <is>
          <t>CJB qualification fee ($)</t>
        </is>
      </c>
      <c r="C12" s="10" t="n">
        <v>4900</v>
      </c>
      <c r="D12" s="7" t="inlineStr">
        <is>
          <t>Real. Applies win or lose.</t>
        </is>
      </c>
      <c r="E12" s="8" t="inlineStr">
        <is>
          <t>CJB</t>
        </is>
      </c>
    </row>
    <row r="13">
      <c r="B13" s="5" t="inlineStr">
        <is>
          <t>CJB credit per batch ($)</t>
        </is>
      </c>
      <c r="C13" s="10" t="n">
        <v>700</v>
      </c>
      <c r="D13" s="7" t="inlineStr">
        <is>
          <t>Real. Only if trial succeeds + 1-yr deal.</t>
        </is>
      </c>
      <c r="E13" s="8" t="inlineStr">
        <is>
          <t>CJB</t>
        </is>
      </c>
    </row>
    <row r="14">
      <c r="B14" s="5" t="inlineStr">
        <is>
          <t>CJB # batches credited</t>
        </is>
      </c>
      <c r="C14" s="6" t="n">
        <v>7</v>
      </c>
      <c r="D14" s="7" t="inlineStr">
        <is>
          <t>$700 x 7 = full qual credited back.</t>
        </is>
      </c>
      <c r="E14" s="8" t="inlineStr">
        <is>
          <t>CJB</t>
        </is>
      </c>
    </row>
    <row r="15">
      <c r="B15" s="5" t="inlineStr">
        <is>
          <t>Raw materials $/drum (we supply)</t>
        </is>
      </c>
      <c r="C15" s="10" t="n">
        <v>0</v>
      </c>
      <c r="D15" s="7" t="inlineStr">
        <is>
          <t>ENTER ACTUAL. Not yet quantified with real numbers. Kept 0 until you have it.</t>
        </is>
      </c>
      <c r="E15" s="8" t="inlineStr">
        <is>
          <t>&lt;-- enter real</t>
        </is>
      </c>
    </row>
    <row r="16">
      <c r="B16" s="5" t="inlineStr">
        <is>
          <t>Finished freight $/drum (GA -&gt; us)</t>
        </is>
      </c>
      <c r="C16" s="10" t="n">
        <v>0</v>
      </c>
      <c r="D16" s="7" t="inlineStr">
        <is>
          <t>ENTER ACTUAL / confirm with CJB. Kept 0 until quoted.</t>
        </is>
      </c>
      <c r="E16" s="8" t="inlineStr">
        <is>
          <t>&lt;-- confirm</t>
        </is>
      </c>
    </row>
    <row r="18">
      <c r="B18" s="3" t="inlineStr">
        <is>
          <t>PER-DRUM COMPARISON  (a drum = a batch = 450 lb)</t>
        </is>
      </c>
      <c r="C18" s="4" t="n"/>
      <c r="D18" s="4" t="n"/>
      <c r="E18" s="4" t="n"/>
    </row>
    <row r="19">
      <c r="B19" s="11" t="inlineStr">
        <is>
          <t>SNP - $/drum, delivered all-in</t>
        </is>
      </c>
      <c r="C19" s="12">
        <f>C6*C9</f>
        <v/>
      </c>
      <c r="D19" s="7">
        <f> 450 lb x $0.75.</f>
        <v/>
      </c>
    </row>
    <row r="20">
      <c r="B20" s="11" t="inlineStr">
        <is>
          <t>CJB toll $/drum @ $8.00/lb</t>
        </is>
      </c>
      <c r="C20" s="13">
        <f>C6*C10</f>
        <v/>
      </c>
      <c r="D20" s="7">
        <f> 450 lb x $8.00. Toll only.</f>
        <v/>
      </c>
    </row>
    <row r="21">
      <c r="B21" s="11" t="inlineStr">
        <is>
          <t>CJB toll $/drum @ $8.50/lb</t>
        </is>
      </c>
      <c r="C21" s="13">
        <f>C6*C11</f>
        <v/>
      </c>
      <c r="D21" s="7">
        <f> 450 lb x $8.50. Toll only.</f>
        <v/>
      </c>
    </row>
    <row r="22">
      <c r="B22" s="11" t="inlineStr">
        <is>
          <t>CJB toll $/drum (midpoint)</t>
        </is>
      </c>
      <c r="C22" s="14">
        <f>(C20+C21)/2</f>
        <v/>
      </c>
      <c r="D22" s="7" t="inlineStr">
        <is>
          <t>CJB service fee only.</t>
        </is>
      </c>
    </row>
    <row r="23">
      <c r="B23" s="5" t="inlineStr">
        <is>
          <t xml:space="preserve">  + raw materials (we supply)</t>
        </is>
      </c>
      <c r="C23" s="15">
        <f>C15</f>
        <v/>
      </c>
      <c r="D23" s="7" t="inlineStr">
        <is>
          <t>On top of toll.</t>
        </is>
      </c>
    </row>
    <row r="24">
      <c r="B24" s="5" t="inlineStr">
        <is>
          <t xml:space="preserve">  + finished freight</t>
        </is>
      </c>
      <c r="C24" s="15">
        <f>C16</f>
        <v/>
      </c>
      <c r="D24" s="7" t="inlineStr">
        <is>
          <t>On top of toll.</t>
        </is>
      </c>
    </row>
    <row r="25">
      <c r="B25" s="11" t="inlineStr">
        <is>
          <t>CJB LANDED $/drum (midpoint)</t>
        </is>
      </c>
      <c r="C25" s="14">
        <f>C22+C23+C24</f>
        <v/>
      </c>
      <c r="D25" s="7" t="inlineStr">
        <is>
          <t>Full cost to us per drum.</t>
        </is>
      </c>
    </row>
    <row r="26">
      <c r="B26" s="11" t="inlineStr">
        <is>
          <t>CJB net $/drum, first 7 batches (- $700)</t>
        </is>
      </c>
      <c r="C26" s="13">
        <f>C22-C13</f>
        <v/>
      </c>
      <c r="D26" s="7" t="inlineStr">
        <is>
          <t>Credit applied to the toll midpoint.</t>
        </is>
      </c>
    </row>
    <row r="27">
      <c r="B27" s="11" t="inlineStr">
        <is>
          <t>CJB toll vs SNP all-in (x)</t>
        </is>
      </c>
      <c r="C27" s="16">
        <f>C22/C19</f>
        <v/>
      </c>
      <c r="D27" s="7" t="inlineStr">
        <is>
          <t>How many times SNP's entire delivered price.</t>
        </is>
      </c>
    </row>
    <row r="28">
      <c r="B28" s="11" t="inlineStr">
        <is>
          <t>CJB net (first 7) vs SNP all-in (x)</t>
        </is>
      </c>
      <c r="C28" s="16">
        <f>C26/C19</f>
        <v/>
      </c>
      <c r="D28" s="7" t="inlineStr">
        <is>
          <t>Even after the $700 credit.</t>
        </is>
      </c>
    </row>
    <row r="30">
      <c r="B30" s="3" t="inlineStr">
        <is>
          <t>ANNUAL VIEW  (at the previously-decided 25% second-source split)</t>
        </is>
      </c>
      <c r="C30" s="4" t="n"/>
      <c r="D30" s="4" t="n"/>
      <c r="E30" s="4" t="n"/>
    </row>
    <row r="31">
      <c r="B31" s="5" t="inlineStr">
        <is>
          <t>Second-source split %</t>
        </is>
      </c>
      <c r="C31" s="17" t="n">
        <v>0.25</v>
      </c>
      <c r="D31" s="7" t="inlineStr">
        <is>
          <t>Decided range 20-25% (from main model). Real decision, adjust to test.</t>
        </is>
      </c>
      <c r="E31" s="8" t="inlineStr">
        <is>
          <t>model decision</t>
        </is>
      </c>
    </row>
    <row r="32">
      <c r="B32" s="5" t="inlineStr">
        <is>
          <t>Total drums / year</t>
        </is>
      </c>
      <c r="C32" s="18">
        <f>C7*C8/C6</f>
        <v/>
      </c>
      <c r="D32" s="7" t="inlineStr"/>
    </row>
    <row r="33">
      <c r="B33" s="5" t="inlineStr">
        <is>
          <t>2nd-source drums / year</t>
        </is>
      </c>
      <c r="C33" s="18">
        <f>C32*C31</f>
        <v/>
      </c>
      <c r="D33" s="7" t="inlineStr">
        <is>
          <t>Drums that would go to CJB.</t>
        </is>
      </c>
    </row>
    <row r="34">
      <c r="B34" s="11" t="inlineStr">
        <is>
          <t>If those drums stayed at SNP ($/yr)</t>
        </is>
      </c>
      <c r="C34" s="13">
        <f>C33*C19</f>
        <v/>
      </c>
      <c r="D34" s="7" t="inlineStr"/>
    </row>
    <row r="35">
      <c r="B35" s="11" t="inlineStr">
        <is>
          <t>Same drums via CJB toll only ($/yr)</t>
        </is>
      </c>
      <c r="C35" s="19">
        <f>C33*C22</f>
        <v/>
      </c>
      <c r="D35" s="7" t="inlineStr">
        <is>
          <t>Excl. materials, freight, qual.</t>
        </is>
      </c>
    </row>
    <row r="36">
      <c r="B36" s="11" t="inlineStr">
        <is>
          <t>All-SNP baseline, whole account ($/yr)</t>
        </is>
      </c>
      <c r="C36" s="13">
        <f>C32*C19</f>
        <v/>
      </c>
      <c r="D36" s="7" t="inlineStr">
        <is>
          <t>100% SNP, for reference.</t>
        </is>
      </c>
    </row>
    <row r="38">
      <c r="B38" s="20" t="inlineStr">
        <is>
          <t>Bottom line</t>
        </is>
      </c>
    </row>
    <row r="39">
      <c r="B39" s="21" t="inlineStr">
        <is>
          <t>- Taken literally (per lb of the finished 450-lb drum, SNP's own basis), CJB's toll ALONE is ~10-11x SNP's entire delivered price.</t>
        </is>
      </c>
    </row>
    <row r="40">
      <c r="B40" s="21" t="inlineStr">
        <is>
          <t>- The $700/batch credit only reduces the first 7 barrels to ~$2,900-3,125 - still ~9x SNP. It barely moves the needle.</t>
        </is>
      </c>
    </row>
    <row r="41">
      <c r="B41" s="21" t="inlineStr">
        <is>
          <t>- Materials + freight are extra and still unquantified (kept at $0 above until real numbers land).</t>
        </is>
      </c>
    </row>
    <row r="42">
      <c r="B42" s="21" t="inlineStr">
        <is>
          <t>- The one thing that could change this: CJB confirming their '$8/lb' means something other than per finished pound. Force that answer.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52" customWidth="1" min="4" max="4"/>
    <col width="30" customWidth="1" min="5" max="5"/>
  </cols>
  <sheetData>
    <row r="2">
      <c r="B2" s="22" t="inlineStr">
        <is>
          <t>Market Reference — what mixing PVA at this scale really costs</t>
        </is>
      </c>
    </row>
    <row r="3">
      <c r="B3" s="2" t="inlineStr">
        <is>
          <t>Every number here is either a cited source or a transparent calc FROM a cited source. Green cell = sourced. Grey = derived (formula shown). Nothing here is a guess.</t>
        </is>
      </c>
    </row>
    <row r="5">
      <c r="B5" s="3" t="inlineStr">
        <is>
          <t>1) RAW MATERIAL FLOOR</t>
        </is>
      </c>
      <c r="C5" s="4" t="n"/>
      <c r="D5" s="4" t="n"/>
      <c r="E5" s="4" t="n"/>
    </row>
    <row r="6">
      <c r="B6" s="5" t="inlineStr">
        <is>
          <t>Raw PVA resin - commodity price, N. America ($/lb)</t>
        </is>
      </c>
      <c r="C6" s="23" t="n">
        <v>1.35</v>
      </c>
      <c r="D6" s="7" t="inlineStr">
        <is>
          <t>~$3.10/kg (Dec-2025) = ~$1.41/lb; ~$2,778/MT (Mar-2026) = ~$1.26/lb. Using $1.35 mid.</t>
        </is>
      </c>
      <c r="E6" s="8" t="inlineStr">
        <is>
          <t>ChemAnalyst; IMARC</t>
        </is>
      </c>
    </row>
    <row r="7">
      <c r="B7" s="5" t="inlineStr">
        <is>
          <t>Solids content of finished solution (%)</t>
        </is>
      </c>
      <c r="C7" s="17" t="n">
        <v>0.11</v>
      </c>
      <c r="D7" s="7" t="inlineStr">
        <is>
          <t>Product spec: 10-12% solids in water. Midpoint.</t>
        </is>
      </c>
      <c r="E7" s="8" t="inlineStr">
        <is>
          <t>process spec</t>
        </is>
      </c>
    </row>
    <row r="8">
      <c r="B8" s="11" t="inlineStr">
        <is>
          <t>Material cost per lb of finished solution</t>
        </is>
      </c>
      <c r="C8" s="12">
        <f>C6*C7</f>
        <v/>
      </c>
      <c r="D8" s="7">
        <f> resin $/lb x solids %. The material floor.</f>
        <v/>
      </c>
    </row>
    <row r="9">
      <c r="B9" s="11" t="inlineStr">
        <is>
          <t>Material cost per 450-lb drum</t>
        </is>
      </c>
      <c r="C9" s="13">
        <f>C8*450</f>
        <v/>
      </c>
      <c r="D9" s="7" t="inlineStr">
        <is>
          <t>Just the PVA in a drum (excl. minor NaCl/pigment).</t>
        </is>
      </c>
    </row>
    <row r="11">
      <c r="B11" s="3" t="inlineStr">
        <is>
          <t>2) REAL ALL-IN MARKET PRICE WE ALREADY HOLD</t>
        </is>
      </c>
      <c r="C11" s="4" t="n"/>
      <c r="D11" s="4" t="n"/>
      <c r="E11" s="4" t="n"/>
    </row>
    <row r="12">
      <c r="B12" s="5" t="inlineStr">
        <is>
          <t>SNP delivered price ($/lb finished)</t>
        </is>
      </c>
      <c r="C12" s="23" t="n">
        <v>0.75</v>
      </c>
      <c r="D12" s="7" t="inlineStr">
        <is>
          <t>A real competitive quote. This IS a market data point for making a drum of this solution.</t>
        </is>
      </c>
      <c r="E12" s="8" t="inlineStr">
        <is>
          <t>SNP Est 012726-1</t>
        </is>
      </c>
    </row>
    <row r="13">
      <c r="B13" s="11" t="inlineStr">
        <is>
          <t>Implied conversion + pack + freight + margin</t>
        </is>
      </c>
      <c r="C13" s="12">
        <f>C12-C8</f>
        <v/>
      </c>
      <c r="D13" s="7" t="inlineStr">
        <is>
          <t>What SNP's price covers beyond raw material.</t>
        </is>
      </c>
    </row>
    <row r="14">
      <c r="B14" s="11" t="inlineStr">
        <is>
          <t>That as a share of SNP's price</t>
        </is>
      </c>
      <c r="C14" s="24">
        <f>C13/C12</f>
        <v/>
      </c>
      <c r="D14" s="7" t="inlineStr">
        <is>
          <t>Most of the price is the operation, not the PVA.</t>
        </is>
      </c>
    </row>
    <row r="16">
      <c r="B16" s="3" t="inlineStr">
        <is>
          <t>3) TOLL CONVERSION RATES</t>
        </is>
      </c>
      <c r="C16" s="4" t="n"/>
      <c r="D16" s="4" t="n"/>
      <c r="E16" s="4" t="n"/>
    </row>
    <row r="17">
      <c r="B17" s="21" t="inlineStr">
        <is>
          <t>- No public $/lb toll rate exists. Reputable sources agree tolling is quoted case-by-case (per-lb, per-batch, or flat fee).</t>
        </is>
      </c>
    </row>
    <row r="18">
      <c r="B18" s="21" t="inlineStr">
        <is>
          <t>- Small batches cost MORE per unit: fixed setup, QC, and cleaning are spread over few units (ITC). This is the real source of a 2nd-source premium.</t>
        </is>
      </c>
    </row>
    <row r="19">
      <c r="B19" s="21" t="inlineStr">
        <is>
          <t>- So the 'premium' cannot be looked up - it must come from actual competing quotes. There is no reputable published number to cite.</t>
        </is>
      </c>
    </row>
    <row r="21">
      <c r="B21" s="3" t="inlineStr">
        <is>
          <t>4) HOW CJB'S QUOTE COMPARES TO THESE ANCHORS</t>
        </is>
      </c>
      <c r="C21" s="4" t="n"/>
      <c r="D21" s="4" t="n"/>
      <c r="E21" s="4" t="n"/>
    </row>
    <row r="22">
      <c r="B22" s="11" t="inlineStr">
        <is>
          <t>CJB toll (midpoint) $/lb finished</t>
        </is>
      </c>
      <c r="C22" s="25">
        <f>('SNP vs CJB'!C10+'SNP vs CJB'!C11)/2</f>
        <v/>
      </c>
      <c r="D22" s="7" t="inlineStr">
        <is>
          <t>From the quote, literal basis.</t>
        </is>
      </c>
    </row>
    <row r="23">
      <c r="B23" s="11" t="inlineStr">
        <is>
          <t>CJB toll vs material floor (x)</t>
        </is>
      </c>
      <c r="C23" s="16">
        <f>C22/C8</f>
        <v/>
      </c>
      <c r="D23" s="7" t="inlineStr"/>
    </row>
    <row r="24">
      <c r="B24" s="11" t="inlineStr">
        <is>
          <t>CJB toll vs SNP all-in price (x)</t>
        </is>
      </c>
      <c r="C24" s="16">
        <f>C22/C12</f>
        <v/>
      </c>
      <c r="D24" s="7" t="inlineStr"/>
    </row>
    <row r="26">
      <c r="B26" s="20" t="inlineStr">
        <is>
          <t>Reading</t>
        </is>
      </c>
    </row>
    <row r="27">
      <c r="B27" s="21" t="inlineStr">
        <is>
          <t>- The real cost of this operation is bracketed by data we can cite: material ~$0.13-0.17/lb, full all-in market price ~$0.75/lb (SNP).</t>
        </is>
      </c>
    </row>
    <row r="28">
      <c r="B28" s="21" t="inlineStr">
        <is>
          <t>- CJB's toll-only $8-8.50/lb sits ~50x the material floor and ~10-11x the entire all-in market price. That is not a premium; it is an outlier on any reading.</t>
        </is>
      </c>
    </row>
    <row r="29">
      <c r="B29" s="21" t="inlineStr">
        <is>
          <t>- The only legitimate way to get a SECOND market price is competing quotes from APV / Piedmont / Columbus. That is the real fix for the blind spot.</t>
        </is>
      </c>
    </row>
    <row r="31">
      <c r="B31" s="3" t="inlineStr">
        <is>
          <t>SOURCES</t>
        </is>
      </c>
      <c r="C31" s="4" t="n"/>
      <c r="D31" s="4" t="n"/>
      <c r="E31" s="4" t="n"/>
    </row>
    <row r="32">
      <c r="B32" s="26" t="inlineStr">
        <is>
          <t>- PVA resin commodity price: chemanalyst.com/Pricing-data/polyvinyl-alcohol-1108 ; imarcgroup.com/polyvinyl-alcohol-pricing-report (N. America, Dec-2025 / Mar-2026).</t>
        </is>
      </c>
    </row>
    <row r="33">
      <c r="B33" s="26" t="inlineStr">
        <is>
          <t>- Toll blending is quote-driven, small batches cost more per unit: itctollblenders.com/2025/11/what-are-the-main-toll-blending-cost-factors/ ; royalchemical.com/blog/all-about-chemical-blending-packaging-transportation.</t>
        </is>
      </c>
    </row>
    <row r="34">
      <c r="B34" s="26" t="inlineStr">
        <is>
          <t>- SNP price: SNP Estimate 012726-1, item 5TT-11A ($0.75/lb delivered).</t>
        </is>
      </c>
    </row>
    <row r="35">
      <c r="B35" s="26" t="inlineStr">
        <is>
          <t>- CJB terms: email thread 'RE: CJB PVA mix test' (qual $4,900; $700 x 7 credit; toll $8.00-8.50/lb excl. materials).</t>
        </is>
      </c>
    </row>
    <row r="36">
      <c r="B36" s="26" t="inlineStr">
        <is>
          <t>- Solids spec (10-12%) &amp; 450-lb drum: project process spec / CJB call agenda; demand confirmed by Oscar 2026-06-26.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2026-07-30T13:50:09Z</dcterms:created>
  <dcterms:modified xsi:type="dcterms:W3CDTF">2026-07-30T13:50:09Z</dcterms:modified>
</cp:coreProperties>
</file>