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umptions" sheetId="1" state="visible" r:id="rId1"/>
    <sheet name="CJB Proposal" sheetId="2" state="visible" r:id="rId2"/>
    <sheet name="Comparison" sheetId="3" state="visible" r:id="rId3"/>
    <sheet name="Redundancy" sheetId="4" state="visible" r:id="rId4"/>
    <sheet name="Benchmark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.00"/>
    <numFmt numFmtId="165" formatCode="0.0%"/>
    <numFmt numFmtId="166" formatCode="#,##0.0"/>
    <numFmt numFmtId="167" formatCode="$#,##0"/>
  </numFmts>
  <fonts count="15">
    <font>
      <name val="Calibri"/>
      <family val="2"/>
      <color theme="1"/>
      <sz val="11"/>
      <scheme val="minor"/>
    </font>
    <font>
      <name val="Arial"/>
      <b val="1"/>
      <color rgb="001F3864"/>
      <sz val="15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0000FF"/>
      <sz val="10"/>
    </font>
    <font>
      <name val="Arial"/>
      <color rgb="00595959"/>
      <sz val="9"/>
    </font>
    <font>
      <name val="Arial"/>
      <b val="1"/>
      <color rgb="00000000"/>
      <sz val="10"/>
    </font>
    <font>
      <name val="Arial"/>
      <b val="1"/>
      <color rgb="00000000"/>
      <sz val="9"/>
    </font>
    <font>
      <name val="Arial"/>
      <b val="1"/>
      <color rgb="001F3864"/>
      <sz val="14"/>
    </font>
    <font>
      <name val="Arial"/>
      <i val="1"/>
      <color rgb="00C00000"/>
      <sz val="9"/>
    </font>
    <font>
      <name val="Arial"/>
      <color rgb="00008000"/>
      <sz val="10"/>
    </font>
    <font>
      <name val="Arial"/>
      <b val="1"/>
      <color rgb="001F3864"/>
      <sz val="10"/>
    </font>
    <font>
      <name val="Arial"/>
      <color rgb="000000FF"/>
      <sz val="10"/>
    </font>
    <font>
      <name val="Arial"/>
      <color rgb="00404040"/>
      <sz val="9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00"/>
      </patternFill>
    </fill>
    <fill>
      <patternFill patternType="solid">
        <fgColor rgb="00F2F2F2"/>
      </patternFill>
    </fill>
    <fill>
      <patternFill patternType="solid">
        <fgColor rgb="002E7D32"/>
      </patternFill>
    </fill>
    <fill>
      <patternFill patternType="solid">
        <fgColor rgb="00C0392B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7D660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2" borderId="0" pivotButton="0" quotePrefix="0" xfId="0"/>
    <xf numFmtId="0" fontId="4" fillId="0" borderId="0" pivotButton="0" quotePrefix="0" xfId="0"/>
    <xf numFmtId="0" fontId="5" fillId="3" borderId="1" applyAlignment="1" pivotButton="0" quotePrefix="0" xfId="0">
      <alignment horizontal="center"/>
    </xf>
    <xf numFmtId="0" fontId="6" fillId="0" borderId="0" pivotButton="0" quotePrefix="0" xfId="0"/>
    <xf numFmtId="164" fontId="5" fillId="3" borderId="1" applyAlignment="1" pivotButton="0" quotePrefix="0" xfId="0">
      <alignment horizontal="center"/>
    </xf>
    <xf numFmtId="165" fontId="5" fillId="3" borderId="1" applyAlignment="1" pivotButton="0" quotePrefix="0" xfId="0">
      <alignment horizontal="center"/>
    </xf>
    <xf numFmtId="164" fontId="7" fillId="4" borderId="1" applyAlignment="1" pivotButton="0" quotePrefix="0" xfId="0">
      <alignment horizontal="center"/>
    </xf>
    <xf numFmtId="166" fontId="7" fillId="4" borderId="1" applyAlignment="1" pivotButton="0" quotePrefix="0" xfId="0">
      <alignment horizontal="center"/>
    </xf>
    <xf numFmtId="167" fontId="7" fillId="4" borderId="1" applyAlignment="1" pivotButton="0" quotePrefix="0" xfId="0">
      <alignment horizontal="center"/>
    </xf>
    <xf numFmtId="167" fontId="5" fillId="3" borderId="1" applyAlignment="1" pivotButton="0" quotePrefix="0" xfId="0">
      <alignment horizontal="center"/>
    </xf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3" fillId="5" borderId="0" pivotButton="0" quotePrefix="0" xfId="0"/>
    <xf numFmtId="0" fontId="3" fillId="6" borderId="0" pivotButton="0" quotePrefix="0" xfId="0"/>
    <xf numFmtId="166" fontId="4" fillId="0" borderId="1" applyAlignment="1" pivotButton="0" quotePrefix="0" xfId="0">
      <alignment horizontal="center"/>
    </xf>
    <xf numFmtId="164" fontId="4" fillId="0" borderId="1" applyAlignment="1" pivotButton="0" quotePrefix="0" xfId="0">
      <alignment horizontal="center"/>
    </xf>
    <xf numFmtId="0" fontId="7" fillId="0" borderId="0" pivotButton="0" quotePrefix="0" xfId="0"/>
    <xf numFmtId="164" fontId="7" fillId="0" borderId="1" applyAlignment="1" pivotButton="0" quotePrefix="0" xfId="0">
      <alignment horizontal="center"/>
    </xf>
    <xf numFmtId="164" fontId="7" fillId="7" borderId="1" applyAlignment="1" pivotButton="0" quotePrefix="0" xfId="0">
      <alignment horizontal="center"/>
    </xf>
    <xf numFmtId="165" fontId="4" fillId="0" borderId="1" applyAlignment="1" pivotButton="0" quotePrefix="0" xfId="0">
      <alignment horizontal="center"/>
    </xf>
    <xf numFmtId="167" fontId="7" fillId="0" borderId="1" applyAlignment="1" pivotButton="0" quotePrefix="0" xfId="0">
      <alignment horizontal="center"/>
    </xf>
    <xf numFmtId="167" fontId="11" fillId="0" borderId="0" applyAlignment="1" pivotButton="0" quotePrefix="0" xfId="0">
      <alignment horizontal="center"/>
    </xf>
    <xf numFmtId="167" fontId="4" fillId="0" borderId="0" applyAlignment="1" pivotButton="0" quotePrefix="0" xfId="0">
      <alignment horizontal="center"/>
    </xf>
    <xf numFmtId="167" fontId="7" fillId="8" borderId="0" applyAlignment="1" pivotButton="0" quotePrefix="0" xfId="0">
      <alignment horizontal="center"/>
    </xf>
    <xf numFmtId="167" fontId="7" fillId="9" borderId="0" applyAlignment="1" pivotButton="0" quotePrefix="0" xfId="0">
      <alignment horizontal="center"/>
    </xf>
    <xf numFmtId="0" fontId="3" fillId="2" borderId="0" applyAlignment="1" pivotButton="0" quotePrefix="0" xfId="0">
      <alignment horizontal="center" wrapText="1"/>
    </xf>
    <xf numFmtId="0" fontId="3" fillId="5" borderId="0" applyAlignment="1" pivotButton="0" quotePrefix="0" xfId="0">
      <alignment horizontal="center" wrapText="1"/>
    </xf>
    <xf numFmtId="0" fontId="3" fillId="10" borderId="0" applyAlignment="1" pivotButton="0" quotePrefix="0" xfId="0">
      <alignment horizontal="center" wrapText="1"/>
    </xf>
    <xf numFmtId="0" fontId="3" fillId="6" borderId="0" applyAlignment="1" pivotButton="0" quotePrefix="0" xfId="0">
      <alignment horizontal="center" wrapText="1"/>
    </xf>
    <xf numFmtId="164" fontId="7" fillId="9" borderId="1" applyAlignment="1" pivotButton="0" quotePrefix="0" xfId="0">
      <alignment horizontal="center"/>
    </xf>
    <xf numFmtId="167" fontId="7" fillId="7" borderId="1" applyAlignment="1" pivotButton="0" quotePrefix="0" xfId="0">
      <alignment horizontal="center"/>
    </xf>
    <xf numFmtId="167" fontId="7" fillId="9" borderId="1" applyAlignment="1" pivotButton="0" quotePrefix="0" xfId="0">
      <alignment horizontal="center"/>
    </xf>
    <xf numFmtId="167" fontId="4" fillId="0" borderId="1" applyAlignment="1" pivotButton="0" quotePrefix="0" xfId="0">
      <alignment horizontal="center"/>
    </xf>
    <xf numFmtId="167" fontId="4" fillId="4" borderId="1" applyAlignment="1" pivotButton="0" quotePrefix="0" xfId="0">
      <alignment horizontal="center"/>
    </xf>
    <xf numFmtId="167" fontId="4" fillId="7" borderId="1" applyAlignment="1" pivotButton="0" quotePrefix="0" xfId="0">
      <alignment horizontal="center"/>
    </xf>
    <xf numFmtId="167" fontId="4" fillId="9" borderId="1" applyAlignment="1" pivotButton="0" quotePrefix="0" xfId="0">
      <alignment horizontal="center"/>
    </xf>
    <xf numFmtId="165" fontId="4" fillId="4" borderId="1" applyAlignment="1" pivotButton="0" quotePrefix="0" xfId="0">
      <alignment horizontal="center"/>
    </xf>
    <xf numFmtId="165" fontId="4" fillId="7" borderId="1" applyAlignment="1" pivotButton="0" quotePrefix="0" xfId="0">
      <alignment horizontal="center"/>
    </xf>
    <xf numFmtId="165" fontId="4" fillId="9" borderId="1" applyAlignment="1" pivotButton="0" quotePrefix="0" xfId="0">
      <alignment horizontal="center"/>
    </xf>
    <xf numFmtId="0" fontId="12" fillId="0" borderId="0" pivotButton="0" quotePrefix="0" xfId="0"/>
    <xf numFmtId="0" fontId="3" fillId="2" borderId="1" applyAlignment="1" pivotButton="0" quotePrefix="0" xfId="0">
      <alignment horizontal="center" wrapText="1"/>
    </xf>
    <xf numFmtId="0" fontId="4" fillId="4" borderId="0" pivotButton="0" quotePrefix="0" xfId="0"/>
    <xf numFmtId="166" fontId="4" fillId="4" borderId="1" applyAlignment="1" pivotButton="0" quotePrefix="0" xfId="0">
      <alignment horizontal="center"/>
    </xf>
    <xf numFmtId="0" fontId="4" fillId="7" borderId="0" pivotButton="0" quotePrefix="0" xfId="0"/>
    <xf numFmtId="166" fontId="4" fillId="7" borderId="1" applyAlignment="1" pivotButton="0" quotePrefix="0" xfId="0">
      <alignment horizontal="center"/>
    </xf>
    <xf numFmtId="0" fontId="4" fillId="9" borderId="0" pivotButton="0" quotePrefix="0" xfId="0"/>
    <xf numFmtId="166" fontId="4" fillId="9" borderId="1" applyAlignment="1" pivotButton="0" quotePrefix="0" xfId="0">
      <alignment horizontal="center"/>
    </xf>
    <xf numFmtId="0" fontId="7" fillId="0" borderId="1" pivotButton="0" quotePrefix="0" xfId="0"/>
    <xf numFmtId="0" fontId="13" fillId="0" borderId="1" applyAlignment="1" pivotButton="0" quotePrefix="0" xfId="0">
      <alignment horizontal="center"/>
    </xf>
    <xf numFmtId="0" fontId="6" fillId="0" borderId="1" pivotButton="0" quotePrefix="0" xfId="0"/>
    <xf numFmtId="0" fontId="4" fillId="0" borderId="1" applyAlignment="1" pivotButton="0" quotePrefix="0" xfId="0">
      <alignment horizontal="center"/>
    </xf>
    <xf numFmtId="0" fontId="1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>model</author>
  </authors>
  <commentList>
    <comment ref="C19" authorId="0" shapeId="0">
      <text>
        <t>Swings the toll cost under Interpretation A. If the real formula is 10-12% resin, edit here.</t>
      </text>
    </comment>
    <comment ref="C32" authorId="0" shapeId="0">
      <text>
        <t>PIVOTAL AMBIGUITY: is $8.00-8.50 per lb of RESIN they process, or per lb of FINISHED solution?
Resin basis (45 lb/drum) -&gt; ~$371 toll/drum: viable.
Finished basis (450 lb/drum) -&gt; ~$3,713 toll/drum: 11x SNP, non-starter.
MUST confirm with CJB before deciding.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4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4" customWidth="1" min="2" max="2"/>
    <col width="15" customWidth="1" min="3" max="3"/>
    <col width="62" customWidth="1" min="4" max="4"/>
  </cols>
  <sheetData>
    <row r="2">
      <c r="B2" s="1" t="inlineStr">
        <is>
          <t>PVA Second Source — CJB vs SNP vs Market</t>
        </is>
      </c>
    </row>
    <row r="3">
      <c r="B3" s="2" t="inlineStr">
        <is>
          <t>Cost model. Edit only the YELLOW cells; black/green cells are calculated. Built 2026-07-29 from CJB 'RE: CJB PVA mix test' + confirmed demand.</t>
        </is>
      </c>
    </row>
    <row r="5">
      <c r="B5" s="3" t="inlineStr">
        <is>
          <t>1) ACCOUNT FUNDAMENTALS  (established / confirmed)</t>
        </is>
      </c>
      <c r="C5" s="4" t="n"/>
      <c r="D5" s="4" t="n"/>
      <c r="E5" s="4" t="n"/>
    </row>
    <row r="6">
      <c r="B6" s="5" t="inlineStr">
        <is>
          <t>Drum net weight (lb)</t>
        </is>
      </c>
      <c r="C6" s="6" t="n">
        <v>450</v>
      </c>
      <c r="D6" s="7" t="inlineStr">
        <is>
          <t>From SNP quote '1/450 lb. drum'. ~1.0 density aqueous solution.</t>
        </is>
      </c>
    </row>
    <row r="7">
      <c r="B7" s="5" t="inlineStr">
        <is>
          <t>Weeks per year</t>
        </is>
      </c>
      <c r="C7" s="6" t="n">
        <v>52</v>
      </c>
      <c r="D7" s="7" t="inlineStr"/>
    </row>
    <row r="8">
      <c r="B8" s="5" t="inlineStr">
        <is>
          <t>TOTAL demand (lb finished PVA / week)</t>
        </is>
      </c>
      <c r="C8" s="6" t="n">
        <v>1300</v>
      </c>
      <c r="D8" s="7" t="inlineStr">
        <is>
          <t>Confirmed by Oscar 2026-06-26. This is how SNP bills (per lb).</t>
        </is>
      </c>
    </row>
    <row r="9">
      <c r="B9" s="5" t="inlineStr">
        <is>
          <t>SNP price ($/lb, delivered all-in)</t>
        </is>
      </c>
      <c r="C9" s="8" t="n">
        <v>0.75</v>
      </c>
      <c r="D9" s="7" t="inlineStr">
        <is>
          <t>SNP Estimate 012726-1, item 5TT-11A. Includes materials + processing + freight.</t>
        </is>
      </c>
    </row>
    <row r="10">
      <c r="B10" s="5" t="inlineStr">
        <is>
          <t>Second-source split % (of total volume)</t>
        </is>
      </c>
      <c r="C10" s="9" t="n">
        <v>0.25</v>
      </c>
      <c r="D10" s="7" t="inlineStr">
        <is>
          <t>Decided fixed split ~20-25% to the 2nd source. Adjust to test.</t>
        </is>
      </c>
    </row>
    <row r="11">
      <c r="B11" s="5" t="inlineStr">
        <is>
          <t>SNP price per drum ($)</t>
        </is>
      </c>
      <c r="C11" s="10">
        <f>C6*C9</f>
        <v/>
      </c>
      <c r="D11" s="7">
        <f> $/lb x drum lb.</f>
        <v/>
      </c>
    </row>
    <row r="12">
      <c r="B12" s="5" t="inlineStr">
        <is>
          <t>Total drums per year</t>
        </is>
      </c>
      <c r="C12" s="11">
        <f>C8*C7/C6</f>
        <v/>
      </c>
      <c r="D12" s="7">
        <f> (lb/wk x wks) / drum lb.</f>
        <v/>
      </c>
    </row>
    <row r="13">
      <c r="B13" s="5" t="inlineStr">
        <is>
          <t>2nd-source drums per year</t>
        </is>
      </c>
      <c r="C13" s="11">
        <f>C12*C10</f>
        <v/>
      </c>
      <c r="D13" s="7" t="inlineStr">
        <is>
          <t>The slice we hand to a 2nd source.</t>
        </is>
      </c>
    </row>
    <row r="14">
      <c r="B14" s="5" t="inlineStr">
        <is>
          <t>SNP drums per year (retained)</t>
        </is>
      </c>
      <c r="C14" s="11">
        <f>C12*(1-C10)</f>
        <v/>
      </c>
      <c r="D14" s="7" t="inlineStr"/>
    </row>
    <row r="15">
      <c r="B15" s="5" t="inlineStr">
        <is>
          <t>CURRENT all-SNP annual spend ($)</t>
        </is>
      </c>
      <c r="C15" s="12">
        <f>C12*C11</f>
        <v/>
      </c>
      <c r="D15" s="7" t="inlineStr">
        <is>
          <t>Baseline: 100% to SNP. The number to beat.</t>
        </is>
      </c>
    </row>
    <row r="17">
      <c r="B17" s="3" t="inlineStr">
        <is>
          <t>2) PRODUCT / MATERIALS  (for toll costing — we supply the raw materials)</t>
        </is>
      </c>
      <c r="C17" s="4" t="n"/>
      <c r="D17" s="4" t="n"/>
      <c r="E17" s="4" t="n"/>
    </row>
    <row r="18">
      <c r="B18" s="5" t="inlineStr">
        <is>
          <t>Total solids (% of finished weight)</t>
        </is>
      </c>
      <c r="C18" s="9" t="n">
        <v>0.11</v>
      </c>
      <c r="D18" s="7" t="inlineStr">
        <is>
          <t>Product spec ~10-12% solids in water. Midpoint used.</t>
        </is>
      </c>
    </row>
    <row r="19">
      <c r="B19" s="5" t="inlineStr">
        <is>
          <t>PVA resin loading (% of finished weight)</t>
        </is>
      </c>
      <c r="C19" s="9" t="n">
        <v>0.1</v>
      </c>
      <c r="D19" s="7" t="inlineStr">
        <is>
          <t>Resin is ~90% of solids (rest = NaCl + pigment). ESTIMATE — refine from formula.</t>
        </is>
      </c>
    </row>
    <row r="20">
      <c r="B20" s="5" t="inlineStr">
        <is>
          <t>PVA resin lb per drum</t>
        </is>
      </c>
      <c r="C20" s="11">
        <f>C6*C19</f>
        <v/>
      </c>
      <c r="D20" s="7" t="inlineStr">
        <is>
          <t>Toll basis under Interpretation A (per lb of resin).</t>
        </is>
      </c>
    </row>
    <row r="21">
      <c r="B21" s="5" t="inlineStr">
        <is>
          <t>Resin cost ($/lb, specialty, small-qty)</t>
        </is>
      </c>
      <c r="C21" s="8" t="n">
        <v>3</v>
      </c>
      <c r="D21" s="7" t="inlineStr">
        <is>
          <t>Selvol S-1551F-D via distributor, drum qty. Commodity PVOH index ~$1.3/lb; specialty/small-qty ~$3.</t>
        </is>
      </c>
    </row>
    <row r="22">
      <c r="B22" s="5" t="inlineStr">
        <is>
          <t>Other materials $/drum (NaCl+Proxel+pigment+drum)</t>
        </is>
      </c>
      <c r="C22" s="13" t="n">
        <v>65</v>
      </c>
      <c r="D22" s="7" t="inlineStr">
        <is>
          <t>ESTIMATE. Refine with actual BOM.</t>
        </is>
      </c>
    </row>
    <row r="23">
      <c r="B23" s="5" t="inlineStr">
        <is>
          <t>Raw materials $/drum (we supply)</t>
        </is>
      </c>
      <c r="C23" s="12">
        <f>C20*C21+C22</f>
        <v/>
      </c>
      <c r="D23" s="7">
        <f> resin lb x resin $/lb + other. We consign these to the toller.</f>
        <v/>
      </c>
    </row>
    <row r="24">
      <c r="B24" s="5" t="inlineStr">
        <is>
          <t>Finished-goods freight $/drum (GA -&gt; us)</t>
        </is>
      </c>
      <c r="C24" s="13" t="n">
        <v>75</v>
      </c>
      <c r="D24" s="7" t="inlineStr">
        <is>
          <t>ESTIMATE, single-drum LTL from Valdosta GA. Confirm with CJB.</t>
        </is>
      </c>
    </row>
    <row r="25">
      <c r="B25" s="5" t="inlineStr">
        <is>
          <t>Our materials + freight $/drum</t>
        </is>
      </c>
      <c r="C25" s="12">
        <f>C23+C24</f>
        <v/>
      </c>
      <c r="D25" s="7" t="inlineStr">
        <is>
          <t>Everything the toll price does NOT cover.</t>
        </is>
      </c>
    </row>
    <row r="27">
      <c r="B27" s="3" t="inlineStr">
        <is>
          <t>3) CJB PROPOSAL TERMS  (from 'RE: CJB PVA mix test')</t>
        </is>
      </c>
      <c r="C27" s="4" t="n"/>
      <c r="D27" s="4" t="n"/>
      <c r="E27" s="4" t="n"/>
    </row>
    <row r="28">
      <c r="B28" s="5" t="inlineStr">
        <is>
          <t>Qualification fee ($)</t>
        </is>
      </c>
      <c r="C28" s="13" t="n">
        <v>4900</v>
      </c>
      <c r="D28" s="7" t="inlineStr">
        <is>
          <t>Reduced from $6,300. Applies REGARDLESS of trial success.</t>
        </is>
      </c>
    </row>
    <row r="29">
      <c r="B29" s="5" t="inlineStr">
        <is>
          <t>Credit per production batch ($)</t>
        </is>
      </c>
      <c r="C29" s="13" t="n">
        <v>700</v>
      </c>
      <c r="D29" s="7" t="inlineStr">
        <is>
          <t>Only if trial succeeds AND a 1-year production agreement is signed.</t>
        </is>
      </c>
    </row>
    <row r="30">
      <c r="B30" s="5" t="inlineStr">
        <is>
          <t># of production batches credited</t>
        </is>
      </c>
      <c r="C30" s="6" t="n">
        <v>7</v>
      </c>
      <c r="D30" s="7" t="inlineStr">
        <is>
          <t>$700 x 7 = full $4,900 credited back over the first seven batches.</t>
        </is>
      </c>
    </row>
    <row r="31">
      <c r="B31" s="5" t="inlineStr">
        <is>
          <t>Total qualification credit ($)</t>
        </is>
      </c>
      <c r="C31" s="12">
        <f>C29*C30</f>
        <v/>
      </c>
      <c r="D31" s="7" t="inlineStr"/>
    </row>
    <row r="32">
      <c r="B32" s="5" t="inlineStr">
        <is>
          <t>Toll processing $/lb — LOW</t>
        </is>
      </c>
      <c r="C32" s="8" t="n">
        <v>8</v>
      </c>
      <c r="D32" s="7" t="inlineStr">
        <is>
          <t>CJB estimate, EXCLUDING raw materials. *** PER POUND OF WHAT? confirm basis. ***</t>
        </is>
      </c>
    </row>
    <row r="33">
      <c r="B33" s="5" t="inlineStr">
        <is>
          <t>Toll processing $/lb — HIGH</t>
        </is>
      </c>
      <c r="C33" s="8" t="n">
        <v>8.5</v>
      </c>
      <c r="D33" s="7" t="inlineStr">
        <is>
          <t>Final pricing to be confirmed after lab trial validates handling.</t>
        </is>
      </c>
    </row>
    <row r="35">
      <c r="B35" s="3" t="inlineStr">
        <is>
          <t>4) MARKET / 3rd-SUPPLIER BENCHMARK  ($/lb finished, delivered all-in)</t>
        </is>
      </c>
      <c r="C35" s="4" t="n"/>
      <c r="D35" s="4" t="n"/>
      <c r="E35" s="4" t="n"/>
    </row>
    <row r="36">
      <c r="B36" s="5" t="inlineStr">
        <is>
          <t>Market LOW ($/lb finished)</t>
        </is>
      </c>
      <c r="C36" s="8" t="n">
        <v>1</v>
      </c>
      <c r="D36" s="7" t="inlineStr">
        <is>
          <t>APV-type competitive 2nd-source anchor (~+33% vs SNP).</t>
        </is>
      </c>
    </row>
    <row r="37">
      <c r="B37" s="5" t="inlineStr">
        <is>
          <t>Market LIKELY ($/lb finished)</t>
        </is>
      </c>
      <c r="C37" s="8" t="n">
        <v>1.12</v>
      </c>
      <c r="D37" s="7" t="inlineStr">
        <is>
          <t>Small-batch toll premium ~+50% over incumbent (model's 'Likely').</t>
        </is>
      </c>
    </row>
    <row r="38">
      <c r="B38" s="5" t="inlineStr">
        <is>
          <t>Market HIGH ($/lb finished)</t>
        </is>
      </c>
      <c r="C38" s="8" t="n">
        <v>1.5</v>
      </c>
      <c r="D38" s="7" t="inlineStr">
        <is>
          <t>Worst-case competitive quote (~+100%).</t>
        </is>
      </c>
    </row>
    <row r="40">
      <c r="B40" s="14" t="inlineStr">
        <is>
          <t>LEGEND</t>
        </is>
      </c>
    </row>
    <row r="41">
      <c r="B41" s="7" t="inlineStr">
        <is>
          <t>Yellow = edit these.   Blue = input.   Green = links another tab.   Grey = calculated.</t>
        </is>
      </c>
    </row>
    <row r="42">
      <c r="B42" s="2" t="inlineStr">
        <is>
          <t>Market range is built independently of CJB: SNP floor ($0.75) + APV-type 2nd-source target + documented small-batch toll premium. See 'Benchmark' tab.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E2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6" customWidth="1" min="2" max="2"/>
    <col width="22" customWidth="1" min="3" max="3"/>
    <col width="22" customWidth="1" min="4" max="4"/>
    <col width="40" customWidth="1" min="5" max="5"/>
  </cols>
  <sheetData>
    <row r="2">
      <c r="B2" s="15" t="inlineStr">
        <is>
          <t>CJB Proposal — Costed Out (two unit interpretations)</t>
        </is>
      </c>
    </row>
    <row r="3">
      <c r="B3" s="16" t="inlineStr">
        <is>
          <t>CJB quoted toll processing at $8.00-8.50 'per pound' excluding raw materials. The BASIS is ambiguous and swings the answer ~9x.</t>
        </is>
      </c>
    </row>
    <row r="5">
      <c r="B5" s="3" t="inlineStr">
        <is>
          <t>Line item (per drum unless noted)</t>
        </is>
      </c>
      <c r="C5" s="17" t="inlineStr">
        <is>
          <t>Interp A: $/lb of RESIN</t>
        </is>
      </c>
      <c r="D5" s="18" t="inlineStr">
        <is>
          <t>Interp B: $/lb of FINISHED</t>
        </is>
      </c>
      <c r="E5" s="3" t="inlineStr">
        <is>
          <t>Comment</t>
        </is>
      </c>
    </row>
    <row r="6">
      <c r="B6" s="5" t="inlineStr">
        <is>
          <t>Toll basis — lb per drum</t>
        </is>
      </c>
      <c r="C6" s="19">
        <f>Assumptions!C20</f>
        <v/>
      </c>
      <c r="D6" s="19">
        <f>Assumptions!C6</f>
        <v/>
      </c>
      <c r="E6" s="7" t="inlineStr">
        <is>
          <t>Resin lb/drum vs full finished lb/drum.</t>
        </is>
      </c>
    </row>
    <row r="7">
      <c r="B7" s="5" t="inlineStr">
        <is>
          <t>Toll $/drum @ $8.00/lb</t>
        </is>
      </c>
      <c r="C7" s="20">
        <f>C6*Assumptions!C32</f>
        <v/>
      </c>
      <c r="D7" s="20">
        <f>D6*Assumptions!C32</f>
        <v/>
      </c>
      <c r="E7" s="7" t="inlineStr"/>
    </row>
    <row r="8">
      <c r="B8" s="5" t="inlineStr">
        <is>
          <t>Toll $/drum @ $8.50/lb</t>
        </is>
      </c>
      <c r="C8" s="20">
        <f>C6*Assumptions!C33</f>
        <v/>
      </c>
      <c r="D8" s="20">
        <f>D6*Assumptions!C33</f>
        <v/>
      </c>
      <c r="E8" s="7" t="inlineStr"/>
    </row>
    <row r="9">
      <c r="B9" s="21" t="inlineStr">
        <is>
          <t>Toll $/drum (midpoint)</t>
        </is>
      </c>
      <c r="C9" s="22">
        <f>(C7+C8)/2</f>
        <v/>
      </c>
      <c r="D9" s="22">
        <f>(D7+D8)/2</f>
        <v/>
      </c>
      <c r="E9" s="7" t="inlineStr">
        <is>
          <t>CJB's service fee only.</t>
        </is>
      </c>
    </row>
    <row r="10">
      <c r="B10" s="5" t="inlineStr">
        <is>
          <t>+ Raw materials $/drum (we supply)</t>
        </is>
      </c>
      <c r="C10" s="20">
        <f>Assumptions!C23</f>
        <v/>
      </c>
      <c r="D10" s="20">
        <f>Assumptions!C23</f>
        <v/>
      </c>
      <c r="E10" s="7" t="inlineStr">
        <is>
          <t>Not in the toll fee.</t>
        </is>
      </c>
    </row>
    <row r="11">
      <c r="B11" s="5" t="inlineStr">
        <is>
          <t>+ Finished freight $/drum</t>
        </is>
      </c>
      <c r="C11" s="20">
        <f>Assumptions!C24</f>
        <v/>
      </c>
      <c r="D11" s="20">
        <f>Assumptions!C24</f>
        <v/>
      </c>
      <c r="E11" s="7" t="inlineStr">
        <is>
          <t>GA -&gt; us.</t>
        </is>
      </c>
    </row>
    <row r="12">
      <c r="B12" s="21">
        <f> LANDED cost $/drum (midpoint)</f>
        <v/>
      </c>
      <c r="C12" s="23">
        <f>C9+C10+C11</f>
        <v/>
      </c>
      <c r="D12" s="23">
        <f>D9+D10+D11</f>
        <v/>
      </c>
      <c r="E12" s="7" t="inlineStr">
        <is>
          <t>What a drum actually costs us.</t>
        </is>
      </c>
    </row>
    <row r="13">
      <c r="B13" s="21" t="inlineStr">
        <is>
          <t>Landed $/lb finished</t>
        </is>
      </c>
      <c r="C13" s="22">
        <f>C12/Assumptions!C6</f>
        <v/>
      </c>
      <c r="D13" s="22">
        <f>D12/Assumptions!C6</f>
        <v/>
      </c>
      <c r="E13" s="7" t="inlineStr">
        <is>
          <t>Common basis vs SNP $0.75 &amp; market.</t>
        </is>
      </c>
    </row>
    <row r="14">
      <c r="B14" s="5" t="inlineStr">
        <is>
          <t>vs SNP $/drum (Delta)</t>
        </is>
      </c>
      <c r="C14" s="20">
        <f>C12-Assumptions!C11</f>
        <v/>
      </c>
      <c r="D14" s="20">
        <f>D12-Assumptions!C11</f>
        <v/>
      </c>
      <c r="E14" s="7" t="inlineStr"/>
    </row>
    <row r="15">
      <c r="B15" s="5" t="inlineStr">
        <is>
          <t>vs SNP (%)</t>
        </is>
      </c>
      <c r="C15" s="24">
        <f>C14/Assumptions!C11</f>
        <v/>
      </c>
      <c r="D15" s="24">
        <f>D14/Assumptions!C11</f>
        <v/>
      </c>
      <c r="E15" s="7" t="inlineStr"/>
    </row>
    <row r="16">
      <c r="B16" s="5" t="inlineStr">
        <is>
          <t>2nd-source drums / year</t>
        </is>
      </c>
      <c r="C16" s="19">
        <f>Assumptions!C13</f>
        <v/>
      </c>
      <c r="D16" s="19">
        <f>Assumptions!C13</f>
        <v/>
      </c>
      <c r="E16" s="7" t="inlineStr"/>
    </row>
    <row r="17">
      <c r="B17" s="21" t="inlineStr">
        <is>
          <t>Annual running cost — 2nd-source slice</t>
        </is>
      </c>
      <c r="C17" s="25">
        <f>C12*C16</f>
        <v/>
      </c>
      <c r="D17" s="25">
        <f>D12*D16</f>
        <v/>
      </c>
      <c r="E17" s="7" t="inlineStr">
        <is>
          <t>Excludes one-time qual fee.</t>
        </is>
      </c>
    </row>
    <row r="19">
      <c r="B19" s="3" t="inlineStr">
        <is>
          <t>QUALIFICATION ECONOMICS  ($4,900 batch — win or lose)</t>
        </is>
      </c>
      <c r="C19" s="4" t="n"/>
      <c r="D19" s="4" t="n"/>
      <c r="E19" s="4" t="n"/>
    </row>
    <row r="20">
      <c r="B20" s="5" t="inlineStr">
        <is>
          <t>Qualification fee — paid upfront (win or lose)</t>
        </is>
      </c>
      <c r="C20" s="26">
        <f>Assumptions!C28</f>
        <v/>
      </c>
    </row>
    <row r="21">
      <c r="B21" s="5" t="inlineStr">
        <is>
          <t>Credit if trial succeeds + 1-yr deal ($700 x 7)</t>
        </is>
      </c>
      <c r="C21" s="27">
        <f>-Assumptions!C31</f>
        <v/>
      </c>
    </row>
    <row r="22">
      <c r="B22" s="21" t="inlineStr">
        <is>
          <t>NET qualification cost — if deal proceeds</t>
        </is>
      </c>
      <c r="C22" s="28">
        <f>C20+C21</f>
        <v/>
      </c>
      <c r="E22" s="7" t="inlineStr">
        <is>
          <t>Fully credited back over the first ~year of production.</t>
        </is>
      </c>
    </row>
    <row r="23">
      <c r="B23" s="21" t="inlineStr">
        <is>
          <t>NET qualification cost — if trial fails / no deal</t>
        </is>
      </c>
      <c r="C23" s="29">
        <f>C20</f>
        <v/>
      </c>
      <c r="E23" s="7" t="inlineStr">
        <is>
          <t>Sunk. This is the money at risk if the trial doesn't validate.</t>
        </is>
      </c>
    </row>
    <row r="25">
      <c r="B25" s="16" t="inlineStr">
        <is>
          <t>READ THIS: Interp B (per lb of finished) makes CJB ~11x SNP — almost certainly NOT what they mean, but</t>
        </is>
      </c>
    </row>
    <row r="26">
      <c r="B26" s="16" t="inlineStr">
        <is>
          <t>it must be ruled out in writing. The whole comparison hinges on confirming the toll basis.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H1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2">
      <c r="B2" s="15" t="inlineStr">
        <is>
          <t>Head-to-Head — SNP vs Market vs CJB</t>
        </is>
      </c>
    </row>
    <row r="3">
      <c r="B3" s="2" t="inlineStr">
        <is>
          <t>All on a common DELIVERED basis. SNP &amp; Market are all-in delivered; CJB = toll + our-supplied materials + freight.</t>
        </is>
      </c>
    </row>
    <row r="5">
      <c r="B5" s="30" t="inlineStr">
        <is>
          <t>Metric</t>
        </is>
      </c>
      <c r="C5" s="31" t="inlineStr">
        <is>
          <t>SNP (incumbent)</t>
        </is>
      </c>
      <c r="D5" s="30" t="inlineStr">
        <is>
          <t>Market LOW</t>
        </is>
      </c>
      <c r="E5" s="30" t="inlineStr">
        <is>
          <t>Market LIKELY</t>
        </is>
      </c>
      <c r="F5" s="30" t="inlineStr">
        <is>
          <t>Market HIGH</t>
        </is>
      </c>
      <c r="G5" s="32" t="inlineStr">
        <is>
          <t>CJB (Interp A)</t>
        </is>
      </c>
      <c r="H5" s="33" t="inlineStr">
        <is>
          <t>CJB (Interp B)</t>
        </is>
      </c>
    </row>
    <row r="6">
      <c r="B6" s="21" t="inlineStr">
        <is>
          <t>$/lb finished (delivered/landed)</t>
        </is>
      </c>
      <c r="C6" s="22">
        <f>Assumptions!C9</f>
        <v/>
      </c>
      <c r="D6" s="22">
        <f>Assumptions!C36</f>
        <v/>
      </c>
      <c r="E6" s="10">
        <f>Assumptions!C37</f>
        <v/>
      </c>
      <c r="F6" s="22">
        <f>Assumptions!C38</f>
        <v/>
      </c>
      <c r="G6" s="23">
        <f>'CJB Proposal'!C13</f>
        <v/>
      </c>
      <c r="H6" s="34">
        <f>'CJB Proposal'!D13</f>
        <v/>
      </c>
    </row>
    <row r="7">
      <c r="B7" s="21" t="inlineStr">
        <is>
          <t>$/drum (delivered/landed)</t>
        </is>
      </c>
      <c r="C7" s="25">
        <f>Assumptions!C11</f>
        <v/>
      </c>
      <c r="D7" s="25">
        <f>D6*Assumptions!C6</f>
        <v/>
      </c>
      <c r="E7" s="12">
        <f>E6*Assumptions!C6</f>
        <v/>
      </c>
      <c r="F7" s="25">
        <f>F6*Assumptions!C6</f>
        <v/>
      </c>
      <c r="G7" s="35">
        <f>'CJB Proposal'!C12</f>
        <v/>
      </c>
      <c r="H7" s="36">
        <f>'CJB Proposal'!D12</f>
        <v/>
      </c>
    </row>
    <row r="8">
      <c r="B8" s="5" t="inlineStr">
        <is>
          <t>Delta $/drum vs SNP</t>
        </is>
      </c>
      <c r="C8" s="37">
        <f>C7-$C$7</f>
        <v/>
      </c>
      <c r="D8" s="37">
        <f>D7-$C$7</f>
        <v/>
      </c>
      <c r="E8" s="38">
        <f>E7-$C$7</f>
        <v/>
      </c>
      <c r="F8" s="37">
        <f>F7-$C$7</f>
        <v/>
      </c>
      <c r="G8" s="39">
        <f>G7-$C$7</f>
        <v/>
      </c>
      <c r="H8" s="40">
        <f>H7-$C$7</f>
        <v/>
      </c>
    </row>
    <row r="9">
      <c r="B9" s="5" t="inlineStr">
        <is>
          <t>Delta % vs SNP</t>
        </is>
      </c>
      <c r="C9" s="24">
        <f>C8/$C$7</f>
        <v/>
      </c>
      <c r="D9" s="24">
        <f>D8/$C$7</f>
        <v/>
      </c>
      <c r="E9" s="41">
        <f>E8/$C$7</f>
        <v/>
      </c>
      <c r="F9" s="24">
        <f>F8/$C$7</f>
        <v/>
      </c>
      <c r="G9" s="42">
        <f>G8/$C$7</f>
        <v/>
      </c>
      <c r="H9" s="43">
        <f>H8/$C$7</f>
        <v/>
      </c>
    </row>
    <row r="10">
      <c r="B10" s="21" t="inlineStr">
        <is>
          <t>Annual cost — 2nd-source slice (drums)</t>
        </is>
      </c>
      <c r="C10" s="25">
        <f>C7*Assumptions!$C$13</f>
        <v/>
      </c>
      <c r="D10" s="25">
        <f>D7*Assumptions!$C$13</f>
        <v/>
      </c>
      <c r="E10" s="12">
        <f>E7*Assumptions!$C$13</f>
        <v/>
      </c>
      <c r="F10" s="25">
        <f>F7*Assumptions!$C$13</f>
        <v/>
      </c>
      <c r="G10" s="35">
        <f>G7*Assumptions!$C$13</f>
        <v/>
      </c>
      <c r="H10" s="36">
        <f>H7*Assumptions!$C$13</f>
        <v/>
      </c>
    </row>
    <row r="11">
      <c r="B11" s="21" t="inlineStr">
        <is>
          <t>Cost of redundancy (vs same drums at SNP)</t>
        </is>
      </c>
      <c r="C11" s="25">
        <f>C10-Assumptions!$C$13*Assumptions!$C$11</f>
        <v/>
      </c>
      <c r="D11" s="25">
        <f>D10-Assumptions!$C$13*Assumptions!$C$11</f>
        <v/>
      </c>
      <c r="E11" s="12">
        <f>E10-Assumptions!$C$13*Assumptions!$C$11</f>
        <v/>
      </c>
      <c r="F11" s="25">
        <f>F10-Assumptions!$C$13*Assumptions!$C$11</f>
        <v/>
      </c>
      <c r="G11" s="35">
        <f>G10-Assumptions!$C$13*Assumptions!$C$11</f>
        <v/>
      </c>
      <c r="H11" s="36">
        <f>H10-Assumptions!$C$13*Assumptions!$C$11</f>
        <v/>
      </c>
    </row>
    <row r="13">
      <c r="B13" s="44" t="inlineStr">
        <is>
          <t>Takeaway</t>
        </is>
      </c>
    </row>
    <row r="14">
      <c r="B14" s="7" t="inlineStr">
        <is>
          <t>If CJB's $8/lb is per lb of RESIN (the sensible reading), CJB lands at the TOP of the market band —</t>
        </is>
      </c>
    </row>
    <row r="15">
      <c r="B15" s="7" t="inlineStr">
        <is>
          <t>roughly double the redundancy premium of a competitively-quoted toll blender (APV / Piedmont / Columbus).</t>
        </is>
      </c>
    </row>
    <row r="16">
      <c r="B16" s="7" t="inlineStr">
        <is>
          <t>If it is per lb of FINISHED solution, CJB is a non-starter. Get 2-3 competing toll quotes before committing.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K1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2">
      <c r="B2" s="15" t="inlineStr">
        <is>
          <t>Total-Account Cost of Redundancy (75% SNP + 25% 2nd source)</t>
        </is>
      </c>
    </row>
    <row r="3">
      <c r="B3" s="2" t="inlineStr">
        <is>
          <t>The real decision: what does dual-sourcing add to the whole account vs staying 100% SNP?</t>
        </is>
      </c>
    </row>
    <row r="5">
      <c r="B5" s="45" t="inlineStr">
        <is>
          <t>Scenario</t>
        </is>
      </c>
      <c r="C5" s="45" t="inlineStr">
        <is>
          <t>SNP drums/yr</t>
        </is>
      </c>
      <c r="D5" s="45" t="inlineStr">
        <is>
          <t>2nd drums/yr</t>
        </is>
      </c>
      <c r="E5" s="45" t="inlineStr">
        <is>
          <t>SNP annual $</t>
        </is>
      </c>
      <c r="F5" s="45" t="inlineStr">
        <is>
          <t>2nd-src annual $</t>
        </is>
      </c>
      <c r="G5" s="45" t="inlineStr">
        <is>
          <t>Qual (yr-1 net)</t>
        </is>
      </c>
      <c r="H5" s="45" t="inlineStr">
        <is>
          <t>TOTAL yr-1 $</t>
        </is>
      </c>
      <c r="I5" s="45" t="inlineStr">
        <is>
          <t>Delta vs baseline $</t>
        </is>
      </c>
      <c r="J5" s="45" t="inlineStr">
        <is>
          <t>Delta %</t>
        </is>
      </c>
      <c r="K5" s="45" t="inlineStr">
        <is>
          <t>Steady-state yr2+ $</t>
        </is>
      </c>
    </row>
    <row r="6">
      <c r="B6" s="21" t="inlineStr">
        <is>
          <t>Baseline — 100% SNP</t>
        </is>
      </c>
      <c r="C6" s="19">
        <f>Assumptions!C12</f>
        <v/>
      </c>
      <c r="D6" s="19" t="n">
        <v>0</v>
      </c>
      <c r="E6" s="37">
        <f>Assumptions!C12*Assumptions!C11</f>
        <v/>
      </c>
      <c r="F6" s="37" t="n">
        <v>0</v>
      </c>
      <c r="G6" s="37" t="n">
        <v>0</v>
      </c>
      <c r="H6" s="25">
        <f>E6+F6+G6</f>
        <v/>
      </c>
      <c r="I6" s="37">
        <f>H6-$H$6</f>
        <v/>
      </c>
      <c r="J6" s="24">
        <f>IF($H$6=0,0,I6/$H$6)</f>
        <v/>
      </c>
      <c r="K6" s="37">
        <f>E6+F6</f>
        <v/>
      </c>
    </row>
    <row r="7">
      <c r="B7" s="46" t="inlineStr">
        <is>
          <t>+ 25% Market LIKELY</t>
        </is>
      </c>
      <c r="C7" s="47">
        <f>Assumptions!C14</f>
        <v/>
      </c>
      <c r="D7" s="47">
        <f>Assumptions!C13</f>
        <v/>
      </c>
      <c r="E7" s="38">
        <f>C7*Assumptions!C11</f>
        <v/>
      </c>
      <c r="F7" s="38">
        <f>D7*'Comparison'!E7</f>
        <v/>
      </c>
      <c r="G7" s="38" t="n">
        <v>0</v>
      </c>
      <c r="H7" s="12">
        <f>E7+F7+G7</f>
        <v/>
      </c>
      <c r="I7" s="38">
        <f>H7-$H$6</f>
        <v/>
      </c>
      <c r="J7" s="41">
        <f>IF($H$6=0,0,I7/$H$6)</f>
        <v/>
      </c>
      <c r="K7" s="38">
        <f>E7+F7</f>
        <v/>
      </c>
    </row>
    <row r="8">
      <c r="B8" s="48" t="inlineStr">
        <is>
          <t>+ 25% CJB (Interp A: resin)</t>
        </is>
      </c>
      <c r="C8" s="49">
        <f>Assumptions!C14</f>
        <v/>
      </c>
      <c r="D8" s="49">
        <f>Assumptions!C13</f>
        <v/>
      </c>
      <c r="E8" s="39">
        <f>C8*Assumptions!C11</f>
        <v/>
      </c>
      <c r="F8" s="39">
        <f>D8*'Comparison'!G7</f>
        <v/>
      </c>
      <c r="G8" s="39" t="n">
        <v>0</v>
      </c>
      <c r="H8" s="35">
        <f>E8+F8+G8</f>
        <v/>
      </c>
      <c r="I8" s="39">
        <f>H8-$H$6</f>
        <v/>
      </c>
      <c r="J8" s="42">
        <f>IF($H$6=0,0,I8/$H$6)</f>
        <v/>
      </c>
      <c r="K8" s="39">
        <f>E8+F8</f>
        <v/>
      </c>
    </row>
    <row r="9">
      <c r="B9" s="50" t="inlineStr">
        <is>
          <t>+ 25% CJB (Interp B: finished)</t>
        </is>
      </c>
      <c r="C9" s="51">
        <f>Assumptions!C14</f>
        <v/>
      </c>
      <c r="D9" s="51">
        <f>Assumptions!C13</f>
        <v/>
      </c>
      <c r="E9" s="40">
        <f>C9*Assumptions!C11</f>
        <v/>
      </c>
      <c r="F9" s="40">
        <f>D9*'Comparison'!H7</f>
        <v/>
      </c>
      <c r="G9" s="40" t="n">
        <v>0</v>
      </c>
      <c r="H9" s="36">
        <f>E9+F9+G9</f>
        <v/>
      </c>
      <c r="I9" s="40">
        <f>H9-$H$6</f>
        <v/>
      </c>
      <c r="J9" s="43">
        <f>IF($H$6=0,0,I9/$H$6)</f>
        <v/>
      </c>
      <c r="K9" s="40">
        <f>E9+F9</f>
        <v/>
      </c>
    </row>
    <row r="11">
      <c r="B11" s="21" t="inlineStr">
        <is>
          <t>Notes</t>
        </is>
      </c>
    </row>
    <row r="12">
      <c r="B12" s="7" t="inlineStr">
        <is>
          <t>- Qual (yr-1 net) = $0 for CJB: the $4,900 is credited back over the first 7 batches IF the trial succeeds and a 1-yr deal is signed.</t>
        </is>
      </c>
    </row>
    <row r="13">
      <c r="B13" s="7" t="inlineStr">
        <is>
          <t>- If the trial FAILS or no deal is signed, add $4,900 sunk to CJB year-1 (see 'CJB Proposal' tab).</t>
        </is>
      </c>
    </row>
    <row r="14">
      <c r="B14" s="7" t="inlineStr">
        <is>
          <t>- Market scenario assumes a competitive 2nd-source quote (~$1.12/lb delivered); no market qual fee is modeled (unknown — most toll qual runs are $2-6k).</t>
        </is>
      </c>
    </row>
    <row r="15">
      <c r="B15" s="7" t="inlineStr">
        <is>
          <t>- Steady-state (yr2+) drops all one-time fees: pure running cost of the split.</t>
        </is>
      </c>
    </row>
    <row r="16">
      <c r="B16" s="7" t="inlineStr">
        <is>
          <t>- Cost of redundancy = the insurance premium for not being single-sourced on SNP.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D25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0" customWidth="1" min="2" max="2"/>
    <col width="20" customWidth="1" min="3" max="3"/>
    <col width="58" customWidth="1" min="4" max="4"/>
  </cols>
  <sheetData>
    <row r="2">
      <c r="B2" s="15" t="inlineStr">
        <is>
          <t>Market Benchmark — how the 3rd-supplier range was built</t>
        </is>
      </c>
    </row>
    <row r="3">
      <c r="B3" s="2" t="inlineStr">
        <is>
          <t>Built independently of CJB, so CJB is measured against the market — not treated as the standard.</t>
        </is>
      </c>
    </row>
    <row r="5">
      <c r="B5" s="3" t="inlineStr">
        <is>
          <t>Anchors</t>
        </is>
      </c>
      <c r="C5" s="4" t="n"/>
      <c r="D5" s="4" t="n"/>
    </row>
    <row r="6">
      <c r="B6" s="52" t="inlineStr">
        <is>
          <t>Incumbent floor — SNP</t>
        </is>
      </c>
      <c r="C6" s="53" t="inlineStr">
        <is>
          <t>$0.75/lb finished</t>
        </is>
      </c>
      <c r="D6" s="54" t="inlineStr">
        <is>
          <t>A real competitive quote we already hold. $337.50/drum delivered.</t>
        </is>
      </c>
    </row>
    <row r="7">
      <c r="B7" s="52" t="inlineStr">
        <is>
          <t>APV-type 2nd-source target</t>
        </is>
      </c>
      <c r="C7" s="53" t="inlineStr">
        <is>
          <t>~$1.00/lb finished</t>
        </is>
      </c>
      <c r="D7" s="54" t="inlineStr">
        <is>
          <t>Coatings/pigment house, 5-gal floor; ~+33% over incumbent. The realistic competitive 2nd-source price.</t>
        </is>
      </c>
    </row>
    <row r="8">
      <c r="B8" s="52" t="inlineStr">
        <is>
          <t>Small-batch toll premium</t>
        </is>
      </c>
      <c r="C8" s="53" t="inlineStr">
        <is>
          <t>+50% to +100%</t>
        </is>
      </c>
      <c r="D8" s="54" t="inlineStr">
        <is>
          <t>Micro-volume (~1 drum/wk) tolling premium over incumbent -&gt; $1.12-1.50/lb.</t>
        </is>
      </c>
    </row>
    <row r="9">
      <c r="B9" s="52" t="inlineStr">
        <is>
          <t>PVA resin (raw) — commodity index</t>
        </is>
      </c>
      <c r="C9" s="53" t="inlineStr">
        <is>
          <t>~$1.26-1.41/lb</t>
        </is>
      </c>
      <c r="D9" s="54" t="inlineStr">
        <is>
          <t>North America PVOH, Dec-2025/Mar-2026. Specialty super-hydrolyzed grade in drum qty runs higher (~$3/lb).</t>
        </is>
      </c>
    </row>
    <row r="10">
      <c r="B10" s="52" t="inlineStr">
        <is>
          <t>Toll conversion rates</t>
        </is>
      </c>
      <c r="C10" s="53" t="inlineStr">
        <is>
          <t>quote-driven (not public)</t>
        </is>
      </c>
      <c r="D10" s="54" t="inlineStr">
        <is>
          <t>Toll blenders price per-lb / per-batch / flat fee; no public rate card. Must get quotes.</t>
        </is>
      </c>
    </row>
    <row r="13">
      <c r="B13" s="3" t="inlineStr">
        <is>
          <t>Candidate 2nd sources to get competing quotes from (from Supplier Roster)</t>
        </is>
      </c>
      <c r="C13" s="4" t="n"/>
      <c r="D13" s="4" t="n"/>
    </row>
    <row r="14">
      <c r="B14" s="52" t="inlineStr">
        <is>
          <t>APV Engineered Coatings (Akron, OH)</t>
        </is>
      </c>
      <c r="C14" s="55" t="inlineStr">
        <is>
          <t>INTERVIEWING</t>
        </is>
      </c>
      <c r="D14" s="54" t="inlineStr">
        <is>
          <t>5-gal floor; pigment-dispersion specialty; ISO 9001. Best price-competitive candidate.</t>
        </is>
      </c>
    </row>
    <row r="15">
      <c r="B15" s="52" t="inlineStr">
        <is>
          <t>Piedmont Chemical (High Point, NC)</t>
        </is>
      </c>
      <c r="C15" s="55" t="inlineStr">
        <is>
          <t>Active</t>
        </is>
      </c>
      <c r="D15" s="54" t="inlineStr">
        <is>
          <t>Textile/PVA heritage = real PVA know-how; 5-gal pilot reactors.</t>
        </is>
      </c>
    </row>
    <row r="16">
      <c r="B16" s="52" t="inlineStr">
        <is>
          <t>Columbus Chemical / CCI (WI/AZ)</t>
        </is>
      </c>
      <c r="C16" s="55" t="inlineStr">
        <is>
          <t>Active</t>
        </is>
      </c>
      <c r="D16" s="54" t="inlineStr">
        <is>
          <t>Widest batch range (20 L-20,000 L); in-house lab; least shelf-life waste.</t>
        </is>
      </c>
    </row>
    <row r="17">
      <c r="B17" s="52" t="inlineStr">
        <is>
          <t>CORECHEM (Knoxville, TN)</t>
        </is>
      </c>
      <c r="C17" s="55" t="inlineStr">
        <is>
          <t>Caution</t>
        </is>
      </c>
      <c r="D17" s="54" t="inlineStr">
        <is>
          <t>250-gal min may overshoot 18-day shelf life; ask about partial batches.</t>
        </is>
      </c>
    </row>
    <row r="20">
      <c r="B20" s="3" t="inlineStr">
        <is>
          <t>Sources</t>
        </is>
      </c>
      <c r="C20" s="4" t="n"/>
      <c r="D20" s="4" t="n"/>
    </row>
    <row r="21">
      <c r="B21" s="56" t="inlineStr">
        <is>
          <t>- PVOH price index (North America ~$3.10/kg Dec-2025; ~$2,778/MT Mar-2026): chemanalyst.com / imarcgroup.com PVA pricing reports.</t>
        </is>
      </c>
    </row>
    <row r="22">
      <c r="B22" s="56" t="inlineStr">
        <is>
          <t>- Toll blending pricing structure (per-lb / per-batch / flat fee; quote-driven): hydrite.com, royalchemical.com, jayneproducts.com.</t>
        </is>
      </c>
    </row>
    <row r="23">
      <c r="B23" s="56" t="inlineStr">
        <is>
          <t>- SNP price: SNP Estimate 012726-1, item 5TT-11A ($0.75/lb).</t>
        </is>
      </c>
    </row>
    <row r="24">
      <c r="B24" s="56" t="inlineStr">
        <is>
          <t>- CJB terms: email thread 'RE: CJB PVA mix test' (qual $4,900; $700 x 7 credit; toll $8.00-8.50/lb ex-materials).</t>
        </is>
      </c>
    </row>
    <row r="25">
      <c r="B25" s="56" t="inlineStr">
        <is>
          <t>- Demand &amp; drum spec: confirmed by Oscar 2026-06-26 (1,300 lb/wk; 450 lb/drum).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2026-07-29T13:16:07Z</dcterms:created>
  <dcterms:modified xsi:type="dcterms:W3CDTF">2026-07-29T13:22:04Z</dcterms:modified>
</cp:coreProperties>
</file>