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andoff Summary" sheetId="1" state="visible" r:id="rId3"/>
    <sheet name="Inputs" sheetId="2" state="visible" r:id="rId4"/>
    <sheet name="Cycle Time" sheetId="3" state="visible" r:id="rId5"/>
    <sheet name="PO Schedule" sheetId="4" state="visible" r:id="rId6"/>
    <sheet name="Yield per Roll" sheetId="5" state="visible" r:id="rId7"/>
    <sheet name="Order Cadence" sheetId="6" state="visible" r:id="rId8"/>
    <sheet name="6-Month Forecast" sheetId="7" state="visible" r:id="rId9"/>
    <sheet name="Supplier (Trotter) Info" sheetId="8" state="visible" r:id="rId10"/>
    <sheet name="Assumptions &amp; Not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<sst xmlns="http://schemas.openxmlformats.org/spreadsheetml/2006/main" count="487" uniqueCount="454">
  <si>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</si>
  <si>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</si>
  <si>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</si>
  <si>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</si>
  <si>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</si>
  <si>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</si>
  <si>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</si>
  <si>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</si>
  <si>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</si>
  <si>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</si>
  <si>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</si>
  <si>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</si>
  <si>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</si>
  <si>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</si>
  <si>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</si>
  <si>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</si>
  <si>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</si>
  <si>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</si>
  <si>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</si>
  <si>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</si>
  <si>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</si>
  <si>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</si>
  <si>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</si>
  <si>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</si>
  <si>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</si>
  <si>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</si>
  <si>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</si>
  <si>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</si>
  <si>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</si>
  <si>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</si>
  <si>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</si>
  <si>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</si>
  <si>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</si>
  <si>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</si>
  <si>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</si>
  <si>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</si>
  <si>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</si>
  <si>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</si>
  <si>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</si>
  <si>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</si>
  <si>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</si>
  <si>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</si>
  <si>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</si>
  <si>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</si>
  <si>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</si>
  <si>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</si>
  <si>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</si>
  <si>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</si>
  <si>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</si>
  <si>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</si>
  <si>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</si>
  <si>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</si>
  <si>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</si>
  <si>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</si>
  <si>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</si>
  <si>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</si>
  <si>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</si>
  <si>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</si>
  <si>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</si>
  <si>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</si>
  <si>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</si>
  <si>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</si>
  <si>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</si>
  <si>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</si>
  <si>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</si>
  <si>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</si>
  <si>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</si>
  <si>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</si>
  <si>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</si>
  <si>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</si>
  <si>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</si>
  <si>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</si>
  <si>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</si>
  <si>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</si>
  <si>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</si>
  <si>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ASSUMPTION carried from the prior file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</si>
  <si>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</si>
  <si>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</si>
  <si>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</si>
  <si>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</si>
  <si>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</si>
  <si>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</si>
  <si>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</si>
  <si>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</si>
  <si>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</si>
  <si>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</si>
  <si>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</si>
  <si>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</si>
  <si>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</si>
  <si>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</si>
  <si>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</si>
  <si>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</si>
  <si>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</si>
  <si>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</si>
  <si>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</si>
  <si>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</si>
  <si>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</si>
  <si>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</si>
  <si>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</si>
  <si>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</si>
  <si>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</si>
  <si>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</si>
  <si>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</si>
  <si>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</si>
  <si>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</si>
  <si>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Pieces per box</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</si>
  <si>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</si>
  <si>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</si>
  <si>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</si>
  <si>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</si>
  <si>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</si>
  <si>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</si>
  <si>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</si>
  <si>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</si>
  <si>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</si>
  <si>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</si>
  <si>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</si>
  <si>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</si>
  <si>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PO-0 release date</t>
  </si>
  <si>
    <t xml:space="preserve">ASSUMPTION: PO-0 goes out today, 9/24 — Trotter is onboarded. Move the date if it slips.</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</si>
  <si>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</si>
  <si>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</si>
  <si>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</si>
  <si>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</si>
  <si>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</si>
  <si>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</si>
  <si>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</si>
  <si>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</si>
  <si>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</si>
  <si>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</si>
  <si>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</si>
  <si>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</si>
  <si>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</si>
  <si>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</si>
  <si>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Supplier standard</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</si>
  <si>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</si>
  <si>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</si>
  <si>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</si>
  <si>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</si>
  <si>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</si>
  <si>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</si>
  <si>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Type Trotter's answers into column D during the call — column F and every downstream tab recalculate. Column H holds the question to ask for each step.</t>
  </si>
  <si>
    <t xml:space="preserve">Leg / step</t>
  </si>
  <si>
    <t xml:space="preserve">What happens</t>
  </si>
  <si>
    <t xml:space="preserve">Confirmed on call</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</si>
  <si>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</si>
  <si>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</si>
  <si>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</si>
  <si>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</si>
  <si>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</si>
  <si>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</si>
  <si>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</si>
  <si>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</si>
  <si>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</si>
  <si>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</si>
  <si>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</si>
  <si>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</si>
  <si>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</si>
  <si>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</si>
  <si>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</si>
  <si>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</si>
  <si>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</si>
  <si>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</si>
  <si>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</si>
  <si>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</si>
  <si>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</si>
  <si>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</si>
  <si>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</si>
  <si>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</si>
  <si>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</si>
  <si>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</si>
  <si>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</si>
  <si>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</si>
  <si>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</si>
  <si>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</si>
  <si>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</si>
  <si>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</si>
  <si>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</si>
  <si>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</si>
  <si>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</si>
  <si>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</si>
  <si>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</si>
  <si>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</si>
  <si>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</si>
  <si>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</si>
  <si>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</si>
  <si>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</si>
  <si>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</si>
  <si>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</si>
  <si>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</si>
  <si>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</si>
  <si>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</si>
  <si>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</si>
  <si>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</si>
  <si>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</si>
  <si>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</si>
  <si>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</si>
  <si>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</si>
  <si>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</si>
  <si>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</si>
  <si>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</si>
  <si>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</si>
  <si>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</si>
  <si>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</si>
  <si>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Note</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</si>
  <si>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</si>
  <si>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</si>
  <si>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</si>
  <si>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</si>
  <si>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</si>
  <si>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</si>
  <si>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</si>
  <si>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</si>
  <si>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</si>
  <si>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</si>
  <si>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</si>
  <si>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</si>
  <si>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</si>
  <si>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</si>
  <si>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</si>
  <si>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</si>
  <si>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</si>
  <si>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</si>
  <si>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</si>
  <si>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</si>
  <si>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</si>
  <si>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</si>
  <si>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</si>
  <si>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</si>
  <si>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</si>
  <si>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</si>
  <si>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</si>
  <si>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</si>
  <si>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</si>
  <si>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</si>
  <si>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</si>
  <si>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</si>
  <si>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</si>
  <si>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</si>
  <si>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</si>
  <si>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</si>
  <si>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</si>
  <si>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</si>
  <si>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</si>
  <si>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</si>
  <si>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</si>
  <si>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</si>
  <si>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</si>
  <si>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</si>
  <si>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</si>
  <si>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</si>
  <si>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</si>
  <si>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</si>
  <si>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</si>
  <si>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</si>
  <si>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</si>
  <si>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</si>
  <si>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</si>
  <si>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</si>
  <si>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</si>
  <si>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</si>
  <si>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</si>
  <si>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</si>
  <si>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</si>
  <si>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</si>
  <si>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</si>
  <si>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</si>
  <si>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</si>
  <si>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</si>
  <si>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</si>
  <si>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</si>
  <si>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</si>
  <si>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</si>
  <si>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</si>
  <si>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</si>
  <si>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</si>
  <si>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</si>
  <si>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</si>
  <si>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</si>
  <si>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</si>
  <si>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</si>
  <si>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</si>
  <si>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</si>
  <si>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</si>
  <si>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</si>
  <si>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</si>
  <si>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</si>
  <si>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</si>
  <si>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</si>
  <si>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</si>
  <si>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</si>
  <si>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</si>
  <si>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</si>
  <si>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</si>
  <si>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</si>
  <si>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</si>
  <si>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</si>
  <si>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</si>
  <si>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</si>
  <si>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</si>
  <si>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</si>
  <si>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</si>
  <si>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</si>
  <si>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</si>
  <si>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</si>
  <si>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</si>
  <si>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</si>
  <si>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</si>
  <si>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</si>
  <si>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</si>
  <si>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</si>
  <si>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</si>
  <si>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</si>
  <si>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</si>
  <si>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</si>
  <si>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</si>
  <si>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</si>
  <si>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</si>
  <si>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</si>
  <si>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</si>
  <si>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</si>
  <si>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</si>
  <si>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</si>
  <si>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</si>
  <si>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</si>
  <si>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</si>
  <si>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</si>
  <si>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</si>
  <si>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</si>
  <si>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</si>
  <si>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</si>
  <si>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</si>
  <si>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</si>
  <si>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</si>
  <si>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</si>
  <si>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</si>
  <si>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</si>
  <si>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</si>
  <si>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</si>
  <si>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</si>
  <si>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</si>
  <si>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</si>
  <si>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</si>
  <si>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</si>
  <si>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</si>
  <si>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</si>
  <si>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</si>
  <si>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</si>
  <si>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</si>
  <si>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</si>
  <si>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</si>
  <si>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</si>
  <si>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</si>
  <si>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</si>
  <si>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</si>
  <si>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</si>
  <si>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</si>
  <si>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Ending inventory</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</si>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</sst>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5">
    <numFmt numFmtId="164" formatCode="General"/>
    <numFmt numFmtId="165" formatCode="\$0.00"/>
    <numFmt numFmtId="166" formatCode="#,##0"/>
    <numFmt numFmtId="167" formatCode="0.00"/>
    <numFmt numFmtId="168" formatCode="\$#,##0.00"/>
    <numFmt numFmtId="169" formatCode="0"/>
    <numFmt numFmtId="170" formatCode="0.0%"/>
    <numFmt numFmtId="171" formatCode="mm/dd/yyyy"/>
    <numFmt numFmtId="172" formatCode="0.0"/>
    <numFmt numFmtId="173" formatCode="@"/>
    <numFmt numFmtId="174" formatCode="&quot;PO-&quot;0"/>
    <numFmt numFmtId="175" formatCode="mm/dd/yy"/>
    <numFmt numFmtId="176" formatCode="0&quot; POs&quot;"/>
    <numFmt numFmtId="177" formatCode="\$#,##0"/>
    <numFmt numFmtId="178" formatCode="mmm\-yy"/>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1"/>
      <name val="Arial"/>
      <family val="0"/>
      <charset val="1"/>
    </font>
    <font>
      <sz val="10"/>
      <name val="Arial"/>
      <family val="0"/>
      <charset val="1"/>
    </font>
    <font>
      <sz val="10"/>
      <color rgb="FF008000"/>
      <name val="Arial"/>
      <family val="0"/>
      <charset val="1"/>
    </font>
    <font>
      <b val="true"/>
      <sz val="10"/>
      <color rgb="FFC55A11"/>
      <name val="Arial"/>
      <family val="0"/>
      <charset val="1"/>
    </font>
    <font>
      <sz val="9"/>
      <color rgb="FF595959"/>
      <name val="Arial"/>
      <family val="0"/>
      <charset val="1"/>
    </font>
    <font>
      <b val="true"/>
      <sz val="10"/>
      <name val="Arial"/>
      <family val="0"/>
      <charset val="1"/>
    </font>
    <font>
      <sz val="10"/>
      <color rgb="FF0000FF"/>
      <name val="Arial"/>
      <family val="0"/>
      <charset val="1"/>
    </font>
    <font>
      <b val="true"/>
      <sz val="9"/>
      <color rgb="FFC55A11"/>
      <name val="Arial"/>
      <family val="0"/>
      <charset val="1"/>
    </font>
    <font>
      <b val="true"/>
      <sz val="10"/>
      <color rgb="FF0000FF"/>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7">
    <fill>
      <patternFill patternType="none"/>
    </fill>
    <fill>
      <patternFill patternType="gray125"/>
    </fill>
    <fill>
      <patternFill patternType="solid">
        <fgColor rgb="FFF2F2F2"/>
        <bgColor rgb="FFE2EFDA"/>
      </patternFill>
    </fill>
    <fill>
      <patternFill patternType="solid">
        <fgColor rgb="FFDDEBF7"/>
        <bgColor rgb="FFE2EFDA"/>
      </patternFill>
    </fill>
    <fill>
      <patternFill patternType="solid">
        <fgColor rgb="FFFFFF00"/>
        <bgColor rgb="FFFFFF00"/>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7" fontId="8"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6" fontId="11" fillId="3" borderId="0" xfId="0" applyFont="true" applyBorder="false" applyAlignment="true" applyProtection="true">
      <alignment horizontal="general" vertical="bottom" textRotation="0" wrapText="false" indent="0" shrinkToFit="false"/>
      <protection locked="true" hidden="false"/>
    </xf>
    <xf numFmtId="168" fontId="7"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9" fontId="12" fillId="4" borderId="0" xfId="0" applyFont="true" applyBorder="false" applyAlignment="true" applyProtection="true">
      <alignment horizontal="general" vertical="bottom" textRotation="0" wrapText="fals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66" fontId="12" fillId="4" borderId="0" xfId="0" applyFont="true" applyBorder="false" applyAlignment="true" applyProtection="true">
      <alignment horizontal="general" vertical="bottom" textRotation="0" wrapText="false" indent="0" shrinkToFit="false"/>
      <protection locked="true" hidden="false"/>
    </xf>
    <xf numFmtId="165" fontId="12" fillId="4" borderId="0" xfId="0" applyFont="true" applyBorder="false" applyAlignment="true" applyProtection="true">
      <alignment horizontal="general" vertical="bottom" textRotation="0" wrapText="false" indent="0" shrinkToFit="false"/>
      <protection locked="true" hidden="false"/>
    </xf>
    <xf numFmtId="170" fontId="11" fillId="3" borderId="0" xfId="0" applyFont="true" applyBorder="false" applyAlignment="true" applyProtection="true">
      <alignment horizontal="general" vertical="bottom" textRotation="0" wrapText="false" indent="0" shrinkToFit="false"/>
      <protection locked="true" hidden="false"/>
    </xf>
    <xf numFmtId="169" fontId="7"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70" fontId="7"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71" fontId="12" fillId="4" borderId="0" xfId="0" applyFont="true" applyBorder="false" applyAlignment="true" applyProtection="true">
      <alignment horizontal="general" vertical="bottom" textRotation="0" wrapText="false" indent="0" shrinkToFit="false"/>
      <protection locked="true" hidden="false"/>
    </xf>
    <xf numFmtId="172" fontId="7"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71" fontId="8" fillId="0" borderId="0" xfId="0" applyFont="true" applyBorder="false" applyAlignment="true" applyProtection="true">
      <alignment horizontal="general" vertical="bottom" textRotation="0" wrapText="false" indent="0" shrinkToFit="false"/>
      <protection locked="true" hidden="false"/>
    </xf>
    <xf numFmtId="172" fontId="11" fillId="3" borderId="0" xfId="0" applyFont="true" applyBorder="false" applyAlignment="true" applyProtection="true">
      <alignment horizontal="general" vertical="bottom" textRotation="0" wrapText="false" indent="0" shrinkToFit="false"/>
      <protection locked="true" hidden="false"/>
    </xf>
    <xf numFmtId="171" fontId="7" fillId="0" borderId="0" xfId="0" applyFont="true" applyBorder="false" applyAlignment="true" applyProtection="true">
      <alignment horizontal="general" vertical="bottom" textRotation="0" wrapText="false" indent="0" shrinkToFit="false"/>
      <protection locked="true" hidden="false"/>
    </xf>
    <xf numFmtId="164" fontId="14" fillId="4" borderId="0" xfId="0" applyFont="true" applyBorder="false" applyAlignment="true" applyProtection="true">
      <alignment horizontal="general" vertical="bottom" textRotation="0" wrapText="false" indent="0" shrinkToFit="false"/>
      <protection locked="true" hidden="false"/>
    </xf>
    <xf numFmtId="169" fontId="10"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1" fillId="6" borderId="0" xfId="0" applyFont="tru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6" fillId="5"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9" fontId="12" fillId="4" borderId="0" xfId="0" applyFont="true" applyBorder="false" applyAlignment="true" applyProtection="true">
      <alignment horizontal="general" vertical="top" textRotation="0" wrapText="false" indent="0" shrinkToFit="false"/>
      <protection locked="true" hidden="false"/>
    </xf>
    <xf numFmtId="169" fontId="11" fillId="0" borderId="0" xfId="0" applyFont="true" applyBorder="false" applyAlignment="true" applyProtection="true">
      <alignment horizontal="general" vertical="top" textRotation="0" wrapText="fals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9" fontId="15"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69" fontId="11" fillId="3"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9" fontId="7" fillId="0" borderId="0" xfId="0" applyFont="true" applyBorder="false" applyAlignment="true" applyProtection="true">
      <alignment horizontal="general" vertical="top" textRotation="0" wrapText="false" indent="0" shrinkToFit="false"/>
      <protection locked="true" hidden="false"/>
    </xf>
    <xf numFmtId="166" fontId="8" fillId="0" borderId="0" xfId="0" applyFont="true" applyBorder="false" applyAlignment="true" applyProtection="true">
      <alignment horizontal="general" vertical="top" textRotation="0" wrapText="false" indent="0" shrinkToFit="false"/>
      <protection locked="true" hidden="false"/>
    </xf>
    <xf numFmtId="166" fontId="7" fillId="0" borderId="0" xfId="0" applyFont="true" applyBorder="false" applyAlignment="true" applyProtection="true">
      <alignment horizontal="general" vertical="top" textRotation="0" wrapText="false" indent="0" shrinkToFit="false"/>
      <protection locked="true" hidden="false"/>
    </xf>
    <xf numFmtId="164" fontId="11" fillId="3" borderId="0" xfId="0" applyFont="true" applyBorder="false" applyAlignment="true" applyProtection="true">
      <alignment horizontal="general" vertical="top" textRotation="0" wrapText="true" indent="0" shrinkToFit="false"/>
      <protection locked="true" hidden="false"/>
    </xf>
    <xf numFmtId="166" fontId="11" fillId="3" borderId="0" xfId="0" applyFont="true" applyBorder="false" applyAlignment="true" applyProtection="true">
      <alignment horizontal="general" vertical="top" textRotation="0" wrapText="false" indent="0" shrinkToFit="false"/>
      <protection locked="true" hidden="false"/>
    </xf>
    <xf numFmtId="172" fontId="7" fillId="0" borderId="0" xfId="0" applyFont="true" applyBorder="false" applyAlignment="true" applyProtection="true">
      <alignment horizontal="general" vertical="top" textRotation="0" wrapText="false" indent="0" shrinkToFit="false"/>
      <protection locked="true" hidden="false"/>
    </xf>
    <xf numFmtId="173" fontId="7" fillId="0" borderId="0" xfId="0" applyFont="true" applyBorder="false" applyAlignment="true" applyProtection="true">
      <alignment horizontal="general" vertical="top" textRotation="0" wrapText="false" indent="0" shrinkToFit="false"/>
      <protection locked="true" hidden="false"/>
    </xf>
    <xf numFmtId="168" fontId="7" fillId="0" borderId="0" xfId="0" applyFont="true" applyBorder="false" applyAlignment="true" applyProtection="true">
      <alignment horizontal="general" vertical="top" textRotation="0" wrapText="false" indent="0" shrinkToFit="false"/>
      <protection locked="true" hidden="false"/>
    </xf>
    <xf numFmtId="164" fontId="19" fillId="0" borderId="0" xfId="0" applyFont="true" applyBorder="true" applyAlignment="true" applyProtection="true">
      <alignment horizontal="general" vertical="top" textRotation="0" wrapText="tru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74" fontId="11" fillId="0" borderId="0" xfId="0" applyFont="true" applyBorder="false" applyAlignment="true" applyProtection="true">
      <alignment horizontal="general" vertical="bottom" textRotation="0" wrapText="false" indent="0" shrinkToFit="false"/>
      <protection locked="true" hidden="false"/>
    </xf>
    <xf numFmtId="175" fontId="7" fillId="0" borderId="0" xfId="0" applyFont="true" applyBorder="false" applyAlignment="true" applyProtection="true">
      <alignment horizontal="general" vertical="bottom" textRotation="0" wrapText="false" indent="0" shrinkToFit="false"/>
      <protection locked="true" hidden="false"/>
    </xf>
    <xf numFmtId="175" fontId="11" fillId="0" borderId="0" xfId="0" applyFont="true" applyBorder="false" applyAlignment="true" applyProtection="true">
      <alignment horizontal="general" vertical="bottom" textRotation="0" wrapText="false" indent="0" shrinkToFit="false"/>
      <protection locked="true" hidden="false"/>
    </xf>
    <xf numFmtId="175" fontId="11" fillId="3" borderId="0" xfId="0" applyFont="true" applyBorder="false" applyAlignment="true" applyProtection="true">
      <alignment horizontal="general" vertical="bottom" textRotation="0" wrapText="false" indent="0" shrinkToFit="false"/>
      <protection locked="true" hidden="false"/>
    </xf>
    <xf numFmtId="176" fontId="11" fillId="3" borderId="0" xfId="0" applyFont="true" applyBorder="false" applyAlignment="true" applyProtection="true">
      <alignment horizontal="general" vertical="bottom" textRotation="0" wrapText="false" indent="0" shrinkToFit="false"/>
      <protection locked="true" hidden="false"/>
    </xf>
    <xf numFmtId="168" fontId="11" fillId="3" borderId="0" xfId="0" applyFont="true" applyBorder="false" applyAlignment="true" applyProtection="true">
      <alignment horizontal="general" vertical="bottom" textRotation="0" wrapText="false" indent="0" shrinkToFit="false"/>
      <protection locked="true" hidden="false"/>
    </xf>
    <xf numFmtId="164" fontId="11" fillId="5" borderId="1" xfId="0" applyFont="true" applyBorder="true" applyAlignment="true" applyProtection="true">
      <alignment horizontal="general" vertical="bottom" textRotation="0" wrapText="false" indent="0" shrinkToFit="false"/>
      <protection locked="true" hidden="false"/>
    </xf>
    <xf numFmtId="166" fontId="11" fillId="0" borderId="0" xfId="0" applyFont="true" applyBorder="fals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67" fontId="11" fillId="3"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4" fontId="11" fillId="5" borderId="1" xfId="0" applyFont="true" applyBorder="true" applyAlignment="true" applyProtection="true">
      <alignment horizontal="general" vertical="top" textRotation="0" wrapText="true" indent="0" shrinkToFit="false"/>
      <protection locked="true" hidden="false"/>
    </xf>
    <xf numFmtId="169" fontId="11" fillId="6" borderId="0" xfId="0" applyFont="true" applyBorder="false" applyAlignment="true" applyProtection="true">
      <alignment horizontal="general" vertical="bottom" textRotation="0" wrapText="false" indent="0" shrinkToFit="false"/>
      <protection locked="true" hidden="false"/>
    </xf>
    <xf numFmtId="166" fontId="7" fillId="6" borderId="0" xfId="0" applyFont="true" applyBorder="false" applyAlignment="true" applyProtection="true">
      <alignment horizontal="general" vertical="bottom" textRotation="0" wrapText="false" indent="0" shrinkToFit="false"/>
      <protection locked="true" hidden="false"/>
    </xf>
    <xf numFmtId="172" fontId="7" fillId="6" borderId="0" xfId="0" applyFont="true" applyBorder="false" applyAlignment="true" applyProtection="true">
      <alignment horizontal="general" vertical="bottom" textRotation="0" wrapText="false" indent="0" shrinkToFit="false"/>
      <protection locked="true" hidden="false"/>
    </xf>
    <xf numFmtId="177" fontId="7" fillId="6" borderId="0" xfId="0" applyFont="true" applyBorder="false" applyAlignment="true" applyProtection="true">
      <alignment horizontal="general" vertical="bottom" textRotation="0" wrapText="false" indent="0" shrinkToFit="false"/>
      <protection locked="true" hidden="false"/>
    </xf>
    <xf numFmtId="177" fontId="7"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78" fontId="7"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top"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E2EFDA"/>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3"/>
    <col collapsed="false" customWidth="true" hidden="false" outlineLevel="0" max="2" min="2" style="1" width="26"/>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 t="s">
        <v>0</v>
      </c>
    </row>
    <row r="2" customFormat="false" ht="24" hidden="false" customHeight="true" outlineLevel="0" collapsed="false">
      <c r="A2" s="3" t="s">
        <v>1</v>
      </c>
    </row>
    <row r="4" customFormat="false" ht="15" hidden="false" customHeight="true" outlineLevel="0" collapsed="false">
      <c r="A4" s="4" t="s">
        <v>2</v>
      </c>
      <c r="B4" s="5"/>
      <c r="C4" s="5"/>
      <c r="D4" s="5"/>
    </row>
    <row r="5" customFormat="false" ht="23.25" hidden="false" customHeight="true" outlineLevel="0" collapsed="false">
      <c r="A5" s="6" t="s">
        <v>3</v>
      </c>
      <c r="B5" s="7" t="str">
        <f aca="false">Inputs!B5&amp;" × "&amp;Inputs!B6&amp;" in cut mesh"</f>
        <v>24 × 27 in cut mesh</v>
      </c>
      <c r="D5" s="8" t="s">
        <v>4</v>
      </c>
    </row>
    <row r="6" customFormat="false" ht="15" hidden="false" customHeight="true" outlineLevel="0" collapsed="false">
      <c r="A6" s="6" t="s">
        <v>5</v>
      </c>
      <c r="B6" s="9" t="n">
        <f aca="false">Inputs!B20</f>
        <v>0.41</v>
      </c>
      <c r="D6" s="10" t="s">
        <v>6</v>
      </c>
    </row>
    <row r="7" customFormat="false" ht="15" hidden="false" customHeight="true" outlineLevel="0" collapsed="false">
      <c r="A7" s="6" t="s">
        <v>7</v>
      </c>
      <c r="B7" s="6" t="s">
        <v>8</v>
      </c>
      <c r="D7" s="10" t="s">
        <v>9</v>
      </c>
    </row>
    <row r="8" customFormat="false" ht="15" hidden="false" customHeight="true" outlineLevel="0" collapsed="false">
      <c r="A8" s="6" t="s">
        <v>10</v>
      </c>
      <c r="B8" s="11" t="str">
        <f aca="false">Inputs!B10&amp;" ft × "&amp;Inputs!B12&amp;" in"</f>
        <v>750 ft × 101 in</v>
      </c>
      <c r="D8" s="10" t="s">
        <v>11</v>
      </c>
    </row>
    <row r="10" customFormat="false" ht="15" hidden="false" customHeight="true" outlineLevel="0" collapsed="false">
      <c r="A10" s="4" t="s">
        <v>12</v>
      </c>
      <c r="B10" s="5"/>
      <c r="C10" s="5"/>
      <c r="D10" s="5"/>
    </row>
    <row r="11" customFormat="false" ht="23.25" hidden="false" customHeight="true" outlineLevel="0" collapsed="false">
      <c r="A11" s="6" t="s">
        <v>13</v>
      </c>
      <c r="B11" s="12" t="n">
        <f aca="false">'Order Cadence'!B5</f>
        <v>270</v>
      </c>
      <c r="D11" s="8" t="s">
        <v>14</v>
      </c>
    </row>
    <row r="12" customFormat="false" ht="15" hidden="false" customHeight="true" outlineLevel="0" collapsed="false">
      <c r="A12" s="6" t="s">
        <v>15</v>
      </c>
      <c r="B12" s="12" t="n">
        <f aca="false">'Yield per Roll'!B13</f>
        <v>1300</v>
      </c>
      <c r="D12" s="10"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6" t="s">
        <v>16</v>
      </c>
      <c r="B13" s="13" t="n">
        <f aca="false">'Order Cadence'!B8</f>
        <v>4.81481481481482</v>
      </c>
    </row>
    <row r="14" customFormat="false" ht="15" hidden="false" customHeight="true" outlineLevel="0" collapsed="false">
      <c r="A14" s="14" t="s">
        <v>17</v>
      </c>
      <c r="B14" s="15" t="n">
        <f aca="false">'Order Cadence'!B5*52</f>
        <v>14040</v>
      </c>
    </row>
    <row r="15" customFormat="false" ht="15" hidden="false" customHeight="true" outlineLevel="0" collapsed="false">
      <c r="A15" s="6" t="s">
        <v>18</v>
      </c>
      <c r="B15" s="12" t="n">
        <f aca="false">'Order Cadence'!B10</f>
        <v>11</v>
      </c>
    </row>
    <row r="16" customFormat="false" ht="15" hidden="false" customHeight="true" outlineLevel="0" collapsed="false">
      <c r="A16" s="6" t="s">
        <v>19</v>
      </c>
      <c r="B16" s="16" t="n">
        <f aca="false">'Order Cadence'!B5*52*Inputs!B20</f>
        <v>5756.4</v>
      </c>
    </row>
    <row r="17" customFormat="false" ht="15" hidden="false" customHeight="true" outlineLevel="0" collapsed="false">
      <c r="A17" s="14" t="s">
        <v>20</v>
      </c>
      <c r="B17" s="15" t="n">
        <f aca="false">'Order Cadence'!B5*26</f>
        <v>7020</v>
      </c>
    </row>
    <row r="18" customFormat="false" ht="15" hidden="false" customHeight="true" outlineLevel="0" collapsed="false">
      <c r="A18" s="6" t="s">
        <v>21</v>
      </c>
      <c r="B18" s="17" t="n">
        <f aca="false">'6-Month Forecast'!B42</f>
        <v>5</v>
      </c>
      <c r="D18" s="10" t="s">
        <v>22</v>
      </c>
    </row>
    <row r="20" customFormat="false" ht="15" hidden="false" customHeight="true" outlineLevel="0" collapsed="false">
      <c r="A20" s="4" t="s">
        <v>23</v>
      </c>
      <c r="B20" s="5"/>
      <c r="C20" s="5"/>
      <c r="D20" s="5"/>
    </row>
    <row r="21" customFormat="false" ht="15" hidden="false" customHeight="true" outlineLevel="0" collapsed="false">
      <c r="A21" s="6" t="s">
        <v>24</v>
      </c>
      <c r="B21" s="12" t="n">
        <f aca="false">'Order Cadence'!B16</f>
        <v>1080</v>
      </c>
      <c r="D21" s="10" t="s">
        <v>25</v>
      </c>
    </row>
    <row r="22" customFormat="false" ht="15" hidden="false" customHeight="true" outlineLevel="0" collapsed="false">
      <c r="A22" s="6" t="s">
        <v>26</v>
      </c>
      <c r="B22" s="12" t="n">
        <f aca="false">'Order Cadence'!B6</f>
        <v>1300</v>
      </c>
    </row>
    <row r="23" customFormat="false" ht="15" hidden="false" customHeight="true" outlineLevel="0" collapsed="false">
      <c r="A23" s="6" t="s">
        <v>27</v>
      </c>
      <c r="B23" s="11" t="str">
        <f aca="false">Inputs!B30&amp;" days"</f>
        <v>20 days</v>
      </c>
      <c r="D23" s="10" t="str">
        <f aca="false">"Legs: "&amp;Inputs!B27&amp;" roll→Trotter + "&amp;Inputs!B28&amp;" at Trotter + "&amp;Inputs!B29&amp;" to us &amp; put away = "&amp;Inputs!B30&amp;" days, planned as "&amp;Inputs!B31&amp;" wks · scenario: "&amp;'Cycle Time'!B5&amp;" — see Cycle Time &amp; PO Schedule tabs"</f>
        <v>Legs: 3 roll→Trotter + 14 at Trotter + 3 to us &amp; put away = 20 days, planned as 3 wks · scenario: Supplier standard — see Cycle Time &amp; PO Schedule tabs</v>
      </c>
    </row>
    <row r="24" customFormat="false" ht="15" hidden="false" customHeight="true" outlineLevel="0" collapsed="false">
      <c r="A24" s="6" t="s">
        <v>28</v>
      </c>
      <c r="B24" s="12" t="n">
        <f aca="false">Inputs!B26*Inputs!B32</f>
        <v>270</v>
      </c>
    </row>
    <row r="26" customFormat="false" ht="15" hidden="false" customHeight="true" outlineLevel="0" collapsed="false">
      <c r="A26" s="4" t="s">
        <v>29</v>
      </c>
      <c r="B26" s="5"/>
      <c r="C26" s="5"/>
      <c r="D26" s="5"/>
    </row>
    <row r="27" customFormat="false" ht="15" hidden="false" customHeight="true" outlineLevel="0" collapsed="false">
      <c r="A27" s="6" t="s">
        <v>30</v>
      </c>
      <c r="B27" s="6" t="s">
        <v>31</v>
      </c>
      <c r="D27" s="10" t="s">
        <v>32</v>
      </c>
    </row>
    <row r="28" customFormat="false" ht="15" hidden="false" customHeight="true" outlineLevel="0" collapsed="false">
      <c r="A28" s="6" t="s">
        <v>33</v>
      </c>
      <c r="B28" s="11" t="str">
        <f aca="false">"1,300 units of "&amp;Inputs!B5&amp;"x"&amp;Inputs!B6</f>
        <v>1,300 units of 24x27</v>
      </c>
      <c r="D28" s="10" t="s">
        <v>34</v>
      </c>
    </row>
    <row r="29" customFormat="false" ht="21.75" hidden="false" customHeight="true" outlineLevel="0" collapsed="false">
      <c r="A29" s="6" t="s">
        <v>35</v>
      </c>
      <c r="B29" s="6" t="s">
        <v>36</v>
      </c>
      <c r="D29" s="10" t="s">
        <v>37</v>
      </c>
    </row>
    <row r="31" customFormat="false" ht="15" hidden="false" customHeight="true" outlineLevel="0" collapsed="false">
      <c r="A31" s="4" t="s">
        <v>38</v>
      </c>
      <c r="B31" s="5"/>
      <c r="C31" s="5"/>
      <c r="D31" s="5"/>
    </row>
    <row r="32" customFormat="false" ht="15" hidden="false" customHeight="true" outlineLevel="0" collapsed="false">
      <c r="A32" s="18" t="s">
        <v>39</v>
      </c>
      <c r="B32" s="18"/>
      <c r="C32" s="18"/>
      <c r="D32" s="18"/>
    </row>
    <row r="33" customFormat="false" ht="15" hidden="false" customHeight="true" outlineLevel="0" collapsed="false">
      <c r="A33" s="18" t="s">
        <v>40</v>
      </c>
      <c r="B33" s="18"/>
      <c r="C33" s="18"/>
      <c r="D33" s="18"/>
    </row>
    <row r="34" customFormat="false" ht="15" hidden="false" customHeight="true" outlineLevel="0" collapsed="false">
      <c r="A34" s="18" t="str">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 Physical count 9/24: 937 pcs (70 loose + 2 boxes) — BELOW the 1,080 reorder point → release PO-0 now; ~0.4 days of cover left when it lands 10/19 at the standard turnaround → ask Trotter to expedite it</v>
      </c>
      <c r="B34" s="18"/>
      <c r="C34" s="18"/>
      <c r="D34" s="18"/>
    </row>
    <row r="35" customFormat="false" ht="15" hidden="false" customHeight="false" outlineLevel="0" collapsed="false">
      <c r="A35" s="19" t="s">
        <v>41</v>
      </c>
      <c r="B35" s="19"/>
      <c r="C35" s="19"/>
      <c r="D35" s="19"/>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3"/>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 t="s">
        <v>42</v>
      </c>
    </row>
    <row r="2" customFormat="false" ht="15" hidden="false" customHeight="true" outlineLevel="0" collapsed="false">
      <c r="A2" s="20" t="s">
        <v>43</v>
      </c>
    </row>
    <row r="4" customFormat="false" ht="15" hidden="false" customHeight="true" outlineLevel="0" collapsed="false">
      <c r="A4" s="4" t="s">
        <v>44</v>
      </c>
      <c r="B4" s="5"/>
      <c r="C4" s="5"/>
      <c r="D4" s="5"/>
    </row>
    <row r="5" customFormat="false" ht="15" hidden="false" customHeight="true" outlineLevel="0" collapsed="false">
      <c r="A5" s="6" t="s">
        <v>45</v>
      </c>
      <c r="B5" s="21" t="n">
        <v>24</v>
      </c>
      <c r="D5" s="10" t="s">
        <v>46</v>
      </c>
    </row>
    <row r="6" customFormat="false" ht="15" hidden="false" customHeight="true" outlineLevel="0" collapsed="false">
      <c r="A6" s="6" t="s">
        <v>47</v>
      </c>
      <c r="B6" s="21" t="n">
        <v>27</v>
      </c>
      <c r="D6" s="10" t="s">
        <v>48</v>
      </c>
    </row>
    <row r="7" customFormat="false" ht="15" hidden="false" customHeight="true" outlineLevel="0" collapsed="false">
      <c r="A7" s="6" t="s">
        <v>49</v>
      </c>
      <c r="B7" s="22" t="n">
        <f aca="false">B5*B6</f>
        <v>648</v>
      </c>
    </row>
    <row r="9" customFormat="false" ht="15" hidden="false" customHeight="true" outlineLevel="0" collapsed="false">
      <c r="A9" s="4" t="s">
        <v>50</v>
      </c>
      <c r="B9" s="5"/>
      <c r="C9" s="5"/>
      <c r="D9" s="5"/>
    </row>
    <row r="10" customFormat="false" ht="15" hidden="false" customHeight="true" outlineLevel="0" collapsed="false">
      <c r="A10" s="6" t="s">
        <v>51</v>
      </c>
      <c r="B10" s="23" t="n">
        <v>750</v>
      </c>
      <c r="D10" s="10" t="s">
        <v>52</v>
      </c>
    </row>
    <row r="11" customFormat="false" ht="15" hidden="false" customHeight="true" outlineLevel="0" collapsed="false">
      <c r="A11" s="6" t="s">
        <v>53</v>
      </c>
      <c r="B11" s="22" t="n">
        <f aca="false">B10*12</f>
        <v>9000</v>
      </c>
    </row>
    <row r="12" customFormat="false" ht="21.75" hidden="false" customHeight="true" outlineLevel="0" collapsed="false">
      <c r="A12" s="6" t="s">
        <v>54</v>
      </c>
      <c r="B12" s="21" t="n">
        <v>101</v>
      </c>
      <c r="D12" s="10" t="s">
        <v>55</v>
      </c>
    </row>
    <row r="13" customFormat="false" ht="15" hidden="false" customHeight="true" outlineLevel="0" collapsed="false">
      <c r="A13" s="6" t="s">
        <v>56</v>
      </c>
      <c r="B13" s="22" t="n">
        <f aca="false">B11*B12</f>
        <v>909000</v>
      </c>
    </row>
    <row r="15" customFormat="false" ht="15" hidden="false" customHeight="true" outlineLevel="0" collapsed="false">
      <c r="A15" s="4" t="s">
        <v>57</v>
      </c>
      <c r="B15" s="5"/>
      <c r="C15" s="5"/>
      <c r="D15" s="5"/>
    </row>
    <row r="16" customFormat="false" ht="15" hidden="false" customHeight="true" outlineLevel="0" collapsed="false">
      <c r="A16" s="6" t="s">
        <v>58</v>
      </c>
      <c r="B16" s="21" t="n">
        <v>150</v>
      </c>
      <c r="D16" s="10" t="s">
        <v>59</v>
      </c>
    </row>
    <row r="17" customFormat="false" ht="15" hidden="false" customHeight="true" outlineLevel="0" collapsed="false">
      <c r="A17" s="6" t="s">
        <v>60</v>
      </c>
      <c r="B17" s="22" t="n">
        <f aca="false">B16*12</f>
        <v>1800</v>
      </c>
    </row>
    <row r="18" customFormat="false" ht="21.75" hidden="false" customHeight="true" outlineLevel="0" collapsed="false">
      <c r="A18" s="6" t="s">
        <v>61</v>
      </c>
      <c r="B18" s="21" t="n">
        <v>101</v>
      </c>
      <c r="D18" s="10" t="s">
        <v>62</v>
      </c>
    </row>
    <row r="19" customFormat="false" ht="15" hidden="false" customHeight="true" outlineLevel="0" collapsed="false">
      <c r="A19" s="6" t="s">
        <v>63</v>
      </c>
      <c r="B19" s="23" t="n">
        <v>260</v>
      </c>
      <c r="D19" s="10" t="s">
        <v>64</v>
      </c>
    </row>
    <row r="20" customFormat="false" ht="15" hidden="false" customHeight="true" outlineLevel="0" collapsed="false">
      <c r="A20" s="6" t="s">
        <v>65</v>
      </c>
      <c r="B20" s="24" t="n">
        <v>0.41</v>
      </c>
      <c r="D20" s="10" t="s">
        <v>66</v>
      </c>
    </row>
    <row r="21" customFormat="false" ht="15" hidden="false" customHeight="true" outlineLevel="0" collapsed="false">
      <c r="A21" s="6" t="s">
        <v>67</v>
      </c>
      <c r="B21" s="16" t="n">
        <f aca="false">B19*B20</f>
        <v>106.6</v>
      </c>
      <c r="D21" s="10" t="s">
        <v>68</v>
      </c>
    </row>
    <row r="22" customFormat="false" ht="15" hidden="false" customHeight="true" outlineLevel="0" collapsed="false">
      <c r="A22" s="6" t="s">
        <v>69</v>
      </c>
      <c r="B22" s="22" t="n">
        <f aca="false">INT(B18/B5)*INT(B17/B6)</f>
        <v>264</v>
      </c>
      <c r="D22" s="10" t="s">
        <v>70</v>
      </c>
    </row>
    <row r="23" customFormat="false" ht="21.75" hidden="false" customHeight="true" outlineLevel="0" collapsed="false">
      <c r="A23" s="6" t="s">
        <v>71</v>
      </c>
      <c r="B23" s="25" t="n">
        <f aca="false">B19/B22</f>
        <v>0.984848484848485</v>
      </c>
      <c r="D23" s="10" t="s">
        <v>72</v>
      </c>
    </row>
    <row r="25" customFormat="false" ht="15" hidden="false" customHeight="true" outlineLevel="0" collapsed="false">
      <c r="A25" s="4" t="s">
        <v>73</v>
      </c>
      <c r="B25" s="5"/>
      <c r="C25" s="5"/>
      <c r="D25" s="5"/>
    </row>
    <row r="26" customFormat="false" ht="23.25" hidden="false" customHeight="true" outlineLevel="0" collapsed="false">
      <c r="A26" s="6" t="s">
        <v>74</v>
      </c>
      <c r="B26" s="23" t="n">
        <v>270</v>
      </c>
      <c r="D26" s="8" t="s">
        <v>75</v>
      </c>
    </row>
    <row r="27" customFormat="false" ht="15" hidden="false" customHeight="true" outlineLevel="0" collapsed="false">
      <c r="A27" s="6" t="s">
        <v>76</v>
      </c>
      <c r="B27" s="17" t="n">
        <f aca="false">'Cycle Time'!F14</f>
        <v>3</v>
      </c>
      <c r="D27" s="10" t="s">
        <v>77</v>
      </c>
    </row>
    <row r="28" customFormat="false" ht="21.75" hidden="false" customHeight="true" outlineLevel="0" collapsed="false">
      <c r="A28" s="6" t="s">
        <v>78</v>
      </c>
      <c r="B28" s="17" t="n">
        <f aca="false">'Cycle Time'!F19+'Cycle Time'!F24</f>
        <v>14</v>
      </c>
      <c r="D28" s="10" t="s">
        <v>79</v>
      </c>
    </row>
    <row r="29" customFormat="false" ht="15" hidden="false" customHeight="true" outlineLevel="0" collapsed="false">
      <c r="A29" s="6" t="s">
        <v>80</v>
      </c>
      <c r="B29" s="17" t="n">
        <f aca="false">'Cycle Time'!F29</f>
        <v>3</v>
      </c>
      <c r="D29" s="10" t="s">
        <v>81</v>
      </c>
    </row>
    <row r="30" customFormat="false" ht="15" hidden="false" customHeight="true" outlineLevel="0" collapsed="false">
      <c r="A30" s="6" t="s">
        <v>82</v>
      </c>
      <c r="B30" s="26" t="n">
        <f aca="false">SUM(B27:B29)</f>
        <v>20</v>
      </c>
    </row>
    <row r="31" customFormat="false" ht="15" hidden="false" customHeight="true" outlineLevel="0" collapsed="false">
      <c r="A31" s="6" t="s">
        <v>83</v>
      </c>
      <c r="B31" s="26" t="n">
        <f aca="false">CEILING(B30/7,1)</f>
        <v>3</v>
      </c>
      <c r="D31" s="10" t="s">
        <v>84</v>
      </c>
    </row>
    <row r="32" customFormat="false" ht="15" hidden="false" customHeight="true" outlineLevel="0" collapsed="false">
      <c r="A32" s="6" t="s">
        <v>85</v>
      </c>
      <c r="B32" s="21" t="n">
        <v>1</v>
      </c>
      <c r="D32" s="10" t="s">
        <v>86</v>
      </c>
    </row>
    <row r="34" customFormat="false" ht="15" hidden="false" customHeight="false" outlineLevel="0" collapsed="false">
      <c r="A34" s="4" t="s">
        <v>87</v>
      </c>
    </row>
    <row r="35" customFormat="false" ht="15" hidden="false" customHeight="false" outlineLevel="0" collapsed="false">
      <c r="A35" s="6" t="s">
        <v>88</v>
      </c>
      <c r="B35" s="23" t="n">
        <v>1300</v>
      </c>
      <c r="D35" s="27" t="s">
        <v>89</v>
      </c>
    </row>
    <row r="36" customFormat="false" ht="15" hidden="false" customHeight="false" outlineLevel="0" collapsed="false">
      <c r="A36" s="6" t="s">
        <v>90</v>
      </c>
      <c r="B36" s="12" t="n">
        <f aca="false">'Yield per Roll'!B10</f>
        <v>1332</v>
      </c>
      <c r="D36" s="27" t="s">
        <v>91</v>
      </c>
    </row>
    <row r="37" customFormat="false" ht="15" hidden="false" customHeight="false" outlineLevel="0" collapsed="false">
      <c r="A37" s="6" t="s">
        <v>92</v>
      </c>
      <c r="B37" s="25" t="n">
        <f aca="false">B35/B36</f>
        <v>0.975975975975976</v>
      </c>
      <c r="D37" s="27" t="s">
        <v>93</v>
      </c>
    </row>
    <row r="38" customFormat="false" ht="15" hidden="false" customHeight="false" outlineLevel="0" collapsed="false">
      <c r="A38" s="6" t="s">
        <v>94</v>
      </c>
      <c r="B38" s="28" t="n">
        <f aca="false">B23</f>
        <v>0.984848484848485</v>
      </c>
      <c r="D38" s="27" t="s">
        <v>95</v>
      </c>
    </row>
    <row r="39" customFormat="false" ht="15" hidden="false" customHeight="false" outlineLevel="0" collapsed="false">
      <c r="A39" s="6" t="s">
        <v>96</v>
      </c>
      <c r="B39" s="22" t="n">
        <f aca="false">B36-B35</f>
        <v>32</v>
      </c>
      <c r="D39" s="29" t="s">
        <v>97</v>
      </c>
    </row>
    <row r="41" customFormat="false" ht="15" hidden="false" customHeight="false" outlineLevel="0" collapsed="false">
      <c r="A41" s="4" t="s">
        <v>98</v>
      </c>
    </row>
    <row r="42" customFormat="false" ht="15" hidden="false" customHeight="false" outlineLevel="0" collapsed="false">
      <c r="A42" s="6" t="s">
        <v>99</v>
      </c>
      <c r="B42" s="30" t="n">
        <v>46289</v>
      </c>
      <c r="D42" s="27" t="s">
        <v>100</v>
      </c>
    </row>
    <row r="43" customFormat="false" ht="15" hidden="false" customHeight="false" outlineLevel="0" collapsed="false">
      <c r="A43" s="6" t="s">
        <v>101</v>
      </c>
      <c r="B43" s="23" t="n">
        <v>70</v>
      </c>
    </row>
    <row r="44" customFormat="false" ht="15" hidden="false" customHeight="false" outlineLevel="0" collapsed="false">
      <c r="A44" s="6" t="s">
        <v>102</v>
      </c>
      <c r="B44" s="21" t="n">
        <v>2</v>
      </c>
    </row>
    <row r="45" customFormat="false" ht="15" hidden="false" customHeight="false" outlineLevel="0" collapsed="false">
      <c r="A45" s="6" t="s">
        <v>103</v>
      </c>
      <c r="B45" s="21" t="n">
        <v>3</v>
      </c>
      <c r="D45" s="27" t="s">
        <v>104</v>
      </c>
    </row>
    <row r="46" customFormat="false" ht="15" hidden="false" customHeight="false" outlineLevel="0" collapsed="false">
      <c r="A46" s="6" t="s">
        <v>105</v>
      </c>
      <c r="B46" s="31" t="n">
        <f aca="false">B35/B45</f>
        <v>433.333333333333</v>
      </c>
      <c r="D46" s="27" t="s">
        <v>106</v>
      </c>
    </row>
    <row r="47" customFormat="false" ht="15" hidden="false" customHeight="false" outlineLevel="0" collapsed="false">
      <c r="A47" s="14" t="s">
        <v>107</v>
      </c>
      <c r="B47" s="15" t="n">
        <f aca="false">ROUND(B43+B44*B46,0)</f>
        <v>937</v>
      </c>
    </row>
    <row r="48" customFormat="false" ht="15" hidden="false" customHeight="false" outlineLevel="0" collapsed="false">
      <c r="A48" s="6" t="s">
        <v>108</v>
      </c>
      <c r="B48" s="31" t="n">
        <f aca="false">B47/B26</f>
        <v>3.47037037037037</v>
      </c>
    </row>
    <row r="49" customFormat="false" ht="15" hidden="false" customHeight="false" outlineLevel="0" collapsed="false">
      <c r="A49" s="6" t="s">
        <v>109</v>
      </c>
      <c r="B49" s="32" t="str">
        <f aca="false">IF(B47&lt;'Order Cadence'!B16,"⚠ BELOW ROP "&amp;TEXT('Order Cadence'!B16,"#,##0")&amp;" — release PO now","OK — above ROP")</f>
        <v>⚠ BELOW ROP 1,080 — release PO now</v>
      </c>
      <c r="D49" s="27" t="s">
        <v>110</v>
      </c>
    </row>
    <row r="50" customFormat="false" ht="15" hidden="false" customHeight="false" outlineLevel="0" collapsed="false">
      <c r="A50" s="6" t="s">
        <v>111</v>
      </c>
      <c r="B50" s="26" t="n">
        <f aca="false">NETWORKDAYS(B42,'6-Month Forecast'!B5-1)</f>
        <v>2</v>
      </c>
      <c r="D50" s="27" t="s">
        <v>112</v>
      </c>
    </row>
    <row r="51" customFormat="false" ht="15" hidden="false" customHeight="false" outlineLevel="0" collapsed="false">
      <c r="A51" s="6" t="s">
        <v>113</v>
      </c>
      <c r="B51" s="22" t="n">
        <f aca="false">ROUND(B50*B26/5,0)</f>
        <v>108</v>
      </c>
      <c r="D51" s="27" t="s">
        <v>114</v>
      </c>
    </row>
    <row r="52" customFormat="false" ht="15" hidden="false" customHeight="false" outlineLevel="0" collapsed="false">
      <c r="A52" s="14" t="s">
        <v>115</v>
      </c>
      <c r="B52" s="15" t="n">
        <f aca="false">B47-B51</f>
        <v>829</v>
      </c>
      <c r="D52" s="27" t="s">
        <v>116</v>
      </c>
    </row>
    <row r="54" customFormat="false" ht="15" hidden="false" customHeight="false" outlineLevel="0" collapsed="false">
      <c r="A54" s="4" t="s">
        <v>117</v>
      </c>
    </row>
    <row r="55" customFormat="false" ht="15" hidden="false" customHeight="false" outlineLevel="0" collapsed="false">
      <c r="A55" s="6" t="s">
        <v>118</v>
      </c>
      <c r="B55" s="30" t="n">
        <v>46289</v>
      </c>
      <c r="D55" s="29" t="s">
        <v>119</v>
      </c>
    </row>
    <row r="56" customFormat="false" ht="15" hidden="false" customHeight="false" outlineLevel="0" collapsed="false">
      <c r="A56" s="6" t="s">
        <v>120</v>
      </c>
      <c r="B56" s="23" t="n">
        <v>1300</v>
      </c>
      <c r="D56" s="27" t="s">
        <v>121</v>
      </c>
    </row>
    <row r="57" customFormat="false" ht="15" hidden="false" customHeight="false" outlineLevel="0" collapsed="false">
      <c r="A57" s="6" t="s">
        <v>122</v>
      </c>
      <c r="B57" s="33" t="n">
        <f aca="false">IF(B56&lt;=0,"",'PO Schedule'!G14)</f>
        <v>46314</v>
      </c>
      <c r="D57" s="27" t="str">
        <f aca="false">"Calendar-day total says "&amp;TEXT(B55+B30,"m/d")&amp;"; rolling each leg off weekends pushes it to the date shown (release Thu 9/24 → roll due Sun → cut ends Wed → receive Sat → shelf Mon)"</f>
        <v>Calendar-day total says 10/14; rolling each leg off weekends pushes it to the date shown (release Thu 9/24 → roll due Sun → cut ends Wed → receive Sat → shelf Mon)</v>
      </c>
    </row>
    <row r="58" customFormat="false" ht="15" hidden="false" customHeight="false" outlineLevel="0" collapsed="false">
      <c r="A58" s="6" t="s">
        <v>123</v>
      </c>
      <c r="B58" s="26" t="n">
        <f aca="false">IF(B56&lt;=0,0,MAX(1,INT((B57-'6-Month Forecast'!B5)/7)+1))</f>
        <v>4</v>
      </c>
      <c r="D58" s="27" t="s">
        <v>124</v>
      </c>
    </row>
    <row r="59" customFormat="false" ht="15" hidden="false" customHeight="false" outlineLevel="0" collapsed="false">
      <c r="A59" s="6" t="s">
        <v>125</v>
      </c>
      <c r="B59" s="22" t="n">
        <f aca="false">IF(B56&lt;=0,"n/a",B47-NETWORKDAYS(B42,B57-1)*B26/5)</f>
        <v>19</v>
      </c>
      <c r="D59" s="27" t="s">
        <v>126</v>
      </c>
    </row>
    <row r="60" customFormat="false" ht="15" hidden="false" customHeight="false" outlineLevel="0" collapsed="false">
      <c r="A60" s="14" t="s">
        <v>127</v>
      </c>
      <c r="B60" s="34" t="n">
        <f aca="false">IF(B56&lt;=0,"n/a",B59/(B26/5))</f>
        <v>0.351851851851852</v>
      </c>
      <c r="D60" s="32" t="str">
        <f aca="false">IF(B56&lt;=0,"",IF(B60&lt;5,"⚠ Under a week of cover when the first roll lands — ask Trotter to cut PO-0 in the first available slot, not the full 2-week queue (their 1-day cut makes it realistic)","OK"))</f>
        <v>⚠ Under a week of cover when the first roll lands — ask Trotter to cut PO-0 in the first available slot, not the full 2-week queue (their 1-day cut makes it realistic)</v>
      </c>
    </row>
    <row r="61" customFormat="false" ht="15" hidden="false" customHeight="false" outlineLevel="0" collapsed="false">
      <c r="A61" s="6" t="s">
        <v>128</v>
      </c>
      <c r="B61" s="35" t="n">
        <f aca="false">WORKDAY(B42,INT(B47/(B26/5)))</f>
        <v>46314</v>
      </c>
      <c r="D61" s="27" t="s">
        <v>129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16"/>
    <col collapsed="false" customWidth="true" hidden="false" outlineLevel="0" max="4" min="4" style="1" width="17"/>
    <col collapsed="false" customWidth="true" hidden="false" outlineLevel="0" max="5" min="5" style="1" width="14"/>
    <col collapsed="false" customWidth="true" hidden="false" outlineLevel="0" max="6" min="6" style="1" width="15"/>
    <col collapsed="false" customWidth="true" hidden="false" outlineLevel="0" max="7" min="7" style="1" width="20"/>
    <col collapsed="false" customWidth="true" hidden="false" outlineLevel="0" max="8" min="8" style="1" width="74"/>
    <col collapsed="false" customWidth="true" hidden="false" outlineLevel="0" max="9" min="9" style="1" width="3"/>
    <col collapsed="false" customWidth="true" hidden="false" outlineLevel="0" max="11" min="10" style="1" width="8"/>
  </cols>
  <sheetData>
    <row r="1" customFormat="false" ht="17.35" hidden="false" customHeight="false" outlineLevel="0" collapsed="false">
      <c r="A1" s="2" t="s">
        <v>130</v>
      </c>
    </row>
    <row r="2" customFormat="false" ht="15" hidden="false" customHeight="false" outlineLevel="0" collapsed="false">
      <c r="A2" s="27" t="s">
        <v>131</v>
      </c>
    </row>
    <row r="4" customFormat="false" ht="15" hidden="false" customHeight="false" outlineLevel="0" collapsed="false">
      <c r="A4" s="4" t="s">
        <v>132</v>
      </c>
    </row>
    <row r="5" customFormat="false" ht="137.3" hidden="false" customHeight="false" outlineLevel="0" collapsed="false">
      <c r="A5" s="6" t="s">
        <v>133</v>
      </c>
      <c r="B5" s="36" t="s">
        <v>134</v>
      </c>
      <c r="D5" s="10" t="s">
        <v>135</v>
      </c>
    </row>
    <row r="6" customFormat="false" ht="32.8" hidden="false" customHeight="false" outlineLevel="0" collapsed="false">
      <c r="A6" s="27" t="s">
        <v>136</v>
      </c>
      <c r="B6" s="37" t="n">
        <f aca="false">MATCH(B5,$C$10:$E$10,0)</f>
        <v>1</v>
      </c>
      <c r="D6" s="10" t="s">
        <v>137</v>
      </c>
    </row>
    <row r="7" customFormat="false" ht="53.7" hidden="false" customHeight="false" outlineLevel="0" collapsed="false">
      <c r="A7" s="6" t="s">
        <v>138</v>
      </c>
      <c r="B7" s="21" t="n">
        <v>14</v>
      </c>
      <c r="D7" s="10" t="s">
        <v>139</v>
      </c>
    </row>
    <row r="8" customFormat="false" ht="15" hidden="false" customHeight="false" outlineLevel="0" collapsed="false">
      <c r="A8" s="4" t="s">
        <v>140</v>
      </c>
    </row>
    <row r="9" customFormat="false" ht="32.8" hidden="false" customHeight="false" outlineLevel="0" collapsed="false">
      <c r="A9" s="10" t="s">
        <v>141</v>
      </c>
    </row>
    <row r="10" customFormat="false" ht="15" hidden="false" customHeight="false" outlineLevel="0" collapsed="false">
      <c r="A10" s="38" t="s">
        <v>142</v>
      </c>
      <c r="B10" s="38" t="s">
        <v>143</v>
      </c>
      <c r="C10" s="38" t="s">
        <v>134</v>
      </c>
      <c r="D10" s="38" t="s">
        <v>144</v>
      </c>
      <c r="E10" s="38" t="s">
        <v>145</v>
      </c>
      <c r="F10" s="38" t="s">
        <v>146</v>
      </c>
      <c r="G10" s="38" t="s">
        <v>147</v>
      </c>
      <c r="H10" s="38" t="s">
        <v>148</v>
      </c>
      <c r="J10" s="39" t="s">
        <v>149</v>
      </c>
    </row>
    <row r="11" customFormat="false" ht="15" hidden="false" customHeight="false" outlineLevel="0" collapsed="false">
      <c r="A11" s="40" t="s">
        <v>150</v>
      </c>
      <c r="B11" s="41"/>
      <c r="C11" s="41"/>
      <c r="D11" s="41"/>
      <c r="E11" s="41"/>
      <c r="F11" s="41"/>
      <c r="G11" s="41"/>
      <c r="H11" s="41"/>
      <c r="J11" s="42" t="s">
        <v>151</v>
      </c>
      <c r="K11" s="42" t="s">
        <v>152</v>
      </c>
    </row>
    <row r="12" customFormat="false" ht="22.35" hidden="false" customHeight="false" outlineLevel="0" collapsed="false">
      <c r="A12" s="43" t="s">
        <v>153</v>
      </c>
      <c r="B12" s="10" t="s">
        <v>154</v>
      </c>
      <c r="C12" s="44" t="n">
        <v>1</v>
      </c>
      <c r="D12" s="44"/>
      <c r="E12" s="44" t="n">
        <v>2</v>
      </c>
      <c r="F12" s="45" t="n">
        <f aca="false">IF(INDEX($C12:$E12,1,$B$6)="",$C12,INDEX($C12:$E12,1,$B$6))</f>
        <v>1</v>
      </c>
      <c r="G12" s="10" t="s">
        <v>155</v>
      </c>
      <c r="H12" s="46" t="s">
        <v>156</v>
      </c>
      <c r="J12" s="47" t="n">
        <f aca="false">'6-Month Forecast'!A14</f>
        <v>1</v>
      </c>
      <c r="K12" s="47" t="str">
        <f aca="false">IF('6-Month Forecast'!H14&gt;0,COUNTIF('6-Month Forecast'!$H$14:H14,"&gt;0"),"")</f>
        <v/>
      </c>
    </row>
    <row r="13" customFormat="false" ht="22.35" hidden="false" customHeight="false" outlineLevel="0" collapsed="false">
      <c r="A13" s="43" t="s">
        <v>157</v>
      </c>
      <c r="B13" s="10" t="s">
        <v>158</v>
      </c>
      <c r="C13" s="44" t="n">
        <v>2</v>
      </c>
      <c r="D13" s="44"/>
      <c r="E13" s="44" t="n">
        <v>5</v>
      </c>
      <c r="F13" s="45" t="n">
        <f aca="false">IF(INDEX($C13:$E13,1,$B$6)="",$C13,INDEX($C13:$E13,1,$B$6))</f>
        <v>2</v>
      </c>
      <c r="G13" s="10" t="s">
        <v>159</v>
      </c>
      <c r="H13" s="46" t="s">
        <v>160</v>
      </c>
      <c r="J13" s="47" t="n">
        <f aca="false">'6-Month Forecast'!A15</f>
        <v>2</v>
      </c>
      <c r="K13" s="47" t="str">
        <f aca="false">IF('6-Month Forecast'!H15&gt;0,COUNTIF('6-Month Forecast'!$H$14:H15,"&gt;0"),"")</f>
        <v/>
      </c>
    </row>
    <row r="14" customFormat="false" ht="15" hidden="false" customHeight="false" outlineLevel="0" collapsed="false">
      <c r="A14" s="48" t="s">
        <v>161</v>
      </c>
      <c r="C14" s="49" t="n">
        <f aca="false">SUM(C12:C13)</f>
        <v>3</v>
      </c>
      <c r="D14" s="49" t="n">
        <f aca="false">IF(D12="",C12,D12)+IF(D13="",C13,D13)</f>
        <v>3</v>
      </c>
      <c r="E14" s="49" t="n">
        <f aca="false">SUM(E12:E13)</f>
        <v>7</v>
      </c>
      <c r="F14" s="50" t="n">
        <f aca="false">SUM(F12:F13)</f>
        <v>3</v>
      </c>
      <c r="H14" s="10" t="s">
        <v>162</v>
      </c>
      <c r="J14" s="47" t="n">
        <f aca="false">'6-Month Forecast'!A16</f>
        <v>3</v>
      </c>
      <c r="K14" s="47" t="str">
        <f aca="false">IF('6-Month Forecast'!H16&gt;0,COUNTIF('6-Month Forecast'!$H$14:H16,"&gt;0"),"")</f>
        <v/>
      </c>
    </row>
    <row r="15" customFormat="false" ht="15" hidden="false" customHeight="false" outlineLevel="0" collapsed="false">
      <c r="J15" s="47" t="n">
        <f aca="false">'6-Month Forecast'!A17</f>
        <v>4</v>
      </c>
      <c r="K15" s="47" t="n">
        <f aca="false">IF('6-Month Forecast'!H17&gt;0,COUNTIF('6-Month Forecast'!$H$14:H17,"&gt;0"),"")</f>
        <v>1</v>
      </c>
    </row>
    <row r="16" customFormat="false" ht="15" hidden="false" customHeight="false" outlineLevel="0" collapsed="false">
      <c r="A16" s="40" t="s">
        <v>163</v>
      </c>
      <c r="B16" s="41"/>
      <c r="C16" s="41"/>
      <c r="D16" s="41"/>
      <c r="E16" s="41"/>
      <c r="F16" s="41"/>
      <c r="G16" s="41"/>
      <c r="H16" s="41"/>
      <c r="J16" s="47" t="n">
        <f aca="false">'6-Month Forecast'!A18</f>
        <v>5</v>
      </c>
      <c r="K16" s="47" t="str">
        <f aca="false">IF('6-Month Forecast'!H18&gt;0,COUNTIF('6-Month Forecast'!$H$14:H18,"&gt;0"),"")</f>
        <v/>
      </c>
    </row>
    <row r="17" customFormat="false" ht="15" hidden="false" customHeight="false" outlineLevel="0" collapsed="false">
      <c r="A17" s="43" t="s">
        <v>164</v>
      </c>
      <c r="B17" s="10" t="s">
        <v>165</v>
      </c>
      <c r="C17" s="44" t="n">
        <v>1</v>
      </c>
      <c r="D17" s="44"/>
      <c r="E17" s="44" t="n">
        <v>2</v>
      </c>
      <c r="F17" s="45" t="n">
        <f aca="false">IF(INDEX($C17:$E17,1,$B$6)="",$C17,INDEX($C17:$E17,1,$B$6))</f>
        <v>1</v>
      </c>
      <c r="G17" s="10" t="s">
        <v>8</v>
      </c>
      <c r="H17" s="46" t="s">
        <v>166</v>
      </c>
      <c r="J17" s="47" t="n">
        <f aca="false">'6-Month Forecast'!A19</f>
        <v>6</v>
      </c>
      <c r="K17" s="47" t="str">
        <f aca="false">IF('6-Month Forecast'!H19&gt;0,COUNTIF('6-Month Forecast'!$H$14:H19,"&gt;0"),"")</f>
        <v/>
      </c>
    </row>
    <row r="18" customFormat="false" ht="22.35" hidden="false" customHeight="false" outlineLevel="0" collapsed="false">
      <c r="A18" s="43" t="s">
        <v>167</v>
      </c>
      <c r="B18" s="10" t="s">
        <v>168</v>
      </c>
      <c r="C18" s="44" t="n">
        <v>11</v>
      </c>
      <c r="D18" s="44"/>
      <c r="E18" s="44" t="n">
        <v>12</v>
      </c>
      <c r="F18" s="45" t="n">
        <f aca="false">IF(INDEX($C18:$E18,1,$B$6)="",$C18,INDEX($C18:$E18,1,$B$6))</f>
        <v>11</v>
      </c>
      <c r="G18" s="10" t="s">
        <v>8</v>
      </c>
      <c r="H18" s="10" t="s">
        <v>169</v>
      </c>
      <c r="J18" s="47" t="n">
        <f aca="false">'6-Month Forecast'!A20</f>
        <v>7</v>
      </c>
      <c r="K18" s="47" t="str">
        <f aca="false">IF('6-Month Forecast'!H20&gt;0,COUNTIF('6-Month Forecast'!$H$14:H20,"&gt;0"),"")</f>
        <v/>
      </c>
    </row>
    <row r="19" customFormat="false" ht="15" hidden="false" customHeight="false" outlineLevel="0" collapsed="false">
      <c r="A19" s="48" t="s">
        <v>170</v>
      </c>
      <c r="C19" s="49" t="n">
        <f aca="false">SUM(C17:C18)</f>
        <v>12</v>
      </c>
      <c r="D19" s="49" t="n">
        <f aca="false">IF(D17="",C17,D17)+IF(D18="",C18,D18)</f>
        <v>12</v>
      </c>
      <c r="E19" s="49" t="n">
        <f aca="false">SUM(E17:E18)</f>
        <v>14</v>
      </c>
      <c r="F19" s="50" t="n">
        <f aca="false">SUM(F17:F18)</f>
        <v>12</v>
      </c>
      <c r="H19" s="10" t="s">
        <v>171</v>
      </c>
      <c r="J19" s="47" t="n">
        <f aca="false">'6-Month Forecast'!A21</f>
        <v>8</v>
      </c>
      <c r="K19" s="47" t="str">
        <f aca="false">IF('6-Month Forecast'!H21&gt;0,COUNTIF('6-Month Forecast'!$H$14:H21,"&gt;0"),"")</f>
        <v/>
      </c>
    </row>
    <row r="20" customFormat="false" ht="15" hidden="false" customHeight="false" outlineLevel="0" collapsed="false">
      <c r="J20" s="47" t="n">
        <f aca="false">'6-Month Forecast'!A22</f>
        <v>9</v>
      </c>
      <c r="K20" s="47" t="n">
        <f aca="false">IF('6-Month Forecast'!H22&gt;0,COUNTIF('6-Month Forecast'!$H$14:H22,"&gt;0"),"")</f>
        <v>2</v>
      </c>
    </row>
    <row r="21" customFormat="false" ht="15" hidden="false" customHeight="false" outlineLevel="0" collapsed="false">
      <c r="A21" s="40" t="s">
        <v>172</v>
      </c>
      <c r="B21" s="41"/>
      <c r="C21" s="41"/>
      <c r="D21" s="41"/>
      <c r="E21" s="41"/>
      <c r="F21" s="41"/>
      <c r="G21" s="41"/>
      <c r="H21" s="41"/>
      <c r="J21" s="47" t="n">
        <f aca="false">'6-Month Forecast'!A23</f>
        <v>10</v>
      </c>
      <c r="K21" s="47" t="str">
        <f aca="false">IF('6-Month Forecast'!H23&gt;0,COUNTIF('6-Month Forecast'!$H$14:H23,"&gt;0"),"")</f>
        <v/>
      </c>
    </row>
    <row r="22" customFormat="false" ht="22.35" hidden="false" customHeight="false" outlineLevel="0" collapsed="false">
      <c r="A22" s="43" t="s">
        <v>173</v>
      </c>
      <c r="B22" s="10" t="s">
        <v>174</v>
      </c>
      <c r="C22" s="44" t="n">
        <v>1</v>
      </c>
      <c r="D22" s="44" t="n">
        <v>1</v>
      </c>
      <c r="E22" s="44" t="n">
        <v>1</v>
      </c>
      <c r="F22" s="45" t="n">
        <f aca="false">IF(INDEX($C22:$E22,1,$B$6)="",$C22,INDEX($C22:$E22,1,$B$6))</f>
        <v>1</v>
      </c>
      <c r="G22" s="10" t="s">
        <v>8</v>
      </c>
      <c r="H22" s="51" t="s">
        <v>175</v>
      </c>
      <c r="J22" s="47" t="n">
        <f aca="false">'6-Month Forecast'!A24</f>
        <v>11</v>
      </c>
      <c r="K22" s="47" t="str">
        <f aca="false">IF('6-Month Forecast'!H24&gt;0,COUNTIF('6-Month Forecast'!$H$14:H24,"&gt;0"),"")</f>
        <v/>
      </c>
    </row>
    <row r="23" customFormat="false" ht="15" hidden="false" customHeight="false" outlineLevel="0" collapsed="false">
      <c r="A23" s="43" t="s">
        <v>176</v>
      </c>
      <c r="B23" s="10" t="s">
        <v>177</v>
      </c>
      <c r="C23" s="44" t="n">
        <v>1</v>
      </c>
      <c r="D23" s="44"/>
      <c r="E23" s="44" t="n">
        <v>2</v>
      </c>
      <c r="F23" s="45" t="n">
        <f aca="false">IF(INDEX($C23:$E23,1,$B$6)="",$C23,INDEX($C23:$E23,1,$B$6))</f>
        <v>1</v>
      </c>
      <c r="G23" s="10" t="s">
        <v>8</v>
      </c>
      <c r="H23" s="46" t="s">
        <v>178</v>
      </c>
      <c r="J23" s="47" t="n">
        <f aca="false">'6-Month Forecast'!A25</f>
        <v>12</v>
      </c>
      <c r="K23" s="47" t="str">
        <f aca="false">IF('6-Month Forecast'!H25&gt;0,COUNTIF('6-Month Forecast'!$H$14:H25,"&gt;0"),"")</f>
        <v/>
      </c>
    </row>
    <row r="24" customFormat="false" ht="15" hidden="false" customHeight="false" outlineLevel="0" collapsed="false">
      <c r="A24" s="48" t="s">
        <v>179</v>
      </c>
      <c r="C24" s="49" t="n">
        <f aca="false">SUM(C22:C23)</f>
        <v>2</v>
      </c>
      <c r="D24" s="49" t="n">
        <f aca="false">IF(D22="",C22,D22)+IF(D23="",C23,D23)</f>
        <v>2</v>
      </c>
      <c r="E24" s="49" t="n">
        <f aca="false">SUM(E22:E23)</f>
        <v>3</v>
      </c>
      <c r="F24" s="50" t="n">
        <f aca="false">SUM(F22:F23)</f>
        <v>2</v>
      </c>
      <c r="J24" s="47" t="n">
        <f aca="false">'6-Month Forecast'!A26</f>
        <v>13</v>
      </c>
      <c r="K24" s="47" t="str">
        <f aca="false">IF('6-Month Forecast'!H26&gt;0,COUNTIF('6-Month Forecast'!$H$14:H26,"&gt;0"),"")</f>
        <v/>
      </c>
    </row>
    <row r="25" customFormat="false" ht="15" hidden="false" customHeight="false" outlineLevel="0" collapsed="false">
      <c r="J25" s="47" t="n">
        <f aca="false">'6-Month Forecast'!A27</f>
        <v>14</v>
      </c>
      <c r="K25" s="47" t="n">
        <f aca="false">IF('6-Month Forecast'!H27&gt;0,COUNTIF('6-Month Forecast'!$H$14:H27,"&gt;0"),"")</f>
        <v>3</v>
      </c>
    </row>
    <row r="26" customFormat="false" ht="15" hidden="false" customHeight="false" outlineLevel="0" collapsed="false">
      <c r="A26" s="40" t="s">
        <v>180</v>
      </c>
      <c r="B26" s="41"/>
      <c r="C26" s="41"/>
      <c r="D26" s="41"/>
      <c r="E26" s="41"/>
      <c r="F26" s="41"/>
      <c r="G26" s="41"/>
      <c r="H26" s="41"/>
      <c r="J26" s="47" t="n">
        <f aca="false">'6-Month Forecast'!A28</f>
        <v>15</v>
      </c>
      <c r="K26" s="47" t="str">
        <f aca="false">IF('6-Month Forecast'!H28&gt;0,COUNTIF('6-Month Forecast'!$H$14:H28,"&gt;0"),"")</f>
        <v/>
      </c>
    </row>
    <row r="27" customFormat="false" ht="15" hidden="false" customHeight="false" outlineLevel="0" collapsed="false">
      <c r="A27" s="43" t="s">
        <v>181</v>
      </c>
      <c r="B27" s="10" t="s">
        <v>182</v>
      </c>
      <c r="C27" s="44" t="n">
        <v>2</v>
      </c>
      <c r="D27" s="44"/>
      <c r="E27" s="44" t="n">
        <v>3</v>
      </c>
      <c r="F27" s="45" t="n">
        <f aca="false">IF(INDEX($C27:$E27,1,$B$6)="",$C27,INDEX($C27:$E27,1,$B$6))</f>
        <v>2</v>
      </c>
      <c r="G27" s="10" t="s">
        <v>183</v>
      </c>
      <c r="H27" s="46" t="s">
        <v>184</v>
      </c>
      <c r="J27" s="47" t="n">
        <f aca="false">'6-Month Forecast'!A29</f>
        <v>16</v>
      </c>
      <c r="K27" s="47" t="str">
        <f aca="false">IF('6-Month Forecast'!H29&gt;0,COUNTIF('6-Month Forecast'!$H$14:H29,"&gt;0"),"")</f>
        <v/>
      </c>
    </row>
    <row r="28" customFormat="false" ht="15" hidden="false" customHeight="false" outlineLevel="0" collapsed="false">
      <c r="A28" s="43" t="s">
        <v>185</v>
      </c>
      <c r="B28" s="10" t="s">
        <v>186</v>
      </c>
      <c r="C28" s="44" t="n">
        <v>1</v>
      </c>
      <c r="D28" s="44"/>
      <c r="E28" s="44" t="n">
        <v>2</v>
      </c>
      <c r="F28" s="45" t="n">
        <f aca="false">IF(INDEX($C28:$E28,1,$B$6)="",$C28,INDEX($C28:$E28,1,$B$6))</f>
        <v>1</v>
      </c>
      <c r="G28" s="10" t="s">
        <v>187</v>
      </c>
      <c r="H28" s="10" t="s">
        <v>188</v>
      </c>
      <c r="J28" s="47" t="n">
        <f aca="false">'6-Month Forecast'!A30</f>
        <v>17</v>
      </c>
      <c r="K28" s="47" t="str">
        <f aca="false">IF('6-Month Forecast'!H30&gt;0,COUNTIF('6-Month Forecast'!$H$14:H30,"&gt;0"),"")</f>
        <v/>
      </c>
    </row>
    <row r="29" customFormat="false" ht="15" hidden="false" customHeight="false" outlineLevel="0" collapsed="false">
      <c r="A29" s="48" t="s">
        <v>189</v>
      </c>
      <c r="C29" s="49" t="n">
        <f aca="false">SUM(C27:C28)</f>
        <v>3</v>
      </c>
      <c r="D29" s="49" t="n">
        <f aca="false">IF(D27="",C27,D27)+IF(D28="",C28,D28)</f>
        <v>3</v>
      </c>
      <c r="E29" s="49" t="n">
        <f aca="false">SUM(E27:E28)</f>
        <v>5</v>
      </c>
      <c r="F29" s="50" t="n">
        <f aca="false">SUM(F27:F28)</f>
        <v>3</v>
      </c>
      <c r="J29" s="47" t="n">
        <f aca="false">'6-Month Forecast'!A31</f>
        <v>18</v>
      </c>
      <c r="K29" s="47" t="str">
        <f aca="false">IF('6-Month Forecast'!H31&gt;0,COUNTIF('6-Month Forecast'!$H$14:H31,"&gt;0"),"")</f>
        <v/>
      </c>
    </row>
    <row r="30" customFormat="false" ht="15" hidden="false" customHeight="false" outlineLevel="0" collapsed="false">
      <c r="J30" s="47" t="n">
        <f aca="false">'6-Month Forecast'!A32</f>
        <v>19</v>
      </c>
      <c r="K30" s="47" t="n">
        <f aca="false">IF('6-Month Forecast'!H32&gt;0,COUNTIF('6-Month Forecast'!$H$14:H32,"&gt;0"),"")</f>
        <v>4</v>
      </c>
    </row>
    <row r="31" customFormat="false" ht="15" hidden="false" customHeight="false" outlineLevel="0" collapsed="false">
      <c r="A31" s="14" t="s">
        <v>190</v>
      </c>
      <c r="C31" s="50" t="n">
        <f aca="false">C14+C19+C24+C29</f>
        <v>20</v>
      </c>
      <c r="D31" s="50" t="n">
        <f aca="false">D14+D19+D24+D29</f>
        <v>20</v>
      </c>
      <c r="E31" s="50" t="n">
        <f aca="false">E14+E19+E24+E29</f>
        <v>29</v>
      </c>
      <c r="F31" s="50" t="n">
        <f aca="false">F14+F19+F24+F29</f>
        <v>20</v>
      </c>
      <c r="H31" s="10" t="s">
        <v>191</v>
      </c>
      <c r="J31" s="47" t="n">
        <f aca="false">'6-Month Forecast'!A33</f>
        <v>20</v>
      </c>
      <c r="K31" s="47" t="str">
        <f aca="false">IF('6-Month Forecast'!H33&gt;0,COUNTIF('6-Month Forecast'!$H$14:H33,"&gt;0"),"")</f>
        <v/>
      </c>
    </row>
    <row r="32" customFormat="false" ht="15" hidden="false" customHeight="false" outlineLevel="0" collapsed="false">
      <c r="A32" s="6" t="s">
        <v>192</v>
      </c>
      <c r="C32" s="26" t="n">
        <f aca="false">CEILING(C31/7,1)</f>
        <v>3</v>
      </c>
      <c r="D32" s="26" t="n">
        <f aca="false">CEILING(D31/7,1)</f>
        <v>3</v>
      </c>
      <c r="E32" s="26" t="n">
        <f aca="false">CEILING(E31/7,1)</f>
        <v>5</v>
      </c>
      <c r="F32" s="26" t="n">
        <f aca="false">CEILING(F31/7,1)</f>
        <v>3</v>
      </c>
      <c r="H32" s="10" t="s">
        <v>193</v>
      </c>
      <c r="J32" s="47" t="n">
        <f aca="false">'6-Month Forecast'!A34</f>
        <v>21</v>
      </c>
      <c r="K32" s="47" t="str">
        <f aca="false">IF('6-Month Forecast'!H34&gt;0,COUNTIF('6-Month Forecast'!$H$14:H34,"&gt;0"),"")</f>
        <v/>
      </c>
    </row>
    <row r="33" customFormat="false" ht="15" hidden="false" customHeight="false" outlineLevel="0" collapsed="false">
      <c r="A33" s="6" t="s">
        <v>194</v>
      </c>
      <c r="C33" s="26" t="n">
        <f aca="false">C32*7-C31</f>
        <v>1</v>
      </c>
      <c r="D33" s="26" t="n">
        <f aca="false">D32*7-D31</f>
        <v>1</v>
      </c>
      <c r="E33" s="26" t="n">
        <f aca="false">E32*7-E31</f>
        <v>6</v>
      </c>
      <c r="F33" s="26" t="n">
        <f aca="false">F32*7-F31</f>
        <v>1</v>
      </c>
      <c r="J33" s="47" t="n">
        <f aca="false">'6-Month Forecast'!A35</f>
        <v>22</v>
      </c>
      <c r="K33" s="47" t="str">
        <f aca="false">IF('6-Month Forecast'!H35&gt;0,COUNTIF('6-Month Forecast'!$H$14:H35,"&gt;0"),"")</f>
        <v/>
      </c>
    </row>
    <row r="34" customFormat="false" ht="15" hidden="false" customHeight="false" outlineLevel="0" collapsed="false">
      <c r="A34" s="6" t="s">
        <v>195</v>
      </c>
      <c r="C34" s="26" t="n">
        <f aca="false">C19+C24</f>
        <v>14</v>
      </c>
      <c r="D34" s="26" t="n">
        <f aca="false">D19+D24</f>
        <v>14</v>
      </c>
      <c r="E34" s="26" t="n">
        <f aca="false">E19+E24</f>
        <v>17</v>
      </c>
      <c r="F34" s="26" t="n">
        <f aca="false">F19+F24</f>
        <v>14</v>
      </c>
      <c r="H34" s="10" t="s">
        <v>196</v>
      </c>
      <c r="J34" s="47" t="n">
        <f aca="false">'6-Month Forecast'!A36</f>
        <v>23</v>
      </c>
      <c r="K34" s="47" t="str">
        <f aca="false">IF('6-Month Forecast'!H36&gt;0,COUNTIF('6-Month Forecast'!$H$14:H36,"&gt;0"),"")</f>
        <v/>
      </c>
    </row>
    <row r="35" customFormat="false" ht="15" hidden="false" customHeight="false" outlineLevel="0" collapsed="false">
      <c r="A35" s="6" t="s">
        <v>197</v>
      </c>
      <c r="C35" s="27" t="str">
        <f aca="false">IF(C34&lt;=$B$7,"Within standard ("&amp;($B$7-C34)&amp;" d spare)","Exceeds by "&amp;(C34-$B$7)&amp;" d")</f>
        <v>Within standard (0 d spare)</v>
      </c>
      <c r="D35" s="27" t="str">
        <f aca="false">IF(D34&lt;=$B$7,"Within standard ("&amp;($B$7-D34)&amp;" d spare)","Exceeds by "&amp;(D34-$B$7)&amp;" d")</f>
        <v>Within standard (0 d spare)</v>
      </c>
      <c r="E35" s="27" t="str">
        <f aca="false">IF(E34&lt;=$B$7,"Within standard ("&amp;($B$7-E34)&amp;" d spare)","Exceeds by "&amp;(E34-$B$7)&amp;" d")</f>
        <v>Exceeds by 3 d</v>
      </c>
      <c r="F35" s="27" t="str">
        <f aca="false">IF(F34&lt;=$B$7,"Within standard ("&amp;($B$7-F34)&amp;" d spare)","Exceeds by "&amp;(F34-$B$7)&amp;" d")</f>
        <v>Within standard (0 d spare)</v>
      </c>
      <c r="J35" s="47" t="n">
        <f aca="false">'6-Month Forecast'!A37</f>
        <v>24</v>
      </c>
      <c r="K35" s="47" t="n">
        <f aca="false">IF('6-Month Forecast'!H37&gt;0,COUNTIF('6-Month Forecast'!$H$14:H37,"&gt;0"),"")</f>
        <v>5</v>
      </c>
    </row>
    <row r="36" customFormat="false" ht="15" hidden="false" customHeight="false" outlineLevel="0" collapsed="false">
      <c r="A36" s="6" t="s">
        <v>198</v>
      </c>
      <c r="C36" s="26" t="n">
        <f aca="false">C31-C28</f>
        <v>19</v>
      </c>
      <c r="D36" s="26" t="n">
        <f aca="false">D31-D28</f>
        <v>20</v>
      </c>
      <c r="E36" s="26" t="n">
        <f aca="false">E31-E28</f>
        <v>27</v>
      </c>
      <c r="F36" s="26" t="n">
        <f aca="false">F31-F28</f>
        <v>19</v>
      </c>
      <c r="H36" s="10" t="s">
        <v>199</v>
      </c>
      <c r="J36" s="47" t="n">
        <f aca="false">'6-Month Forecast'!A38</f>
        <v>25</v>
      </c>
      <c r="K36" s="47" t="str">
        <f aca="false">IF('6-Month Forecast'!H38&gt;0,COUNTIF('6-Month Forecast'!$H$14:H38,"&gt;0"),"")</f>
        <v/>
      </c>
    </row>
    <row r="37" customFormat="false" ht="15" hidden="false" customHeight="false" outlineLevel="0" collapsed="false">
      <c r="A37" s="6" t="s">
        <v>200</v>
      </c>
      <c r="C37" s="26" t="n">
        <f aca="false">C28</f>
        <v>1</v>
      </c>
      <c r="D37" s="26" t="n">
        <f aca="false">D28</f>
        <v>0</v>
      </c>
      <c r="E37" s="26" t="n">
        <f aca="false">E28</f>
        <v>2</v>
      </c>
      <c r="F37" s="26" t="n">
        <f aca="false">F28</f>
        <v>1</v>
      </c>
      <c r="J37" s="47" t="n">
        <f aca="false">'6-Month Forecast'!A39</f>
        <v>26</v>
      </c>
      <c r="K37" s="47" t="str">
        <f aca="false">IF('6-Month Forecast'!H39&gt;0,COUNTIF('6-Month Forecast'!$H$14:H39,"&gt;0"),"")</f>
        <v/>
      </c>
    </row>
    <row r="39" customFormat="false" ht="15" hidden="false" customHeight="false" outlineLevel="0" collapsed="false">
      <c r="A39" s="4" t="s">
        <v>201</v>
      </c>
    </row>
    <row r="40" customFormat="false" ht="15" hidden="false" customHeight="false" outlineLevel="0" collapsed="false">
      <c r="A40" s="52" t="s">
        <v>202</v>
      </c>
      <c r="B40" s="52" t="s">
        <v>203</v>
      </c>
      <c r="C40" s="52" t="str">
        <f aca="false">C10</f>
        <v>Supplier standard</v>
      </c>
      <c r="D40" s="52" t="str">
        <f aca="false">D10</f>
        <v>Confirmed on call</v>
      </c>
      <c r="E40" s="52" t="str">
        <f aca="false">E10</f>
        <v>Conservative</v>
      </c>
      <c r="F40" s="52" t="s">
        <v>146</v>
      </c>
      <c r="H40" s="52" t="s">
        <v>204</v>
      </c>
    </row>
    <row r="41" customFormat="false" ht="15" hidden="false" customHeight="false" outlineLevel="0" collapsed="false">
      <c r="A41" s="43" t="s">
        <v>205</v>
      </c>
      <c r="B41" s="10" t="s">
        <v>206</v>
      </c>
      <c r="C41" s="53" t="n">
        <f aca="false">C31</f>
        <v>20</v>
      </c>
      <c r="D41" s="53" t="n">
        <f aca="false">D31</f>
        <v>20</v>
      </c>
      <c r="E41" s="53" t="n">
        <f aca="false">E31</f>
        <v>29</v>
      </c>
      <c r="F41" s="53" t="n">
        <f aca="false">F31</f>
        <v>20</v>
      </c>
    </row>
    <row r="42" customFormat="false" ht="15" hidden="false" customHeight="false" outlineLevel="0" collapsed="false">
      <c r="A42" s="43" t="s">
        <v>83</v>
      </c>
      <c r="B42" s="10" t="s">
        <v>207</v>
      </c>
      <c r="C42" s="53" t="n">
        <f aca="false">C32</f>
        <v>3</v>
      </c>
      <c r="D42" s="53" t="n">
        <f aca="false">D32</f>
        <v>3</v>
      </c>
      <c r="E42" s="53" t="n">
        <f aca="false">E32</f>
        <v>5</v>
      </c>
      <c r="F42" s="53" t="n">
        <f aca="false">F32</f>
        <v>3</v>
      </c>
    </row>
    <row r="43" customFormat="false" ht="15" hidden="false" customHeight="false" outlineLevel="0" collapsed="false">
      <c r="A43" s="43" t="s">
        <v>208</v>
      </c>
      <c r="B43" s="10" t="s">
        <v>209</v>
      </c>
      <c r="C43" s="54" t="n">
        <f aca="false">Inputs!$B$26</f>
        <v>270</v>
      </c>
      <c r="D43" s="54" t="n">
        <f aca="false">Inputs!$B$26</f>
        <v>270</v>
      </c>
      <c r="E43" s="54" t="n">
        <f aca="false">Inputs!$B$26</f>
        <v>270</v>
      </c>
      <c r="F43" s="54" t="n">
        <f aca="false">Inputs!$B$26</f>
        <v>270</v>
      </c>
    </row>
    <row r="44" customFormat="false" ht="15" hidden="false" customHeight="false" outlineLevel="0" collapsed="false">
      <c r="A44" s="43" t="s">
        <v>210</v>
      </c>
      <c r="B44" s="10" t="s">
        <v>211</v>
      </c>
      <c r="C44" s="55" t="n">
        <f aca="false">Inputs!$B$32*Inputs!$B$26</f>
        <v>270</v>
      </c>
      <c r="D44" s="55" t="n">
        <f aca="false">Inputs!$B$32*Inputs!$B$26</f>
        <v>270</v>
      </c>
      <c r="E44" s="55" t="n">
        <f aca="false">Inputs!$B$32*Inputs!$B$26</f>
        <v>270</v>
      </c>
      <c r="F44" s="55" t="n">
        <f aca="false">Inputs!$B$32*Inputs!$B$26</f>
        <v>270</v>
      </c>
    </row>
    <row r="45" customFormat="false" ht="15" hidden="false" customHeight="false" outlineLevel="0" collapsed="false">
      <c r="A45" s="56" t="s">
        <v>212</v>
      </c>
      <c r="B45" s="10" t="s">
        <v>213</v>
      </c>
      <c r="C45" s="57" t="n">
        <f aca="false">(C42+Inputs!$B$32)*Inputs!$B$26</f>
        <v>1080</v>
      </c>
      <c r="D45" s="57" t="n">
        <f aca="false">(D42+Inputs!$B$32)*Inputs!$B$26</f>
        <v>1080</v>
      </c>
      <c r="E45" s="57" t="n">
        <f aca="false">(E42+Inputs!$B$32)*Inputs!$B$26</f>
        <v>1620</v>
      </c>
      <c r="F45" s="57" t="n">
        <f aca="false">(F42+Inputs!$B$32)*Inputs!$B$26</f>
        <v>1080</v>
      </c>
      <c r="H45" s="10" t="s">
        <v>214</v>
      </c>
    </row>
    <row r="46" customFormat="false" ht="15" hidden="false" customHeight="false" outlineLevel="0" collapsed="false">
      <c r="A46" s="43" t="s">
        <v>215</v>
      </c>
      <c r="B46" s="10" t="s">
        <v>216</v>
      </c>
      <c r="C46" s="58" t="n">
        <f aca="false">C45/Inputs!$B$26</f>
        <v>4</v>
      </c>
      <c r="D46" s="58" t="n">
        <f aca="false">D45/Inputs!$B$26</f>
        <v>4</v>
      </c>
      <c r="E46" s="58" t="n">
        <f aca="false">E45/Inputs!$B$26</f>
        <v>6</v>
      </c>
      <c r="F46" s="58" t="n">
        <f aca="false">F45/Inputs!$B$26</f>
        <v>4</v>
      </c>
    </row>
    <row r="47" customFormat="false" ht="15" hidden="false" customHeight="false" outlineLevel="0" collapsed="false">
      <c r="A47" s="43" t="s">
        <v>217</v>
      </c>
      <c r="B47" s="10" t="s">
        <v>218</v>
      </c>
      <c r="C47" s="54" t="n">
        <f aca="false">'Order Cadence'!$B$6</f>
        <v>1300</v>
      </c>
      <c r="D47" s="54" t="n">
        <f aca="false">'Order Cadence'!$B$6</f>
        <v>1300</v>
      </c>
      <c r="E47" s="54" t="n">
        <f aca="false">'Order Cadence'!$B$6</f>
        <v>1300</v>
      </c>
      <c r="F47" s="54" t="n">
        <f aca="false">'Order Cadence'!$B$6</f>
        <v>1300</v>
      </c>
    </row>
    <row r="48" customFormat="false" ht="15" hidden="false" customHeight="false" outlineLevel="0" collapsed="false">
      <c r="A48" s="43" t="s">
        <v>219</v>
      </c>
      <c r="B48" s="10" t="s">
        <v>220</v>
      </c>
      <c r="C48" s="59" t="str">
        <f aca="false">IF(C45&lt;=C47,"Yes — one PO open at a time","No — two POs open at times; consider 2-roll POs")</f>
        <v>Yes — one PO open at a time</v>
      </c>
      <c r="D48" s="59" t="str">
        <f aca="false">IF(D45&lt;=D47,"Yes — one PO open at a time","No — two POs open at times; consider 2-roll POs")</f>
        <v>Yes — one PO open at a time</v>
      </c>
      <c r="E48" s="59" t="str">
        <f aca="false">IF(E45&lt;=E47,"Yes — one PO open at a time","No — two POs open at times; consider 2-roll POs")</f>
        <v>No — two POs open at times; consider 2-roll POs</v>
      </c>
      <c r="F48" s="59" t="str">
        <f aca="false">IF(F45&lt;=F47,"Yes — one PO open at a time","No — two POs open at times; consider 2-roll POs")</f>
        <v>Yes — one PO open at a time</v>
      </c>
    </row>
    <row r="49" customFormat="false" ht="15" hidden="false" customHeight="false" outlineLevel="0" collapsed="false">
      <c r="A49" s="43" t="s">
        <v>221</v>
      </c>
      <c r="B49" s="10" t="s">
        <v>222</v>
      </c>
      <c r="C49" s="55" t="n">
        <f aca="false">C44+C47</f>
        <v>1570</v>
      </c>
      <c r="D49" s="55" t="n">
        <f aca="false">D44+D47</f>
        <v>1570</v>
      </c>
      <c r="E49" s="55" t="n">
        <f aca="false">E44+E47</f>
        <v>1570</v>
      </c>
      <c r="F49" s="55" t="n">
        <f aca="false">F44+F47</f>
        <v>1570</v>
      </c>
    </row>
    <row r="50" customFormat="false" ht="15" hidden="false" customHeight="false" outlineLevel="0" collapsed="false">
      <c r="A50" s="43" t="s">
        <v>223</v>
      </c>
      <c r="B50" s="10" t="s">
        <v>224</v>
      </c>
      <c r="C50" s="55" t="n">
        <f aca="false">C47/2+C44</f>
        <v>920</v>
      </c>
      <c r="D50" s="55" t="n">
        <f aca="false">D47/2+D44</f>
        <v>920</v>
      </c>
      <c r="E50" s="55" t="n">
        <f aca="false">E47/2+E44</f>
        <v>920</v>
      </c>
      <c r="F50" s="55" t="n">
        <f aca="false">F47/2+F44</f>
        <v>920</v>
      </c>
      <c r="H50" s="10" t="s">
        <v>225</v>
      </c>
    </row>
    <row r="51" customFormat="false" ht="23.85" hidden="false" customHeight="false" outlineLevel="0" collapsed="false">
      <c r="A51" s="43" t="s">
        <v>226</v>
      </c>
      <c r="B51" s="10" t="s">
        <v>227</v>
      </c>
      <c r="C51" s="55" t="n">
        <f aca="false">MAX(0,(C42*7-$D41)*Inputs!$B$26/7)</f>
        <v>38.5714285714286</v>
      </c>
      <c r="D51" s="55" t="n">
        <f aca="false">MAX(0,(D42*7-$D41)*Inputs!$B$26/7)</f>
        <v>38.5714285714286</v>
      </c>
      <c r="E51" s="55" t="n">
        <f aca="false">MAX(0,(E42*7-$D41)*Inputs!$B$26/7)</f>
        <v>578.571428571429</v>
      </c>
      <c r="F51" s="55" t="n">
        <f aca="false">MAX(0,(F42*7-$D41)*Inputs!$B$26/7)</f>
        <v>38.5714285714286</v>
      </c>
      <c r="H51" s="10" t="s">
        <v>228</v>
      </c>
    </row>
    <row r="52" customFormat="false" ht="15" hidden="false" customHeight="false" outlineLevel="0" collapsed="false">
      <c r="A52" s="43" t="s">
        <v>229</v>
      </c>
      <c r="B52" s="10" t="s">
        <v>230</v>
      </c>
      <c r="C52" s="60" t="n">
        <f aca="false">C51*Inputs!$B$20</f>
        <v>15.8142857142857</v>
      </c>
      <c r="D52" s="60" t="n">
        <f aca="false">D51*Inputs!$B$20</f>
        <v>15.8142857142857</v>
      </c>
      <c r="E52" s="60" t="n">
        <f aca="false">E51*Inputs!$B$20</f>
        <v>237.214285714286</v>
      </c>
      <c r="F52" s="60" t="n">
        <f aca="false">F51*Inputs!$B$20</f>
        <v>15.8142857142857</v>
      </c>
    </row>
    <row r="54" customFormat="false" ht="42" hidden="false" customHeight="true" outlineLevel="0" collapsed="false">
      <c r="A54" s="61" t="s">
        <v>231</v>
      </c>
      <c r="B54" s="61"/>
      <c r="C54" s="61"/>
      <c r="D54" s="61"/>
      <c r="E54" s="61"/>
      <c r="F54" s="61"/>
      <c r="G54" s="61"/>
      <c r="H54" s="61"/>
    </row>
    <row r="56" customFormat="false" ht="15" hidden="false" customHeight="false" outlineLevel="0" collapsed="false">
      <c r="A56" s="4" t="s">
        <v>232</v>
      </c>
    </row>
    <row r="57" customFormat="false" ht="15" hidden="false" customHeight="false" outlineLevel="0" collapsed="false">
      <c r="A57" s="62" t="s">
        <v>233</v>
      </c>
      <c r="B57" s="62"/>
      <c r="C57" s="62"/>
      <c r="D57" s="62"/>
      <c r="E57" s="62"/>
      <c r="F57" s="62"/>
      <c r="G57" s="62"/>
      <c r="H57" s="62"/>
    </row>
    <row r="58" customFormat="false" ht="15" hidden="false" customHeight="false" outlineLevel="0" collapsed="false">
      <c r="A58" s="62" t="s">
        <v>234</v>
      </c>
      <c r="B58" s="62"/>
      <c r="C58" s="62"/>
      <c r="D58" s="62"/>
      <c r="E58" s="62"/>
      <c r="F58" s="62"/>
      <c r="G58" s="62"/>
      <c r="H58" s="62"/>
    </row>
    <row r="59" customFormat="false" ht="15" hidden="false" customHeight="false" outlineLevel="0" collapsed="false">
      <c r="A59" s="62" t="s">
        <v>235</v>
      </c>
      <c r="B59" s="62"/>
      <c r="C59" s="62"/>
      <c r="D59" s="62"/>
      <c r="E59" s="62"/>
      <c r="F59" s="62"/>
      <c r="G59" s="62"/>
      <c r="H59" s="62"/>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5"/>
    <col collapsed="false" customWidth="true" hidden="false" outlineLevel="0" max="3" min="3" style="1" width="14"/>
    <col collapsed="false" customWidth="true" hidden="false" outlineLevel="0" max="5" min="4" style="1" width="13"/>
    <col collapsed="false" customWidth="true" hidden="false" outlineLevel="0" max="6" min="6" style="1" width="14"/>
    <col collapsed="false" customWidth="true" hidden="false" outlineLevel="0" max="7" min="7" style="1" width="13"/>
    <col collapsed="false" customWidth="true" hidden="false" outlineLevel="0" max="8" min="8" style="1" width="15"/>
    <col collapsed="false" customWidth="true" hidden="false" outlineLevel="0" max="9" min="9" style="1" width="16"/>
    <col collapsed="false" customWidth="true" hidden="false" outlineLevel="0" max="10" min="10" style="1" width="14"/>
    <col collapsed="false" customWidth="true" hidden="false" outlineLevel="0" max="11" min="11" style="1" width="16"/>
    <col collapsed="false" customWidth="true" hidden="false" outlineLevel="0" max="12" min="12" style="1" width="24"/>
    <col collapsed="false" customWidth="true" hidden="false" outlineLevel="0" max="13" min="13" style="1" width="14"/>
    <col collapsed="false" customWidth="true" hidden="false" outlineLevel="0" max="14" min="14" style="1" width="15"/>
    <col collapsed="false" customWidth="true" hidden="false" outlineLevel="0" max="15" min="15" style="1" width="22"/>
    <col collapsed="false" customWidth="true" hidden="false" outlineLevel="0" max="16" min="16" style="1" width="10"/>
    <col collapsed="false" customWidth="true" hidden="false" outlineLevel="0" max="17" min="17" style="1" width="11"/>
  </cols>
  <sheetData>
    <row r="1" customFormat="false" ht="17.35" hidden="false" customHeight="false" outlineLevel="0" collapsed="false">
      <c r="A1" s="2" t="s">
        <v>236</v>
      </c>
    </row>
    <row r="2" customFormat="false" ht="15" hidden="false" customHeight="false" outlineLevel="0" collapsed="false">
      <c r="A2" s="27" t="s">
        <v>237</v>
      </c>
    </row>
    <row r="4" customFormat="false" ht="15" hidden="false" customHeight="false" outlineLevel="0" collapsed="false">
      <c r="A4" s="4" t="s">
        <v>238</v>
      </c>
    </row>
    <row r="5" customFormat="false" ht="15" hidden="false" customHeight="false" outlineLevel="0" collapsed="false">
      <c r="A5" s="6" t="s">
        <v>239</v>
      </c>
      <c r="B5" s="11" t="str">
        <f aca="false">'Cycle Time'!B5</f>
        <v>Supplier standard</v>
      </c>
      <c r="D5" s="27" t="s">
        <v>240</v>
      </c>
    </row>
    <row r="6" customFormat="false" ht="15" hidden="false" customHeight="false" outlineLevel="0" collapsed="false">
      <c r="A6" s="6" t="s">
        <v>205</v>
      </c>
      <c r="B6" s="17" t="n">
        <f aca="false">'Cycle Time'!F31</f>
        <v>20</v>
      </c>
    </row>
    <row r="7" customFormat="false" ht="15" hidden="false" customHeight="false" outlineLevel="0" collapsed="false">
      <c r="A7" s="6" t="s">
        <v>83</v>
      </c>
      <c r="B7" s="17" t="n">
        <f aca="false">Inputs!B31</f>
        <v>3</v>
      </c>
    </row>
    <row r="8" customFormat="false" ht="15" hidden="false" customHeight="false" outlineLevel="0" collapsed="false">
      <c r="A8" s="6" t="s">
        <v>138</v>
      </c>
      <c r="B8" s="17" t="n">
        <f aca="false">'Cycle Time'!B7</f>
        <v>14</v>
      </c>
    </row>
    <row r="9" customFormat="false" ht="15" hidden="false" customHeight="false" outlineLevel="0" collapsed="false">
      <c r="A9" s="6" t="s">
        <v>208</v>
      </c>
      <c r="B9" s="12" t="n">
        <f aca="false">Inputs!B26</f>
        <v>270</v>
      </c>
    </row>
    <row r="10" customFormat="false" ht="15" hidden="false" customHeight="false" outlineLevel="0" collapsed="false">
      <c r="A10" s="6" t="s">
        <v>241</v>
      </c>
      <c r="B10" s="6" t="s">
        <v>242</v>
      </c>
      <c r="D10" s="27" t="s">
        <v>243</v>
      </c>
    </row>
    <row r="12" customFormat="false" ht="15" hidden="false" customHeight="false" outlineLevel="0" collapsed="false">
      <c r="A12" s="4" t="s">
        <v>244</v>
      </c>
    </row>
    <row r="13" customFormat="false" ht="43.5" hidden="false" customHeight="true" outlineLevel="0" collapsed="false">
      <c r="A13" s="38" t="s">
        <v>245</v>
      </c>
      <c r="B13" s="38" t="s">
        <v>246</v>
      </c>
      <c r="C13" s="38" t="s">
        <v>247</v>
      </c>
      <c r="D13" s="38" t="s">
        <v>248</v>
      </c>
      <c r="E13" s="38" t="s">
        <v>249</v>
      </c>
      <c r="F13" s="38" t="s">
        <v>250</v>
      </c>
      <c r="G13" s="38" t="s">
        <v>251</v>
      </c>
      <c r="H13" s="38" t="s">
        <v>252</v>
      </c>
      <c r="I13" s="38" t="s">
        <v>253</v>
      </c>
      <c r="J13" s="38" t="s">
        <v>254</v>
      </c>
      <c r="K13" s="38" t="s">
        <v>255</v>
      </c>
      <c r="L13" s="38" t="s">
        <v>256</v>
      </c>
      <c r="M13" s="38" t="s">
        <v>257</v>
      </c>
      <c r="N13" s="38" t="s">
        <v>258</v>
      </c>
      <c r="O13" s="38" t="s">
        <v>259</v>
      </c>
      <c r="P13" s="38" t="s">
        <v>260</v>
      </c>
      <c r="Q13" s="38" t="s">
        <v>261</v>
      </c>
    </row>
    <row r="14" customFormat="false" ht="15" hidden="false" customHeight="false" outlineLevel="0" collapsed="false">
      <c r="A14" s="63" t="n">
        <v>0</v>
      </c>
      <c r="B14" s="64" t="n">
        <f aca="false">IF(Inputs!$B$56&gt;0,Inputs!$B$55,"")</f>
        <v>46289</v>
      </c>
      <c r="C14" s="64" t="n">
        <f aca="false">IF($B14="","",WORKDAY($B14+'Cycle Time'!$F$14-1,1))</f>
        <v>46293</v>
      </c>
      <c r="D14" s="64" t="n">
        <f aca="false">IF($B14="","",WORKDAY(C14+'Cycle Time'!$F$19-1,1))</f>
        <v>46307</v>
      </c>
      <c r="E14" s="65" t="n">
        <f aca="false">IF($B14="","",WORKDAY(D14+'Cycle Time'!$F$24-1,1))</f>
        <v>46309</v>
      </c>
      <c r="F14" s="64" t="n">
        <f aca="false">IF($B14="","",WORKDAY(E14+'Cycle Time'!$F$27-1,1))</f>
        <v>46311</v>
      </c>
      <c r="G14" s="64" t="n">
        <f aca="false">IF($B14="","",WORKDAY(F14+'Cycle Time'!$F$28-1,1))</f>
        <v>46314</v>
      </c>
      <c r="H14" s="66" t="n">
        <f aca="false">IF($B14="","",'6-Month Forecast'!$B$5+(Inputs!$B$58-1)*7)</f>
        <v>46314</v>
      </c>
      <c r="I14" s="65" t="n">
        <f aca="false">IF($B14="","",$H14-'Cycle Time'!$F$29)</f>
        <v>46311</v>
      </c>
      <c r="J14" s="26" t="n">
        <f aca="false">IF($B14="","",I14-$B14)</f>
        <v>22</v>
      </c>
      <c r="K14" s="49" t="n">
        <f aca="false">IF($B14="","",I14-C14)</f>
        <v>18</v>
      </c>
      <c r="L14" s="27" t="str">
        <f aca="false">IF($B14="","",IF(K14&gt;=$B$8,"Yes — "&amp;(K14-$B$8)&amp;" d margin","NO — short "&amp;($B$8-K14)&amp;" d"))</f>
        <v>Yes — 4 d margin</v>
      </c>
      <c r="M14" s="26" t="n">
        <f aca="false">IF($B14="","",I14-E14)</f>
        <v>2</v>
      </c>
      <c r="N14" s="31" t="n">
        <f aca="false">IF($B14="","",Inputs!$B$60)</f>
        <v>0.351851851851852</v>
      </c>
      <c r="O14" s="27" t="str">
        <f aca="false">IF($B14="","",IF(SUMPRODUCT(($B$29:$B$32&lt;&gt;"")*($B$29:$B$32&lt;=E14)*($C$29:$C$32&gt;=C14))&gt;0,"⚠ holiday in window","clear"))</f>
        <v>clear</v>
      </c>
      <c r="P14" s="22" t="n">
        <f aca="false">IF($B14="","",Inputs!$B$56)</f>
        <v>1300</v>
      </c>
      <c r="Q14" s="16" t="n">
        <f aca="false">IF($B14="","",P14*Inputs!$B$20)</f>
        <v>533</v>
      </c>
    </row>
    <row r="15" customFormat="false" ht="15" hidden="false" customHeight="false" outlineLevel="0" collapsed="false">
      <c r="A15" s="63" t="n">
        <v>1</v>
      </c>
      <c r="B15" s="64" t="n">
        <f aca="false">IFERROR(INDEX('6-Month Forecast'!$B$14:$B$39,MATCH($A15,'Cycle Time'!$K$12:$K$37,0)),"")</f>
        <v>46314</v>
      </c>
      <c r="C15" s="64" t="n">
        <f aca="false">IF($B15="","",WORKDAY($B15+'Cycle Time'!$F$14-1,1))</f>
        <v>46317</v>
      </c>
      <c r="D15" s="64" t="n">
        <f aca="false">IF($B15="","",WORKDAY(C15+'Cycle Time'!$F$19-1,1))</f>
        <v>46329</v>
      </c>
      <c r="E15" s="65" t="n">
        <f aca="false">IF($B15="","",WORKDAY(D15+'Cycle Time'!$F$24-1,1))</f>
        <v>46331</v>
      </c>
      <c r="F15" s="64" t="n">
        <f aca="false">IF($B15="","",WORKDAY(E15+'Cycle Time'!$F$27-1,1))</f>
        <v>46335</v>
      </c>
      <c r="G15" s="64" t="n">
        <f aca="false">IF($B15="","",WORKDAY(F15+'Cycle Time'!$F$28-1,1))</f>
        <v>46336</v>
      </c>
      <c r="H15" s="66" t="n">
        <f aca="false">IF($B15="","",$B15+$B$7*7)</f>
        <v>46335</v>
      </c>
      <c r="I15" s="65" t="n">
        <f aca="false">IF($B15="","",$H15-'Cycle Time'!$F$29)</f>
        <v>46332</v>
      </c>
      <c r="J15" s="26" t="n">
        <f aca="false">IF($B15="","",I15-$B15)</f>
        <v>18</v>
      </c>
      <c r="K15" s="49" t="n">
        <f aca="false">IF($B15="","",I15-C15)</f>
        <v>15</v>
      </c>
      <c r="L15" s="27" t="str">
        <f aca="false">IF($B15="","",IF(K15&gt;=$B$8,"Yes — "&amp;(K15-$B$8)&amp;" d margin","NO — short "&amp;($B$8-K15)&amp;" d"))</f>
        <v>Yes — 1 d margin</v>
      </c>
      <c r="M15" s="26" t="n">
        <f aca="false">IF($B15="","",I15-E15)</f>
        <v>1</v>
      </c>
      <c r="N15" s="31" t="n">
        <f aca="false">IF($B15="","",IFERROR(INDEX('6-Month Forecast'!$C$14:$C$39,MATCH($A15,'Cycle Time'!$K$12:$K$37,0)+$B$7)/$B$9*7,"beyond horizon"))</f>
        <v>13.1962962962963</v>
      </c>
      <c r="O15" s="27" t="str">
        <f aca="false">IF($B15="","",IF(SUMPRODUCT(($B$29:$B$32&lt;&gt;"")*($B$29:$B$32&lt;=E15)*($C$29:$C$32&gt;=C15))&gt;0,"⚠ holiday in window","clear"))</f>
        <v>clear</v>
      </c>
      <c r="P15" s="22" t="n">
        <f aca="false">IF($B15="","",INDEX('6-Month Forecast'!$H$14:$H$39,MATCH($A15,'Cycle Time'!$K$12:$K$37,0)))</f>
        <v>1300</v>
      </c>
      <c r="Q15" s="16" t="n">
        <f aca="false">IF($B15="","",P15*Inputs!$B$20)</f>
        <v>533</v>
      </c>
    </row>
    <row r="16" customFormat="false" ht="15" hidden="false" customHeight="false" outlineLevel="0" collapsed="false">
      <c r="A16" s="63" t="n">
        <v>2</v>
      </c>
      <c r="B16" s="64" t="n">
        <f aca="false">IFERROR(INDEX('6-Month Forecast'!$B$14:$B$39,MATCH($A16,'Cycle Time'!$K$12:$K$37,0)),"")</f>
        <v>46349</v>
      </c>
      <c r="C16" s="64" t="n">
        <f aca="false">IF($B16="","",WORKDAY($B16+'Cycle Time'!$F$14-1,1))</f>
        <v>46352</v>
      </c>
      <c r="D16" s="64" t="n">
        <f aca="false">IF($B16="","",WORKDAY(C16+'Cycle Time'!$F$19-1,1))</f>
        <v>46364</v>
      </c>
      <c r="E16" s="65" t="n">
        <f aca="false">IF($B16="","",WORKDAY(D16+'Cycle Time'!$F$24-1,1))</f>
        <v>46366</v>
      </c>
      <c r="F16" s="64" t="n">
        <f aca="false">IF($B16="","",WORKDAY(E16+'Cycle Time'!$F$27-1,1))</f>
        <v>46370</v>
      </c>
      <c r="G16" s="64" t="n">
        <f aca="false">IF($B16="","",WORKDAY(F16+'Cycle Time'!$F$28-1,1))</f>
        <v>46371</v>
      </c>
      <c r="H16" s="66" t="n">
        <f aca="false">IF($B16="","",$B16+$B$7*7)</f>
        <v>46370</v>
      </c>
      <c r="I16" s="65" t="n">
        <f aca="false">IF($B16="","",$H16-'Cycle Time'!$F$29)</f>
        <v>46367</v>
      </c>
      <c r="J16" s="26" t="n">
        <f aca="false">IF($B16="","",I16-$B16)</f>
        <v>18</v>
      </c>
      <c r="K16" s="49" t="n">
        <f aca="false">IF($B16="","",I16-C16)</f>
        <v>15</v>
      </c>
      <c r="L16" s="27" t="str">
        <f aca="false">IF($B16="","",IF(K16&gt;=$B$8,"Yes — "&amp;(K16-$B$8)&amp;" d margin","NO — short "&amp;($B$8-K16)&amp;" d"))</f>
        <v>Yes — 1 d margin</v>
      </c>
      <c r="M16" s="26" t="n">
        <f aca="false">IF($B16="","",I16-E16)</f>
        <v>1</v>
      </c>
      <c r="N16" s="31" t="n">
        <f aca="false">IF($B16="","",IFERROR(INDEX('6-Month Forecast'!$C$14:$C$39,MATCH($A16,'Cycle Time'!$K$12:$K$37,0)+$B$7)/$B$9*7,"beyond horizon"))</f>
        <v>11.9</v>
      </c>
      <c r="O16" s="27" t="str">
        <f aca="false">IF($B16="","",IF(SUMPRODUCT(($B$29:$B$32&lt;&gt;"")*($B$29:$B$32&lt;=E16)*($C$29:$C$32&gt;=C16))&gt;0,"⚠ holiday in window","clear"))</f>
        <v>⚠ holiday in window</v>
      </c>
      <c r="P16" s="22" t="n">
        <f aca="false">IF($B16="","",INDEX('6-Month Forecast'!$H$14:$H$39,MATCH($A16,'Cycle Time'!$K$12:$K$37,0)))</f>
        <v>1300</v>
      </c>
      <c r="Q16" s="16" t="n">
        <f aca="false">IF($B16="","",P16*Inputs!$B$20)</f>
        <v>533</v>
      </c>
    </row>
    <row r="17" customFormat="false" ht="15" hidden="false" customHeight="false" outlineLevel="0" collapsed="false">
      <c r="A17" s="63" t="n">
        <v>3</v>
      </c>
      <c r="B17" s="64" t="n">
        <f aca="false">IFERROR(INDEX('6-Month Forecast'!$B$14:$B$39,MATCH($A17,'Cycle Time'!$K$12:$K$37,0)),"")</f>
        <v>46384</v>
      </c>
      <c r="C17" s="64" t="n">
        <f aca="false">IF($B17="","",WORKDAY($B17+'Cycle Time'!$F$14-1,1))</f>
        <v>46387</v>
      </c>
      <c r="D17" s="64" t="n">
        <f aca="false">IF($B17="","",WORKDAY(C17+'Cycle Time'!$F$19-1,1))</f>
        <v>46399</v>
      </c>
      <c r="E17" s="65" t="n">
        <f aca="false">IF($B17="","",WORKDAY(D17+'Cycle Time'!$F$24-1,1))</f>
        <v>46401</v>
      </c>
      <c r="F17" s="64" t="n">
        <f aca="false">IF($B17="","",WORKDAY(E17+'Cycle Time'!$F$27-1,1))</f>
        <v>46405</v>
      </c>
      <c r="G17" s="64" t="n">
        <f aca="false">IF($B17="","",WORKDAY(F17+'Cycle Time'!$F$28-1,1))</f>
        <v>46406</v>
      </c>
      <c r="H17" s="66" t="n">
        <f aca="false">IF($B17="","",$B17+$B$7*7)</f>
        <v>46405</v>
      </c>
      <c r="I17" s="65" t="n">
        <f aca="false">IF($B17="","",$H17-'Cycle Time'!$F$29)</f>
        <v>46402</v>
      </c>
      <c r="J17" s="26" t="n">
        <f aca="false">IF($B17="","",I17-$B17)</f>
        <v>18</v>
      </c>
      <c r="K17" s="49" t="n">
        <f aca="false">IF($B17="","",I17-C17)</f>
        <v>15</v>
      </c>
      <c r="L17" s="27" t="str">
        <f aca="false">IF($B17="","",IF(K17&gt;=$B$8,"Yes — "&amp;(K17-$B$8)&amp;" d margin","NO — short "&amp;($B$8-K17)&amp;" d"))</f>
        <v>Yes — 1 d margin</v>
      </c>
      <c r="M17" s="26" t="n">
        <f aca="false">IF($B17="","",I17-E17)</f>
        <v>1</v>
      </c>
      <c r="N17" s="31" t="n">
        <f aca="false">IF($B17="","",IFERROR(INDEX('6-Month Forecast'!$C$14:$C$39,MATCH($A17,'Cycle Time'!$K$12:$K$37,0)+$B$7)/$B$9*7,"beyond horizon"))</f>
        <v>10.6037037037037</v>
      </c>
      <c r="O17" s="27" t="str">
        <f aca="false">IF($B17="","",IF(SUMPRODUCT(($B$29:$B$32&lt;&gt;"")*($B$29:$B$32&lt;=E17)*($C$29:$C$32&gt;=C17))&gt;0,"⚠ holiday in window","clear"))</f>
        <v>⚠ holiday in window</v>
      </c>
      <c r="P17" s="22" t="n">
        <f aca="false">IF($B17="","",INDEX('6-Month Forecast'!$H$14:$H$39,MATCH($A17,'Cycle Time'!$K$12:$K$37,0)))</f>
        <v>1300</v>
      </c>
      <c r="Q17" s="16" t="n">
        <f aca="false">IF($B17="","",P17*Inputs!$B$20)</f>
        <v>533</v>
      </c>
    </row>
    <row r="18" customFormat="false" ht="15" hidden="false" customHeight="false" outlineLevel="0" collapsed="false">
      <c r="A18" s="63" t="n">
        <v>4</v>
      </c>
      <c r="B18" s="64" t="n">
        <f aca="false">IFERROR(INDEX('6-Month Forecast'!$B$14:$B$39,MATCH($A18,'Cycle Time'!$K$12:$K$37,0)),"")</f>
        <v>46419</v>
      </c>
      <c r="C18" s="64" t="n">
        <f aca="false">IF($B18="","",WORKDAY($B18+'Cycle Time'!$F$14-1,1))</f>
        <v>46422</v>
      </c>
      <c r="D18" s="64" t="n">
        <f aca="false">IF($B18="","",WORKDAY(C18+'Cycle Time'!$F$19-1,1))</f>
        <v>46434</v>
      </c>
      <c r="E18" s="65" t="n">
        <f aca="false">IF($B18="","",WORKDAY(D18+'Cycle Time'!$F$24-1,1))</f>
        <v>46436</v>
      </c>
      <c r="F18" s="64" t="n">
        <f aca="false">IF($B18="","",WORKDAY(E18+'Cycle Time'!$F$27-1,1))</f>
        <v>46440</v>
      </c>
      <c r="G18" s="64" t="n">
        <f aca="false">IF($B18="","",WORKDAY(F18+'Cycle Time'!$F$28-1,1))</f>
        <v>46441</v>
      </c>
      <c r="H18" s="66" t="n">
        <f aca="false">IF($B18="","",$B18+$B$7*7)</f>
        <v>46440</v>
      </c>
      <c r="I18" s="65" t="n">
        <f aca="false">IF($B18="","",$H18-'Cycle Time'!$F$29)</f>
        <v>46437</v>
      </c>
      <c r="J18" s="26" t="n">
        <f aca="false">IF($B18="","",I18-$B18)</f>
        <v>18</v>
      </c>
      <c r="K18" s="49" t="n">
        <f aca="false">IF($B18="","",I18-C18)</f>
        <v>15</v>
      </c>
      <c r="L18" s="27" t="str">
        <f aca="false">IF($B18="","",IF(K18&gt;=$B$8,"Yes — "&amp;(K18-$B$8)&amp;" d margin","NO — short "&amp;($B$8-K18)&amp;" d"))</f>
        <v>Yes — 1 d margin</v>
      </c>
      <c r="M18" s="26" t="n">
        <f aca="false">IF($B18="","",I18-E18)</f>
        <v>1</v>
      </c>
      <c r="N18" s="31" t="n">
        <f aca="false">IF($B18="","",IFERROR(INDEX('6-Month Forecast'!$C$14:$C$39,MATCH($A18,'Cycle Time'!$K$12:$K$37,0)+$B$7)/$B$9*7,"beyond horizon"))</f>
        <v>9.30740740740741</v>
      </c>
      <c r="O18" s="27" t="str">
        <f aca="false">IF($B18="","",IF(SUMPRODUCT(($B$29:$B$32&lt;&gt;"")*($B$29:$B$32&lt;=E18)*($C$29:$C$32&gt;=C18))&gt;0,"⚠ holiday in window","clear"))</f>
        <v>clear</v>
      </c>
      <c r="P18" s="22" t="n">
        <f aca="false">IF($B18="","",INDEX('6-Month Forecast'!$H$14:$H$39,MATCH($A18,'Cycle Time'!$K$12:$K$37,0)))</f>
        <v>1300</v>
      </c>
      <c r="Q18" s="16" t="n">
        <f aca="false">IF($B18="","",P18*Inputs!$B$20)</f>
        <v>533</v>
      </c>
    </row>
    <row r="19" customFormat="false" ht="15" hidden="false" customHeight="false" outlineLevel="0" collapsed="false">
      <c r="A19" s="63" t="n">
        <v>5</v>
      </c>
      <c r="B19" s="64" t="n">
        <f aca="false">IFERROR(INDEX('6-Month Forecast'!$B$14:$B$39,MATCH($A19,'Cycle Time'!$K$12:$K$37,0)),"")</f>
        <v>46454</v>
      </c>
      <c r="C19" s="64" t="n">
        <f aca="false">IF($B19="","",WORKDAY($B19+'Cycle Time'!$F$14-1,1))</f>
        <v>46457</v>
      </c>
      <c r="D19" s="64" t="n">
        <f aca="false">IF($B19="","",WORKDAY(C19+'Cycle Time'!$F$19-1,1))</f>
        <v>46469</v>
      </c>
      <c r="E19" s="65" t="n">
        <f aca="false">IF($B19="","",WORKDAY(D19+'Cycle Time'!$F$24-1,1))</f>
        <v>46471</v>
      </c>
      <c r="F19" s="64" t="n">
        <f aca="false">IF($B19="","",WORKDAY(E19+'Cycle Time'!$F$27-1,1))</f>
        <v>46475</v>
      </c>
      <c r="G19" s="64" t="n">
        <f aca="false">IF($B19="","",WORKDAY(F19+'Cycle Time'!$F$28-1,1))</f>
        <v>46476</v>
      </c>
      <c r="H19" s="66" t="n">
        <f aca="false">IF($B19="","",$B19+$B$7*7)</f>
        <v>46475</v>
      </c>
      <c r="I19" s="65" t="n">
        <f aca="false">IF($B19="","",$H19-'Cycle Time'!$F$29)</f>
        <v>46472</v>
      </c>
      <c r="J19" s="26" t="n">
        <f aca="false">IF($B19="","",I19-$B19)</f>
        <v>18</v>
      </c>
      <c r="K19" s="49" t="n">
        <f aca="false">IF($B19="","",I19-C19)</f>
        <v>15</v>
      </c>
      <c r="L19" s="27" t="str">
        <f aca="false">IF($B19="","",IF(K19&gt;=$B$8,"Yes — "&amp;(K19-$B$8)&amp;" d margin","NO — short "&amp;($B$8-K19)&amp;" d"))</f>
        <v>Yes — 1 d margin</v>
      </c>
      <c r="M19" s="26" t="n">
        <f aca="false">IF($B19="","",I19-E19)</f>
        <v>1</v>
      </c>
      <c r="N19" s="31" t="str">
        <f aca="false">IF($B19="","",IFERROR(INDEX('6-Month Forecast'!$C$14:$C$39,MATCH($A19,'Cycle Time'!$K$12:$K$37,0)+$B$7)/$B$9*7,"beyond horizon"))</f>
        <v>beyond horizon</v>
      </c>
      <c r="O19" s="27" t="str">
        <f aca="false">IF($B19="","",IF(SUMPRODUCT(($B$29:$B$32&lt;&gt;"")*($B$29:$B$32&lt;=E19)*($C$29:$C$32&gt;=C19))&gt;0,"⚠ holiday in window","clear"))</f>
        <v>clear</v>
      </c>
      <c r="P19" s="22" t="n">
        <f aca="false">IF($B19="","",INDEX('6-Month Forecast'!$H$14:$H$39,MATCH($A19,'Cycle Time'!$K$12:$K$37,0)))</f>
        <v>1300</v>
      </c>
      <c r="Q19" s="16" t="n">
        <f aca="false">IF($B19="","",P19*Inputs!$B$20)</f>
        <v>533</v>
      </c>
    </row>
    <row r="20" customFormat="false" ht="15" hidden="false" customHeight="false" outlineLevel="0" collapsed="false">
      <c r="A20" s="63" t="n">
        <v>6</v>
      </c>
      <c r="B20" s="64" t="str">
        <f aca="false">IFERROR(INDEX('6-Month Forecast'!$B$14:$B$39,MATCH($A20,'Cycle Time'!$K$12:$K$37,0)),"")</f>
        <v/>
      </c>
      <c r="C20" s="64" t="str">
        <f aca="false">IF($B20="","",WORKDAY($B20+'Cycle Time'!$F$14-1,1))</f>
        <v/>
      </c>
      <c r="D20" s="64" t="str">
        <f aca="false">IF($B20="","",WORKDAY(C20+'Cycle Time'!$F$19-1,1))</f>
        <v/>
      </c>
      <c r="E20" s="65" t="str">
        <f aca="false">IF($B20="","",WORKDAY(D20+'Cycle Time'!$F$24-1,1))</f>
        <v/>
      </c>
      <c r="F20" s="64" t="str">
        <f aca="false">IF($B20="","",WORKDAY(E20+'Cycle Time'!$F$27-1,1))</f>
        <v/>
      </c>
      <c r="G20" s="64" t="str">
        <f aca="false">IF($B20="","",WORKDAY(F20+'Cycle Time'!$F$28-1,1))</f>
        <v/>
      </c>
      <c r="H20" s="66" t="str">
        <f aca="false">IF($B20="","",$B20+$B$7*7)</f>
        <v/>
      </c>
      <c r="I20" s="65" t="str">
        <f aca="false">IF($B20="","",$H20-'Cycle Time'!$F$29)</f>
        <v/>
      </c>
      <c r="J20" s="26" t="str">
        <f aca="false">IF($B20="","",I20-$B20)</f>
        <v/>
      </c>
      <c r="K20" s="49" t="str">
        <f aca="false">IF($B20="","",I20-C20)</f>
        <v/>
      </c>
      <c r="L20" s="27" t="str">
        <f aca="false">IF($B20="","",IF(K20&gt;=$B$8,"Yes — "&amp;(K20-$B$8)&amp;" d margin","NO — short "&amp;($B$8-K20)&amp;" d"))</f>
        <v/>
      </c>
      <c r="M20" s="26" t="str">
        <f aca="false">IF($B20="","",I20-E20)</f>
        <v/>
      </c>
      <c r="N20" s="31" t="str">
        <f aca="false">IF($B20="","",IFERROR(INDEX('6-Month Forecast'!$C$14:$C$39,MATCH($A20,'Cycle Time'!$K$12:$K$37,0)+$B$7)/$B$9*7,"beyond horizon"))</f>
        <v/>
      </c>
      <c r="O20" s="27" t="str">
        <f aca="false">IF($B20="","",IF(SUMPRODUCT(($B$29:$B$32&lt;&gt;"")*($B$29:$B$32&lt;=E20)*($C$29:$C$32&gt;=C20))&gt;0,"⚠ holiday in window","clear"))</f>
        <v/>
      </c>
      <c r="P20" s="22" t="str">
        <f aca="false">IF($B20="","",INDEX('6-Month Forecast'!$H$14:$H$39,MATCH($A20,'Cycle Time'!$K$12:$K$37,0)))</f>
        <v/>
      </c>
      <c r="Q20" s="16" t="str">
        <f aca="false">IF($B20="","",P20*Inputs!$B$20)</f>
        <v/>
      </c>
    </row>
    <row r="21" customFormat="false" ht="15" hidden="false" customHeight="false" outlineLevel="0" collapsed="false">
      <c r="A21" s="63" t="n">
        <v>7</v>
      </c>
      <c r="B21" s="64" t="str">
        <f aca="false">IFERROR(INDEX('6-Month Forecast'!$B$14:$B$39,MATCH($A21,'Cycle Time'!$K$12:$K$37,0)),"")</f>
        <v/>
      </c>
      <c r="C21" s="64" t="str">
        <f aca="false">IF($B21="","",WORKDAY($B21+'Cycle Time'!$F$14-1,1))</f>
        <v/>
      </c>
      <c r="D21" s="64" t="str">
        <f aca="false">IF($B21="","",WORKDAY(C21+'Cycle Time'!$F$19-1,1))</f>
        <v/>
      </c>
      <c r="E21" s="65" t="str">
        <f aca="false">IF($B21="","",WORKDAY(D21+'Cycle Time'!$F$24-1,1))</f>
        <v/>
      </c>
      <c r="F21" s="64" t="str">
        <f aca="false">IF($B21="","",WORKDAY(E21+'Cycle Time'!$F$27-1,1))</f>
        <v/>
      </c>
      <c r="G21" s="64" t="str">
        <f aca="false">IF($B21="","",WORKDAY(F21+'Cycle Time'!$F$28-1,1))</f>
        <v/>
      </c>
      <c r="H21" s="66" t="str">
        <f aca="false">IF($B21="","",$B21+$B$7*7)</f>
        <v/>
      </c>
      <c r="I21" s="65" t="str">
        <f aca="false">IF($B21="","",$H21-'Cycle Time'!$F$29)</f>
        <v/>
      </c>
      <c r="J21" s="26" t="str">
        <f aca="false">IF($B21="","",I21-$B21)</f>
        <v/>
      </c>
      <c r="K21" s="49" t="str">
        <f aca="false">IF($B21="","",I21-C21)</f>
        <v/>
      </c>
      <c r="L21" s="27" t="str">
        <f aca="false">IF($B21="","",IF(K21&gt;=$B$8,"Yes — "&amp;(K21-$B$8)&amp;" d margin","NO — short "&amp;($B$8-K21)&amp;" d"))</f>
        <v/>
      </c>
      <c r="M21" s="26" t="str">
        <f aca="false">IF($B21="","",I21-E21)</f>
        <v/>
      </c>
      <c r="N21" s="31" t="str">
        <f aca="false">IF($B21="","",IFERROR(INDEX('6-Month Forecast'!$C$14:$C$39,MATCH($A21,'Cycle Time'!$K$12:$K$37,0)+$B$7)/$B$9*7,"beyond horizon"))</f>
        <v/>
      </c>
      <c r="O21" s="27" t="str">
        <f aca="false">IF($B21="","",IF(SUMPRODUCT(($B$29:$B$32&lt;&gt;"")*($B$29:$B$32&lt;=E21)*($C$29:$C$32&gt;=C21))&gt;0,"⚠ holiday in window","clear"))</f>
        <v/>
      </c>
      <c r="P21" s="22" t="str">
        <f aca="false">IF($B21="","",INDEX('6-Month Forecast'!$H$14:$H$39,MATCH($A21,'Cycle Time'!$K$12:$K$37,0)))</f>
        <v/>
      </c>
      <c r="Q21" s="16" t="str">
        <f aca="false">IF($B21="","",P21*Inputs!$B$20)</f>
        <v/>
      </c>
    </row>
    <row r="22" customFormat="false" ht="15" hidden="false" customHeight="false" outlineLevel="0" collapsed="false">
      <c r="A22" s="63" t="n">
        <v>8</v>
      </c>
      <c r="B22" s="64" t="str">
        <f aca="false">IFERROR(INDEX('6-Month Forecast'!$B$14:$B$39,MATCH($A22,'Cycle Time'!$K$12:$K$37,0)),"")</f>
        <v/>
      </c>
      <c r="C22" s="64" t="str">
        <f aca="false">IF($B22="","",WORKDAY($B22+'Cycle Time'!$F$14-1,1))</f>
        <v/>
      </c>
      <c r="D22" s="64" t="str">
        <f aca="false">IF($B22="","",WORKDAY(C22+'Cycle Time'!$F$19-1,1))</f>
        <v/>
      </c>
      <c r="E22" s="65" t="str">
        <f aca="false">IF($B22="","",WORKDAY(D22+'Cycle Time'!$F$24-1,1))</f>
        <v/>
      </c>
      <c r="F22" s="64" t="str">
        <f aca="false">IF($B22="","",WORKDAY(E22+'Cycle Time'!$F$27-1,1))</f>
        <v/>
      </c>
      <c r="G22" s="64" t="str">
        <f aca="false">IF($B22="","",WORKDAY(F22+'Cycle Time'!$F$28-1,1))</f>
        <v/>
      </c>
      <c r="H22" s="66" t="str">
        <f aca="false">IF($B22="","",$B22+$B$7*7)</f>
        <v/>
      </c>
      <c r="I22" s="65" t="str">
        <f aca="false">IF($B22="","",$H22-'Cycle Time'!$F$29)</f>
        <v/>
      </c>
      <c r="J22" s="26" t="str">
        <f aca="false">IF($B22="","",I22-$B22)</f>
        <v/>
      </c>
      <c r="K22" s="49" t="str">
        <f aca="false">IF($B22="","",I22-C22)</f>
        <v/>
      </c>
      <c r="L22" s="27" t="str">
        <f aca="false">IF($B22="","",IF(K22&gt;=$B$8,"Yes — "&amp;(K22-$B$8)&amp;" d margin","NO — short "&amp;($B$8-K22)&amp;" d"))</f>
        <v/>
      </c>
      <c r="M22" s="26" t="str">
        <f aca="false">IF($B22="","",I22-E22)</f>
        <v/>
      </c>
      <c r="N22" s="31" t="str">
        <f aca="false">IF($B22="","",IFERROR(INDEX('6-Month Forecast'!$C$14:$C$39,MATCH($A22,'Cycle Time'!$K$12:$K$37,0)+$B$7)/$B$9*7,"beyond horizon"))</f>
        <v/>
      </c>
      <c r="O22" s="27" t="str">
        <f aca="false">IF($B22="","",IF(SUMPRODUCT(($B$29:$B$32&lt;&gt;"")*($B$29:$B$32&lt;=E22)*($C$29:$C$32&gt;=C22))&gt;0,"⚠ holiday in window","clear"))</f>
        <v/>
      </c>
      <c r="P22" s="22" t="str">
        <f aca="false">IF($B22="","",INDEX('6-Month Forecast'!$H$14:$H$39,MATCH($A22,'Cycle Time'!$K$12:$K$37,0)))</f>
        <v/>
      </c>
      <c r="Q22" s="16" t="str">
        <f aca="false">IF($B22="","",P22*Inputs!$B$20)</f>
        <v/>
      </c>
    </row>
    <row r="23" customFormat="false" ht="15" hidden="false" customHeight="false" outlineLevel="0" collapsed="false">
      <c r="A23" s="14" t="s">
        <v>262</v>
      </c>
      <c r="B23" s="67" t="n">
        <f aca="false">COUNT(B14:B22)</f>
        <v>6</v>
      </c>
      <c r="P23" s="15" t="n">
        <f aca="false">SUM(P14:P22)</f>
        <v>7800</v>
      </c>
      <c r="Q23" s="68" t="n">
        <f aca="false">SUM(Q14:Q22)</f>
        <v>3198</v>
      </c>
    </row>
    <row r="25" customFormat="false" ht="15" hidden="false" customHeight="false" outlineLevel="0" collapsed="false">
      <c r="A25" s="62" t="s">
        <v>263</v>
      </c>
      <c r="B25" s="62"/>
      <c r="C25" s="62"/>
      <c r="D25" s="62"/>
      <c r="E25" s="62"/>
      <c r="F25" s="62"/>
      <c r="G25" s="62"/>
      <c r="H25" s="62"/>
      <c r="I25" s="62"/>
      <c r="J25" s="62"/>
      <c r="K25" s="62"/>
      <c r="L25" s="62"/>
      <c r="M25" s="62"/>
      <c r="N25" s="62"/>
      <c r="O25" s="62"/>
      <c r="P25" s="62"/>
      <c r="Q25" s="62"/>
    </row>
    <row r="27" customFormat="false" ht="15" hidden="false" customHeight="false" outlineLevel="0" collapsed="false">
      <c r="A27" s="4" t="s">
        <v>264</v>
      </c>
    </row>
    <row r="28" customFormat="false" ht="15" hidden="false" customHeight="false" outlineLevel="0" collapsed="false">
      <c r="A28" s="52" t="s">
        <v>265</v>
      </c>
      <c r="B28" s="52" t="s">
        <v>266</v>
      </c>
      <c r="C28" s="52" t="s">
        <v>267</v>
      </c>
      <c r="D28" s="52" t="s">
        <v>204</v>
      </c>
    </row>
    <row r="29" customFormat="false" ht="15" hidden="false" customHeight="false" outlineLevel="0" collapsed="false">
      <c r="A29" s="6" t="s">
        <v>268</v>
      </c>
      <c r="B29" s="30" t="n">
        <v>46352</v>
      </c>
      <c r="C29" s="30" t="n">
        <v>46353</v>
      </c>
      <c r="D29" s="27" t="s">
        <v>269</v>
      </c>
    </row>
    <row r="30" customFormat="false" ht="15" hidden="false" customHeight="false" outlineLevel="0" collapsed="false">
      <c r="A30" s="6" t="s">
        <v>270</v>
      </c>
      <c r="B30" s="30" t="n">
        <v>46380</v>
      </c>
      <c r="C30" s="30" t="n">
        <v>46388</v>
      </c>
      <c r="D30" s="27" t="s">
        <v>271</v>
      </c>
    </row>
    <row r="31" customFormat="false" ht="15" hidden="false" customHeight="false" outlineLevel="0" collapsed="false">
      <c r="A31" s="6" t="s">
        <v>272</v>
      </c>
      <c r="B31" s="30"/>
      <c r="C31" s="30"/>
      <c r="D31" s="27" t="s">
        <v>273</v>
      </c>
    </row>
    <row r="32" customFormat="false" ht="15" hidden="false" customHeight="false" outlineLevel="0" collapsed="false">
      <c r="A32" s="6" t="s">
        <v>274</v>
      </c>
      <c r="B32" s="30"/>
      <c r="C32" s="30"/>
      <c r="D32" s="27" t="s">
        <v>275</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20"/>
    <col collapsed="false" customWidth="true" hidden="false" outlineLevel="0" max="4" min="4" style="1" width="58"/>
  </cols>
  <sheetData>
    <row r="1" customFormat="false" ht="17.25" hidden="false" customHeight="true" outlineLevel="0" collapsed="false">
      <c r="A1" s="2" t="s">
        <v>276</v>
      </c>
    </row>
    <row r="2" customFormat="false" ht="24" hidden="false" customHeight="true" outlineLevel="0" collapsed="false">
      <c r="A2" s="3" t="s">
        <v>277</v>
      </c>
    </row>
    <row r="4" customFormat="false" ht="15" hidden="false" customHeight="true" outlineLevel="0" collapsed="false">
      <c r="A4" s="69" t="s">
        <v>202</v>
      </c>
      <c r="B4" s="69" t="s">
        <v>278</v>
      </c>
      <c r="C4" s="69" t="s">
        <v>279</v>
      </c>
      <c r="D4" s="69" t="s">
        <v>204</v>
      </c>
    </row>
    <row r="5" customFormat="false" ht="15" hidden="false" customHeight="true" outlineLevel="0" collapsed="false">
      <c r="A5" s="6" t="s">
        <v>280</v>
      </c>
      <c r="B5" s="11" t="str">
        <f aca="false">Inputs!B5&amp;" × "&amp;Inputs!B6</f>
        <v>24 × 27</v>
      </c>
      <c r="C5" s="11" t="str">
        <f aca="false">Inputs!B6&amp;" × "&amp;Inputs!B5</f>
        <v>27 × 24</v>
      </c>
      <c r="D5" s="10" t="s">
        <v>281</v>
      </c>
    </row>
    <row r="6" customFormat="false" ht="15" hidden="false" customHeight="true" outlineLevel="0" collapsed="false">
      <c r="A6" s="6" t="s">
        <v>282</v>
      </c>
      <c r="B6" s="26" t="n">
        <f aca="false">INT(Inputs!$B$12/Inputs!$B$5)</f>
        <v>4</v>
      </c>
      <c r="C6" s="26" t="n">
        <f aca="false">INT(Inputs!$B$12/Inputs!$B$6)</f>
        <v>3</v>
      </c>
    </row>
    <row r="7" customFormat="false" ht="21.75" hidden="false" customHeight="true" outlineLevel="0" collapsed="false">
      <c r="A7" s="6" t="s">
        <v>283</v>
      </c>
      <c r="B7" s="26" t="n">
        <f aca="false">Inputs!$B$12-B6*Inputs!$B$5</f>
        <v>5</v>
      </c>
      <c r="C7" s="26" t="n">
        <f aca="false">Inputs!$B$12-C6*Inputs!$B$6</f>
        <v>20</v>
      </c>
      <c r="D7" s="10" t="s">
        <v>284</v>
      </c>
    </row>
    <row r="8" customFormat="false" ht="15" hidden="false" customHeight="true" outlineLevel="0" collapsed="false">
      <c r="A8" s="6" t="s">
        <v>285</v>
      </c>
      <c r="B8" s="26" t="n">
        <f aca="false">INT(Inputs!$B$11/Inputs!$B$6)</f>
        <v>333</v>
      </c>
      <c r="C8" s="26" t="n">
        <f aca="false">INT(Inputs!$B$11/Inputs!$B$5)</f>
        <v>375</v>
      </c>
    </row>
    <row r="9" customFormat="false" ht="15" hidden="false" customHeight="true" outlineLevel="0" collapsed="false">
      <c r="A9" s="6" t="s">
        <v>286</v>
      </c>
      <c r="B9" s="26" t="n">
        <f aca="false">Inputs!$B$11-B8*Inputs!$B$6</f>
        <v>9</v>
      </c>
      <c r="C9" s="26" t="n">
        <f aca="false">Inputs!$B$11-C8*Inputs!$B$5</f>
        <v>0</v>
      </c>
    </row>
    <row r="10" customFormat="false" ht="15" hidden="false" customHeight="true" outlineLevel="0" collapsed="false">
      <c r="A10" s="48" t="s">
        <v>287</v>
      </c>
      <c r="B10" s="70" t="n">
        <f aca="false">B6*B8</f>
        <v>1332</v>
      </c>
      <c r="C10" s="70" t="n">
        <f aca="false">C6*C8</f>
        <v>1125</v>
      </c>
      <c r="D10" s="10" t="s">
        <v>288</v>
      </c>
    </row>
    <row r="11" customFormat="false" ht="15" hidden="false" customHeight="true" outlineLevel="0" collapsed="false">
      <c r="A11" s="6" t="s">
        <v>289</v>
      </c>
      <c r="B11" s="28" t="n">
        <f aca="false">B10*Inputs!$B$7/Inputs!$B$13</f>
        <v>0.949544554455446</v>
      </c>
      <c r="C11" s="28" t="n">
        <f aca="false">C10*Inputs!$B$7/Inputs!$B$13</f>
        <v>0.801980198019802</v>
      </c>
    </row>
    <row r="12" customFormat="false" ht="15" hidden="false" customHeight="true" outlineLevel="0" collapsed="false">
      <c r="A12" s="6" t="s">
        <v>290</v>
      </c>
      <c r="B12" s="71" t="n">
        <f aca="false">Inputs!$B$37</f>
        <v>0.975975975975976</v>
      </c>
      <c r="C12" s="71" t="n">
        <f aca="false">Inputs!$B$37</f>
        <v>0.975975975975976</v>
      </c>
      <c r="D12" s="10" t="s">
        <v>291</v>
      </c>
    </row>
    <row r="13" customFormat="false" ht="15" hidden="false" customHeight="true" outlineLevel="0" collapsed="false">
      <c r="A13" s="14" t="s">
        <v>292</v>
      </c>
      <c r="B13" s="15" t="n">
        <f aca="false">ROUND(B10*B12,0)</f>
        <v>1300</v>
      </c>
      <c r="C13" s="15" t="n">
        <f aca="false">ROUND(C10*C12,0)</f>
        <v>1098</v>
      </c>
      <c r="D13" s="10" t="s">
        <v>293</v>
      </c>
    </row>
    <row r="14" customFormat="false" ht="15" hidden="false" customHeight="true" outlineLevel="0" collapsed="false">
      <c r="A14" s="6" t="s">
        <v>294</v>
      </c>
      <c r="B14" s="16" t="n">
        <f aca="false">B13*Inputs!$B$20</f>
        <v>533</v>
      </c>
      <c r="C14" s="16" t="n">
        <f aca="false">C13*Inputs!$B$20</f>
        <v>450.18</v>
      </c>
    </row>
    <row r="15" customFormat="false" ht="15" hidden="false" customHeight="true" outlineLevel="0" collapsed="false">
      <c r="A15" s="6" t="s">
        <v>295</v>
      </c>
      <c r="B15" s="22" t="n">
        <f aca="false">B13-C13</f>
        <v>202</v>
      </c>
    </row>
    <row r="16" customFormat="false" ht="15" hidden="false" customHeight="true" outlineLevel="0" collapsed="false">
      <c r="A16" s="6" t="s">
        <v>296</v>
      </c>
      <c r="B16" s="28" t="n">
        <f aca="false">B13/C13-1</f>
        <v>0.183970856102004</v>
      </c>
    </row>
    <row r="18" customFormat="false" ht="25.5" hidden="false" customHeight="true" outlineLevel="0" collapsed="false">
      <c r="A18" s="61" t="s">
        <v>297</v>
      </c>
      <c r="B18" s="61"/>
      <c r="C18" s="61"/>
      <c r="D18" s="61"/>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3" min="3" style="1" width="14"/>
    <col collapsed="false" customWidth="true" hidden="false" outlineLevel="0" max="5" min="4" style="1" width="15"/>
    <col collapsed="false" customWidth="true" hidden="false" outlineLevel="0" max="6" min="6" style="1" width="14"/>
    <col collapsed="false" customWidth="true" hidden="false" outlineLevel="0" max="7" min="7" style="1" width="13"/>
    <col collapsed="false" customWidth="true" hidden="false" outlineLevel="0" max="8" min="8" style="1" width="15"/>
  </cols>
  <sheetData>
    <row r="1" customFormat="false" ht="17.25" hidden="false" customHeight="true" outlineLevel="0" collapsed="false">
      <c r="A1" s="2" t="s">
        <v>298</v>
      </c>
    </row>
    <row r="2" customFormat="false" ht="15" hidden="false" customHeight="true" outlineLevel="0" collapsed="false">
      <c r="A2" s="20" t="s">
        <v>299</v>
      </c>
    </row>
    <row r="4" customFormat="false" ht="15" hidden="false" customHeight="true" outlineLevel="0" collapsed="false">
      <c r="A4" s="4" t="s">
        <v>300</v>
      </c>
      <c r="B4" s="5"/>
      <c r="C4" s="5"/>
      <c r="D4" s="5"/>
      <c r="E4" s="5"/>
    </row>
    <row r="5" customFormat="false" ht="15" hidden="false" customHeight="true" outlineLevel="0" collapsed="false">
      <c r="A5" s="6" t="s">
        <v>13</v>
      </c>
      <c r="B5" s="12" t="n">
        <f aca="false">Inputs!B26</f>
        <v>270</v>
      </c>
    </row>
    <row r="6" customFormat="false" ht="15" hidden="false" customHeight="true" outlineLevel="0" collapsed="false">
      <c r="A6" s="6" t="s">
        <v>301</v>
      </c>
      <c r="B6" s="12" t="n">
        <f aca="false">'Yield per Roll'!B13</f>
        <v>1300</v>
      </c>
    </row>
    <row r="7" customFormat="false" ht="15" hidden="false" customHeight="true" outlineLevel="0" collapsed="false">
      <c r="A7" s="6" t="s">
        <v>302</v>
      </c>
      <c r="B7" s="12" t="n">
        <f aca="false">'Yield per Roll'!C13</f>
        <v>1098</v>
      </c>
    </row>
    <row r="8" customFormat="false" ht="53.25" hidden="false" customHeight="true" outlineLevel="0" collapsed="false">
      <c r="A8" s="14" t="s">
        <v>303</v>
      </c>
      <c r="B8" s="72" t="n">
        <f aca="false">B6/B5</f>
        <v>4.81481481481482</v>
      </c>
      <c r="D8" s="10" t="s">
        <v>304</v>
      </c>
    </row>
    <row r="9" customFormat="false" ht="15" hidden="false" customHeight="true" outlineLevel="0" collapsed="false">
      <c r="A9" s="6" t="s">
        <v>305</v>
      </c>
      <c r="B9" s="73" t="n">
        <f aca="false">B7/B5</f>
        <v>4.06666666666667</v>
      </c>
    </row>
    <row r="10" customFormat="false" ht="15" hidden="false" customHeight="true" outlineLevel="0" collapsed="false">
      <c r="A10" s="6" t="s">
        <v>306</v>
      </c>
      <c r="B10" s="70" t="n">
        <f aca="false">ROUNDUP(B5*52/B6,0)</f>
        <v>11</v>
      </c>
    </row>
    <row r="11" customFormat="false" ht="15" hidden="false" customHeight="true" outlineLevel="0" collapsed="false">
      <c r="A11" s="6" t="s">
        <v>307</v>
      </c>
      <c r="B11" s="22" t="n">
        <f aca="false">ROUNDUP(B5*52/B7,0)</f>
        <v>13</v>
      </c>
    </row>
    <row r="13" customFormat="false" ht="15" hidden="false" customHeight="true" outlineLevel="0" collapsed="false">
      <c r="A13" s="4" t="s">
        <v>308</v>
      </c>
      <c r="B13" s="5"/>
      <c r="C13" s="5"/>
      <c r="D13" s="5"/>
      <c r="E13" s="5"/>
    </row>
    <row r="14" customFormat="false" ht="15" hidden="false" customHeight="true" outlineLevel="0" collapsed="false">
      <c r="A14" s="6" t="s">
        <v>83</v>
      </c>
      <c r="B14" s="17" t="n">
        <f aca="false">Inputs!B31</f>
        <v>3</v>
      </c>
    </row>
    <row r="15" customFormat="false" ht="15" hidden="false" customHeight="true" outlineLevel="0" collapsed="false">
      <c r="A15" s="6" t="s">
        <v>85</v>
      </c>
      <c r="B15" s="17" t="n">
        <f aca="false">Inputs!B32</f>
        <v>1</v>
      </c>
    </row>
    <row r="16" customFormat="false" ht="53.25" hidden="false" customHeight="true" outlineLevel="0" collapsed="false">
      <c r="A16" s="14" t="s">
        <v>309</v>
      </c>
      <c r="B16" s="15" t="n">
        <f aca="false">(B14+B15)*B5</f>
        <v>1080</v>
      </c>
      <c r="D16" s="10" t="s">
        <v>310</v>
      </c>
    </row>
    <row r="17" customFormat="false" ht="42.75" hidden="false" customHeight="true" outlineLevel="0" collapsed="false">
      <c r="A17" s="6" t="s">
        <v>311</v>
      </c>
      <c r="B17" s="21" t="n">
        <v>1</v>
      </c>
      <c r="D17" s="10" t="s">
        <v>312</v>
      </c>
    </row>
    <row r="18" customFormat="false" ht="15" hidden="false" customHeight="true" outlineLevel="0" collapsed="false">
      <c r="A18" s="6" t="s">
        <v>313</v>
      </c>
      <c r="B18" s="31" t="n">
        <f aca="false">B17*B6/B5</f>
        <v>4.81481481481482</v>
      </c>
    </row>
    <row r="19" customFormat="false" ht="15" hidden="false" customHeight="true" outlineLevel="0" collapsed="false">
      <c r="A19" s="6" t="s">
        <v>314</v>
      </c>
      <c r="B19" s="26" t="n">
        <f aca="false">ROUNDUP(B5*52/(B17*B6),0)</f>
        <v>11</v>
      </c>
    </row>
    <row r="21" customFormat="false" ht="15" hidden="false" customHeight="true" outlineLevel="0" collapsed="false">
      <c r="A21" s="4" t="s">
        <v>315</v>
      </c>
      <c r="B21" s="5"/>
      <c r="C21" s="5"/>
      <c r="D21" s="5"/>
      <c r="E21" s="5"/>
      <c r="F21" s="5"/>
      <c r="G21" s="5"/>
      <c r="H21" s="5"/>
    </row>
    <row r="22" customFormat="false" ht="42" hidden="false" customHeight="true" outlineLevel="0" collapsed="false">
      <c r="A22" s="74" t="s">
        <v>311</v>
      </c>
      <c r="B22" s="74" t="s">
        <v>316</v>
      </c>
      <c r="C22" s="74" t="s">
        <v>317</v>
      </c>
      <c r="D22" s="74" t="s">
        <v>318</v>
      </c>
      <c r="E22" s="74" t="s">
        <v>314</v>
      </c>
      <c r="F22" s="74" t="s">
        <v>319</v>
      </c>
      <c r="G22" s="74" t="s">
        <v>320</v>
      </c>
      <c r="H22" s="74" t="s">
        <v>321</v>
      </c>
    </row>
    <row r="23" customFormat="false" ht="15" hidden="false" customHeight="true" outlineLevel="0" collapsed="false">
      <c r="A23" s="75" t="n">
        <v>1</v>
      </c>
      <c r="B23" s="76" t="n">
        <f aca="false">A23*$B$6</f>
        <v>1300</v>
      </c>
      <c r="C23" s="77" t="n">
        <f aca="false">B23/$B$5</f>
        <v>4.81481481481482</v>
      </c>
      <c r="D23" s="78" t="n">
        <f aca="false">B23*Inputs!$B$20</f>
        <v>533</v>
      </c>
      <c r="E23" s="75" t="n">
        <f aca="false">ROUNDUP($B$5*52/B23,0)</f>
        <v>11</v>
      </c>
      <c r="F23" s="76" t="n">
        <f aca="false">Inputs!$B$32*$B$5+B23</f>
        <v>1570</v>
      </c>
      <c r="G23" s="77" t="n">
        <f aca="false">F23/$B$5</f>
        <v>5.81481481481482</v>
      </c>
      <c r="H23" s="77" t="n">
        <f aca="false">A23*$B$7/$B$5</f>
        <v>4.06666666666667</v>
      </c>
    </row>
    <row r="24" customFormat="false" ht="15" hidden="false" customHeight="true" outlineLevel="0" collapsed="false">
      <c r="A24" s="26" t="n">
        <v>2</v>
      </c>
      <c r="B24" s="22" t="n">
        <f aca="false">A24*$B$6</f>
        <v>2600</v>
      </c>
      <c r="C24" s="31" t="n">
        <f aca="false">B24/$B$5</f>
        <v>9.62962962962963</v>
      </c>
      <c r="D24" s="79" t="n">
        <f aca="false">B24*Inputs!$B$20</f>
        <v>1066</v>
      </c>
      <c r="E24" s="26" t="n">
        <f aca="false">ROUNDUP($B$5*52/B24,0)</f>
        <v>6</v>
      </c>
      <c r="F24" s="22" t="n">
        <f aca="false">Inputs!$B$32*$B$5+B24</f>
        <v>2870</v>
      </c>
      <c r="G24" s="31" t="n">
        <f aca="false">F24/$B$5</f>
        <v>10.6296296296296</v>
      </c>
      <c r="H24" s="31" t="n">
        <f aca="false">A24*$B$7/$B$5</f>
        <v>8.13333333333333</v>
      </c>
    </row>
    <row r="25" customFormat="false" ht="15" hidden="false" customHeight="true" outlineLevel="0" collapsed="false">
      <c r="A25" s="26" t="n">
        <v>3</v>
      </c>
      <c r="B25" s="22" t="n">
        <f aca="false">A25*$B$6</f>
        <v>3900</v>
      </c>
      <c r="C25" s="31" t="n">
        <f aca="false">B25/$B$5</f>
        <v>14.4444444444444</v>
      </c>
      <c r="D25" s="79" t="n">
        <f aca="false">B25*Inputs!$B$20</f>
        <v>1599</v>
      </c>
      <c r="E25" s="26" t="n">
        <f aca="false">ROUNDUP($B$5*52/B25,0)</f>
        <v>4</v>
      </c>
      <c r="F25" s="22" t="n">
        <f aca="false">Inputs!$B$32*$B$5+B25</f>
        <v>4170</v>
      </c>
      <c r="G25" s="31" t="n">
        <f aca="false">F25/$B$5</f>
        <v>15.4444444444444</v>
      </c>
      <c r="H25" s="31" t="n">
        <f aca="false">A25*$B$7/$B$5</f>
        <v>12.2</v>
      </c>
    </row>
    <row r="26" customFormat="false" ht="15" hidden="false" customHeight="true" outlineLevel="0" collapsed="false">
      <c r="A26" s="26" t="n">
        <v>4</v>
      </c>
      <c r="B26" s="22" t="n">
        <f aca="false">A26*$B$6</f>
        <v>5200</v>
      </c>
      <c r="C26" s="31" t="n">
        <f aca="false">B26/$B$5</f>
        <v>19.2592592592593</v>
      </c>
      <c r="D26" s="79" t="n">
        <f aca="false">B26*Inputs!$B$20</f>
        <v>2132</v>
      </c>
      <c r="E26" s="26" t="n">
        <f aca="false">ROUNDUP($B$5*52/B26,0)</f>
        <v>3</v>
      </c>
      <c r="F26" s="22" t="n">
        <f aca="false">Inputs!$B$32*$B$5+B26</f>
        <v>5470</v>
      </c>
      <c r="G26" s="31" t="n">
        <f aca="false">F26/$B$5</f>
        <v>20.2592592592593</v>
      </c>
      <c r="H26" s="31" t="n">
        <f aca="false">A26*$B$7/$B$5</f>
        <v>16.2666666666667</v>
      </c>
    </row>
    <row r="28" customFormat="false" ht="30" hidden="false" customHeight="true" outlineLevel="0" collapsed="false">
      <c r="A28" s="61" t="str">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RECOMMENDED: order 1 roll per PO. Release a PO when inventory position ≤ 1,080 pieces — in steady state that fires about every 4.8 weeks (11 POs/year, 1,300 pieces per delivery). If cut as Orientation B instead: a PO about every 4.1 weeks, 13 POs/year.</v>
      </c>
      <c r="B28" s="61"/>
      <c r="C28" s="61"/>
      <c r="D28" s="61"/>
      <c r="E28" s="61"/>
      <c r="F28" s="61"/>
      <c r="G28" s="61"/>
      <c r="H28" s="61"/>
    </row>
    <row r="30" customFormat="false" ht="15" hidden="false" customHeight="true" outlineLevel="0" collapsed="false">
      <c r="A30" s="4" t="s">
        <v>322</v>
      </c>
      <c r="B30" s="5"/>
      <c r="C30" s="5"/>
      <c r="D30" s="5"/>
      <c r="E30" s="5"/>
    </row>
    <row r="31" customFormat="false" ht="42" hidden="false" customHeight="true" outlineLevel="0" collapsed="false">
      <c r="A31" s="74" t="s">
        <v>323</v>
      </c>
      <c r="B31" s="74" t="s">
        <v>324</v>
      </c>
      <c r="C31" s="74" t="s">
        <v>325</v>
      </c>
      <c r="D31" s="74" t="s">
        <v>326</v>
      </c>
      <c r="E31" s="74" t="s">
        <v>327</v>
      </c>
    </row>
    <row r="32" customFormat="false" ht="15" hidden="false" customHeight="true" outlineLevel="0" collapsed="false">
      <c r="A32" s="23" t="n">
        <v>200</v>
      </c>
      <c r="B32" s="31" t="n">
        <f aca="false">$B$6/A32</f>
        <v>6.5</v>
      </c>
      <c r="C32" s="31" t="n">
        <f aca="false">$B$17*$B$6/A32</f>
        <v>6.5</v>
      </c>
      <c r="D32" s="26" t="n">
        <f aca="false">ROUNDUP(A32*52/($B$17*$B$6),0)</f>
        <v>8</v>
      </c>
      <c r="E32" s="26" t="n">
        <f aca="false">ROUNDUP(A32*52/($B$17*$B$7),0)</f>
        <v>10</v>
      </c>
    </row>
    <row r="33" customFormat="false" ht="15" hidden="false" customHeight="true" outlineLevel="0" collapsed="false">
      <c r="A33" s="23" t="n">
        <v>225</v>
      </c>
      <c r="B33" s="31" t="n">
        <f aca="false">$B$6/A33</f>
        <v>5.77777777777778</v>
      </c>
      <c r="C33" s="31" t="n">
        <f aca="false">$B$17*$B$6/A33</f>
        <v>5.77777777777778</v>
      </c>
      <c r="D33" s="26" t="n">
        <f aca="false">ROUNDUP(A33*52/($B$17*$B$6),0)</f>
        <v>9</v>
      </c>
      <c r="E33" s="26" t="n">
        <f aca="false">ROUNDUP(A33*52/($B$17*$B$7),0)</f>
        <v>11</v>
      </c>
    </row>
    <row r="34" customFormat="false" ht="15" hidden="false" customHeight="true" outlineLevel="0" collapsed="false">
      <c r="A34" s="23" t="n">
        <v>250</v>
      </c>
      <c r="B34" s="31" t="n">
        <f aca="false">$B$6/A34</f>
        <v>5.2</v>
      </c>
      <c r="C34" s="31" t="n">
        <f aca="false">$B$17*$B$6/A34</f>
        <v>5.2</v>
      </c>
      <c r="D34" s="26" t="n">
        <f aca="false">ROUNDUP(A34*52/($B$17*$B$6),0)</f>
        <v>10</v>
      </c>
      <c r="E34" s="26" t="n">
        <f aca="false">ROUNDUP(A34*52/($B$17*$B$7),0)</f>
        <v>12</v>
      </c>
    </row>
    <row r="35" customFormat="false" ht="15" hidden="false" customHeight="true" outlineLevel="0" collapsed="false">
      <c r="A35" s="23" t="n">
        <v>270</v>
      </c>
      <c r="B35" s="31" t="n">
        <f aca="false">$B$6/A35</f>
        <v>4.81481481481482</v>
      </c>
      <c r="C35" s="31" t="n">
        <f aca="false">$B$17*$B$6/A35</f>
        <v>4.81481481481482</v>
      </c>
      <c r="D35" s="26" t="n">
        <f aca="false">ROUNDUP(A35*52/($B$17*$B$6),0)</f>
        <v>11</v>
      </c>
      <c r="E35" s="26" t="n">
        <f aca="false">ROUNDUP(A35*52/($B$17*$B$7),0)</f>
        <v>13</v>
      </c>
    </row>
    <row r="36" customFormat="false" ht="15" hidden="false" customHeight="true" outlineLevel="0" collapsed="false">
      <c r="A36" s="23" t="n">
        <v>300</v>
      </c>
      <c r="B36" s="31" t="n">
        <f aca="false">$B$6/A36</f>
        <v>4.33333333333333</v>
      </c>
      <c r="C36" s="31" t="n">
        <f aca="false">$B$17*$B$6/A36</f>
        <v>4.33333333333333</v>
      </c>
      <c r="D36" s="26" t="n">
        <f aca="false">ROUNDUP(A36*52/($B$17*$B$6),0)</f>
        <v>12</v>
      </c>
      <c r="E36" s="26" t="n">
        <f aca="false">ROUNDUP(A36*52/($B$17*$B$7),0)</f>
        <v>15</v>
      </c>
    </row>
    <row r="37" customFormat="false" ht="15" hidden="false" customHeight="true" outlineLevel="0" collapsed="false">
      <c r="A37" s="23" t="n">
        <v>325</v>
      </c>
      <c r="B37" s="31" t="n">
        <f aca="false">$B$6/A37</f>
        <v>4</v>
      </c>
      <c r="C37" s="31" t="n">
        <f aca="false">$B$17*$B$6/A37</f>
        <v>4</v>
      </c>
      <c r="D37" s="26" t="n">
        <f aca="false">ROUNDUP(A37*52/($B$17*$B$6),0)</f>
        <v>13</v>
      </c>
      <c r="E37" s="26" t="n">
        <f aca="false">ROUNDUP(A37*52/($B$17*$B$7),0)</f>
        <v>16</v>
      </c>
    </row>
    <row r="38" customFormat="false" ht="15" hidden="false" customHeight="true" outlineLevel="0" collapsed="false">
      <c r="A38" s="23" t="n">
        <v>350</v>
      </c>
      <c r="B38" s="31" t="n">
        <f aca="false">$B$6/A38</f>
        <v>3.71428571428571</v>
      </c>
      <c r="C38" s="31" t="n">
        <f aca="false">$B$17*$B$6/A38</f>
        <v>3.71428571428571</v>
      </c>
      <c r="D38" s="26" t="n">
        <f aca="false">ROUNDUP(A38*52/($B$17*$B$6),0)</f>
        <v>14</v>
      </c>
      <c r="E38" s="26" t="n">
        <f aca="false">ROUNDUP(A38*52/($B$17*$B$7),0)</f>
        <v>17</v>
      </c>
    </row>
    <row r="40" customFormat="false" ht="25.5" hidden="false" customHeight="true" outlineLevel="0" collapsed="false">
      <c r="A40" s="80" t="s">
        <v>328</v>
      </c>
      <c r="B40" s="80"/>
      <c r="C40" s="80"/>
      <c r="D40" s="80"/>
      <c r="E40" s="80"/>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7" min="3"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1" width="26"/>
  </cols>
  <sheetData>
    <row r="1" customFormat="false" ht="17.25" hidden="false" customHeight="true" outlineLevel="0" collapsed="false">
      <c r="A1" s="2" t="s">
        <v>329</v>
      </c>
    </row>
    <row r="2" customFormat="false" ht="15" hidden="false" customHeight="true" outlineLevel="0" collapsed="false">
      <c r="A2" s="20" t="s">
        <v>330</v>
      </c>
    </row>
    <row r="4" customFormat="false" ht="15" hidden="false" customHeight="true" outlineLevel="0" collapsed="false">
      <c r="A4" s="4" t="s">
        <v>331</v>
      </c>
      <c r="B4" s="5"/>
      <c r="C4" s="5"/>
      <c r="D4" s="5"/>
      <c r="E4" s="5"/>
    </row>
    <row r="5" customFormat="false" ht="15" hidden="false" customHeight="true" outlineLevel="0" collapsed="false">
      <c r="A5" s="6" t="s">
        <v>332</v>
      </c>
      <c r="B5" s="30" t="n">
        <v>46293</v>
      </c>
      <c r="D5" s="80" t="s">
        <v>333</v>
      </c>
      <c r="E5" s="80"/>
      <c r="F5" s="80"/>
      <c r="G5" s="80"/>
      <c r="H5" s="80"/>
      <c r="I5" s="80"/>
      <c r="J5" s="80"/>
      <c r="K5" s="80"/>
    </row>
    <row r="6" customFormat="false" ht="23.25" hidden="false" customHeight="true" outlineLevel="0" collapsed="false">
      <c r="A6" s="6" t="s">
        <v>334</v>
      </c>
      <c r="B6" s="12" t="n">
        <f aca="false">Inputs!B52</f>
        <v>829</v>
      </c>
      <c r="D6" s="80" t="str">
        <f aca="false">"LINKED — Inputs rows 41–52: "&amp;TEXT(Inputs!B47,"#,##0")&amp;" pcs counted "&amp;TEXT(Inputs!B42,"m/d")&amp;" ("&amp;Inputs!B43&amp;" loose + "&amp;Inputs!B44&amp;" boxes) less "&amp;TEXT(Inputs!B51,"#,##0")&amp;" consumed before the horizon starts"</f>
        <v>LINKED — Inputs rows 41–52: 937 pcs counted 9/24 (70 loose + 2 boxes) less 108 consumed before the horizon starts</v>
      </c>
      <c r="E6" s="80"/>
      <c r="F6" s="80"/>
      <c r="G6" s="80"/>
      <c r="H6" s="80"/>
      <c r="I6" s="80"/>
      <c r="J6" s="80"/>
      <c r="K6" s="80"/>
    </row>
    <row r="7" customFormat="false" ht="15" hidden="false" customHeight="true" outlineLevel="0" collapsed="false">
      <c r="A7" s="6" t="s">
        <v>335</v>
      </c>
      <c r="B7" s="12" t="n">
        <f aca="false">Inputs!B26</f>
        <v>270</v>
      </c>
    </row>
    <row r="8" customFormat="false" ht="15" hidden="false" customHeight="true" outlineLevel="0" collapsed="false">
      <c r="A8" s="6" t="s">
        <v>24</v>
      </c>
      <c r="B8" s="12" t="n">
        <f aca="false">'Order Cadence'!B16</f>
        <v>1080</v>
      </c>
    </row>
    <row r="9" customFormat="false" ht="15" hidden="false" customHeight="true" outlineLevel="0" collapsed="false">
      <c r="A9" s="6" t="s">
        <v>26</v>
      </c>
      <c r="B9" s="12" t="n">
        <f aca="false">'Order Cadence'!B6</f>
        <v>1300</v>
      </c>
    </row>
    <row r="10" customFormat="false" ht="15" hidden="false" customHeight="true" outlineLevel="0" collapsed="false">
      <c r="A10" s="6" t="s">
        <v>336</v>
      </c>
      <c r="B10" s="17" t="n">
        <f aca="false">Inputs!B31</f>
        <v>3</v>
      </c>
    </row>
    <row r="11" customFormat="false" ht="15" hidden="false" customHeight="false" outlineLevel="0" collapsed="false">
      <c r="A11" s="6" t="s">
        <v>337</v>
      </c>
      <c r="B11" s="12" t="n">
        <f aca="false">Inputs!B56</f>
        <v>1300</v>
      </c>
      <c r="D11" s="62" t="str">
        <f aca="false">"Released "&amp;TEXT(Inputs!B55,"m/d/yy")&amp;", credited to week "&amp;Inputs!B58&amp;" (arrives "&amp;TEXT(Inputs!B57,"m/d/yy")&amp;") — Inputs rows 54–61"</f>
        <v>Released 9/24/26, credited to week 4 (arrives 10/19/26) — Inputs rows 54–61</v>
      </c>
      <c r="E11" s="62"/>
      <c r="F11" s="62"/>
      <c r="G11" s="62"/>
      <c r="H11" s="62"/>
      <c r="I11" s="62"/>
      <c r="J11" s="62"/>
      <c r="K11" s="62"/>
    </row>
    <row r="12" customFormat="false" ht="15" hidden="false" customHeight="true" outlineLevel="0" collapsed="false">
      <c r="A12" s="4" t="s">
        <v>338</v>
      </c>
      <c r="B12" s="5"/>
      <c r="C12" s="5"/>
      <c r="D12" s="5"/>
      <c r="E12" s="5"/>
      <c r="F12" s="5"/>
      <c r="G12" s="5"/>
      <c r="H12" s="5"/>
      <c r="I12" s="5"/>
      <c r="J12" s="5"/>
      <c r="K12" s="5"/>
    </row>
    <row r="13" customFormat="false" ht="15" hidden="false" customHeight="true" outlineLevel="0" collapsed="false">
      <c r="A13" s="74" t="s">
        <v>339</v>
      </c>
      <c r="B13" s="74" t="s">
        <v>340</v>
      </c>
      <c r="C13" s="74" t="s">
        <v>341</v>
      </c>
      <c r="D13" s="74" t="s">
        <v>342</v>
      </c>
      <c r="E13" s="74" t="s">
        <v>343</v>
      </c>
      <c r="F13" s="74" t="s">
        <v>344</v>
      </c>
      <c r="G13" s="74" t="s">
        <v>345</v>
      </c>
      <c r="H13" s="74" t="s">
        <v>346</v>
      </c>
      <c r="I13" s="74" t="s">
        <v>347</v>
      </c>
      <c r="J13" s="74" t="s">
        <v>348</v>
      </c>
      <c r="K13" s="74" t="s">
        <v>349</v>
      </c>
      <c r="L13" s="52" t="s">
        <v>350</v>
      </c>
    </row>
    <row r="14" customFormat="false" ht="15" hidden="false" customHeight="true" outlineLevel="0" collapsed="false">
      <c r="A14" s="26" t="n">
        <v>1</v>
      </c>
      <c r="B14" s="64" t="n">
        <f aca="false">$B$5+(A14-1)*7</f>
        <v>46293</v>
      </c>
      <c r="C14" s="22" t="n">
        <f aca="false">$B$6</f>
        <v>829</v>
      </c>
      <c r="D14" s="22" t="n">
        <f aca="false">IF(A14&gt;$B$10, INDEX($H$14:$H$39, A14-$B$10), 0)+IF(A14=Inputs!$B$58,Inputs!$B$56,0)</f>
        <v>0</v>
      </c>
      <c r="E14" s="22" t="n">
        <f aca="false">C14+D14</f>
        <v>829</v>
      </c>
      <c r="F14" s="22" t="n">
        <f aca="false">$B$7</f>
        <v>270</v>
      </c>
      <c r="G14" s="22" t="n">
        <f aca="false">E14-F14</f>
        <v>559</v>
      </c>
      <c r="H14" s="22" t="n">
        <f aca="false">IF(G14+(Inputs!$B$56-D14)&lt;$B$8, $B$9, 0)</f>
        <v>0</v>
      </c>
      <c r="I14" s="22" t="n">
        <f aca="false">Inputs!$B$56+H14-D14</f>
        <v>1300</v>
      </c>
      <c r="J14" s="22" t="n">
        <f aca="false">G14+I14</f>
        <v>1859</v>
      </c>
      <c r="K14" s="27" t="str">
        <f aca="false">IF(G14&lt;0,"STOCKOUT",IF(TRIM(IF(H14&gt;0,"PO released ","")&amp;IF(D14&gt;0,"Delivery ","")&amp;IF(G14&lt;$B$7,"⚠ LOW &lt;1 wk",""))="","OK",TRIM(IF(H14&gt;0,"PO released ","")&amp;IF(D14&gt;0,"Delivery ","")&amp;IF(G14&lt;$B$7,"⚠ LOW &lt;1 wk",""))))</f>
        <v>OK</v>
      </c>
      <c r="L14" s="81" t="str">
        <f aca="false">IF(SUMPRODUCT(('PO Schedule'!$D$14:$D$22&lt;&gt;"")*('PO Schedule'!$D$14:$D$22&lt;=B14+6)*('PO Schedule'!$E$14:$E$22&gt;=B14))&gt;0,"▶ PO-"&amp;(SUMPRODUCT(('PO Schedule'!$D$14:$D$22&lt;&gt;"")*('PO Schedule'!$D$14:$D$22&lt;=B14+6)*('PO Schedule'!$E$14:$E$22&gt;=B14)*('PO Schedule'!$A$14:$A$22+1))-1)&amp;" cut at Trotter","")</f>
        <v/>
      </c>
    </row>
    <row r="15" customFormat="false" ht="15" hidden="false" customHeight="true" outlineLevel="0" collapsed="false">
      <c r="A15" s="26" t="n">
        <v>2</v>
      </c>
      <c r="B15" s="64" t="n">
        <f aca="false">$B$5+(A15-1)*7</f>
        <v>46300</v>
      </c>
      <c r="C15" s="22" t="n">
        <f aca="false">G14</f>
        <v>559</v>
      </c>
      <c r="D15" s="22" t="n">
        <f aca="false">IF(A15&gt;$B$10, INDEX($H$14:$H$39, A15-$B$10), 0)+IF(A15=Inputs!$B$58,Inputs!$B$56,0)</f>
        <v>0</v>
      </c>
      <c r="E15" s="22" t="n">
        <f aca="false">C15+D15</f>
        <v>559</v>
      </c>
      <c r="F15" s="22" t="n">
        <f aca="false">$B$7</f>
        <v>270</v>
      </c>
      <c r="G15" s="22" t="n">
        <f aca="false">E15-F15</f>
        <v>289</v>
      </c>
      <c r="H15" s="22" t="n">
        <f aca="false">IF(G15+(I14-D15)&lt;$B$8, $B$9, 0)</f>
        <v>0</v>
      </c>
      <c r="I15" s="22" t="n">
        <f aca="false">I14-D15+H15</f>
        <v>1300</v>
      </c>
      <c r="J15" s="22" t="n">
        <f aca="false">G15+I15</f>
        <v>1589</v>
      </c>
      <c r="K15" s="27" t="str">
        <f aca="false">IF(G15&lt;0,"STOCKOUT",IF(TRIM(IF(H15&gt;0,"PO released ","")&amp;IF(D15&gt;0,"Delivery ","")&amp;IF(G15&lt;$B$7,"⚠ LOW &lt;1 wk",""))="","OK",TRIM(IF(H15&gt;0,"PO released ","")&amp;IF(D15&gt;0,"Delivery ","")&amp;IF(G15&lt;$B$7,"⚠ LOW &lt;1 wk",""))))</f>
        <v>OK</v>
      </c>
      <c r="L15" s="81" t="str">
        <f aca="false">IF(SUMPRODUCT(('PO Schedule'!$D$14:$D$22&lt;&gt;"")*('PO Schedule'!$D$14:$D$22&lt;=B15+6)*('PO Schedule'!$E$14:$E$22&gt;=B15))&gt;0,"▶ PO-"&amp;(SUMPRODUCT(('PO Schedule'!$D$14:$D$22&lt;&gt;"")*('PO Schedule'!$D$14:$D$22&lt;=B15+6)*('PO Schedule'!$E$14:$E$22&gt;=B15)*('PO Schedule'!$A$14:$A$22+1))-1)&amp;" cut at Trotter","")</f>
        <v/>
      </c>
    </row>
    <row r="16" customFormat="false" ht="15" hidden="false" customHeight="true" outlineLevel="0" collapsed="false">
      <c r="A16" s="26" t="n">
        <v>3</v>
      </c>
      <c r="B16" s="64" t="n">
        <f aca="false">$B$5+(A16-1)*7</f>
        <v>46307</v>
      </c>
      <c r="C16" s="22" t="n">
        <f aca="false">G15</f>
        <v>289</v>
      </c>
      <c r="D16" s="22" t="n">
        <f aca="false">IF(A16&gt;$B$10, INDEX($H$14:$H$39, A16-$B$10), 0)+IF(A16=Inputs!$B$58,Inputs!$B$56,0)</f>
        <v>0</v>
      </c>
      <c r="E16" s="22" t="n">
        <f aca="false">C16+D16</f>
        <v>289</v>
      </c>
      <c r="F16" s="22" t="n">
        <f aca="false">$B$7</f>
        <v>270</v>
      </c>
      <c r="G16" s="22" t="n">
        <f aca="false">E16-F16</f>
        <v>19</v>
      </c>
      <c r="H16" s="22" t="n">
        <f aca="false">IF(G16+(I15-D16)&lt;$B$8, $B$9, 0)</f>
        <v>0</v>
      </c>
      <c r="I16" s="22" t="n">
        <f aca="false">I15-D16+H16</f>
        <v>1300</v>
      </c>
      <c r="J16" s="22" t="n">
        <f aca="false">G16+I16</f>
        <v>1319</v>
      </c>
      <c r="K16" s="27" t="str">
        <f aca="false">IF(G16&lt;0,"STOCKOUT",IF(TRIM(IF(H16&gt;0,"PO released ","")&amp;IF(D16&gt;0,"Delivery ","")&amp;IF(G16&lt;$B$7,"⚠ LOW &lt;1 wk",""))="","OK",TRIM(IF(H16&gt;0,"PO released ","")&amp;IF(D16&gt;0,"Delivery ","")&amp;IF(G16&lt;$B$7,"⚠ LOW &lt;1 wk",""))))</f>
        <v>⚠ LOW &lt;1 wk</v>
      </c>
      <c r="L16" s="81" t="str">
        <f aca="false">IF(SUMPRODUCT(('PO Schedule'!$D$14:$D$22&lt;&gt;"")*('PO Schedule'!$D$14:$D$22&lt;=B16+6)*('PO Schedule'!$E$14:$E$22&gt;=B16))&gt;0,"▶ PO-"&amp;(SUMPRODUCT(('PO Schedule'!$D$14:$D$22&lt;&gt;"")*('PO Schedule'!$D$14:$D$22&lt;=B16+6)*('PO Schedule'!$E$14:$E$22&gt;=B16)*('PO Schedule'!$A$14:$A$22+1))-1)&amp;" cut at Trotter","")</f>
        <v>▶ PO-0 cut at Trotter</v>
      </c>
    </row>
    <row r="17" customFormat="false" ht="15" hidden="false" customHeight="true" outlineLevel="0" collapsed="false">
      <c r="A17" s="26" t="n">
        <v>4</v>
      </c>
      <c r="B17" s="64" t="n">
        <f aca="false">$B$5+(A17-1)*7</f>
        <v>46314</v>
      </c>
      <c r="C17" s="22" t="n">
        <f aca="false">G16</f>
        <v>19</v>
      </c>
      <c r="D17" s="22" t="n">
        <f aca="false">IF(A17&gt;$B$10, INDEX($H$14:$H$39, A17-$B$10), 0)+IF(A17=Inputs!$B$58,Inputs!$B$56,0)</f>
        <v>1300</v>
      </c>
      <c r="E17" s="22" t="n">
        <f aca="false">C17+D17</f>
        <v>1319</v>
      </c>
      <c r="F17" s="22" t="n">
        <f aca="false">$B$7</f>
        <v>270</v>
      </c>
      <c r="G17" s="22" t="n">
        <f aca="false">E17-F17</f>
        <v>1049</v>
      </c>
      <c r="H17" s="22" t="n">
        <f aca="false">IF(G17+(I16-D17)&lt;$B$8, $B$9, 0)</f>
        <v>1300</v>
      </c>
      <c r="I17" s="22" t="n">
        <f aca="false">I16-D17+H17</f>
        <v>1300</v>
      </c>
      <c r="J17" s="22" t="n">
        <f aca="false">G17+I17</f>
        <v>2349</v>
      </c>
      <c r="K17" s="27" t="str">
        <f aca="false">IF(G17&lt;0,"STOCKOUT",IF(TRIM(IF(H17&gt;0,"PO released ","")&amp;IF(D17&gt;0,"Delivery ","")&amp;IF(G17&lt;$B$7,"⚠ LOW &lt;1 wk",""))="","OK",TRIM(IF(H17&gt;0,"PO released ","")&amp;IF(D17&gt;0,"Delivery ","")&amp;IF(G17&lt;$B$7,"⚠ LOW &lt;1 wk",""))))</f>
        <v>PO released Delivery</v>
      </c>
      <c r="L17" s="81" t="str">
        <f aca="false">IF(SUMPRODUCT(('PO Schedule'!$D$14:$D$22&lt;&gt;"")*('PO Schedule'!$D$14:$D$22&lt;=B17+6)*('PO Schedule'!$E$14:$E$22&gt;=B17))&gt;0,"▶ PO-"&amp;(SUMPRODUCT(('PO Schedule'!$D$14:$D$22&lt;&gt;"")*('PO Schedule'!$D$14:$D$22&lt;=B17+6)*('PO Schedule'!$E$14:$E$22&gt;=B17)*('PO Schedule'!$A$14:$A$22+1))-1)&amp;" cut at Trotter","")</f>
        <v/>
      </c>
    </row>
    <row r="18" customFormat="false" ht="15" hidden="false" customHeight="true" outlineLevel="0" collapsed="false">
      <c r="A18" s="26" t="n">
        <v>5</v>
      </c>
      <c r="B18" s="64" t="n">
        <f aca="false">$B$5+(A18-1)*7</f>
        <v>46321</v>
      </c>
      <c r="C18" s="22" t="n">
        <f aca="false">G17</f>
        <v>1049</v>
      </c>
      <c r="D18" s="22" t="n">
        <f aca="false">IF(A18&gt;$B$10, INDEX($H$14:$H$39, A18-$B$10), 0)+IF(A18=Inputs!$B$58,Inputs!$B$56,0)</f>
        <v>0</v>
      </c>
      <c r="E18" s="22" t="n">
        <f aca="false">C18+D18</f>
        <v>1049</v>
      </c>
      <c r="F18" s="22" t="n">
        <f aca="false">$B$7</f>
        <v>270</v>
      </c>
      <c r="G18" s="22" t="n">
        <f aca="false">E18-F18</f>
        <v>779</v>
      </c>
      <c r="H18" s="22" t="n">
        <f aca="false">IF(G18+(I17-D18)&lt;$B$8, $B$9, 0)</f>
        <v>0</v>
      </c>
      <c r="I18" s="22" t="n">
        <f aca="false">I17-D18+H18</f>
        <v>1300</v>
      </c>
      <c r="J18" s="22" t="n">
        <f aca="false">G18+I18</f>
        <v>2079</v>
      </c>
      <c r="K18" s="27" t="str">
        <f aca="false">IF(G18&lt;0,"STOCKOUT",IF(TRIM(IF(H18&gt;0,"PO released ","")&amp;IF(D18&gt;0,"Delivery ","")&amp;IF(G18&lt;$B$7,"⚠ LOW &lt;1 wk",""))="","OK",TRIM(IF(H18&gt;0,"PO released ","")&amp;IF(D18&gt;0,"Delivery ","")&amp;IF(G18&lt;$B$7,"⚠ LOW &lt;1 wk",""))))</f>
        <v>OK</v>
      </c>
      <c r="L18" s="81" t="str">
        <f aca="false">IF(SUMPRODUCT(('PO Schedule'!$D$14:$D$22&lt;&gt;"")*('PO Schedule'!$D$14:$D$22&lt;=B18+6)*('PO Schedule'!$E$14:$E$22&gt;=B18))&gt;0,"▶ PO-"&amp;(SUMPRODUCT(('PO Schedule'!$D$14:$D$22&lt;&gt;"")*('PO Schedule'!$D$14:$D$22&lt;=B18+6)*('PO Schedule'!$E$14:$E$22&gt;=B18)*('PO Schedule'!$A$14:$A$22+1))-1)&amp;" cut at Trotter","")</f>
        <v/>
      </c>
    </row>
    <row r="19" customFormat="false" ht="15" hidden="false" customHeight="true" outlineLevel="0" collapsed="false">
      <c r="A19" s="26" t="n">
        <v>6</v>
      </c>
      <c r="B19" s="64" t="n">
        <f aca="false">$B$5+(A19-1)*7</f>
        <v>46328</v>
      </c>
      <c r="C19" s="22" t="n">
        <f aca="false">G18</f>
        <v>779</v>
      </c>
      <c r="D19" s="22" t="n">
        <f aca="false">IF(A19&gt;$B$10, INDEX($H$14:$H$39, A19-$B$10), 0)+IF(A19=Inputs!$B$58,Inputs!$B$56,0)</f>
        <v>0</v>
      </c>
      <c r="E19" s="22" t="n">
        <f aca="false">C19+D19</f>
        <v>779</v>
      </c>
      <c r="F19" s="22" t="n">
        <f aca="false">$B$7</f>
        <v>270</v>
      </c>
      <c r="G19" s="22" t="n">
        <f aca="false">E19-F19</f>
        <v>509</v>
      </c>
      <c r="H19" s="22" t="n">
        <f aca="false">IF(G19+(I18-D19)&lt;$B$8, $B$9, 0)</f>
        <v>0</v>
      </c>
      <c r="I19" s="22" t="n">
        <f aca="false">I18-D19+H19</f>
        <v>1300</v>
      </c>
      <c r="J19" s="22" t="n">
        <f aca="false">G19+I19</f>
        <v>1809</v>
      </c>
      <c r="K19" s="27" t="str">
        <f aca="false">IF(G19&lt;0,"STOCKOUT",IF(TRIM(IF(H19&gt;0,"PO released ","")&amp;IF(D19&gt;0,"Delivery ","")&amp;IF(G19&lt;$B$7,"⚠ LOW &lt;1 wk",""))="","OK",TRIM(IF(H19&gt;0,"PO released ","")&amp;IF(D19&gt;0,"Delivery ","")&amp;IF(G19&lt;$B$7,"⚠ LOW &lt;1 wk",""))))</f>
        <v>OK</v>
      </c>
      <c r="L19" s="81" t="str">
        <f aca="false">IF(SUMPRODUCT(('PO Schedule'!$D$14:$D$22&lt;&gt;"")*('PO Schedule'!$D$14:$D$22&lt;=B19+6)*('PO Schedule'!$E$14:$E$22&gt;=B19))&gt;0,"▶ PO-"&amp;(SUMPRODUCT(('PO Schedule'!$D$14:$D$22&lt;&gt;"")*('PO Schedule'!$D$14:$D$22&lt;=B19+6)*('PO Schedule'!$E$14:$E$22&gt;=B19)*('PO Schedule'!$A$14:$A$22+1))-1)&amp;" cut at Trotter","")</f>
        <v>▶ PO-1 cut at Trotter</v>
      </c>
    </row>
    <row r="20" customFormat="false" ht="15" hidden="false" customHeight="true" outlineLevel="0" collapsed="false">
      <c r="A20" s="26" t="n">
        <v>7</v>
      </c>
      <c r="B20" s="64" t="n">
        <f aca="false">$B$5+(A20-1)*7</f>
        <v>46335</v>
      </c>
      <c r="C20" s="22" t="n">
        <f aca="false">G19</f>
        <v>509</v>
      </c>
      <c r="D20" s="22" t="n">
        <f aca="false">IF(A20&gt;$B$10, INDEX($H$14:$H$39, A20-$B$10), 0)+IF(A20=Inputs!$B$58,Inputs!$B$56,0)</f>
        <v>1300</v>
      </c>
      <c r="E20" s="22" t="n">
        <f aca="false">C20+D20</f>
        <v>1809</v>
      </c>
      <c r="F20" s="22" t="n">
        <f aca="false">$B$7</f>
        <v>270</v>
      </c>
      <c r="G20" s="22" t="n">
        <f aca="false">E20-F20</f>
        <v>1539</v>
      </c>
      <c r="H20" s="22" t="n">
        <f aca="false">IF(G20+(I19-D20)&lt;$B$8, $B$9, 0)</f>
        <v>0</v>
      </c>
      <c r="I20" s="22" t="n">
        <f aca="false">I19-D20+H20</f>
        <v>0</v>
      </c>
      <c r="J20" s="22" t="n">
        <f aca="false">G20+I20</f>
        <v>1539</v>
      </c>
      <c r="K20" s="27" t="str">
        <f aca="false">IF(G20&lt;0,"STOCKOUT",IF(TRIM(IF(H20&gt;0,"PO released ","")&amp;IF(D20&gt;0,"Delivery ","")&amp;IF(G20&lt;$B$7,"⚠ LOW &lt;1 wk",""))="","OK",TRIM(IF(H20&gt;0,"PO released ","")&amp;IF(D20&gt;0,"Delivery ","")&amp;IF(G20&lt;$B$7,"⚠ LOW &lt;1 wk",""))))</f>
        <v>Delivery</v>
      </c>
      <c r="L20" s="81" t="str">
        <f aca="false">IF(SUMPRODUCT(('PO Schedule'!$D$14:$D$22&lt;&gt;"")*('PO Schedule'!$D$14:$D$22&lt;=B20+6)*('PO Schedule'!$E$14:$E$22&gt;=B20))&gt;0,"▶ PO-"&amp;(SUMPRODUCT(('PO Schedule'!$D$14:$D$22&lt;&gt;"")*('PO Schedule'!$D$14:$D$22&lt;=B20+6)*('PO Schedule'!$E$14:$E$22&gt;=B20)*('PO Schedule'!$A$14:$A$22+1))-1)&amp;" cut at Trotter","")</f>
        <v/>
      </c>
    </row>
    <row r="21" customFormat="false" ht="15" hidden="false" customHeight="true" outlineLevel="0" collapsed="false">
      <c r="A21" s="26" t="n">
        <v>8</v>
      </c>
      <c r="B21" s="64" t="n">
        <f aca="false">$B$5+(A21-1)*7</f>
        <v>46342</v>
      </c>
      <c r="C21" s="22" t="n">
        <f aca="false">G20</f>
        <v>1539</v>
      </c>
      <c r="D21" s="22" t="n">
        <f aca="false">IF(A21&gt;$B$10, INDEX($H$14:$H$39, A21-$B$10), 0)+IF(A21=Inputs!$B$58,Inputs!$B$56,0)</f>
        <v>0</v>
      </c>
      <c r="E21" s="22" t="n">
        <f aca="false">C21+D21</f>
        <v>1539</v>
      </c>
      <c r="F21" s="22" t="n">
        <f aca="false">$B$7</f>
        <v>270</v>
      </c>
      <c r="G21" s="22" t="n">
        <f aca="false">E21-F21</f>
        <v>1269</v>
      </c>
      <c r="H21" s="22" t="n">
        <f aca="false">IF(G21+(I20-D21)&lt;$B$8, $B$9, 0)</f>
        <v>0</v>
      </c>
      <c r="I21" s="22" t="n">
        <f aca="false">I20-D21+H21</f>
        <v>0</v>
      </c>
      <c r="J21" s="22" t="n">
        <f aca="false">G21+I21</f>
        <v>1269</v>
      </c>
      <c r="K21" s="27" t="str">
        <f aca="false">IF(G21&lt;0,"STOCKOUT",IF(TRIM(IF(H21&gt;0,"PO released ","")&amp;IF(D21&gt;0,"Delivery ","")&amp;IF(G21&lt;$B$7,"⚠ LOW &lt;1 wk",""))="","OK",TRIM(IF(H21&gt;0,"PO released ","")&amp;IF(D21&gt;0,"Delivery ","")&amp;IF(G21&lt;$B$7,"⚠ LOW &lt;1 wk",""))))</f>
        <v>OK</v>
      </c>
      <c r="L21" s="81" t="str">
        <f aca="false">IF(SUMPRODUCT(('PO Schedule'!$D$14:$D$22&lt;&gt;"")*('PO Schedule'!$D$14:$D$22&lt;=B21+6)*('PO Schedule'!$E$14:$E$22&gt;=B21))&gt;0,"▶ PO-"&amp;(SUMPRODUCT(('PO Schedule'!$D$14:$D$22&lt;&gt;"")*('PO Schedule'!$D$14:$D$22&lt;=B21+6)*('PO Schedule'!$E$14:$E$22&gt;=B21)*('PO Schedule'!$A$14:$A$22+1))-1)&amp;" cut at Trotter","")</f>
        <v/>
      </c>
    </row>
    <row r="22" customFormat="false" ht="15" hidden="false" customHeight="true" outlineLevel="0" collapsed="false">
      <c r="A22" s="26" t="n">
        <v>9</v>
      </c>
      <c r="B22" s="64" t="n">
        <f aca="false">$B$5+(A22-1)*7</f>
        <v>46349</v>
      </c>
      <c r="C22" s="22" t="n">
        <f aca="false">G21</f>
        <v>1269</v>
      </c>
      <c r="D22" s="22" t="n">
        <f aca="false">IF(A22&gt;$B$10, INDEX($H$14:$H$39, A22-$B$10), 0)+IF(A22=Inputs!$B$58,Inputs!$B$56,0)</f>
        <v>0</v>
      </c>
      <c r="E22" s="22" t="n">
        <f aca="false">C22+D22</f>
        <v>1269</v>
      </c>
      <c r="F22" s="22" t="n">
        <f aca="false">$B$7</f>
        <v>270</v>
      </c>
      <c r="G22" s="22" t="n">
        <f aca="false">E22-F22</f>
        <v>999</v>
      </c>
      <c r="H22" s="22" t="n">
        <f aca="false">IF(G22+(I21-D22)&lt;$B$8, $B$9, 0)</f>
        <v>1300</v>
      </c>
      <c r="I22" s="22" t="n">
        <f aca="false">I21-D22+H22</f>
        <v>1300</v>
      </c>
      <c r="J22" s="22" t="n">
        <f aca="false">G22+I22</f>
        <v>2299</v>
      </c>
      <c r="K22" s="27" t="str">
        <f aca="false">IF(G22&lt;0,"STOCKOUT",IF(TRIM(IF(H22&gt;0,"PO released ","")&amp;IF(D22&gt;0,"Delivery ","")&amp;IF(G22&lt;$B$7,"⚠ LOW &lt;1 wk",""))="","OK",TRIM(IF(H22&gt;0,"PO released ","")&amp;IF(D22&gt;0,"Delivery ","")&amp;IF(G22&lt;$B$7,"⚠ LOW &lt;1 wk",""))))</f>
        <v>PO released</v>
      </c>
      <c r="L22" s="81" t="str">
        <f aca="false">IF(SUMPRODUCT(('PO Schedule'!$D$14:$D$22&lt;&gt;"")*('PO Schedule'!$D$14:$D$22&lt;=B22+6)*('PO Schedule'!$E$14:$E$22&gt;=B22))&gt;0,"▶ PO-"&amp;(SUMPRODUCT(('PO Schedule'!$D$14:$D$22&lt;&gt;"")*('PO Schedule'!$D$14:$D$22&lt;=B22+6)*('PO Schedule'!$E$14:$E$22&gt;=B22)*('PO Schedule'!$A$14:$A$22+1))-1)&amp;" cut at Trotter","")</f>
        <v/>
      </c>
    </row>
    <row r="23" customFormat="false" ht="15" hidden="false" customHeight="true" outlineLevel="0" collapsed="false">
      <c r="A23" s="26" t="n">
        <v>10</v>
      </c>
      <c r="B23" s="64" t="n">
        <f aca="false">$B$5+(A23-1)*7</f>
        <v>46356</v>
      </c>
      <c r="C23" s="22" t="n">
        <f aca="false">G22</f>
        <v>999</v>
      </c>
      <c r="D23" s="22" t="n">
        <f aca="false">IF(A23&gt;$B$10, INDEX($H$14:$H$39, A23-$B$10), 0)+IF(A23=Inputs!$B$58,Inputs!$B$56,0)</f>
        <v>0</v>
      </c>
      <c r="E23" s="22" t="n">
        <f aca="false">C23+D23</f>
        <v>999</v>
      </c>
      <c r="F23" s="22" t="n">
        <f aca="false">$B$7</f>
        <v>270</v>
      </c>
      <c r="G23" s="22" t="n">
        <f aca="false">E23-F23</f>
        <v>729</v>
      </c>
      <c r="H23" s="22" t="n">
        <f aca="false">IF(G23+(I22-D23)&lt;$B$8, $B$9, 0)</f>
        <v>0</v>
      </c>
      <c r="I23" s="22" t="n">
        <f aca="false">I22-D23+H23</f>
        <v>1300</v>
      </c>
      <c r="J23" s="22" t="n">
        <f aca="false">G23+I23</f>
        <v>2029</v>
      </c>
      <c r="K23" s="27" t="str">
        <f aca="false">IF(G23&lt;0,"STOCKOUT",IF(TRIM(IF(H23&gt;0,"PO released ","")&amp;IF(D23&gt;0,"Delivery ","")&amp;IF(G23&lt;$B$7,"⚠ LOW &lt;1 wk",""))="","OK",TRIM(IF(H23&gt;0,"PO released ","")&amp;IF(D23&gt;0,"Delivery ","")&amp;IF(G23&lt;$B$7,"⚠ LOW &lt;1 wk",""))))</f>
        <v>OK</v>
      </c>
      <c r="L23" s="81" t="str">
        <f aca="false">IF(SUMPRODUCT(('PO Schedule'!$D$14:$D$22&lt;&gt;"")*('PO Schedule'!$D$14:$D$22&lt;=B23+6)*('PO Schedule'!$E$14:$E$22&gt;=B23))&gt;0,"▶ PO-"&amp;(SUMPRODUCT(('PO Schedule'!$D$14:$D$22&lt;&gt;"")*('PO Schedule'!$D$14:$D$22&lt;=B23+6)*('PO Schedule'!$E$14:$E$22&gt;=B23)*('PO Schedule'!$A$14:$A$22+1))-1)&amp;" cut at Trotter","")</f>
        <v/>
      </c>
    </row>
    <row r="24" customFormat="false" ht="15" hidden="false" customHeight="true" outlineLevel="0" collapsed="false">
      <c r="A24" s="26" t="n">
        <v>11</v>
      </c>
      <c r="B24" s="64" t="n">
        <f aca="false">$B$5+(A24-1)*7</f>
        <v>46363</v>
      </c>
      <c r="C24" s="22" t="n">
        <f aca="false">G23</f>
        <v>729</v>
      </c>
      <c r="D24" s="22" t="n">
        <f aca="false">IF(A24&gt;$B$10, INDEX($H$14:$H$39, A24-$B$10), 0)+IF(A24=Inputs!$B$58,Inputs!$B$56,0)</f>
        <v>0</v>
      </c>
      <c r="E24" s="22" t="n">
        <f aca="false">C24+D24</f>
        <v>729</v>
      </c>
      <c r="F24" s="22" t="n">
        <f aca="false">$B$7</f>
        <v>270</v>
      </c>
      <c r="G24" s="22" t="n">
        <f aca="false">E24-F24</f>
        <v>459</v>
      </c>
      <c r="H24" s="22" t="n">
        <f aca="false">IF(G24+(I23-D24)&lt;$B$8, $B$9, 0)</f>
        <v>0</v>
      </c>
      <c r="I24" s="22" t="n">
        <f aca="false">I23-D24+H24</f>
        <v>1300</v>
      </c>
      <c r="J24" s="22" t="n">
        <f aca="false">G24+I24</f>
        <v>1759</v>
      </c>
      <c r="K24" s="27" t="str">
        <f aca="false">IF(G24&lt;0,"STOCKOUT",IF(TRIM(IF(H24&gt;0,"PO released ","")&amp;IF(D24&gt;0,"Delivery ","")&amp;IF(G24&lt;$B$7,"⚠ LOW &lt;1 wk",""))="","OK",TRIM(IF(H24&gt;0,"PO released ","")&amp;IF(D24&gt;0,"Delivery ","")&amp;IF(G24&lt;$B$7,"⚠ LOW &lt;1 wk",""))))</f>
        <v>OK</v>
      </c>
      <c r="L24" s="81" t="str">
        <f aca="false">IF(SUMPRODUCT(('PO Schedule'!$D$14:$D$22&lt;&gt;"")*('PO Schedule'!$D$14:$D$22&lt;=B24+6)*('PO Schedule'!$E$14:$E$22&gt;=B24))&gt;0,"▶ PO-"&amp;(SUMPRODUCT(('PO Schedule'!$D$14:$D$22&lt;&gt;"")*('PO Schedule'!$D$14:$D$22&lt;=B24+6)*('PO Schedule'!$E$14:$E$22&gt;=B24)*('PO Schedule'!$A$14:$A$22+1))-1)&amp;" cut at Trotter","")</f>
        <v>▶ PO-2 cut at Trotter</v>
      </c>
    </row>
    <row r="25" customFormat="false" ht="15" hidden="false" customHeight="true" outlineLevel="0" collapsed="false">
      <c r="A25" s="26" t="n">
        <v>12</v>
      </c>
      <c r="B25" s="64" t="n">
        <f aca="false">$B$5+(A25-1)*7</f>
        <v>46370</v>
      </c>
      <c r="C25" s="22" t="n">
        <f aca="false">G24</f>
        <v>459</v>
      </c>
      <c r="D25" s="22" t="n">
        <f aca="false">IF(A25&gt;$B$10, INDEX($H$14:$H$39, A25-$B$10), 0)+IF(A25=Inputs!$B$58,Inputs!$B$56,0)</f>
        <v>1300</v>
      </c>
      <c r="E25" s="22" t="n">
        <f aca="false">C25+D25</f>
        <v>1759</v>
      </c>
      <c r="F25" s="22" t="n">
        <f aca="false">$B$7</f>
        <v>270</v>
      </c>
      <c r="G25" s="22" t="n">
        <f aca="false">E25-F25</f>
        <v>1489</v>
      </c>
      <c r="H25" s="22" t="n">
        <f aca="false">IF(G25+(I24-D25)&lt;$B$8, $B$9, 0)</f>
        <v>0</v>
      </c>
      <c r="I25" s="22" t="n">
        <f aca="false">I24-D25+H25</f>
        <v>0</v>
      </c>
      <c r="J25" s="22" t="n">
        <f aca="false">G25+I25</f>
        <v>1489</v>
      </c>
      <c r="K25" s="27" t="str">
        <f aca="false">IF(G25&lt;0,"STOCKOUT",IF(TRIM(IF(H25&gt;0,"PO released ","")&amp;IF(D25&gt;0,"Delivery ","")&amp;IF(G25&lt;$B$7,"⚠ LOW &lt;1 wk",""))="","OK",TRIM(IF(H25&gt;0,"PO released ","")&amp;IF(D25&gt;0,"Delivery ","")&amp;IF(G25&lt;$B$7,"⚠ LOW &lt;1 wk",""))))</f>
        <v>Delivery</v>
      </c>
      <c r="L25" s="81" t="str">
        <f aca="false">IF(SUMPRODUCT(('PO Schedule'!$D$14:$D$22&lt;&gt;"")*('PO Schedule'!$D$14:$D$22&lt;=B25+6)*('PO Schedule'!$E$14:$E$22&gt;=B25))&gt;0,"▶ PO-"&amp;(SUMPRODUCT(('PO Schedule'!$D$14:$D$22&lt;&gt;"")*('PO Schedule'!$D$14:$D$22&lt;=B25+6)*('PO Schedule'!$E$14:$E$22&gt;=B25)*('PO Schedule'!$A$14:$A$22+1))-1)&amp;" cut at Trotter","")</f>
        <v/>
      </c>
    </row>
    <row r="26" customFormat="false" ht="15" hidden="false" customHeight="true" outlineLevel="0" collapsed="false">
      <c r="A26" s="26" t="n">
        <v>13</v>
      </c>
      <c r="B26" s="64" t="n">
        <f aca="false">$B$5+(A26-1)*7</f>
        <v>46377</v>
      </c>
      <c r="C26" s="22" t="n">
        <f aca="false">G25</f>
        <v>1489</v>
      </c>
      <c r="D26" s="22" t="n">
        <f aca="false">IF(A26&gt;$B$10, INDEX($H$14:$H$39, A26-$B$10), 0)+IF(A26=Inputs!$B$58,Inputs!$B$56,0)</f>
        <v>0</v>
      </c>
      <c r="E26" s="22" t="n">
        <f aca="false">C26+D26</f>
        <v>1489</v>
      </c>
      <c r="F26" s="22" t="n">
        <f aca="false">$B$7</f>
        <v>270</v>
      </c>
      <c r="G26" s="22" t="n">
        <f aca="false">E26-F26</f>
        <v>1219</v>
      </c>
      <c r="H26" s="22" t="n">
        <f aca="false">IF(G26+(I25-D26)&lt;$B$8, $B$9, 0)</f>
        <v>0</v>
      </c>
      <c r="I26" s="22" t="n">
        <f aca="false">I25-D26+H26</f>
        <v>0</v>
      </c>
      <c r="J26" s="22" t="n">
        <f aca="false">G26+I26</f>
        <v>1219</v>
      </c>
      <c r="K26" s="27" t="str">
        <f aca="false">IF(G26&lt;0,"STOCKOUT",IF(TRIM(IF(H26&gt;0,"PO released ","")&amp;IF(D26&gt;0,"Delivery ","")&amp;IF(G26&lt;$B$7,"⚠ LOW &lt;1 wk",""))="","OK",TRIM(IF(H26&gt;0,"PO released ","")&amp;IF(D26&gt;0,"Delivery ","")&amp;IF(G26&lt;$B$7,"⚠ LOW &lt;1 wk",""))))</f>
        <v>OK</v>
      </c>
      <c r="L26" s="81" t="str">
        <f aca="false">IF(SUMPRODUCT(('PO Schedule'!$D$14:$D$22&lt;&gt;"")*('PO Schedule'!$D$14:$D$22&lt;=B26+6)*('PO Schedule'!$E$14:$E$22&gt;=B26))&gt;0,"▶ PO-"&amp;(SUMPRODUCT(('PO Schedule'!$D$14:$D$22&lt;&gt;"")*('PO Schedule'!$D$14:$D$22&lt;=B26+6)*('PO Schedule'!$E$14:$E$22&gt;=B26)*('PO Schedule'!$A$14:$A$22+1))-1)&amp;" cut at Trotter","")</f>
        <v/>
      </c>
    </row>
    <row r="27" customFormat="false" ht="15" hidden="false" customHeight="true" outlineLevel="0" collapsed="false">
      <c r="A27" s="26" t="n">
        <v>14</v>
      </c>
      <c r="B27" s="64" t="n">
        <f aca="false">$B$5+(A27-1)*7</f>
        <v>46384</v>
      </c>
      <c r="C27" s="22" t="n">
        <f aca="false">G26</f>
        <v>1219</v>
      </c>
      <c r="D27" s="22" t="n">
        <f aca="false">IF(A27&gt;$B$10, INDEX($H$14:$H$39, A27-$B$10), 0)+IF(A27=Inputs!$B$58,Inputs!$B$56,0)</f>
        <v>0</v>
      </c>
      <c r="E27" s="22" t="n">
        <f aca="false">C27+D27</f>
        <v>1219</v>
      </c>
      <c r="F27" s="22" t="n">
        <f aca="false">$B$7</f>
        <v>270</v>
      </c>
      <c r="G27" s="22" t="n">
        <f aca="false">E27-F27</f>
        <v>949</v>
      </c>
      <c r="H27" s="22" t="n">
        <f aca="false">IF(G27+(I26-D27)&lt;$B$8, $B$9, 0)</f>
        <v>1300</v>
      </c>
      <c r="I27" s="22" t="n">
        <f aca="false">I26-D27+H27</f>
        <v>1300</v>
      </c>
      <c r="J27" s="22" t="n">
        <f aca="false">G27+I27</f>
        <v>2249</v>
      </c>
      <c r="K27" s="27" t="str">
        <f aca="false">IF(G27&lt;0,"STOCKOUT",IF(TRIM(IF(H27&gt;0,"PO released ","")&amp;IF(D27&gt;0,"Delivery ","")&amp;IF(G27&lt;$B$7,"⚠ LOW &lt;1 wk",""))="","OK",TRIM(IF(H27&gt;0,"PO released ","")&amp;IF(D27&gt;0,"Delivery ","")&amp;IF(G27&lt;$B$7,"⚠ LOW &lt;1 wk",""))))</f>
        <v>PO released</v>
      </c>
      <c r="L27" s="81" t="str">
        <f aca="false">IF(SUMPRODUCT(('PO Schedule'!$D$14:$D$22&lt;&gt;"")*('PO Schedule'!$D$14:$D$22&lt;=B27+6)*('PO Schedule'!$E$14:$E$22&gt;=B27))&gt;0,"▶ PO-"&amp;(SUMPRODUCT(('PO Schedule'!$D$14:$D$22&lt;&gt;"")*('PO Schedule'!$D$14:$D$22&lt;=B27+6)*('PO Schedule'!$E$14:$E$22&gt;=B27)*('PO Schedule'!$A$14:$A$22+1))-1)&amp;" cut at Trotter","")</f>
        <v/>
      </c>
    </row>
    <row r="28" customFormat="false" ht="15" hidden="false" customHeight="true" outlineLevel="0" collapsed="false">
      <c r="A28" s="26" t="n">
        <v>15</v>
      </c>
      <c r="B28" s="64" t="n">
        <f aca="false">$B$5+(A28-1)*7</f>
        <v>46391</v>
      </c>
      <c r="C28" s="22" t="n">
        <f aca="false">G27</f>
        <v>949</v>
      </c>
      <c r="D28" s="22" t="n">
        <f aca="false">IF(A28&gt;$B$10, INDEX($H$14:$H$39, A28-$B$10), 0)+IF(A28=Inputs!$B$58,Inputs!$B$56,0)</f>
        <v>0</v>
      </c>
      <c r="E28" s="22" t="n">
        <f aca="false">C28+D28</f>
        <v>949</v>
      </c>
      <c r="F28" s="22" t="n">
        <f aca="false">$B$7</f>
        <v>270</v>
      </c>
      <c r="G28" s="22" t="n">
        <f aca="false">E28-F28</f>
        <v>679</v>
      </c>
      <c r="H28" s="22" t="n">
        <f aca="false">IF(G28+(I27-D28)&lt;$B$8, $B$9, 0)</f>
        <v>0</v>
      </c>
      <c r="I28" s="22" t="n">
        <f aca="false">I27-D28+H28</f>
        <v>1300</v>
      </c>
      <c r="J28" s="22" t="n">
        <f aca="false">G28+I28</f>
        <v>1979</v>
      </c>
      <c r="K28" s="27" t="str">
        <f aca="false">IF(G28&lt;0,"STOCKOUT",IF(TRIM(IF(H28&gt;0,"PO released ","")&amp;IF(D28&gt;0,"Delivery ","")&amp;IF(G28&lt;$B$7,"⚠ LOW &lt;1 wk",""))="","OK",TRIM(IF(H28&gt;0,"PO released ","")&amp;IF(D28&gt;0,"Delivery ","")&amp;IF(G28&lt;$B$7,"⚠ LOW &lt;1 wk",""))))</f>
        <v>OK</v>
      </c>
      <c r="L28" s="81" t="str">
        <f aca="false">IF(SUMPRODUCT(('PO Schedule'!$D$14:$D$22&lt;&gt;"")*('PO Schedule'!$D$14:$D$22&lt;=B28+6)*('PO Schedule'!$E$14:$E$22&gt;=B28))&gt;0,"▶ PO-"&amp;(SUMPRODUCT(('PO Schedule'!$D$14:$D$22&lt;&gt;"")*('PO Schedule'!$D$14:$D$22&lt;=B28+6)*('PO Schedule'!$E$14:$E$22&gt;=B28)*('PO Schedule'!$A$14:$A$22+1))-1)&amp;" cut at Trotter","")</f>
        <v/>
      </c>
    </row>
    <row r="29" customFormat="false" ht="15" hidden="false" customHeight="true" outlineLevel="0" collapsed="false">
      <c r="A29" s="26" t="n">
        <v>16</v>
      </c>
      <c r="B29" s="64" t="n">
        <f aca="false">$B$5+(A29-1)*7</f>
        <v>46398</v>
      </c>
      <c r="C29" s="22" t="n">
        <f aca="false">G28</f>
        <v>679</v>
      </c>
      <c r="D29" s="22" t="n">
        <f aca="false">IF(A29&gt;$B$10, INDEX($H$14:$H$39, A29-$B$10), 0)+IF(A29=Inputs!$B$58,Inputs!$B$56,0)</f>
        <v>0</v>
      </c>
      <c r="E29" s="22" t="n">
        <f aca="false">C29+D29</f>
        <v>679</v>
      </c>
      <c r="F29" s="22" t="n">
        <f aca="false">$B$7</f>
        <v>270</v>
      </c>
      <c r="G29" s="22" t="n">
        <f aca="false">E29-F29</f>
        <v>409</v>
      </c>
      <c r="H29" s="22" t="n">
        <f aca="false">IF(G29+(I28-D29)&lt;$B$8, $B$9, 0)</f>
        <v>0</v>
      </c>
      <c r="I29" s="22" t="n">
        <f aca="false">I28-D29+H29</f>
        <v>1300</v>
      </c>
      <c r="J29" s="22" t="n">
        <f aca="false">G29+I29</f>
        <v>1709</v>
      </c>
      <c r="K29" s="27" t="str">
        <f aca="false">IF(G29&lt;0,"STOCKOUT",IF(TRIM(IF(H29&gt;0,"PO released ","")&amp;IF(D29&gt;0,"Delivery ","")&amp;IF(G29&lt;$B$7,"⚠ LOW &lt;1 wk",""))="","OK",TRIM(IF(H29&gt;0,"PO released ","")&amp;IF(D29&gt;0,"Delivery ","")&amp;IF(G29&lt;$B$7,"⚠ LOW &lt;1 wk",""))))</f>
        <v>OK</v>
      </c>
      <c r="L29" s="81" t="str">
        <f aca="false">IF(SUMPRODUCT(('PO Schedule'!$D$14:$D$22&lt;&gt;"")*('PO Schedule'!$D$14:$D$22&lt;=B29+6)*('PO Schedule'!$E$14:$E$22&gt;=B29))&gt;0,"▶ PO-"&amp;(SUMPRODUCT(('PO Schedule'!$D$14:$D$22&lt;&gt;"")*('PO Schedule'!$D$14:$D$22&lt;=B29+6)*('PO Schedule'!$E$14:$E$22&gt;=B29)*('PO Schedule'!$A$14:$A$22+1))-1)&amp;" cut at Trotter","")</f>
        <v>▶ PO-3 cut at Trotter</v>
      </c>
    </row>
    <row r="30" customFormat="false" ht="15" hidden="false" customHeight="true" outlineLevel="0" collapsed="false">
      <c r="A30" s="26" t="n">
        <v>17</v>
      </c>
      <c r="B30" s="64" t="n">
        <f aca="false">$B$5+(A30-1)*7</f>
        <v>46405</v>
      </c>
      <c r="C30" s="22" t="n">
        <f aca="false">G29</f>
        <v>409</v>
      </c>
      <c r="D30" s="22" t="n">
        <f aca="false">IF(A30&gt;$B$10, INDEX($H$14:$H$39, A30-$B$10), 0)+IF(A30=Inputs!$B$58,Inputs!$B$56,0)</f>
        <v>1300</v>
      </c>
      <c r="E30" s="22" t="n">
        <f aca="false">C30+D30</f>
        <v>1709</v>
      </c>
      <c r="F30" s="22" t="n">
        <f aca="false">$B$7</f>
        <v>270</v>
      </c>
      <c r="G30" s="22" t="n">
        <f aca="false">E30-F30</f>
        <v>1439</v>
      </c>
      <c r="H30" s="22" t="n">
        <f aca="false">IF(G30+(I29-D30)&lt;$B$8, $B$9, 0)</f>
        <v>0</v>
      </c>
      <c r="I30" s="22" t="n">
        <f aca="false">I29-D30+H30</f>
        <v>0</v>
      </c>
      <c r="J30" s="22" t="n">
        <f aca="false">G30+I30</f>
        <v>1439</v>
      </c>
      <c r="K30" s="27" t="str">
        <f aca="false">IF(G30&lt;0,"STOCKOUT",IF(TRIM(IF(H30&gt;0,"PO released ","")&amp;IF(D30&gt;0,"Delivery ","")&amp;IF(G30&lt;$B$7,"⚠ LOW &lt;1 wk",""))="","OK",TRIM(IF(H30&gt;0,"PO released ","")&amp;IF(D30&gt;0,"Delivery ","")&amp;IF(G30&lt;$B$7,"⚠ LOW &lt;1 wk",""))))</f>
        <v>Delivery</v>
      </c>
      <c r="L30" s="81" t="str">
        <f aca="false">IF(SUMPRODUCT(('PO Schedule'!$D$14:$D$22&lt;&gt;"")*('PO Schedule'!$D$14:$D$22&lt;=B30+6)*('PO Schedule'!$E$14:$E$22&gt;=B30))&gt;0,"▶ PO-"&amp;(SUMPRODUCT(('PO Schedule'!$D$14:$D$22&lt;&gt;"")*('PO Schedule'!$D$14:$D$22&lt;=B30+6)*('PO Schedule'!$E$14:$E$22&gt;=B30)*('PO Schedule'!$A$14:$A$22+1))-1)&amp;" cut at Trotter","")</f>
        <v/>
      </c>
    </row>
    <row r="31" customFormat="false" ht="15" hidden="false" customHeight="true" outlineLevel="0" collapsed="false">
      <c r="A31" s="26" t="n">
        <v>18</v>
      </c>
      <c r="B31" s="64" t="n">
        <f aca="false">$B$5+(A31-1)*7</f>
        <v>46412</v>
      </c>
      <c r="C31" s="22" t="n">
        <f aca="false">G30</f>
        <v>1439</v>
      </c>
      <c r="D31" s="22" t="n">
        <f aca="false">IF(A31&gt;$B$10, INDEX($H$14:$H$39, A31-$B$10), 0)+IF(A31=Inputs!$B$58,Inputs!$B$56,0)</f>
        <v>0</v>
      </c>
      <c r="E31" s="22" t="n">
        <f aca="false">C31+D31</f>
        <v>1439</v>
      </c>
      <c r="F31" s="22" t="n">
        <f aca="false">$B$7</f>
        <v>270</v>
      </c>
      <c r="G31" s="22" t="n">
        <f aca="false">E31-F31</f>
        <v>1169</v>
      </c>
      <c r="H31" s="22" t="n">
        <f aca="false">IF(G31+(I30-D31)&lt;$B$8, $B$9, 0)</f>
        <v>0</v>
      </c>
      <c r="I31" s="22" t="n">
        <f aca="false">I30-D31+H31</f>
        <v>0</v>
      </c>
      <c r="J31" s="22" t="n">
        <f aca="false">G31+I31</f>
        <v>1169</v>
      </c>
      <c r="K31" s="27" t="str">
        <f aca="false">IF(G31&lt;0,"STOCKOUT",IF(TRIM(IF(H31&gt;0,"PO released ","")&amp;IF(D31&gt;0,"Delivery ","")&amp;IF(G31&lt;$B$7,"⚠ LOW &lt;1 wk",""))="","OK",TRIM(IF(H31&gt;0,"PO released ","")&amp;IF(D31&gt;0,"Delivery ","")&amp;IF(G31&lt;$B$7,"⚠ LOW &lt;1 wk",""))))</f>
        <v>OK</v>
      </c>
      <c r="L31" s="81" t="str">
        <f aca="false">IF(SUMPRODUCT(('PO Schedule'!$D$14:$D$22&lt;&gt;"")*('PO Schedule'!$D$14:$D$22&lt;=B31+6)*('PO Schedule'!$E$14:$E$22&gt;=B31))&gt;0,"▶ PO-"&amp;(SUMPRODUCT(('PO Schedule'!$D$14:$D$22&lt;&gt;"")*('PO Schedule'!$D$14:$D$22&lt;=B31+6)*('PO Schedule'!$E$14:$E$22&gt;=B31)*('PO Schedule'!$A$14:$A$22+1))-1)&amp;" cut at Trotter","")</f>
        <v/>
      </c>
    </row>
    <row r="32" customFormat="false" ht="15" hidden="false" customHeight="true" outlineLevel="0" collapsed="false">
      <c r="A32" s="26" t="n">
        <v>19</v>
      </c>
      <c r="B32" s="64" t="n">
        <f aca="false">$B$5+(A32-1)*7</f>
        <v>46419</v>
      </c>
      <c r="C32" s="22" t="n">
        <f aca="false">G31</f>
        <v>1169</v>
      </c>
      <c r="D32" s="22" t="n">
        <f aca="false">IF(A32&gt;$B$10, INDEX($H$14:$H$39, A32-$B$10), 0)+IF(A32=Inputs!$B$58,Inputs!$B$56,0)</f>
        <v>0</v>
      </c>
      <c r="E32" s="22" t="n">
        <f aca="false">C32+D32</f>
        <v>1169</v>
      </c>
      <c r="F32" s="22" t="n">
        <f aca="false">$B$7</f>
        <v>270</v>
      </c>
      <c r="G32" s="22" t="n">
        <f aca="false">E32-F32</f>
        <v>899</v>
      </c>
      <c r="H32" s="22" t="n">
        <f aca="false">IF(G32+(I31-D32)&lt;$B$8, $B$9, 0)</f>
        <v>1300</v>
      </c>
      <c r="I32" s="22" t="n">
        <f aca="false">I31-D32+H32</f>
        <v>1300</v>
      </c>
      <c r="J32" s="22" t="n">
        <f aca="false">G32+I32</f>
        <v>2199</v>
      </c>
      <c r="K32" s="27" t="str">
        <f aca="false">IF(G32&lt;0,"STOCKOUT",IF(TRIM(IF(H32&gt;0,"PO released ","")&amp;IF(D32&gt;0,"Delivery ","")&amp;IF(G32&lt;$B$7,"⚠ LOW &lt;1 wk",""))="","OK",TRIM(IF(H32&gt;0,"PO released ","")&amp;IF(D32&gt;0,"Delivery ","")&amp;IF(G32&lt;$B$7,"⚠ LOW &lt;1 wk",""))))</f>
        <v>PO released</v>
      </c>
      <c r="L32" s="81" t="str">
        <f aca="false">IF(SUMPRODUCT(('PO Schedule'!$D$14:$D$22&lt;&gt;"")*('PO Schedule'!$D$14:$D$22&lt;=B32+6)*('PO Schedule'!$E$14:$E$22&gt;=B32))&gt;0,"▶ PO-"&amp;(SUMPRODUCT(('PO Schedule'!$D$14:$D$22&lt;&gt;"")*('PO Schedule'!$D$14:$D$22&lt;=B32+6)*('PO Schedule'!$E$14:$E$22&gt;=B32)*('PO Schedule'!$A$14:$A$22+1))-1)&amp;" cut at Trotter","")</f>
        <v/>
      </c>
    </row>
    <row r="33" customFormat="false" ht="15" hidden="false" customHeight="true" outlineLevel="0" collapsed="false">
      <c r="A33" s="26" t="n">
        <v>20</v>
      </c>
      <c r="B33" s="64" t="n">
        <f aca="false">$B$5+(A33-1)*7</f>
        <v>46426</v>
      </c>
      <c r="C33" s="22" t="n">
        <f aca="false">G32</f>
        <v>899</v>
      </c>
      <c r="D33" s="22" t="n">
        <f aca="false">IF(A33&gt;$B$10, INDEX($H$14:$H$39, A33-$B$10), 0)+IF(A33=Inputs!$B$58,Inputs!$B$56,0)</f>
        <v>0</v>
      </c>
      <c r="E33" s="22" t="n">
        <f aca="false">C33+D33</f>
        <v>899</v>
      </c>
      <c r="F33" s="22" t="n">
        <f aca="false">$B$7</f>
        <v>270</v>
      </c>
      <c r="G33" s="22" t="n">
        <f aca="false">E33-F33</f>
        <v>629</v>
      </c>
      <c r="H33" s="22" t="n">
        <f aca="false">IF(G33+(I32-D33)&lt;$B$8, $B$9, 0)</f>
        <v>0</v>
      </c>
      <c r="I33" s="22" t="n">
        <f aca="false">I32-D33+H33</f>
        <v>1300</v>
      </c>
      <c r="J33" s="22" t="n">
        <f aca="false">G33+I33</f>
        <v>1929</v>
      </c>
      <c r="K33" s="27" t="str">
        <f aca="false">IF(G33&lt;0,"STOCKOUT",IF(TRIM(IF(H33&gt;0,"PO released ","")&amp;IF(D33&gt;0,"Delivery ","")&amp;IF(G33&lt;$B$7,"⚠ LOW &lt;1 wk",""))="","OK",TRIM(IF(H33&gt;0,"PO released ","")&amp;IF(D33&gt;0,"Delivery ","")&amp;IF(G33&lt;$B$7,"⚠ LOW &lt;1 wk",""))))</f>
        <v>OK</v>
      </c>
      <c r="L33" s="81" t="str">
        <f aca="false">IF(SUMPRODUCT(('PO Schedule'!$D$14:$D$22&lt;&gt;"")*('PO Schedule'!$D$14:$D$22&lt;=B33+6)*('PO Schedule'!$E$14:$E$22&gt;=B33))&gt;0,"▶ PO-"&amp;(SUMPRODUCT(('PO Schedule'!$D$14:$D$22&lt;&gt;"")*('PO Schedule'!$D$14:$D$22&lt;=B33+6)*('PO Schedule'!$E$14:$E$22&gt;=B33)*('PO Schedule'!$A$14:$A$22+1))-1)&amp;" cut at Trotter","")</f>
        <v/>
      </c>
    </row>
    <row r="34" customFormat="false" ht="15" hidden="false" customHeight="true" outlineLevel="0" collapsed="false">
      <c r="A34" s="26" t="n">
        <v>21</v>
      </c>
      <c r="B34" s="64" t="n">
        <f aca="false">$B$5+(A34-1)*7</f>
        <v>46433</v>
      </c>
      <c r="C34" s="22" t="n">
        <f aca="false">G33</f>
        <v>629</v>
      </c>
      <c r="D34" s="22" t="n">
        <f aca="false">IF(A34&gt;$B$10, INDEX($H$14:$H$39, A34-$B$10), 0)+IF(A34=Inputs!$B$58,Inputs!$B$56,0)</f>
        <v>0</v>
      </c>
      <c r="E34" s="22" t="n">
        <f aca="false">C34+D34</f>
        <v>629</v>
      </c>
      <c r="F34" s="22" t="n">
        <f aca="false">$B$7</f>
        <v>270</v>
      </c>
      <c r="G34" s="22" t="n">
        <f aca="false">E34-F34</f>
        <v>359</v>
      </c>
      <c r="H34" s="22" t="n">
        <f aca="false">IF(G34+(I33-D34)&lt;$B$8, $B$9, 0)</f>
        <v>0</v>
      </c>
      <c r="I34" s="22" t="n">
        <f aca="false">I33-D34+H34</f>
        <v>1300</v>
      </c>
      <c r="J34" s="22" t="n">
        <f aca="false">G34+I34</f>
        <v>1659</v>
      </c>
      <c r="K34" s="27" t="str">
        <f aca="false">IF(G34&lt;0,"STOCKOUT",IF(TRIM(IF(H34&gt;0,"PO released ","")&amp;IF(D34&gt;0,"Delivery ","")&amp;IF(G34&lt;$B$7,"⚠ LOW &lt;1 wk",""))="","OK",TRIM(IF(H34&gt;0,"PO released ","")&amp;IF(D34&gt;0,"Delivery ","")&amp;IF(G34&lt;$B$7,"⚠ LOW &lt;1 wk",""))))</f>
        <v>OK</v>
      </c>
      <c r="L34" s="81" t="str">
        <f aca="false">IF(SUMPRODUCT(('PO Schedule'!$D$14:$D$22&lt;&gt;"")*('PO Schedule'!$D$14:$D$22&lt;=B34+6)*('PO Schedule'!$E$14:$E$22&gt;=B34))&gt;0,"▶ PO-"&amp;(SUMPRODUCT(('PO Schedule'!$D$14:$D$22&lt;&gt;"")*('PO Schedule'!$D$14:$D$22&lt;=B34+6)*('PO Schedule'!$E$14:$E$22&gt;=B34)*('PO Schedule'!$A$14:$A$22+1))-1)&amp;" cut at Trotter","")</f>
        <v>▶ PO-4 cut at Trotter</v>
      </c>
    </row>
    <row r="35" customFormat="false" ht="15" hidden="false" customHeight="true" outlineLevel="0" collapsed="false">
      <c r="A35" s="26" t="n">
        <v>22</v>
      </c>
      <c r="B35" s="64" t="n">
        <f aca="false">$B$5+(A35-1)*7</f>
        <v>46440</v>
      </c>
      <c r="C35" s="22" t="n">
        <f aca="false">G34</f>
        <v>359</v>
      </c>
      <c r="D35" s="22" t="n">
        <f aca="false">IF(A35&gt;$B$10, INDEX($H$14:$H$39, A35-$B$10), 0)+IF(A35=Inputs!$B$58,Inputs!$B$56,0)</f>
        <v>1300</v>
      </c>
      <c r="E35" s="22" t="n">
        <f aca="false">C35+D35</f>
        <v>1659</v>
      </c>
      <c r="F35" s="22" t="n">
        <f aca="false">$B$7</f>
        <v>270</v>
      </c>
      <c r="G35" s="22" t="n">
        <f aca="false">E35-F35</f>
        <v>1389</v>
      </c>
      <c r="H35" s="22" t="n">
        <f aca="false">IF(G35+(I34-D35)&lt;$B$8, $B$9, 0)</f>
        <v>0</v>
      </c>
      <c r="I35" s="22" t="n">
        <f aca="false">I34-D35+H35</f>
        <v>0</v>
      </c>
      <c r="J35" s="22" t="n">
        <f aca="false">G35+I35</f>
        <v>1389</v>
      </c>
      <c r="K35" s="27" t="str">
        <f aca="false">IF(G35&lt;0,"STOCKOUT",IF(TRIM(IF(H35&gt;0,"PO released ","")&amp;IF(D35&gt;0,"Delivery ","")&amp;IF(G35&lt;$B$7,"⚠ LOW &lt;1 wk",""))="","OK",TRIM(IF(H35&gt;0,"PO released ","")&amp;IF(D35&gt;0,"Delivery ","")&amp;IF(G35&lt;$B$7,"⚠ LOW &lt;1 wk",""))))</f>
        <v>Delivery</v>
      </c>
      <c r="L35" s="81" t="str">
        <f aca="false">IF(SUMPRODUCT(('PO Schedule'!$D$14:$D$22&lt;&gt;"")*('PO Schedule'!$D$14:$D$22&lt;=B35+6)*('PO Schedule'!$E$14:$E$22&gt;=B35))&gt;0,"▶ PO-"&amp;(SUMPRODUCT(('PO Schedule'!$D$14:$D$22&lt;&gt;"")*('PO Schedule'!$D$14:$D$22&lt;=B35+6)*('PO Schedule'!$E$14:$E$22&gt;=B35)*('PO Schedule'!$A$14:$A$22+1))-1)&amp;" cut at Trotter","")</f>
        <v/>
      </c>
    </row>
    <row r="36" customFormat="false" ht="15" hidden="false" customHeight="true" outlineLevel="0" collapsed="false">
      <c r="A36" s="26" t="n">
        <v>23</v>
      </c>
      <c r="B36" s="64" t="n">
        <f aca="false">$B$5+(A36-1)*7</f>
        <v>46447</v>
      </c>
      <c r="C36" s="22" t="n">
        <f aca="false">G35</f>
        <v>1389</v>
      </c>
      <c r="D36" s="22" t="n">
        <f aca="false">IF(A36&gt;$B$10, INDEX($H$14:$H$39, A36-$B$10), 0)+IF(A36=Inputs!$B$58,Inputs!$B$56,0)</f>
        <v>0</v>
      </c>
      <c r="E36" s="22" t="n">
        <f aca="false">C36+D36</f>
        <v>1389</v>
      </c>
      <c r="F36" s="22" t="n">
        <f aca="false">$B$7</f>
        <v>270</v>
      </c>
      <c r="G36" s="22" t="n">
        <f aca="false">E36-F36</f>
        <v>1119</v>
      </c>
      <c r="H36" s="22" t="n">
        <f aca="false">IF(G36+(I35-D36)&lt;$B$8, $B$9, 0)</f>
        <v>0</v>
      </c>
      <c r="I36" s="22" t="n">
        <f aca="false">I35-D36+H36</f>
        <v>0</v>
      </c>
      <c r="J36" s="22" t="n">
        <f aca="false">G36+I36</f>
        <v>1119</v>
      </c>
      <c r="K36" s="27" t="str">
        <f aca="false">IF(G36&lt;0,"STOCKOUT",IF(TRIM(IF(H36&gt;0,"PO released ","")&amp;IF(D36&gt;0,"Delivery ","")&amp;IF(G36&lt;$B$7,"⚠ LOW &lt;1 wk",""))="","OK",TRIM(IF(H36&gt;0,"PO released ","")&amp;IF(D36&gt;0,"Delivery ","")&amp;IF(G36&lt;$B$7,"⚠ LOW &lt;1 wk",""))))</f>
        <v>OK</v>
      </c>
      <c r="L36" s="81" t="str">
        <f aca="false">IF(SUMPRODUCT(('PO Schedule'!$D$14:$D$22&lt;&gt;"")*('PO Schedule'!$D$14:$D$22&lt;=B36+6)*('PO Schedule'!$E$14:$E$22&gt;=B36))&gt;0,"▶ PO-"&amp;(SUMPRODUCT(('PO Schedule'!$D$14:$D$22&lt;&gt;"")*('PO Schedule'!$D$14:$D$22&lt;=B36+6)*('PO Schedule'!$E$14:$E$22&gt;=B36)*('PO Schedule'!$A$14:$A$22+1))-1)&amp;" cut at Trotter","")</f>
        <v/>
      </c>
    </row>
    <row r="37" customFormat="false" ht="15" hidden="false" customHeight="true" outlineLevel="0" collapsed="false">
      <c r="A37" s="26" t="n">
        <v>24</v>
      </c>
      <c r="B37" s="64" t="n">
        <f aca="false">$B$5+(A37-1)*7</f>
        <v>46454</v>
      </c>
      <c r="C37" s="22" t="n">
        <f aca="false">G36</f>
        <v>1119</v>
      </c>
      <c r="D37" s="22" t="n">
        <f aca="false">IF(A37&gt;$B$10, INDEX($H$14:$H$39, A37-$B$10), 0)+IF(A37=Inputs!$B$58,Inputs!$B$56,0)</f>
        <v>0</v>
      </c>
      <c r="E37" s="22" t="n">
        <f aca="false">C37+D37</f>
        <v>1119</v>
      </c>
      <c r="F37" s="22" t="n">
        <f aca="false">$B$7</f>
        <v>270</v>
      </c>
      <c r="G37" s="22" t="n">
        <f aca="false">E37-F37</f>
        <v>849</v>
      </c>
      <c r="H37" s="22" t="n">
        <f aca="false">IF(G37+(I36-D37)&lt;$B$8, $B$9, 0)</f>
        <v>1300</v>
      </c>
      <c r="I37" s="22" t="n">
        <f aca="false">I36-D37+H37</f>
        <v>1300</v>
      </c>
      <c r="J37" s="22" t="n">
        <f aca="false">G37+I37</f>
        <v>2149</v>
      </c>
      <c r="K37" s="27" t="str">
        <f aca="false">IF(G37&lt;0,"STOCKOUT",IF(TRIM(IF(H37&gt;0,"PO released ","")&amp;IF(D37&gt;0,"Delivery ","")&amp;IF(G37&lt;$B$7,"⚠ LOW &lt;1 wk",""))="","OK",TRIM(IF(H37&gt;0,"PO released ","")&amp;IF(D37&gt;0,"Delivery ","")&amp;IF(G37&lt;$B$7,"⚠ LOW &lt;1 wk",""))))</f>
        <v>PO released</v>
      </c>
      <c r="L37" s="81" t="str">
        <f aca="false">IF(SUMPRODUCT(('PO Schedule'!$D$14:$D$22&lt;&gt;"")*('PO Schedule'!$D$14:$D$22&lt;=B37+6)*('PO Schedule'!$E$14:$E$22&gt;=B37))&gt;0,"▶ PO-"&amp;(SUMPRODUCT(('PO Schedule'!$D$14:$D$22&lt;&gt;"")*('PO Schedule'!$D$14:$D$22&lt;=B37+6)*('PO Schedule'!$E$14:$E$22&gt;=B37)*('PO Schedule'!$A$14:$A$22+1))-1)&amp;" cut at Trotter","")</f>
        <v/>
      </c>
    </row>
    <row r="38" customFormat="false" ht="15" hidden="false" customHeight="true" outlineLevel="0" collapsed="false">
      <c r="A38" s="26" t="n">
        <v>25</v>
      </c>
      <c r="B38" s="64" t="n">
        <f aca="false">$B$5+(A38-1)*7</f>
        <v>46461</v>
      </c>
      <c r="C38" s="22" t="n">
        <f aca="false">G37</f>
        <v>849</v>
      </c>
      <c r="D38" s="22" t="n">
        <f aca="false">IF(A38&gt;$B$10, INDEX($H$14:$H$39, A38-$B$10), 0)+IF(A38=Inputs!$B$58,Inputs!$B$56,0)</f>
        <v>0</v>
      </c>
      <c r="E38" s="22" t="n">
        <f aca="false">C38+D38</f>
        <v>849</v>
      </c>
      <c r="F38" s="22" t="n">
        <f aca="false">$B$7</f>
        <v>270</v>
      </c>
      <c r="G38" s="22" t="n">
        <f aca="false">E38-F38</f>
        <v>579</v>
      </c>
      <c r="H38" s="22" t="n">
        <f aca="false">IF(G38+(I37-D38)&lt;$B$8, $B$9, 0)</f>
        <v>0</v>
      </c>
      <c r="I38" s="22" t="n">
        <f aca="false">I37-D38+H38</f>
        <v>1300</v>
      </c>
      <c r="J38" s="22" t="n">
        <f aca="false">G38+I38</f>
        <v>1879</v>
      </c>
      <c r="K38" s="27" t="str">
        <f aca="false">IF(G38&lt;0,"STOCKOUT",IF(TRIM(IF(H38&gt;0,"PO released ","")&amp;IF(D38&gt;0,"Delivery ","")&amp;IF(G38&lt;$B$7,"⚠ LOW &lt;1 wk",""))="","OK",TRIM(IF(H38&gt;0,"PO released ","")&amp;IF(D38&gt;0,"Delivery ","")&amp;IF(G38&lt;$B$7,"⚠ LOW &lt;1 wk",""))))</f>
        <v>OK</v>
      </c>
      <c r="L38" s="81" t="str">
        <f aca="false">IF(SUMPRODUCT(('PO Schedule'!$D$14:$D$22&lt;&gt;"")*('PO Schedule'!$D$14:$D$22&lt;=B38+6)*('PO Schedule'!$E$14:$E$22&gt;=B38))&gt;0,"▶ PO-"&amp;(SUMPRODUCT(('PO Schedule'!$D$14:$D$22&lt;&gt;"")*('PO Schedule'!$D$14:$D$22&lt;=B38+6)*('PO Schedule'!$E$14:$E$22&gt;=B38)*('PO Schedule'!$A$14:$A$22+1))-1)&amp;" cut at Trotter","")</f>
        <v/>
      </c>
    </row>
    <row r="39" customFormat="false" ht="15" hidden="false" customHeight="true" outlineLevel="0" collapsed="false">
      <c r="A39" s="26" t="n">
        <v>26</v>
      </c>
      <c r="B39" s="64" t="n">
        <f aca="false">$B$5+(A39-1)*7</f>
        <v>46468</v>
      </c>
      <c r="C39" s="22" t="n">
        <f aca="false">G38</f>
        <v>579</v>
      </c>
      <c r="D39" s="22" t="n">
        <f aca="false">IF(A39&gt;$B$10, INDEX($H$14:$H$39, A39-$B$10), 0)+IF(A39=Inputs!$B$58,Inputs!$B$56,0)</f>
        <v>0</v>
      </c>
      <c r="E39" s="22" t="n">
        <f aca="false">C39+D39</f>
        <v>579</v>
      </c>
      <c r="F39" s="22" t="n">
        <f aca="false">$B$7</f>
        <v>270</v>
      </c>
      <c r="G39" s="22" t="n">
        <f aca="false">E39-F39</f>
        <v>309</v>
      </c>
      <c r="H39" s="22" t="n">
        <f aca="false">IF(G39+(I38-D39)&lt;$B$8, $B$9, 0)</f>
        <v>0</v>
      </c>
      <c r="I39" s="22" t="n">
        <f aca="false">I38-D39+H39</f>
        <v>1300</v>
      </c>
      <c r="J39" s="22" t="n">
        <f aca="false">G39+I39</f>
        <v>1609</v>
      </c>
      <c r="K39" s="27" t="str">
        <f aca="false">IF(G39&lt;0,"STOCKOUT",IF(TRIM(IF(H39&gt;0,"PO released ","")&amp;IF(D39&gt;0,"Delivery ","")&amp;IF(G39&lt;$B$7,"⚠ LOW &lt;1 wk",""))="","OK",TRIM(IF(H39&gt;0,"PO released ","")&amp;IF(D39&gt;0,"Delivery ","")&amp;IF(G39&lt;$B$7,"⚠ LOW &lt;1 wk",""))))</f>
        <v>OK</v>
      </c>
      <c r="L39" s="81" t="str">
        <f aca="false">IF(SUMPRODUCT(('PO Schedule'!$D$14:$D$22&lt;&gt;"")*('PO Schedule'!$D$14:$D$22&lt;=B39+6)*('PO Schedule'!$E$14:$E$22&gt;=B39))&gt;0,"▶ PO-"&amp;(SUMPRODUCT(('PO Schedule'!$D$14:$D$22&lt;&gt;"")*('PO Schedule'!$D$14:$D$22&lt;=B39+6)*('PO Schedule'!$E$14:$E$22&gt;=B39)*('PO Schedule'!$A$14:$A$22+1))-1)&amp;" cut at Trotter","")</f>
        <v>▶ PO-5 cut at Trotter</v>
      </c>
    </row>
    <row r="41" customFormat="false" ht="15" hidden="false" customHeight="true" outlineLevel="0" collapsed="false">
      <c r="A41" s="4" t="s">
        <v>351</v>
      </c>
      <c r="B41" s="5"/>
      <c r="C41" s="5"/>
      <c r="D41" s="5"/>
      <c r="E41" s="5"/>
    </row>
    <row r="42" customFormat="false" ht="15" hidden="false" customHeight="true" outlineLevel="0" collapsed="false">
      <c r="A42" s="48" t="s">
        <v>352</v>
      </c>
      <c r="B42" s="50" t="n">
        <f aca="false">COUNTIF(H14:H39,"&gt;0")</f>
        <v>5</v>
      </c>
      <c r="D42" s="27" t="s">
        <v>353</v>
      </c>
    </row>
    <row r="43" customFormat="false" ht="15" hidden="false" customHeight="true" outlineLevel="0" collapsed="false">
      <c r="A43" s="6" t="s">
        <v>354</v>
      </c>
      <c r="B43" s="22" t="n">
        <f aca="false">SUM(H14:H39)</f>
        <v>6500</v>
      </c>
    </row>
    <row r="44" customFormat="false" ht="15" hidden="false" customHeight="true" outlineLevel="0" collapsed="false">
      <c r="A44" s="6" t="s">
        <v>355</v>
      </c>
      <c r="B44" s="22" t="n">
        <f aca="false">SUM(D14:D39)</f>
        <v>6500</v>
      </c>
    </row>
    <row r="45" customFormat="false" ht="15" hidden="false" customHeight="true" outlineLevel="0" collapsed="false">
      <c r="A45" s="6" t="s">
        <v>356</v>
      </c>
      <c r="B45" s="22" t="n">
        <f aca="false">SUM(F14:F39)</f>
        <v>7020</v>
      </c>
    </row>
    <row r="46" customFormat="false" ht="15" hidden="false" customHeight="true" outlineLevel="0" collapsed="false">
      <c r="A46" s="6" t="s">
        <v>357</v>
      </c>
      <c r="B46" s="22" t="n">
        <f aca="false">G39</f>
        <v>309</v>
      </c>
    </row>
    <row r="47" customFormat="false" ht="15" hidden="false" customHeight="true" outlineLevel="0" collapsed="false">
      <c r="A47" s="6" t="s">
        <v>358</v>
      </c>
      <c r="B47" s="22" t="n">
        <f aca="false">MIN(G14:G39)</f>
        <v>19</v>
      </c>
    </row>
    <row r="48" customFormat="false" ht="15" hidden="false" customHeight="true" outlineLevel="0" collapsed="false">
      <c r="A48" s="6" t="s">
        <v>359</v>
      </c>
      <c r="B48" s="26" t="n">
        <f aca="false">COUNTIF(K14:K39,"STOCKOUT")</f>
        <v>0</v>
      </c>
    </row>
    <row r="49" customFormat="false" ht="15" hidden="false" customHeight="true" outlineLevel="0" collapsed="false">
      <c r="A49" s="6" t="s">
        <v>360</v>
      </c>
      <c r="B49" s="16" t="n">
        <f aca="false">B43*Inputs!B20</f>
        <v>2665</v>
      </c>
    </row>
    <row r="51" customFormat="false" ht="15" hidden="false" customHeight="true" outlineLevel="0" collapsed="false">
      <c r="A51" s="4" t="s">
        <v>361</v>
      </c>
      <c r="B51" s="5"/>
      <c r="C51" s="5"/>
      <c r="D51" s="5"/>
      <c r="E51" s="5"/>
    </row>
    <row r="52" customFormat="false" ht="23.25" hidden="false" customHeight="true" outlineLevel="0" collapsed="false">
      <c r="A52" s="74" t="s">
        <v>362</v>
      </c>
      <c r="B52" s="74" t="s">
        <v>363</v>
      </c>
      <c r="C52" s="74" t="s">
        <v>364</v>
      </c>
      <c r="D52" s="74" t="s">
        <v>365</v>
      </c>
      <c r="E52" s="74" t="s">
        <v>366</v>
      </c>
    </row>
    <row r="53" customFormat="false" ht="15" hidden="false" customHeight="true" outlineLevel="0" collapsed="false">
      <c r="A53" s="82" t="n">
        <v>46266</v>
      </c>
      <c r="B53" s="26" t="n">
        <f aca="false">SUMPRODUCT(($B$14:$B$39&gt;=$A53)*($B$14:$B$39&lt;=EOMONTH($A53,0))*1)</f>
        <v>1</v>
      </c>
      <c r="C53" s="22" t="n">
        <f aca="false">SUMPRODUCT(($B$14:$B$39&gt;=$A53)*($B$14:$B$39&lt;=EOMONTH($A53,0))*$F$14:$F$39)</f>
        <v>270</v>
      </c>
      <c r="D53" s="26" t="n">
        <f aca="false">SUMPRODUCT(($B$14:$B$39&gt;=$A53)*($B$14:$B$39&lt;=EOMONTH($A53,0))*($H$14:$H$39&gt;0)*1)</f>
        <v>0</v>
      </c>
      <c r="E53" s="22" t="n">
        <f aca="false">SUMPRODUCT(($B$14:$B$39&gt;=$A53)*($B$14:$B$39&lt;=EOMONTH($A53,0))*$D$14:$D$39)</f>
        <v>0</v>
      </c>
    </row>
    <row r="54" customFormat="false" ht="15" hidden="false" customHeight="true" outlineLevel="0" collapsed="false">
      <c r="A54" s="82" t="n">
        <v>46296</v>
      </c>
      <c r="B54" s="26" t="n">
        <f aca="false">SUMPRODUCT(($B$14:$B$39&gt;=$A54)*($B$14:$B$39&lt;=EOMONTH($A54,0))*1)</f>
        <v>4</v>
      </c>
      <c r="C54" s="22" t="n">
        <f aca="false">SUMPRODUCT(($B$14:$B$39&gt;=$A54)*($B$14:$B$39&lt;=EOMONTH($A54,0))*$F$14:$F$39)</f>
        <v>1080</v>
      </c>
      <c r="D54" s="26" t="n">
        <f aca="false">SUMPRODUCT(($B$14:$B$39&gt;=$A54)*($B$14:$B$39&lt;=EOMONTH($A54,0))*($H$14:$H$39&gt;0)*1)</f>
        <v>1</v>
      </c>
      <c r="E54" s="22" t="n">
        <f aca="false">SUMPRODUCT(($B$14:$B$39&gt;=$A54)*($B$14:$B$39&lt;=EOMONTH($A54,0))*$D$14:$D$39)</f>
        <v>1300</v>
      </c>
    </row>
    <row r="55" customFormat="false" ht="15" hidden="false" customHeight="true" outlineLevel="0" collapsed="false">
      <c r="A55" s="82" t="n">
        <v>46327</v>
      </c>
      <c r="B55" s="26" t="n">
        <f aca="false">SUMPRODUCT(($B$14:$B$39&gt;=$A55)*($B$14:$B$39&lt;=EOMONTH($A55,0))*1)</f>
        <v>5</v>
      </c>
      <c r="C55" s="22" t="n">
        <f aca="false">SUMPRODUCT(($B$14:$B$39&gt;=$A55)*($B$14:$B$39&lt;=EOMONTH($A55,0))*$F$14:$F$39)</f>
        <v>1350</v>
      </c>
      <c r="D55" s="26" t="n">
        <f aca="false">SUMPRODUCT(($B$14:$B$39&gt;=$A55)*($B$14:$B$39&lt;=EOMONTH($A55,0))*($H$14:$H$39&gt;0)*1)</f>
        <v>1</v>
      </c>
      <c r="E55" s="22" t="n">
        <f aca="false">SUMPRODUCT(($B$14:$B$39&gt;=$A55)*($B$14:$B$39&lt;=EOMONTH($A55,0))*$D$14:$D$39)</f>
        <v>1300</v>
      </c>
    </row>
    <row r="56" customFormat="false" ht="15" hidden="false" customHeight="true" outlineLevel="0" collapsed="false">
      <c r="A56" s="82" t="n">
        <v>46357</v>
      </c>
      <c r="B56" s="26" t="n">
        <f aca="false">SUMPRODUCT(($B$14:$B$39&gt;=$A56)*($B$14:$B$39&lt;=EOMONTH($A56,0))*1)</f>
        <v>4</v>
      </c>
      <c r="C56" s="22" t="n">
        <f aca="false">SUMPRODUCT(($B$14:$B$39&gt;=$A56)*($B$14:$B$39&lt;=EOMONTH($A56,0))*$F$14:$F$39)</f>
        <v>1080</v>
      </c>
      <c r="D56" s="26" t="n">
        <f aca="false">SUMPRODUCT(($B$14:$B$39&gt;=$A56)*($B$14:$B$39&lt;=EOMONTH($A56,0))*($H$14:$H$39&gt;0)*1)</f>
        <v>1</v>
      </c>
      <c r="E56" s="22" t="n">
        <f aca="false">SUMPRODUCT(($B$14:$B$39&gt;=$A56)*($B$14:$B$39&lt;=EOMONTH($A56,0))*$D$14:$D$39)</f>
        <v>1300</v>
      </c>
    </row>
    <row r="57" customFormat="false" ht="15" hidden="false" customHeight="true" outlineLevel="0" collapsed="false">
      <c r="A57" s="82" t="n">
        <v>46388</v>
      </c>
      <c r="B57" s="26" t="n">
        <f aca="false">SUMPRODUCT(($B$14:$B$39&gt;=$A57)*($B$14:$B$39&lt;=EOMONTH($A57,0))*1)</f>
        <v>4</v>
      </c>
      <c r="C57" s="22" t="n">
        <f aca="false">SUMPRODUCT(($B$14:$B$39&gt;=$A57)*($B$14:$B$39&lt;=EOMONTH($A57,0))*$F$14:$F$39)</f>
        <v>1080</v>
      </c>
      <c r="D57" s="26" t="n">
        <f aca="false">SUMPRODUCT(($B$14:$B$39&gt;=$A57)*($B$14:$B$39&lt;=EOMONTH($A57,0))*($H$14:$H$39&gt;0)*1)</f>
        <v>0</v>
      </c>
      <c r="E57" s="22" t="n">
        <f aca="false">SUMPRODUCT(($B$14:$B$39&gt;=$A57)*($B$14:$B$39&lt;=EOMONTH($A57,0))*$D$14:$D$39)</f>
        <v>1300</v>
      </c>
    </row>
    <row r="58" customFormat="false" ht="15" hidden="false" customHeight="true" outlineLevel="0" collapsed="false">
      <c r="A58" s="82" t="n">
        <v>46419</v>
      </c>
      <c r="B58" s="26" t="n">
        <f aca="false">SUMPRODUCT(($B$14:$B$39&gt;=$A58)*($B$14:$B$39&lt;=EOMONTH($A58,0))*1)</f>
        <v>4</v>
      </c>
      <c r="C58" s="22" t="n">
        <f aca="false">SUMPRODUCT(($B$14:$B$39&gt;=$A58)*($B$14:$B$39&lt;=EOMONTH($A58,0))*$F$14:$F$39)</f>
        <v>1080</v>
      </c>
      <c r="D58" s="26" t="n">
        <f aca="false">SUMPRODUCT(($B$14:$B$39&gt;=$A58)*($B$14:$B$39&lt;=EOMONTH($A58,0))*($H$14:$H$39&gt;0)*1)</f>
        <v>1</v>
      </c>
      <c r="E58" s="22" t="n">
        <f aca="false">SUMPRODUCT(($B$14:$B$39&gt;=$A58)*($B$14:$B$39&lt;=EOMONTH($A58,0))*$D$14:$D$39)</f>
        <v>1300</v>
      </c>
    </row>
    <row r="59" customFormat="false" ht="15" hidden="false" customHeight="true" outlineLevel="0" collapsed="false">
      <c r="A59" s="82" t="n">
        <v>46447</v>
      </c>
      <c r="B59" s="26" t="n">
        <f aca="false">SUMPRODUCT(($B$14:$B$39&gt;=$A59)*($B$14:$B$39&lt;=EOMONTH($A59,0))*1)</f>
        <v>4</v>
      </c>
      <c r="C59" s="22" t="n">
        <f aca="false">SUMPRODUCT(($B$14:$B$39&gt;=$A59)*($B$14:$B$39&lt;=EOMONTH($A59,0))*$F$14:$F$39)</f>
        <v>1080</v>
      </c>
      <c r="D59" s="26" t="n">
        <f aca="false">SUMPRODUCT(($B$14:$B$39&gt;=$A59)*($B$14:$B$39&lt;=EOMONTH($A59,0))*($H$14:$H$39&gt;0)*1)</f>
        <v>1</v>
      </c>
      <c r="E59" s="22" t="n">
        <f aca="false">SUMPRODUCT(($B$14:$B$39&gt;=$A59)*($B$14:$B$39&lt;=EOMONTH($A59,0))*$D$14:$D$39)</f>
        <v>0</v>
      </c>
    </row>
    <row r="61" customFormat="false" ht="21.75" hidden="false" customHeight="true" outlineLevel="0" collapsed="false">
      <c r="A61" s="80" t="s">
        <v>367</v>
      </c>
      <c r="B61" s="80"/>
      <c r="C61" s="80"/>
      <c r="D61" s="80"/>
      <c r="E61" s="80"/>
    </row>
  </sheetData>
  <mergeCells count="4">
    <mergeCell ref="D5:K5"/>
    <mergeCell ref="D6:K6"/>
    <mergeCell ref="D11:K11"/>
    <mergeCell ref="A61:E61"/>
  </mergeCells>
  <conditionalFormatting sqref="L14:L39">
    <cfRule type="expression" priority="2" aboveAverage="0" equalAverage="0" bottom="0" percent="0" rank="0" text="" dxfId="0">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8"/>
    <col collapsed="false" customWidth="true" hidden="false" outlineLevel="0" max="3" min="3" style="1" width="3"/>
    <col collapsed="false" customWidth="true" hidden="false" outlineLevel="0" max="4" min="4" style="1" width="58"/>
  </cols>
  <sheetData>
    <row r="1" customFormat="false" ht="17.25" hidden="false" customHeight="true" outlineLevel="0" collapsed="false">
      <c r="A1" s="2" t="s">
        <v>368</v>
      </c>
    </row>
    <row r="2" customFormat="false" ht="24" hidden="false" customHeight="true" outlineLevel="0" collapsed="false">
      <c r="A2" s="3" t="s">
        <v>369</v>
      </c>
    </row>
    <row r="4" customFormat="false" ht="15" hidden="false" customHeight="true" outlineLevel="0" collapsed="false">
      <c r="A4" s="69" t="s">
        <v>370</v>
      </c>
      <c r="B4" s="69" t="s">
        <v>371</v>
      </c>
      <c r="D4" s="69" t="s">
        <v>372</v>
      </c>
    </row>
    <row r="5" customFormat="false" ht="31.5" hidden="false" customHeight="true" outlineLevel="0" collapsed="false">
      <c r="A5" s="43" t="s">
        <v>373</v>
      </c>
      <c r="B5" s="43" t="s">
        <v>374</v>
      </c>
      <c r="D5" s="10" t="s">
        <v>375</v>
      </c>
    </row>
    <row r="6" customFormat="false" ht="31.5" hidden="false" customHeight="true" outlineLevel="0" collapsed="false">
      <c r="A6" s="43" t="s">
        <v>33</v>
      </c>
      <c r="B6" s="7" t="str">
        <f aca="false">"1,300 units of "&amp;Inputs!B5&amp;"x"&amp;Inputs!B6&amp;" (per Todd)"</f>
        <v>1,300 units of 24x27 (per Todd)</v>
      </c>
      <c r="D6" s="10" t="s">
        <v>376</v>
      </c>
    </row>
    <row r="7" customFormat="false" ht="31.5" hidden="false" customHeight="true" outlineLevel="0" collapsed="false">
      <c r="A7" s="43" t="s">
        <v>35</v>
      </c>
      <c r="B7" s="43" t="s">
        <v>377</v>
      </c>
      <c r="D7" s="10" t="s">
        <v>378</v>
      </c>
    </row>
    <row r="8" customFormat="false" ht="31.5" hidden="false" customHeight="true" outlineLevel="0" collapsed="false">
      <c r="A8" s="43" t="s">
        <v>379</v>
      </c>
      <c r="B8" s="43" t="s">
        <v>380</v>
      </c>
      <c r="D8" s="10" t="s">
        <v>381</v>
      </c>
    </row>
    <row r="9" customFormat="false" ht="15" hidden="false" customHeight="false" outlineLevel="0" collapsed="false">
      <c r="A9" s="6" t="s">
        <v>382</v>
      </c>
      <c r="B9" s="6" t="s">
        <v>383</v>
      </c>
      <c r="D9" s="27" t="s">
        <v>384</v>
      </c>
    </row>
    <row r="10" customFormat="false" ht="15" hidden="false" customHeight="true" outlineLevel="0" collapsed="false">
      <c r="A10" s="4" t="s">
        <v>385</v>
      </c>
      <c r="B10" s="5"/>
      <c r="C10" s="5"/>
      <c r="D10" s="5"/>
    </row>
    <row r="11" customFormat="false" ht="13.5" hidden="false" customHeight="true" outlineLevel="0" collapsed="false">
      <c r="A11" s="80" t="s">
        <v>386</v>
      </c>
      <c r="B11" s="80"/>
      <c r="C11" s="80"/>
      <c r="D11" s="80"/>
    </row>
    <row r="12" customFormat="false" ht="30" hidden="false" customHeight="true" outlineLevel="0" collapsed="false">
      <c r="A12" s="80" t="s">
        <v>387</v>
      </c>
      <c r="B12" s="80"/>
      <c r="C12" s="80"/>
      <c r="D12" s="80"/>
    </row>
    <row r="13" customFormat="false" ht="30" hidden="false" customHeight="true" outlineLevel="0" collapsed="false">
      <c r="A13" s="80" t="s">
        <v>388</v>
      </c>
      <c r="B13" s="80"/>
      <c r="C13" s="80"/>
      <c r="D13" s="80"/>
    </row>
    <row r="14" customFormat="false" ht="30" hidden="false" customHeight="true" outlineLevel="0" collapsed="false">
      <c r="A14" s="80" t="s">
        <v>389</v>
      </c>
      <c r="B14" s="80"/>
      <c r="C14" s="80"/>
      <c r="D14" s="80"/>
    </row>
    <row r="15" customFormat="false" ht="13.5" hidden="false" customHeight="true" outlineLevel="0" collapsed="false">
      <c r="A15" s="80" t="s">
        <v>390</v>
      </c>
      <c r="B15" s="80"/>
      <c r="C15" s="80"/>
      <c r="D15" s="80"/>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9"/>
    <col collapsed="false" customWidth="true" hidden="false" outlineLevel="0" max="4" min="4" style="1" width="62"/>
  </cols>
  <sheetData>
    <row r="1" customFormat="false" ht="17.25" hidden="false" customHeight="true" outlineLevel="0" collapsed="false">
      <c r="A1" s="2" t="s">
        <v>391</v>
      </c>
    </row>
    <row r="2" customFormat="false" ht="15" hidden="false" customHeight="true" outlineLevel="0" collapsed="false">
      <c r="A2" s="20" t="s">
        <v>392</v>
      </c>
    </row>
    <row r="4" customFormat="false" ht="15" hidden="false" customHeight="true" outlineLevel="0" collapsed="false">
      <c r="A4" s="4" t="s">
        <v>393</v>
      </c>
      <c r="B4" s="5"/>
      <c r="C4" s="5"/>
      <c r="D4" s="5"/>
    </row>
    <row r="5" customFormat="false" ht="15" hidden="false" customHeight="true" outlineLevel="0" collapsed="false">
      <c r="A5" s="69" t="s">
        <v>370</v>
      </c>
      <c r="B5" s="69" t="s">
        <v>394</v>
      </c>
      <c r="C5" s="69" t="s">
        <v>349</v>
      </c>
      <c r="D5" s="69" t="s">
        <v>395</v>
      </c>
    </row>
    <row r="6" customFormat="false" ht="25.5" hidden="false" customHeight="true" outlineLevel="0" collapsed="false">
      <c r="A6" s="43" t="s">
        <v>396</v>
      </c>
      <c r="B6" s="83" t="n">
        <f aca="false">Inputs!B19</f>
        <v>260</v>
      </c>
      <c r="C6" s="84" t="s">
        <v>397</v>
      </c>
      <c r="D6" s="10" t="s">
        <v>398</v>
      </c>
    </row>
    <row r="7" customFormat="false" ht="25.5" hidden="false" customHeight="true" outlineLevel="0" collapsed="false">
      <c r="A7" s="43" t="s">
        <v>5</v>
      </c>
      <c r="B7" s="85" t="n">
        <f aca="false">Inputs!B20</f>
        <v>0.41</v>
      </c>
      <c r="C7" s="84" t="s">
        <v>397</v>
      </c>
      <c r="D7" s="10" t="s">
        <v>399</v>
      </c>
    </row>
    <row r="8" customFormat="false" ht="25.5" hidden="false" customHeight="true" outlineLevel="0" collapsed="false">
      <c r="A8" s="43" t="s">
        <v>400</v>
      </c>
      <c r="B8" s="7" t="str">
        <f aca="false">Inputs!B5&amp;" × "&amp;Inputs!B6&amp;" in"</f>
        <v>24 × 27 in</v>
      </c>
      <c r="C8" s="43" t="s">
        <v>401</v>
      </c>
      <c r="D8" s="10" t="s">
        <v>402</v>
      </c>
    </row>
    <row r="9" customFormat="false" ht="25.5" hidden="false" customHeight="true" outlineLevel="0" collapsed="false">
      <c r="A9" s="43" t="s">
        <v>403</v>
      </c>
      <c r="B9" s="7" t="str">
        <f aca="false">Inputs!B16&amp;" ft × "&amp;Inputs!B18&amp;" in"</f>
        <v>150 ft × 101 in</v>
      </c>
      <c r="C9" s="84" t="s">
        <v>397</v>
      </c>
      <c r="D9" s="10" t="s">
        <v>404</v>
      </c>
    </row>
    <row r="10" customFormat="false" ht="25.5" hidden="false" customHeight="true" outlineLevel="0" collapsed="false">
      <c r="A10" s="43" t="s">
        <v>405</v>
      </c>
      <c r="B10" s="7" t="str">
        <f aca="false">"1,300 units of "&amp;Inputs!B5&amp;"x"&amp;Inputs!B6</f>
        <v>1,300 units of 24x27</v>
      </c>
      <c r="C10" s="84" t="s">
        <v>406</v>
      </c>
      <c r="D10" s="10" t="s">
        <v>407</v>
      </c>
    </row>
    <row r="11" customFormat="false" ht="25.5" hidden="false" customHeight="true" outlineLevel="0" collapsed="false">
      <c r="A11" s="43" t="s">
        <v>408</v>
      </c>
      <c r="B11" s="7" t="str">
        <f aca="false">Inputs!B10&amp;" ft × "&amp;Inputs!B12&amp;" in ("&amp;TEXT(Inputs!B11,"#,##0")&amp;" in long)"</f>
        <v>750 ft × 101 in (9,000 in long)</v>
      </c>
      <c r="C11" s="86" t="s">
        <v>409</v>
      </c>
      <c r="D11" s="10" t="s">
        <v>410</v>
      </c>
    </row>
    <row r="12" customFormat="false" ht="25.5" hidden="false" customHeight="true" outlineLevel="0" collapsed="false">
      <c r="A12" s="43" t="s">
        <v>71</v>
      </c>
      <c r="B12" s="7" t="str">
        <f aca="false">TEXT(Inputs!B37,"0.0%")&amp;" ("&amp;Inputs!B35&amp;" ÷ "&amp;Inputs!B36&amp;")"</f>
        <v>97.6% (1300 ÷ 1332)</v>
      </c>
      <c r="C12" s="43" t="s">
        <v>411</v>
      </c>
      <c r="D12" s="10" t="s">
        <v>412</v>
      </c>
    </row>
    <row r="13" customFormat="false" ht="25.5" hidden="false" customHeight="true" outlineLevel="0" collapsed="false">
      <c r="A13" s="43" t="s">
        <v>323</v>
      </c>
      <c r="B13" s="83" t="n">
        <f aca="false">Inputs!B26</f>
        <v>270</v>
      </c>
      <c r="C13" s="8" t="s">
        <v>413</v>
      </c>
      <c r="D13" s="10" t="s">
        <v>414</v>
      </c>
    </row>
    <row r="14" customFormat="false" ht="25.5" hidden="false" customHeight="true" outlineLevel="0" collapsed="false">
      <c r="A14" s="43" t="s">
        <v>27</v>
      </c>
      <c r="B14" s="7" t="str">
        <f aca="false">Inputs!B27&amp;" + "&amp;Inputs!B28&amp;" + "&amp;Inputs!B29&amp;" days = "&amp;Inputs!B30&amp;" days"</f>
        <v>3 + 14 + 3 days = 20 days</v>
      </c>
      <c r="C14" s="84" t="s">
        <v>406</v>
      </c>
      <c r="D14" s="10" t="s">
        <v>415</v>
      </c>
    </row>
    <row r="15" customFormat="false" ht="25.5" hidden="false" customHeight="true" outlineLevel="0" collapsed="false">
      <c r="A15" s="43" t="s">
        <v>416</v>
      </c>
      <c r="B15" s="7" t="str">
        <f aca="false">Inputs!B32&amp;" week"</f>
        <v>1 week</v>
      </c>
      <c r="C15" s="43" t="s">
        <v>417</v>
      </c>
      <c r="D15" s="10" t="s">
        <v>418</v>
      </c>
    </row>
    <row r="16" customFormat="false" ht="25.5" hidden="false" customHeight="true" outlineLevel="0" collapsed="false">
      <c r="A16" s="43" t="s">
        <v>419</v>
      </c>
      <c r="B16" s="7" t="s">
        <v>420</v>
      </c>
      <c r="C16" s="84" t="s">
        <v>421</v>
      </c>
      <c r="D16" s="10" t="s">
        <v>422</v>
      </c>
    </row>
    <row r="18" customFormat="false" ht="15" hidden="false" customHeight="true" outlineLevel="0" collapsed="false">
      <c r="A18" s="4" t="s">
        <v>423</v>
      </c>
      <c r="B18" s="5"/>
      <c r="C18" s="5"/>
      <c r="D18" s="5"/>
    </row>
    <row r="19" customFormat="false" ht="27.75" hidden="false" customHeight="true" outlineLevel="0" collapsed="false">
      <c r="A19" s="86" t="s">
        <v>424</v>
      </c>
      <c r="B19" s="43" t="s">
        <v>425</v>
      </c>
      <c r="C19" s="32" t="s">
        <v>426</v>
      </c>
      <c r="D19" s="10" t="s">
        <v>427</v>
      </c>
    </row>
    <row r="20" customFormat="false" ht="27.75" hidden="false" customHeight="true" outlineLevel="0" collapsed="false">
      <c r="A20" s="6" t="s">
        <v>428</v>
      </c>
      <c r="B20" s="11" t="str">
        <f aca="false">TEXT('Order Cadence'!B16,"#,##0")&amp;" pieces"</f>
        <v>1,080 pieces</v>
      </c>
      <c r="D20" s="10" t="s">
        <v>429</v>
      </c>
    </row>
    <row r="21" customFormat="false" ht="27.75" hidden="false" customHeight="true" outlineLevel="0" collapsed="false">
      <c r="A21" s="6" t="s">
        <v>430</v>
      </c>
      <c r="B21" s="11" t="str">
        <f aca="false">TEXT('Order Cadence'!B6,"#,##0")&amp;" pieces"</f>
        <v>1,300 pieces</v>
      </c>
      <c r="D21" s="10" t="s">
        <v>431</v>
      </c>
    </row>
    <row r="22" customFormat="false" ht="27.75" hidden="false" customHeight="true" outlineLevel="0" collapsed="false">
      <c r="A22" s="6" t="s">
        <v>432</v>
      </c>
      <c r="B22" s="11" t="str">
        <f aca="false">TEXT(Inputs!B26*Inputs!B32,"#,##0")&amp;" pieces"</f>
        <v>270 pieces</v>
      </c>
      <c r="D22" s="10" t="s">
        <v>433</v>
      </c>
    </row>
    <row r="23" customFormat="false" ht="27.75" hidden="false" customHeight="true" outlineLevel="0" collapsed="false">
      <c r="A23" s="6" t="s">
        <v>434</v>
      </c>
      <c r="B23" s="11" t="str">
        <f aca="false">Inputs!B30&amp;" days"</f>
        <v>20 days</v>
      </c>
      <c r="D23" s="10" t="s">
        <v>435</v>
      </c>
    </row>
    <row r="24" customFormat="false" ht="27.75" hidden="false" customHeight="true" outlineLevel="0" collapsed="false">
      <c r="A24" s="86" t="s">
        <v>436</v>
      </c>
      <c r="B24" s="7" t="str">
        <f aca="false">"Cut piece "&amp;Inputs!B5&amp;" × "&amp;Inputs!B6&amp;" in — new material #"</f>
        <v>Cut piece 24 × 27 in — new material #</v>
      </c>
      <c r="C24" s="32" t="s">
        <v>426</v>
      </c>
      <c r="D24" s="10" t="s">
        <v>437</v>
      </c>
    </row>
    <row r="25" customFormat="false" ht="27.75" hidden="false" customHeight="true" outlineLevel="0" collapsed="false">
      <c r="A25" s="6" t="s">
        <v>438</v>
      </c>
      <c r="B25" s="7" t="str">
        <f aca="false">"Roll "&amp;Inputs!B10&amp;" ft × "&amp;Inputs!B12&amp;" in"</f>
        <v>Roll 750 ft × 101 in</v>
      </c>
      <c r="C25" s="32" t="s">
        <v>439</v>
      </c>
      <c r="D25" s="10" t="s">
        <v>440</v>
      </c>
    </row>
    <row r="27" customFormat="false" ht="15" hidden="false" customHeight="true" outlineLevel="0" collapsed="false">
      <c r="A27" s="4" t="s">
        <v>441</v>
      </c>
      <c r="B27" s="5"/>
      <c r="C27" s="5"/>
      <c r="D27" s="5"/>
    </row>
    <row r="28" customFormat="false" ht="30" hidden="false" customHeight="true" outlineLevel="0" collapsed="false">
      <c r="A28" s="80" t="s">
        <v>442</v>
      </c>
      <c r="B28" s="80"/>
      <c r="C28" s="80"/>
      <c r="D28" s="80"/>
    </row>
    <row r="29" customFormat="false" ht="30" hidden="false" customHeight="true" outlineLevel="0" collapsed="false">
      <c r="A29" s="80" t="s">
        <v>443</v>
      </c>
      <c r="B29" s="80"/>
      <c r="C29" s="80"/>
      <c r="D29" s="80"/>
    </row>
    <row r="30" customFormat="false" ht="30" hidden="false" customHeight="true" outlineLevel="0" collapsed="false">
      <c r="A30" s="80" t="s">
        <v>444</v>
      </c>
      <c r="B30" s="80"/>
      <c r="C30" s="80"/>
      <c r="D30" s="80"/>
    </row>
    <row r="31" customFormat="false" ht="30" hidden="false" customHeight="true" outlineLevel="0" collapsed="false">
      <c r="A31" s="80" t="s">
        <v>445</v>
      </c>
      <c r="B31" s="80"/>
      <c r="C31" s="80"/>
      <c r="D31" s="80"/>
    </row>
    <row r="33" customFormat="false" ht="15" hidden="false" customHeight="true" outlineLevel="0" collapsed="false">
      <c r="A33" s="4" t="s">
        <v>446</v>
      </c>
      <c r="B33" s="5"/>
      <c r="C33" s="5"/>
      <c r="D33" s="5"/>
    </row>
    <row r="34" customFormat="false" ht="27.75" hidden="false" customHeight="true" outlineLevel="0" collapsed="false">
      <c r="A34" s="80" t="s">
        <v>447</v>
      </c>
      <c r="B34" s="80"/>
      <c r="C34" s="80"/>
      <c r="D34" s="80"/>
    </row>
    <row r="35" customFormat="false" ht="27.75" hidden="false" customHeight="true" outlineLevel="0" collapsed="false">
      <c r="A35" s="80" t="s">
        <v>448</v>
      </c>
      <c r="B35" s="80"/>
      <c r="C35" s="80"/>
      <c r="D35" s="80"/>
    </row>
    <row r="36" customFormat="false" ht="27.75" hidden="false" customHeight="true" outlineLevel="0" collapsed="false">
      <c r="A36" s="80" t="s">
        <v>449</v>
      </c>
      <c r="B36" s="80"/>
      <c r="C36" s="80"/>
      <c r="D36" s="80"/>
    </row>
    <row r="37" customFormat="false" ht="27.75" hidden="false" customHeight="true" outlineLevel="0" collapsed="false">
      <c r="A37" s="80" t="s">
        <v>450</v>
      </c>
      <c r="B37" s="80"/>
      <c r="C37" s="80"/>
      <c r="D37" s="80"/>
    </row>
    <row r="38" customFormat="false" ht="27.75" hidden="false" customHeight="true" outlineLevel="0" collapsed="false">
      <c r="A38" s="80" t="s">
        <v>451</v>
      </c>
      <c r="B38" s="80"/>
      <c r="C38" s="80"/>
      <c r="D38" s="80"/>
    </row>
    <row r="39" customFormat="false" ht="27.75" hidden="false" customHeight="true" outlineLevel="0" collapsed="false">
      <c r="A39" s="80" t="s">
        <v>452</v>
      </c>
      <c r="B39" s="80"/>
      <c r="C39" s="80"/>
      <c r="D39" s="80"/>
    </row>
    <row r="40" customFormat="false" ht="54" hidden="false" customHeight="true" outlineLevel="0" collapsed="false">
      <c r="A40" s="80" t="s">
        <v>453</v>
      </c>
      <c r="B40" s="80"/>
      <c r="C40" s="80"/>
      <c r="D40" s="80"/>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2026-09-24T17:50:43Z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