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mple Schedule" sheetId="1" state="visible" r:id="rId3"/>
    <sheet name="Handoff Summary" sheetId="2" state="visible" r:id="rId4"/>
    <sheet name="Inputs" sheetId="3" state="visible" r:id="rId5"/>
    <sheet name="Cycle Time" sheetId="4" state="visible" r:id="rId6"/>
    <sheet name="PO Schedule" sheetId="5" state="visible" r:id="rId7"/>
    <sheet name="Yield per Roll" sheetId="6" state="visible" r:id="rId8"/>
    <sheet name="Order Cadence" sheetId="7" state="visible" r:id="rId9"/>
    <sheet name="6-Month Forecast" sheetId="8" state="visible" r:id="rId10"/>
    <sheet name="Supplier (Trotter) Info" sheetId="9" state="visible" r:id="rId11"/>
    <sheet name="Assumptions &amp; Not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<sst xmlns="http://schemas.openxmlformats.org/spreadsheetml/2006/main" count="496" uniqueCount="461">
  <si>
    <t xml:space="preserve">6-Month Schedule — 24 × 27 in cut mesh</t>
  </si>
  <si>
    <t xml:space="preserve">Week of (Mon)</t>
  </si>
  <si>
    <t xml:space="preserve">Beginning inventory</t>
  </si>
  <si>
    <t xml:space="preserve">ORDER (release PO)</t>
  </si>
  <si>
    <t xml:space="preserve">TROTTER CUTS</t>
  </si>
  <si>
    <t xml:space="preserve">Roll received (pcs)</t>
  </si>
  <si>
    <t xml:space="preserve">Ending inventory</t>
  </si>
  <si>
    <t xml:space="preserve">Note</t>
  </si>
  <si>
    <t xml:space="preserve">PO-0 (released today, 9/24) is not in the ORDER column because it goes out before the schedule starts; its cut week and receipt are shown. Detail behind every number: 6-Month Forecast, Cycle Time and PO Schedule tabs.</t>
  </si>
  <si>
    <t xml:space="preserve">Mesh Production Handoff — 24 × 27 in Cut Mesh</t>
  </si>
  <si>
    <t xml:space="preserve">Prepared Sep 24, 2026 (v5, pre-meeting) · Supplier: Trotter · Green values recalc live from the other tabs — this page is the one-screen brief for whoever owns replenishment. Cycle-time legs and dated PO milestones: Cycle Time and PO Schedule tabs.</t>
  </si>
  <si>
    <t xml:space="preserve">THE PART</t>
  </si>
  <si>
    <t xml:space="preserve">Piece (finished good)</t>
  </si>
  <si>
    <t xml:space="preserve">Part number TO BE CREATED in SAP — see Assumptions &amp; Notes action items</t>
  </si>
  <si>
    <t xml:space="preserve">Price per piece</t>
  </si>
  <si>
    <t xml:space="preserve">Supplier quote; $106.60 invoice on the 150 ft delivery cross-checks exactly</t>
  </si>
  <si>
    <t xml:space="preserve">Supplier</t>
  </si>
  <si>
    <t xml:space="preserve">Trotter</t>
  </si>
  <si>
    <t xml:space="preserve">Cuts the pieces and slits the roll on their end</t>
  </si>
  <si>
    <t xml:space="preserve">Raw roll</t>
  </si>
  <si>
    <t xml:space="preserve">Cut as Orientation A (24″ across): 4 across × 333 along — best cut at 101″ width</t>
  </si>
  <si>
    <t xml:space="preserve">REQUIREMENTS</t>
  </si>
  <si>
    <t xml:space="preserve">Weekly production (pieces)</t>
  </si>
  <si>
    <t xml:space="preserve">ASSUMPTION — review at the supplier meeting; every number below scales with it</t>
  </si>
  <si>
    <t xml:space="preserve">Planning pieces per roll</t>
  </si>
  <si>
    <t xml:space="preserve">Coverage per roll (weeks)</t>
  </si>
  <si>
    <t xml:space="preserve">YEARLY REQUIREMENT (pieces)</t>
  </si>
  <si>
    <t xml:space="preserve">Yearly requirement (rolls / POs)</t>
  </si>
  <si>
    <t xml:space="preserve">Yearly spend (pieces)</t>
  </si>
  <si>
    <t xml:space="preserve">NEXT 6 MONTHS (pieces)</t>
  </si>
  <si>
    <t xml:space="preserve">Next 6 months (POs)</t>
  </si>
  <si>
    <t xml:space="preserve">Week-by-week schedule on the 6-Month Forecast tab; plus PO-0 released 9/24 (PO Schedule tab)</t>
  </si>
  <si>
    <t xml:space="preserve">REORDER POLICY</t>
  </si>
  <si>
    <t xml:space="preserve">Reorder point (pieces)</t>
  </si>
  <si>
    <t xml:space="preserve">Release a PO when on-hand + on-order ≤ this (≈ 4 weeks of production)</t>
  </si>
  <si>
    <t xml:space="preserve">Order quantity (1 roll)</t>
  </si>
  <si>
    <t xml:space="preserve">Lead time</t>
  </si>
  <si>
    <t xml:space="preserve">Safety stock (pieces)</t>
  </si>
  <si>
    <t xml:space="preserve">SUPPLIER (TROTTER) PROVIDED INFORMATION — email 9/24/2026</t>
  </si>
  <si>
    <t xml:space="preserve">Standard turnaround</t>
  </si>
  <si>
    <t xml:space="preserve">2 weeks</t>
  </si>
  <si>
    <t xml:space="preserve">Their standard TAT — matches the 14-day leg of our lead time</t>
  </si>
  <si>
    <t xml:space="preserve">Last purchase order</t>
  </si>
  <si>
    <t xml:space="preserve">≈ one roll; used as the default starting on-hand in the forecast</t>
  </si>
  <si>
    <t xml:space="preserve">Actual cutting time</t>
  </si>
  <si>
    <t xml:space="preserve">~1 day per roll, incl. slitting</t>
  </si>
  <si>
    <t xml:space="preserve">The 2-week TAT is queue time, not machine time — expedites are realistic; ~11 machine-days/yr</t>
  </si>
  <si>
    <t xml:space="preserve">OPEN ITEMS AT HANDOFF</t>
  </si>
  <si>
    <t xml:space="preserve">• SAP reorder-point trigger — TO DO (field values ready on Assumptions &amp; Notes)</t>
  </si>
  <si>
    <t xml:space="preserve">• SAP part number for the cut piece — TO DO; raw-roll part number — DECIDE</t>
  </si>
  <si>
    <t xml:space="preserve">• Confirm 270 pcs/week internally — every quantity in this file scales with it</t>
  </si>
  <si>
    <t xml:space="preserve">Mesh Cutting — Supply Planning Inputs</t>
  </si>
  <si>
    <t xml:space="preserve">Edit ONLY the yellow cells (blue text). Everything else recalculates. Green text = value pulled from another tab. Lead-time legs now live on the Cycle Time tab.</t>
  </si>
  <si>
    <t xml:space="preserve">PIECE (cut part)</t>
  </si>
  <si>
    <t xml:space="preserve">Piece width (in)</t>
  </si>
  <si>
    <t xml:space="preserve">Spec — part drawing</t>
  </si>
  <si>
    <t xml:space="preserve">Piece height (in)</t>
  </si>
  <si>
    <t xml:space="preserve">Spec — part drawing (check for a grain/weave direction callout)</t>
  </si>
  <si>
    <t xml:space="preserve">Piece area (sq in)</t>
  </si>
  <si>
    <t xml:space="preserve">FUTURE ROLL (planning basis)</t>
  </si>
  <si>
    <t xml:space="preserve">Roll length (ft)</t>
  </si>
  <si>
    <t xml:space="preserve">Confirmed by Oscar 2026-08-03: 750 ft × 101″ wide. Enter FEET here.</t>
  </si>
  <si>
    <t xml:space="preserve">Roll length (in)</t>
  </si>
  <si>
    <t xml:space="preserve">Roll width (in)</t>
  </si>
  <si>
    <t xml:space="preserve">Corrected 2026-08-03: 101″, not the 110″ the old file assumed — this flips the best orientation to A</t>
  </si>
  <si>
    <t xml:space="preserve">Roll area (sq in)</t>
  </si>
  <si>
    <t xml:space="preserve">FIRST DELIVERY (reference — the 150 ft roll)</t>
  </si>
  <si>
    <t xml:space="preserve">Delivered roll length (ft)</t>
  </si>
  <si>
    <t xml:space="preserve">Actual — what the supplier cut</t>
  </si>
  <si>
    <t xml:space="preserve">Delivered roll length (in)</t>
  </si>
  <si>
    <t xml:space="preserve">Delivered roll width (in)</t>
  </si>
  <si>
    <t xml:space="preserve">Width correction doesn't change that roll's theoretical max (264) or the yield — 4 pieces still fit across</t>
  </si>
  <si>
    <t xml:space="preserve">Pieces delivered</t>
  </si>
  <si>
    <t xml:space="preserve">Actual — supplier count</t>
  </si>
  <si>
    <t xml:space="preserve">Price per piece ($)</t>
  </si>
  <si>
    <t xml:space="preserve">Actual — supplier quote</t>
  </si>
  <si>
    <t xml:space="preserve">Invoice total ($)</t>
  </si>
  <si>
    <t xml:space="preserve">Cross-check: matches the $106.60 quote</t>
  </si>
  <si>
    <t xml:space="preserve">Theoretical max, that roll (Orient A)</t>
  </si>
  <si>
    <t xml:space="preserve">Supplier cut Orientation A (24″ across the width): 4 across × 66 along</t>
  </si>
  <si>
    <t xml:space="preserve">Realized process yield</t>
  </si>
  <si>
    <t xml:space="preserve">Derived: 260 ÷ 264 on the first delivery. Kept as a cross-check; planning now uses the yield backtracked from the 1,300-piece batch (below).</t>
  </si>
  <si>
    <t xml:space="preserve">PRODUCTION &amp; LEAD TIME</t>
  </si>
  <si>
    <t xml:space="preserve">Weekly production / usage (pieces)</t>
  </si>
  <si>
    <t xml:space="preserve">Set to 250 on 9/24/2026 (call day) — CONFIRM against the build plan</t>
  </si>
  <si>
    <t xml:space="preserve">Leg 1 — roll to Trotter (days)</t>
  </si>
  <si>
    <t xml:space="preserve">LINKED to the Cycle Time tab (selected scenario): PO ack + roll transit. Edit the legs there.</t>
  </si>
  <si>
    <t xml:space="preserve">Legs 2 + 3 — at Trotter: receive, queue, cut, pack (days)</t>
  </si>
  <si>
    <t xml:space="preserve">LINKED to the Cycle Time tab. SUPPLIER CONFIRMED 9/24/2026: standard turnaround 2 weeks; actual cut ≈ 1 day incl. slitting — the rest is queue.</t>
  </si>
  <si>
    <t xml:space="preserve">Leg 4 — ship to Intuitive + dock-to-stock (days)</t>
  </si>
  <si>
    <t xml:space="preserve">LINKED to the Cycle Time tab: transit + our own receiving.</t>
  </si>
  <si>
    <t xml:space="preserve">Total lead time (days)</t>
  </si>
  <si>
    <t xml:space="preserve">Planning lead time (weeks)</t>
  </si>
  <si>
    <t xml:space="preserve">Rounded up for planning</t>
  </si>
  <si>
    <t xml:space="preserve">Safety stock (weeks)</t>
  </si>
  <si>
    <t xml:space="preserve">Policy choice — buffer for demand/lead-time variability</t>
  </si>
  <si>
    <t xml:space="preserve">PLANNING BATCH — the 750 ft roll actual (last PO)</t>
  </si>
  <si>
    <t xml:space="preserve">Batch quantity per roll — last PO actual (pieces)</t>
  </si>
  <si>
    <t xml:space="preserve">SUPPLIER (Trotter) email 9/24/2026: 'your last purchase order for 1,300 units of 24x27' — one 750 ft roll, cut in ~1 day. This is the planning order quantity (1 roll = 1 PO).</t>
  </si>
  <si>
    <t xml:space="preserve">Theoretical max, 750 ft roll (Orient A)</t>
  </si>
  <si>
    <t xml:space="preserve">4 across × 333 along at 101 in width (Yield per Roll tab)</t>
  </si>
  <si>
    <t xml:space="preserve">Realized yield — backtracked from the batch</t>
  </si>
  <si>
    <t xml:space="preserve">Batch ÷ theoretical = 1,300 ÷ 1,332. THIS is the yield factor planning uses (drives Yield per Roll → Order Cadence → Forecast).</t>
  </si>
  <si>
    <t xml:space="preserve">Cross-check: first-delivery yield (150 ft roll)</t>
  </si>
  <si>
    <t xml:space="preserve">260 ÷ 264 on the first delivery — the two data points agree within a point</t>
  </si>
  <si>
    <t xml:space="preserve">Material not turned into pieces, per roll (pcs equiv.)</t>
  </si>
  <si>
    <t xml:space="preserve">ASK Trotter: is 1,300 the full yield of a roll, or the PO quantity with remnant left over? Should the PO read 'one full roll (≈1,300 pcs)' instead of a fixed count?</t>
  </si>
  <si>
    <t xml:space="preserve">CURRENT INVENTORY — physical count (feeds the 6-Month Forecast start)</t>
  </si>
  <si>
    <t xml:space="preserve">Count date</t>
  </si>
  <si>
    <t xml:space="preserve">Count per Oscar, 9/24/2026 (day of the Trotter call)</t>
  </si>
  <si>
    <t xml:space="preserve">Loose pieces on hand</t>
  </si>
  <si>
    <t xml:space="preserve">Full boxes on hand</t>
  </si>
  <si>
    <t xml:space="preserve">Boxes per delivery (last PO shipped in)</t>
  </si>
  <si>
    <t xml:space="preserve">Trotter shipped the 1,300-piece batch in 3 boxes</t>
  </si>
  <si>
    <t xml:space="preserve">Pieces per box</t>
  </si>
  <si>
    <t xml:space="preserve">1,300 ÷ 3 = 433.3 — not a whole number: boxes hold 433 / 433 / 434, so the count is ±1. ASK Trotter to print the piece count on each box label.</t>
  </si>
  <si>
    <t xml:space="preserve">ON-HAND AT COUNT (pieces)</t>
  </si>
  <si>
    <t xml:space="preserve">Weeks of cover at count (no receipts)</t>
  </si>
  <si>
    <t xml:space="preserve">vs. reorder point</t>
  </si>
  <si>
    <t xml:space="preserve">Reorder point = (lead-time weeks + safety week) × weekly production — Order Cadence tab</t>
  </si>
  <si>
    <t xml:space="preserve">Working days from count to forecast start</t>
  </si>
  <si>
    <t xml:space="preserve">The count day itself is treated as a consumption day</t>
  </si>
  <si>
    <t xml:space="preserve">Consumption before forecast start (pieces)</t>
  </si>
  <si>
    <t xml:space="preserve">Weekly production ÷ 5 working days</t>
  </si>
  <si>
    <t xml:space="preserve">ON-HAND AT FORECAST START (pieces)</t>
  </si>
  <si>
    <t xml:space="preserve">→ 6-Month Forecast starting on-hand (its cell B6 links here)</t>
  </si>
  <si>
    <t xml:space="preserve">OPEN PO AT FORECAST START — "PO-0" (released before the horizon begins)</t>
  </si>
  <si>
    <t xml:space="preserve">PO-0 release date</t>
  </si>
  <si>
    <t xml:space="preserve">ASSUMPTION: PO-0 goes out today, 9/24 — Trotter is onboarded. Move the date if it slips.</t>
  </si>
  <si>
    <t xml:space="preserve">PO-0 quantity (pieces)</t>
  </si>
  <si>
    <t xml:space="preserve">One roll (= B35). Enter 0 if no PO is open when the forecast starts.</t>
  </si>
  <si>
    <t xml:space="preserve">Expected on our shelf (PO Schedule milestone chain)</t>
  </si>
  <si>
    <t xml:space="preserve">Credited to forecast week #</t>
  </si>
  <si>
    <t xml:space="preserve">The forecast credits receipts to the Monday of that week</t>
  </si>
  <si>
    <t xml:space="preserve">Pieces on hand the day PO-0 is on our shelf</t>
  </si>
  <si>
    <t xml:space="preserve">Count less working-day consumption up to the day before it lands</t>
  </si>
  <si>
    <t xml:space="preserve">…in days of production</t>
  </si>
  <si>
    <t xml:space="preserve">Latest PO-0 arrival before the line stops</t>
  </si>
  <si>
    <t xml:space="preserve">The working day on-hand reaches zero at 270/week — the hard deadline for the first roll</t>
  </si>
  <si>
    <t xml:space="preserve">Replenishment Cycle Time — PO Release to Pieces on Our Shelf</t>
  </si>
  <si>
    <t xml:space="preserve">Leg-by-leg lead time for the pull system, in CALENDAR days (10 business days = 14 calendar days). Yellow = editable. The selector in B5 picks the scenario that drives Inputs → Order Cadence → 6-Month Forecast → PO Schedule.</t>
  </si>
  <si>
    <t xml:space="preserve">1. PLANNING SCENARIO — which column drives the plan</t>
  </si>
  <si>
    <t xml:space="preserve">Scenario driving the plan</t>
  </si>
  <si>
    <t xml:space="preserve">Supplier standard</t>
  </si>
  <si>
    <t xml:space="preserve">Supplier standard = Trotter's quoted 2-week turnaround, sequenced after the roll arrives — RECOMMENDED basis until the call fills column D. Confirmed on call = what Trotter tells us today (blank cells fall back to Supplier standard, so it is safe to select early). Conservative = buffered for holidays, freight and queue slips.</t>
  </si>
  <si>
    <t xml:space="preserve">Selected column (helper — do not edit)</t>
  </si>
  <si>
    <t xml:space="preserve">1 = Supplier standard · 2 = Confirmed on call · 3 = Conservative</t>
  </si>
  <si>
    <t xml:space="preserve">Trotter's standard turnaround (days)</t>
  </si>
  <si>
    <t xml:space="preserve">Supplier email 9/24/2026: 'our standard 2-week turnaround time'. Used for the fit check below and on the PO Schedule tab.</t>
  </si>
  <si>
    <t xml:space="preserve">2. THE REPLENISHMENT CYCLE, LEG BY LEG (calendar days)</t>
  </si>
  <si>
    <t xml:space="preserve">Type Trotter's answers into column D during the call — column F and every downstream tab recalculate. Column H holds the question to ask for each step.</t>
  </si>
  <si>
    <t xml:space="preserve">Leg / step</t>
  </si>
  <si>
    <t xml:space="preserve">What happens</t>
  </si>
  <si>
    <t xml:space="preserve">Confirmed on call</t>
  </si>
  <si>
    <t xml:space="preserve">Conservative</t>
  </si>
  <si>
    <t xml:space="preserve">SELECTED (plan)</t>
  </si>
  <si>
    <t xml:space="preserve">Owner</t>
  </si>
  <si>
    <t xml:space="preserve">Status / question for the 9/24 call</t>
  </si>
  <si>
    <t xml:space="preserve">helper — PO sequence (do not edit)</t>
  </si>
  <si>
    <t xml:space="preserve">LEG 1 — Mosquito-net roll gets to Trotter</t>
  </si>
  <si>
    <t xml:space="preserve">Fcst wk</t>
  </si>
  <si>
    <t xml:space="preserve">PO #</t>
  </si>
  <si>
    <t xml:space="preserve">1a. PO released → PO acknowledged; roll pulled or ordered</t>
  </si>
  <si>
    <t xml:space="preserve">Admin step: Trotter receives our PO and releases the raw roll for the job</t>
  </si>
  <si>
    <t xml:space="preserve">Intuitive → Trotter</t>
  </si>
  <si>
    <t xml:space="preserve">ASK: How quickly is a PO acknowledged? Is a 750 ft × 101 in roll held in stock at Trotter, or ordered per PO — and from whom?</t>
  </si>
  <si>
    <t xml:space="preserve">1b. Roll in transit to Trotter's dock</t>
  </si>
  <si>
    <t xml:space="preserve">Mesh roll ships from its source and arrives at Trotter</t>
  </si>
  <si>
    <t xml:space="preserve">Mesh source / carrier</t>
  </si>
  <si>
    <t xml:space="preserve">ASK: Where does the roll ship from, how many days door-to-door, who books the freight? Could one roll be pre-positioned at Trotter so this leg drops out of the cycle?</t>
  </si>
  <si>
    <t xml:space="preserve">LEG 1 total</t>
  </si>
  <si>
    <t xml:space="preserve">Was a single 3-day assumption in the prior file — unchanged until confirmed</t>
  </si>
  <si>
    <t xml:space="preserve">LEG 2 — Trotter receives the roll and puts it into production</t>
  </si>
  <si>
    <t xml:space="preserve">2a. Receive, inspect and log the roll</t>
  </si>
  <si>
    <t xml:space="preserve">Dock receipt, width/defect check, release to the floor</t>
  </si>
  <si>
    <t xml:space="preserve">ASK: Do you inspect incoming rolls (width, defects)? Any hold time before release to the floor?</t>
  </si>
  <si>
    <t xml:space="preserve">2b. Queue / scheduling wait until the cut is slotted</t>
  </si>
  <si>
    <t xml:space="preserve">The job waits for a machine slot</t>
  </si>
  <si>
    <t xml:space="preserve">Most of the 2-week standard lives here — actual cutting is 1 day. ASK: When does your 2-week clock start — at PO receipt or at roll receipt? What is the realistic wait to slot a 1-day job?</t>
  </si>
  <si>
    <t xml:space="preserve">LEG 2 total</t>
  </si>
  <si>
    <t xml:space="preserve">Legs 2 + 3 = 14 days in the Supplier standard column = their quoted 2 weeks</t>
  </si>
  <si>
    <t xml:space="preserve">LEG 3 — Slit, cut and package</t>
  </si>
  <si>
    <t xml:space="preserve">3a. Slit the roll and cut the 24 × 27 in pieces</t>
  </si>
  <si>
    <t xml:space="preserve">Slitting to width + piece cutting; one 750 ft roll = the 1,300-piece batch</t>
  </si>
  <si>
    <t xml:space="preserve">SUPPLIER CONFIRMED 9/24/2026 (Todd): the 1,300-piece PO took ~1 day to cut, including slitting the roll on their end</t>
  </si>
  <si>
    <t xml:space="preserve">3b. Count, package, label, stage for pickup</t>
  </si>
  <si>
    <t xml:space="preserve">Piece count, bundling/boxing, labels, carrier pickup</t>
  </si>
  <si>
    <t xml:space="preserve">ASK: Pieces per bundle or box? Count verification? Same-day carrier pickup or next day?</t>
  </si>
  <si>
    <t xml:space="preserve">LEG 3 total</t>
  </si>
  <si>
    <t xml:space="preserve">LEG 4 — Pieces travel to Intuitive and are put away</t>
  </si>
  <si>
    <t xml:space="preserve">4a. Transit Trotter → Intuitive dock</t>
  </si>
  <si>
    <t xml:space="preserve">Outbound freight</t>
  </si>
  <si>
    <t xml:space="preserve">Trotter / carrier</t>
  </si>
  <si>
    <t xml:space="preserve">ASK: Carrier and service level? Ship terms — who pays freight? Ship notice with piece count so receiving can plan?</t>
  </si>
  <si>
    <t xml:space="preserve">4b. Receiving, inspection, put-away at Intuitive (dock-to-stock)</t>
  </si>
  <si>
    <t xml:space="preserve">Our own goods receipt</t>
  </si>
  <si>
    <t xml:space="preserve">Intuitive</t>
  </si>
  <si>
    <t xml:space="preserve">INTERNAL — confirm with our receiving team; not a supplier question. In SAP this is the goods-receipt processing time.</t>
  </si>
  <si>
    <t xml:space="preserve">LEG 4 total</t>
  </si>
  <si>
    <t xml:space="preserve">TOTAL CYCLE TIME — PO release → pieces available (days)</t>
  </si>
  <si>
    <t xml:space="preserve">Feeds Inputs!B30 → planning lead time → reorder point → 6-Month Forecast → PO Schedule</t>
  </si>
  <si>
    <t xml:space="preserve">Planning lead time (weeks, rounded up)</t>
  </si>
  <si>
    <t xml:space="preserve">The forecast plans in whole weeks; anything from 15 to 21 days is 3 weeks</t>
  </si>
  <si>
    <t xml:space="preserve">Rounding cushion inside the planned weeks (days)</t>
  </si>
  <si>
    <t xml:space="preserve">Trotter's portion — legs 2 + 3 (days)</t>
  </si>
  <si>
    <t xml:space="preserve">The number to reconcile with their 'standard 2-week turnaround'</t>
  </si>
  <si>
    <t xml:space="preserve">vs. Trotter's standard turnaround (B7)</t>
  </si>
  <si>
    <t xml:space="preserve">SAP planned delivery time — legs 1 → 4a (days)</t>
  </si>
  <si>
    <t xml:space="preserve">SAP material master: planned delivery time excludes our own goods-receipt processing</t>
  </si>
  <si>
    <t xml:space="preserve">SAP goods-receipt processing time — leg 4b (days)</t>
  </si>
  <si>
    <t xml:space="preserve">3. WHAT EACH SCENARIO MEANS FOR THE PULL SYSTEM</t>
  </si>
  <si>
    <t xml:space="preserve">Metric</t>
  </si>
  <si>
    <t xml:space="preserve">How it is computed</t>
  </si>
  <si>
    <t xml:space="preserve">Total cycle time (days)</t>
  </si>
  <si>
    <t xml:space="preserve">Sum of the four legs</t>
  </si>
  <si>
    <t xml:space="preserve">Rounded up to whole weeks</t>
  </si>
  <si>
    <t xml:space="preserve">Weekly production (pcs)</t>
  </si>
  <si>
    <t xml:space="preserve">Inputs tab — ASSUMPTION to confirm internally</t>
  </si>
  <si>
    <t xml:space="preserve">Safety stock (pcs)</t>
  </si>
  <si>
    <t xml:space="preserve">Safety weeks × weekly production</t>
  </si>
  <si>
    <t xml:space="preserve">REORDER POINT (pcs)</t>
  </si>
  <si>
    <t xml:space="preserve">(lead-time weeks + safety weeks) × weekly production</t>
  </si>
  <si>
    <t xml:space="preserve">Release the next PO when on-hand + on-order drops to this</t>
  </si>
  <si>
    <t xml:space="preserve">Reorder point in weeks of cover</t>
  </si>
  <si>
    <t xml:space="preserve">Reorder point ÷ weekly production</t>
  </si>
  <si>
    <t xml:space="preserve">Order quantity — 1 roll (pcs)</t>
  </si>
  <si>
    <t xml:space="preserve">Yield per Roll tab</t>
  </si>
  <si>
    <t xml:space="preserve">Reorder point fits inside one roll?</t>
  </si>
  <si>
    <t xml:space="preserve">ROP ≤ order quantity → only one PO open at a time</t>
  </si>
  <si>
    <t xml:space="preserve">Peak inventory after a delivery (pcs)</t>
  </si>
  <si>
    <t xml:space="preserve">Safety stock + one roll</t>
  </si>
  <si>
    <t xml:space="preserve">Average inventory, steady state (pcs)</t>
  </si>
  <si>
    <t xml:space="preserve">½ roll + safety stock — identical in every scenario</t>
  </si>
  <si>
    <t xml:space="preserve">Planned lead time decides WHEN a PO fires, not how much stock we carry</t>
  </si>
  <si>
    <t xml:space="preserve">Extra stock carried if Trotter really delivers in the 'Confirmed on call' time (pcs)</t>
  </si>
  <si>
    <t xml:space="preserve">(planned weeks × 7 − confirmed total days) × weekly production ÷ 7</t>
  </si>
  <si>
    <t xml:space="preserve">The only real cost of planning conservatively</t>
  </si>
  <si>
    <t xml:space="preserve">…the same, in dollars</t>
  </si>
  <si>
    <t xml:space="preserve">× price per piece</t>
  </si>
  <si>
    <t xml:space="preserve">READ-ACROSS: the planned lead time changes WHEN a PO fires, not how much we hold — average inventory is ½ roll + safety stock in every scenario. Planning to Trotter's full 2-week standard costs at most the 'extra stock' line above (a few hundred dollars of $0.41 pieces). Recommendation: plan to the standard, keep the 1-day actual cut as our expedite lever, and don't spend the call negotiating the 2 weeks down.</t>
  </si>
  <si>
    <t xml:space="preserve">4. HOW THIS TAB CONNECTS</t>
  </si>
  <si>
    <t xml:space="preserve">• Column F → Inputs!B27 (leg 1), Inputs!B28 (legs 2 + 3), Inputs!B29 (leg 4) → Inputs!B30 total → Inputs!B31 planning weeks → Order Cadence reorder point → 6-Month Forecast PO timing → PO Schedule milestone dates.</t>
  </si>
  <si>
    <t xml:space="preserve">• Blank cells in 'Confirmed on call' fall back to 'Supplier standard', so that scenario is safe to select before the call. Only the 1-day cut (3a) is confirmed so far.</t>
  </si>
  <si>
    <t xml:space="preserve">• Days are calendar days. If Trotter quotes business days, multiply by 7 ÷ 5 (10 business days = 14 calendar days).</t>
  </si>
  <si>
    <t xml:space="preserve">6-Month PO Schedule — Milestone Dates to Review with Trotter</t>
  </si>
  <si>
    <t xml:space="preserve">PO-0 (the PO released before the horizon, from the Inputs tab) plus every PO the 6-Month Forecast releases, with dated legs from the Cycle Time tab's selected scenario. PO release = Monday of the release week; a milestone that lands on a weekend rolls to the next business day. Share this view to confirm each ship-by date fits Trotter's standard turnaround.</t>
  </si>
  <si>
    <t xml:space="preserve">SCHEDULE BASIS — all pulled from the Cycle Time and Inputs tabs</t>
  </si>
  <si>
    <t xml:space="preserve">Scenario in use</t>
  </si>
  <si>
    <t xml:space="preserve">Change it on the Cycle Time tab (cell B5)</t>
  </si>
  <si>
    <t xml:space="preserve">PO release timing</t>
  </si>
  <si>
    <t xml:space="preserve">Monday of the release week</t>
  </si>
  <si>
    <t xml:space="preserve">The forecast works in weekly buckets: treat the Monday as the release date, and the 'Fcst receipt week' Monday as the day the pieces must be on our shelf.</t>
  </si>
  <si>
    <t xml:space="preserve">PO MILESTONE SCHEDULE — Oct 2026 through Mar 2027 (auto-generated from the 6-Month Forecast)</t>
  </si>
  <si>
    <t xml:space="preserve">PO</t>
  </si>
  <si>
    <t xml:space="preserve">Release (Mon of wk)</t>
  </si>
  <si>
    <t xml:space="preserve">Roll due at Trotter</t>
  </si>
  <si>
    <t xml:space="preserve">Cut can start</t>
  </si>
  <si>
    <t xml:space="preserve">Planned ship</t>
  </si>
  <si>
    <t xml:space="preserve">Arrive our dock</t>
  </si>
  <si>
    <t xml:space="preserve">On our shelf</t>
  </si>
  <si>
    <t xml:space="preserve">Fcst receipt week</t>
  </si>
  <si>
    <t xml:space="preserve">Latest ship to hold plan</t>
  </si>
  <si>
    <t xml:space="preserve">Window: PO → latest ship (d)</t>
  </si>
  <si>
    <t xml:space="preserve">Window: roll at Trotter → latest ship (d)</t>
  </si>
  <si>
    <t xml:space="preserve">Fits standard TAT from roll arrival?</t>
  </si>
  <si>
    <t xml:space="preserve">Slack: latest − planned ship (d)</t>
  </si>
  <si>
    <t xml:space="preserve">Cover left at landing (d) — PO-0 day-level, others weekly model</t>
  </si>
  <si>
    <t xml:space="preserve">Holiday check (roll due → ship)</t>
  </si>
  <si>
    <t xml:space="preserve">Qty (pcs)</t>
  </si>
  <si>
    <t xml:space="preserve">Value ($)</t>
  </si>
  <si>
    <t xml:space="preserve">TOTAL IN HORIZON</t>
  </si>
  <si>
    <t xml:space="preserve">How to read: 'Latest ship to hold plan' is the last day Trotter can ship and still have pieces on our shelf by the forecast receipt Monday. 'Cover left at landing' is how many days of production remain on hand that Monday — i.e., how late a delivery can run before the line stops. 'Slack' is planned ship vs. latest ship: negative means the plan itself is late. 'Fits standard TAT' measures Trotter's window from the day the roll is at their dock — the strict reading of their 2 weeks.</t>
  </si>
  <si>
    <t xml:space="preserve">HOLIDAY / SHUTDOWN WINDOWS — drive the holiday check (edit the yellow dates)</t>
  </si>
  <si>
    <t xml:space="preserve">Window</t>
  </si>
  <si>
    <t xml:space="preserve">Start</t>
  </si>
  <si>
    <t xml:space="preserve">End</t>
  </si>
  <si>
    <t xml:space="preserve">Thanksgiving (US)</t>
  </si>
  <si>
    <t xml:space="preserve">Trotter likely closed Thu–Fri</t>
  </si>
  <si>
    <t xml:space="preserve">Christmas – New Year</t>
  </si>
  <si>
    <t xml:space="preserve">ASK: plant shutdown dates? PO-3 cuts and ships in this window</t>
  </si>
  <si>
    <t xml:space="preserve">Trotter plant shutdown (ASK)</t>
  </si>
  <si>
    <t xml:space="preserve">Fill in from the call</t>
  </si>
  <si>
    <t xml:space="preserve">Intuitive receiving closed (internal)</t>
  </si>
  <si>
    <t xml:space="preserve">Fill in from our own calendar</t>
  </si>
  <si>
    <t xml:space="preserve">Yield per Roll — Corrected Math, Both Orientations</t>
  </si>
  <si>
    <t xml:space="preserve">PLAN = Orientation A (24″ across the roll width) — the supplier's current cut and, at 101″ width, also the higher-yield cut. ALT = Orientation B (27″ across) — loses a full column at this width.</t>
  </si>
  <si>
    <t xml:space="preserve">PLAN — Orientation A</t>
  </si>
  <si>
    <t xml:space="preserve">ALT — Orientation B</t>
  </si>
  <si>
    <t xml:space="preserve">Cut footprint (across × along, in)</t>
  </si>
  <si>
    <t xml:space="preserve">Which piece dimension runs across the 101″ roll width</t>
  </si>
  <si>
    <t xml:space="preserve">Pieces across roll width</t>
  </si>
  <si>
    <t xml:space="preserve">Width scrap per row (in)</t>
  </si>
  <si>
    <t xml:space="preserve">A wastes only 5″ of width; B wastes 20″ — a 4th 27″ column needs 108″ and the roll is 101″</t>
  </si>
  <si>
    <t xml:space="preserve">Pieces along roll length</t>
  </si>
  <si>
    <t xml:space="preserve">End-of-roll scrap (in)</t>
  </si>
  <si>
    <t xml:space="preserve">Theoretical pieces per roll</t>
  </si>
  <si>
    <t xml:space="preserve">Perfect packing, no losses</t>
  </si>
  <si>
    <t xml:space="preserve">Material utilization (theoretical)</t>
  </si>
  <si>
    <t xml:space="preserve">Realized yield factor</t>
  </si>
  <si>
    <t xml:space="preserve">Backtracked from the 1,300-piece batch cut from one 750 ft roll (Inputs tab, B37)</t>
  </si>
  <si>
    <t xml:space="preserve">PLANNING PIECES PER ROLL</t>
  </si>
  <si>
    <t xml:space="preserve">Use these for ordering — drives the Order Cadence tab</t>
  </si>
  <si>
    <t xml:space="preserve">Value per roll at current piece price</t>
  </si>
  <si>
    <t xml:space="preserve">A advantage — extra pieces per roll</t>
  </si>
  <si>
    <t xml:space="preserve">A advantage (%)</t>
  </si>
  <si>
    <t xml:space="preserve">✓ Good news: at 101″ width the supplier's current cut (A) is also the best possible cut — nothing to renegotiate. The old file's 'B is +13%' conclusion only held at the assumed 110″ width; the break-even is 108″ (4 × 27″).</t>
  </si>
  <si>
    <t xml:space="preserve">Order Cadence — How Often to Get Rolls</t>
  </si>
  <si>
    <t xml:space="preserve">All values recalc from the Inputs tab. PLAN = Orientation A (supplier's current cut, best at 101″ width); B shown as the alternate.</t>
  </si>
  <si>
    <t xml:space="preserve">REQUIREMENT RATE</t>
  </si>
  <si>
    <t xml:space="preserve">Planning pieces per roll — A</t>
  </si>
  <si>
    <t xml:space="preserve">Planning pieces per roll — B (alt)</t>
  </si>
  <si>
    <t xml:space="preserve">COVERAGE PER ROLL — A (weeks)</t>
  </si>
  <si>
    <t xml:space="preserve">One roll ≈ 4.9 weeks of production — this IS the natural reorder cadence</t>
  </si>
  <si>
    <t xml:space="preserve">Coverage per roll — B (alt, weeks)</t>
  </si>
  <si>
    <t xml:space="preserve">Rolls needed per year — A (52 wks)</t>
  </si>
  <si>
    <t xml:space="preserve">Rolls needed per year — B (alt)</t>
  </si>
  <si>
    <t xml:space="preserve">REORDER POLICY (pull system)</t>
  </si>
  <si>
    <t xml:space="preserve">REORDER POINT (pieces)</t>
  </si>
  <si>
    <t xml:space="preserve">Release the next PO when on-hand + on-order ≤ this (≈ 4 weeks of production)</t>
  </si>
  <si>
    <t xml:space="preserve">Rolls per PO</t>
  </si>
  <si>
    <t xml:space="preserve">Lever — see the batching table below before changing</t>
  </si>
  <si>
    <t xml:space="preserve">Avg weeks between POs</t>
  </si>
  <si>
    <t xml:space="preserve">POs per year</t>
  </si>
  <si>
    <t xml:space="preserve">BATCHING OPTIONS — rolls per PO vs inventory carried</t>
  </si>
  <si>
    <t xml:space="preserve">Pieces per delivery</t>
  </si>
  <si>
    <t xml:space="preserve">Coverage per delivery (wks)</t>
  </si>
  <si>
    <t xml:space="preserve">Value per delivery ($)</t>
  </si>
  <si>
    <t xml:space="preserve">Peak inventory (pcs)</t>
  </si>
  <si>
    <t xml:space="preserve">Peak (weeks of prod.)</t>
  </si>
  <si>
    <t xml:space="preserve">Coverage if cut as B (wks)</t>
  </si>
  <si>
    <t xml:space="preserve">IF PRODUCTION CHANGES — sensitivity (edit the yellow rates)</t>
  </si>
  <si>
    <t xml:space="preserve">Weekly production</t>
  </si>
  <si>
    <t xml:space="preserve">Coverage per roll — A (wks)</t>
  </si>
  <si>
    <t xml:space="preserve">Avg weeks between POs — A</t>
  </si>
  <si>
    <t xml:space="preserve">POs per year — A</t>
  </si>
  <si>
    <t xml:space="preserve">POs per year — B (alt)</t>
  </si>
  <si>
    <t xml:space="preserve">Note: above ~325 pcs/week one roll (1,300) covers less than the 4-week reorder window (lead time + safety) — move to 2-roll POs or trim safety stock at that point.</t>
  </si>
  <si>
    <t xml:space="preserve">6-Month Forecast — Oct 2026 through Mar 2027</t>
  </si>
  <si>
    <t xml:space="preserve">26 weekly buckets starting Mon 9/28/2026, driven by the reorder-point pull policy. Starting on-hand comes from the physical count and PO-0 from the Inputs tab. Column L marks the week Trotter cuts each PO (dates from the PO Schedule tab).</t>
  </si>
  <si>
    <t xml:space="preserve">FORECAST INPUTS</t>
  </si>
  <si>
    <t xml:space="preserve">Forecast start (Monday)</t>
  </si>
  <si>
    <t xml:space="preserve">First full week of the outlook</t>
  </si>
  <si>
    <t xml:space="preserve">Starting on-hand (pieces)</t>
  </si>
  <si>
    <t xml:space="preserve">Weekly demand (pieces)</t>
  </si>
  <si>
    <t xml:space="preserve">Lead time (weeks)</t>
  </si>
  <si>
    <t xml:space="preserve">PO-0 open at start (pieces)</t>
  </si>
  <si>
    <t xml:space="preserve">WEEKLY SCHEDULE (auto-generated from the policy)</t>
  </si>
  <si>
    <t xml:space="preserve">Wk</t>
  </si>
  <si>
    <t xml:space="preserve">Week of</t>
  </si>
  <si>
    <t xml:space="preserve">Beg Inv</t>
  </si>
  <si>
    <t xml:space="preserve">Receipts</t>
  </si>
  <si>
    <t xml:space="preserve">Avail</t>
  </si>
  <si>
    <t xml:space="preserve">Demand</t>
  </si>
  <si>
    <t xml:space="preserve">End Inv</t>
  </si>
  <si>
    <t xml:space="preserve">PO Released</t>
  </si>
  <si>
    <t xml:space="preserve">On Order</t>
  </si>
  <si>
    <t xml:space="preserve">Inv Position</t>
  </si>
  <si>
    <t xml:space="preserve">Status</t>
  </si>
  <si>
    <t xml:space="preserve">Trotter cut week</t>
  </si>
  <si>
    <t xml:space="preserve">HORIZON SUMMARY</t>
  </si>
  <si>
    <t xml:space="preserve">POs released (rolls ordered)</t>
  </si>
  <si>
    <t xml:space="preserve">Excludes PO-0, released before the horizon (Inputs rows 54–61); its receipt IS counted in "Pieces received"</t>
  </si>
  <si>
    <t xml:space="preserve">Pieces ordered</t>
  </si>
  <si>
    <t xml:space="preserve">Pieces received in horizon</t>
  </si>
  <si>
    <t xml:space="preserve">Total demand</t>
  </si>
  <si>
    <t xml:space="preserve">Lowest weekly ending inventory</t>
  </si>
  <si>
    <t xml:space="preserve">Stockout weeks</t>
  </si>
  <si>
    <t xml:space="preserve">Value of POs released</t>
  </si>
  <si>
    <t xml:space="preserve">MONTHLY ROLL-UP</t>
  </si>
  <si>
    <t xml:space="preserve">Month</t>
  </si>
  <si>
    <t xml:space="preserve">Weeks</t>
  </si>
  <si>
    <t xml:space="preserve">Demand (pcs)</t>
  </si>
  <si>
    <t xml:space="preserve">POs released</t>
  </si>
  <si>
    <t xml:space="preserve">Pieces received</t>
  </si>
  <si>
    <t xml:space="preserve">Sep-26 row is the single partial week (week of 9/28) that starts the horizon.</t>
  </si>
  <si>
    <t xml:space="preserve">Supplier (Trotter) Provided Information</t>
  </si>
  <si>
    <t xml:space="preserve">Source: supplier email received Sep 24, 2026, ahead of the meeting to review the 6-month outlook. Incorporated into planning as supplier-provided data.</t>
  </si>
  <si>
    <t xml:space="preserve">Item</t>
  </si>
  <si>
    <t xml:space="preserve">Detail</t>
  </si>
  <si>
    <t xml:space="preserve">Planning impact</t>
  </si>
  <si>
    <t xml:space="preserve">Standard turnaround time</t>
  </si>
  <si>
    <t xml:space="preserve">2 weeks (their standard)</t>
  </si>
  <si>
    <t xml:space="preserve">Confirms the 14-day turnaround leg of the 19-day lead time. Planning lead time stays 3 weeks.</t>
  </si>
  <si>
    <t xml:space="preserve">≈ one 750 ft roll (planning yield 1,312). Used as the default starting on-hand in the 6-Month Forecast — replace with the actual count.</t>
  </si>
  <si>
    <t xml:space="preserve">~1 day per roll — includes slitting the roll on their end</t>
  </si>
  <si>
    <t xml:space="preserve">The 2-week standard TAT is queue/scheduling time, not machine time. Expedites are realistic if ever needed, and 11 rolls/yr ≈ 11 machine-days — no capacity concern.</t>
  </si>
  <si>
    <t xml:space="preserve">Meeting scope</t>
  </si>
  <si>
    <t xml:space="preserve">Review the 6-month outlook schedule vs their standard 2-week turnaround</t>
  </si>
  <si>
    <t xml:space="preserve">The 6-Month Forecast tab of this workbook is that outlook.</t>
  </si>
  <si>
    <t xml:space="preserve">Questions for the 9/24 call</t>
  </si>
  <si>
    <t xml:space="preserve">Leg-by-leg on the Cycle Time tab, column H</t>
  </si>
  <si>
    <t xml:space="preserve">Type their answers into the 'Confirmed on call' column (D) of the Cycle Time tab — the plan recalcs live.</t>
  </si>
  <si>
    <t xml:space="preserve">EMAIL TEXT (VERBATIM)</t>
  </si>
  <si>
    <t xml:space="preserve">Hi Oscar,</t>
  </si>
  <si>
    <t xml:space="preserve">Looking forward to our chat this afternoon. I just want to confirm that we will review the schedule for a 6-month outlook that you have developed, ensuring it aligns with our standard 2-week turnaround time.</t>
  </si>
  <si>
    <t xml:space="preserve">Additionally, I wanted to pass along a helpful detail that Todd shared with me regarding our production capacity: your last purchase order for 1,300 units of 24x27 took just 1 day to cut, and that timeframe includes us slitting the roll on our end.</t>
  </si>
  <si>
    <t xml:space="preserve">If there is anything else you need us to provide ahead of our meeting, please let me know. We truly appreciate the efforts you and your team are making to streamline this process.</t>
  </si>
  <si>
    <t xml:space="preserve">Best regards,</t>
  </si>
  <si>
    <t xml:space="preserve">Assumptions, Provenance &amp; Change Log</t>
  </si>
  <si>
    <t xml:space="preserve">What is fact vs assumption, the SAP actions, and what was removed from v4 and why.</t>
  </si>
  <si>
    <t xml:space="preserve">DATA STATUS — confirm the orange items</t>
  </si>
  <si>
    <t xml:space="preserve">Value</t>
  </si>
  <si>
    <t xml:space="preserve">Source / action</t>
  </si>
  <si>
    <t xml:space="preserve">Pieces delivered (150 ft roll)</t>
  </si>
  <si>
    <t xml:space="preserve">ACTUAL</t>
  </si>
  <si>
    <t xml:space="preserve">Supplier delivery count</t>
  </si>
  <si>
    <t xml:space="preserve">Supplier quote — invoice total recomputes to $106.60 exactly</t>
  </si>
  <si>
    <t xml:space="preserve">Piece size</t>
  </si>
  <si>
    <t xml:space="preserve">SPEC</t>
  </si>
  <si>
    <t xml:space="preserve">Part drawing — check for grain/weave orientation callout</t>
  </si>
  <si>
    <t xml:space="preserve">Prior roll</t>
  </si>
  <si>
    <t xml:space="preserve">The delivered roll the yield is derived from</t>
  </si>
  <si>
    <t xml:space="preserve">Last PO (actual)</t>
  </si>
  <si>
    <t xml:space="preserve">SUPPLIER (TROTTER)</t>
  </si>
  <si>
    <t xml:space="preserve">Supplier email 9/24/2026 — cut in ~1 day including slitting on their end</t>
  </si>
  <si>
    <t xml:space="preserve">Future roll</t>
  </si>
  <si>
    <t xml:space="preserve">STATED</t>
  </si>
  <si>
    <t xml:space="preserve">Confirmed by Oscar, Aug 3 2026 — 750 ft long, width corrected to 101″ (v4 assumed 110″)</t>
  </si>
  <si>
    <t xml:space="preserve">DERIVED</t>
  </si>
  <si>
    <t xml:space="preserve">Backtracked from the 1,300-piece batch (last PO, one 750 ft roll). Cross-check: 98.5% on the 150 ft first delivery.</t>
  </si>
  <si>
    <t xml:space="preserve">ASSUMPTION</t>
  </si>
  <si>
    <t xml:space="preserve">Carried from prior file — the 6-month outlook is built on it; review at the supplier meeting</t>
  </si>
  <si>
    <t xml:space="preserve">Leg-by-leg on the Cycle Time tab (3 scenarios; selector in B5). 14-day leg = supplier's standard 2-week TAT (email 9/24/2026). Fill the 'Confirmed on call' column at the 9/24 meeting.</t>
  </si>
  <si>
    <t xml:space="preserve">Safety stock</t>
  </si>
  <si>
    <t xml:space="preserve">POLICY</t>
  </si>
  <si>
    <t xml:space="preserve">Adjust to taste; raise if supplier reliability is unproven at this cadence</t>
  </si>
  <si>
    <t xml:space="preserve">Orientation choice</t>
  </si>
  <si>
    <t xml:space="preserve">A — supplier's current cut</t>
  </si>
  <si>
    <t xml:space="preserve">RESOLVED</t>
  </si>
  <si>
    <t xml:space="preserve">At 101″ width A is also the higher-yield cut (1,312 vs 1,108 planning pcs/roll) — nothing to change or negotiate</t>
  </si>
  <si>
    <t xml:space="preserve">ACTION ITEMS — SAP SETUP</t>
  </si>
  <si>
    <t xml:space="preserve">1. Create the on-hand order trigger in SAP</t>
  </si>
  <si>
    <t xml:space="preserve">MRP type: reorder point (e.g., VB)</t>
  </si>
  <si>
    <t xml:space="preserve">TO DO</t>
  </si>
  <si>
    <t xml:space="preserve">Set the material to reorder-point MRP so a PO fires automatically when on-hand + on-order drops to the ROP — the trigger 'as stated in the file'. Enter the four values below.</t>
  </si>
  <si>
    <t xml:space="preserve">      Reorder point</t>
  </si>
  <si>
    <t xml:space="preserve">(3 wks lead + 1 wk safety) × weekly production — live from the Order Cadence tab</t>
  </si>
  <si>
    <t xml:space="preserve">      Fixed lot size (1 roll)</t>
  </si>
  <si>
    <t xml:space="preserve">One PO = one roll. Update if you ever move to 2-roll POs</t>
  </si>
  <si>
    <t xml:space="preserve">      Safety stock</t>
  </si>
  <si>
    <t xml:space="preserve">1 week of production</t>
  </si>
  <si>
    <t xml:space="preserve">      Planned delivery time</t>
  </si>
  <si>
    <t xml:space="preserve">From the Cycle Time tab: SAP planned delivery time = legs 1 → 4a; goods-receipt processing time = leg 4b (our dock-to-stock). Verify each leg on the call before entering.</t>
  </si>
  <si>
    <t xml:space="preserve">2. Create a part number for the mesh</t>
  </si>
  <si>
    <t xml:space="preserve">Create the material master for the cut piece (UOM: EA; price $0.41; source = cutting supplier), then attach the MRP values above to that material.</t>
  </si>
  <si>
    <t xml:space="preserve">      Raw roll part number?</t>
  </si>
  <si>
    <t xml:space="preserve">DECIDE</t>
  </si>
  <si>
    <t xml:space="preserve">Only needed if Intuitive buys the roll from Trotter and subcontracts the cutting; skip if you only ever buy finished pieces.</t>
  </si>
  <si>
    <t xml:space="preserve">WATCH-OUTS</t>
  </si>
  <si>
    <t xml:space="preserve">• Width is the pivot: Orientation B only beats A if the roll is at least 108″ wide (4 × 27″). At 101″, B loses a full column and yields 18% less. If Trotter's width spec ever changes, re-check the Yield tab — it recalcs automatically and the better column may flip.</t>
  </si>
  <si>
    <t xml:space="preserve">• Cold start: with no opening stock, the first delivery lands ~3 weeks after PO #1. Seed roughly 4 weeks of inventory (≈1,080 pieces) before cutover, or expedite the first roll — the supplier's ~1-day actual cut time makes an expedite realistic.</t>
  </si>
  <si>
    <t xml:space="preserve">• Batching lever: 1 roll per PO ≈ 11 POs/year with ~5.9 weeks of peak stock. Two rolls per PO halves the POs but nearly doubles peak inventory (and raw mesh held at the cutter) — see the batching table before committing.</t>
  </si>
  <si>
    <t xml:space="preserve">• The cadence is robust to yield at this roll size: a 2-point swing in realized yield moves coverage per roll by only ~0.1 week.</t>
  </si>
  <si>
    <t xml:space="preserve">REMOVED FROM v4 — AND WHY</t>
  </si>
  <si>
    <t xml:space="preserve">• Cover &amp; meeting agenda — one-time meeting content; superseded by this planning file.</t>
  </si>
  <si>
    <t xml:space="preserve">• 'Orientation Detail' tab — nearly every formula referenced the wrong row (e.g. theoretical pieces = roll width × roll length = 198,000; scrap computed as large negative numbers). Correct math now lives on 'Yield per Roll'.</t>
  </si>
  <si>
    <t xml:space="preserve">• 'Trotter Shipments' tab — the holding-time comparison subtracted each value from itself (always 0). Its real question (how many rolls per shipment/PO) now lives in the batching table with working formulas.</t>
  </si>
  <si>
    <t xml:space="preserve">• 'Scenarios' + both 'Scheduling' tabs — the 26-week ROP simulation is superseded by the steady-state cadence math on 'Order Cadence' and the dated 6-Month Forecast tab.</t>
  </si>
  <si>
    <t xml:space="preserve">• 'Yield Sensitivity' grid — replaced by the production-rate sensitivity; at this roll size realistic yield swings barely move the cadence (see watch-outs).</t>
  </si>
  <si>
    <t xml:space="preserve">• Stray value 35 in Inputs!D12 of v4 — copy-paste orphan.</t>
  </si>
  <si>
    <t xml:space="preserve">• v5 (9/24/2026, pre-meeting): (1) planning batch = 1,300 pieces per roll — the last PO actual — with yield backtracked from it (1,300 ÷ 1,332 = 97.6%) instead of the 150 ft roll's 98.5%; order quantity and SAP fixed lot size become 1,300. (2) Added the 'Cycle Time' tab (four legs × three scenarios, selector-driven) and the 'PO Schedule' tab (dated milestones per PO, fit check vs. the 2-week standard, holiday check); Inputs B27:B29 now link to Cycle Time. Total cycle 20 days (adds 1 day of our own dock-to-stock) — still 3 planning weeks, so the reorder point (1,080) is unchanged.</t>
  </si>
</sst>
</file>

<file path=xl/styles.xml><?xml version="1.0" encoding="utf-8"?>
<styleSheet xmlns="http://schemas.openxmlformats.org/spreadsheetml/2006/main">
  <numFmts count="16">
    <numFmt numFmtId="164" formatCode="General"/>
    <numFmt numFmtId="165" formatCode="ddd\ mm/dd/yy"/>
    <numFmt numFmtId="166" formatCode="#,##0"/>
    <numFmt numFmtId="167" formatCode="\$0.00"/>
    <numFmt numFmtId="168" formatCode="0.00"/>
    <numFmt numFmtId="169" formatCode="\$#,##0.00"/>
    <numFmt numFmtId="170" formatCode="0"/>
    <numFmt numFmtId="171" formatCode="0.0%"/>
    <numFmt numFmtId="172" formatCode="mm/dd/yyyy"/>
    <numFmt numFmtId="173" formatCode="0.0"/>
    <numFmt numFmtId="174" formatCode="@"/>
    <numFmt numFmtId="175" formatCode="&quot;PO-&quot;0"/>
    <numFmt numFmtId="176" formatCode="mm/dd/yy"/>
    <numFmt numFmtId="177" formatCode="0&quot; POs&quot;"/>
    <numFmt numFmtId="178" formatCode="\$#,##0"/>
    <numFmt numFmtId="179" formatCode="mmm\-yy"/>
  </numFmts>
  <fonts count="2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95959"/>
      <name val="Arial"/>
      <family val="0"/>
      <charset val="1"/>
    </font>
    <font>
      <b val="true"/>
      <sz val="11"/>
      <color rgb="FFC55A11"/>
      <name val="Arial"/>
      <family val="0"/>
      <charset val="1"/>
    </font>
    <font>
      <b val="true"/>
      <sz val="11"/>
      <color rgb="FFFFFFFF"/>
      <name val="Arial"/>
      <family val="0"/>
      <charset val="1"/>
    </font>
    <font>
      <sz val="11"/>
      <name val="Arial"/>
      <family val="0"/>
      <charset val="1"/>
    </font>
    <font>
      <b val="true"/>
      <sz val="11"/>
      <name val="Arial"/>
      <family val="0"/>
      <charset val="1"/>
    </font>
    <font>
      <b val="true"/>
      <sz val="11"/>
      <color rgb="FF2A7F62"/>
      <name val="Arial"/>
      <family val="0"/>
      <charset val="1"/>
    </font>
    <font>
      <sz val="9"/>
      <color rgb="FF595959"/>
      <name val="Arial"/>
      <family val="0"/>
      <charset val="1"/>
    </font>
    <font>
      <b val="true"/>
      <sz val="14"/>
      <name val="Arial"/>
      <family val="0"/>
      <charset val="1"/>
    </font>
    <font>
      <i val="true"/>
      <sz val="9"/>
      <color rgb="FF595959"/>
      <name val="Arial"/>
      <family val="0"/>
      <charset val="1"/>
    </font>
    <font>
      <sz val="10"/>
      <name val="Arial"/>
      <family val="0"/>
      <charset val="1"/>
    </font>
    <font>
      <sz val="10"/>
      <color rgb="FF008000"/>
      <name val="Arial"/>
      <family val="0"/>
      <charset val="1"/>
    </font>
    <font>
      <b val="true"/>
      <sz val="10"/>
      <color rgb="FFC55A11"/>
      <name val="Arial"/>
      <family val="0"/>
      <charset val="1"/>
    </font>
    <font>
      <b val="true"/>
      <sz val="10"/>
      <name val="Arial"/>
      <family val="0"/>
      <charset val="1"/>
    </font>
    <font>
      <sz val="10"/>
      <color rgb="FF0000FF"/>
      <name val="Arial"/>
      <family val="0"/>
      <charset val="1"/>
    </font>
    <font>
      <b val="true"/>
      <sz val="9"/>
      <color rgb="FFC55A11"/>
      <name val="Arial"/>
      <family val="0"/>
      <charset val="1"/>
    </font>
    <font>
      <b val="true"/>
      <sz val="10"/>
      <color rgb="FF0000FF"/>
      <name val="Arial"/>
      <family val="0"/>
      <charset val="1"/>
    </font>
    <font>
      <sz val="8"/>
      <color rgb="FF595959"/>
      <name val="Arial"/>
      <family val="0"/>
      <charset val="1"/>
    </font>
    <font>
      <b val="true"/>
      <sz val="8"/>
      <color rgb="FF595959"/>
      <name val="Arial"/>
      <family val="0"/>
      <charset val="1"/>
    </font>
    <font>
      <sz val="9"/>
      <color rgb="FFC55A11"/>
      <name val="Arial"/>
      <family val="0"/>
      <charset val="1"/>
    </font>
    <font>
      <b val="true"/>
      <sz val="9"/>
      <color rgb="FF008000"/>
      <name val="Arial"/>
      <family val="0"/>
      <charset val="1"/>
    </font>
    <font>
      <b val="true"/>
      <sz val="10"/>
      <color rgb="FF008000"/>
      <name val="Arial"/>
      <family val="0"/>
      <charset val="1"/>
    </font>
  </fonts>
  <fills count="8">
    <fill>
      <patternFill patternType="none"/>
    </fill>
    <fill>
      <patternFill patternType="gray125"/>
    </fill>
    <fill>
      <patternFill patternType="solid">
        <fgColor rgb="FF1B2A41"/>
        <bgColor rgb="FF003366"/>
      </patternFill>
    </fill>
    <fill>
      <patternFill patternType="solid">
        <fgColor rgb="FFF2F2F2"/>
        <bgColor rgb="FFE2EFDA"/>
      </patternFill>
    </fill>
    <fill>
      <patternFill patternType="solid">
        <fgColor rgb="FFDDEBF7"/>
        <bgColor rgb="FFE2EFDA"/>
      </patternFill>
    </fill>
    <fill>
      <patternFill patternType="solid">
        <fgColor rgb="FFFFFF00"/>
        <bgColor rgb="FFFFFF00"/>
      </patternFill>
    </fill>
    <fill>
      <patternFill patternType="solid">
        <fgColor rgb="FFD9D9D9"/>
        <bgColor rgb="FFDDEBF7"/>
      </patternFill>
    </fill>
    <fill>
      <patternFill patternType="solid">
        <fgColor rgb="FFE2EFDA"/>
        <bgColor rgb="FFDDEBF7"/>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5" fontId="8" fillId="0" borderId="0" xfId="0" applyFont="true" applyBorder="false" applyAlignment="true" applyProtection="false">
      <alignment horizontal="general" vertical="center"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6" fontId="17" fillId="4"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0" fontId="18" fillId="5"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6" fontId="18" fillId="5" borderId="0" xfId="0" applyFont="true" applyBorder="false" applyAlignment="true" applyProtection="false">
      <alignment horizontal="general" vertical="bottom" textRotation="0" wrapText="false" indent="0" shrinkToFit="false"/>
      <protection locked="true" hidden="false"/>
    </xf>
    <xf numFmtId="167" fontId="18" fillId="5" borderId="0" xfId="0" applyFont="true" applyBorder="false" applyAlignment="true" applyProtection="false">
      <alignment horizontal="general" vertical="bottom" textRotation="0" wrapText="false" indent="0" shrinkToFit="false"/>
      <protection locked="true" hidden="false"/>
    </xf>
    <xf numFmtId="171" fontId="17" fillId="4"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2" fontId="18" fillId="5"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2" fontId="15" fillId="0" borderId="0" xfId="0" applyFont="true" applyBorder="false" applyAlignment="true" applyProtection="false">
      <alignment horizontal="general" vertical="bottom" textRotation="0" wrapText="false" indent="0" shrinkToFit="false"/>
      <protection locked="true" hidden="false"/>
    </xf>
    <xf numFmtId="173" fontId="17" fillId="4"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70" fontId="18" fillId="5" borderId="0" xfId="0" applyFont="true" applyBorder="false" applyAlignment="true" applyProtection="false">
      <alignment horizontal="general" vertical="top" textRotation="0" wrapText="false" indent="0" shrinkToFit="false"/>
      <protection locked="true" hidden="false"/>
    </xf>
    <xf numFmtId="170" fontId="17"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70" fontId="21"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7" fillId="4"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top" textRotation="0" wrapText="false" indent="0" shrinkToFit="false"/>
      <protection locked="true" hidden="false"/>
    </xf>
    <xf numFmtId="166" fontId="15" fillId="0" borderId="0" xfId="0" applyFont="true" applyBorder="false" applyAlignment="true" applyProtection="false">
      <alignment horizontal="general" vertical="top" textRotation="0" wrapText="false" indent="0" shrinkToFit="false"/>
      <protection locked="true" hidden="false"/>
    </xf>
    <xf numFmtId="166" fontId="14" fillId="0" borderId="0" xfId="0" applyFont="true" applyBorder="false" applyAlignment="true" applyProtection="false">
      <alignment horizontal="general" vertical="top" textRotation="0" wrapText="false" indent="0" shrinkToFit="false"/>
      <protection locked="true" hidden="false"/>
    </xf>
    <xf numFmtId="164" fontId="17" fillId="4" borderId="0" xfId="0" applyFont="true" applyBorder="false" applyAlignment="true" applyProtection="false">
      <alignment horizontal="general" vertical="top" textRotation="0" wrapText="true" indent="0" shrinkToFit="false"/>
      <protection locked="true" hidden="false"/>
    </xf>
    <xf numFmtId="166" fontId="17" fillId="4" borderId="0" xfId="0" applyFont="true" applyBorder="false" applyAlignment="true" applyProtection="false">
      <alignment horizontal="general" vertical="top" textRotation="0" wrapText="false" indent="0" shrinkToFit="false"/>
      <protection locked="true" hidden="false"/>
    </xf>
    <xf numFmtId="173" fontId="14" fillId="0" borderId="0" xfId="0" applyFont="true" applyBorder="false" applyAlignment="true" applyProtection="false">
      <alignment horizontal="general" vertical="top" textRotation="0" wrapText="false" indent="0" shrinkToFit="false"/>
      <protection locked="true" hidden="false"/>
    </xf>
    <xf numFmtId="174" fontId="14" fillId="0" borderId="0" xfId="0" applyFont="true" applyBorder="false" applyAlignment="true" applyProtection="false">
      <alignment horizontal="general" vertical="top" textRotation="0" wrapText="false" indent="0" shrinkToFit="false"/>
      <protection locked="true" hidden="false"/>
    </xf>
    <xf numFmtId="169" fontId="14"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76" fontId="14" fillId="0"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6" fontId="17" fillId="4" borderId="0" xfId="0" applyFont="true" applyBorder="false" applyAlignment="true" applyProtection="false">
      <alignment horizontal="general" vertical="bottom" textRotation="0" wrapText="false" indent="0" shrinkToFit="false"/>
      <protection locked="true" hidden="false"/>
    </xf>
    <xf numFmtId="177" fontId="17" fillId="4" borderId="0" xfId="0" applyFont="true" applyBorder="false" applyAlignment="true" applyProtection="false">
      <alignment horizontal="general" vertical="bottom" textRotation="0" wrapText="false" indent="0" shrinkToFit="false"/>
      <protection locked="true" hidden="false"/>
    </xf>
    <xf numFmtId="169" fontId="17" fillId="4" borderId="0" xfId="0" applyFont="true" applyBorder="false" applyAlignment="tru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71" fontId="15" fillId="0" borderId="0" xfId="0" applyFont="true" applyBorder="false" applyAlignment="true" applyProtection="false">
      <alignment horizontal="general" vertical="bottom" textRotation="0" wrapText="false" indent="0" shrinkToFit="false"/>
      <protection locked="true" hidden="false"/>
    </xf>
    <xf numFmtId="168" fontId="17" fillId="4"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general" vertical="top" textRotation="0" wrapText="true" indent="0" shrinkToFit="false"/>
      <protection locked="true" hidden="false"/>
    </xf>
    <xf numFmtId="170" fontId="17" fillId="7" borderId="0" xfId="0" applyFont="true" applyBorder="false" applyAlignment="true" applyProtection="false">
      <alignment horizontal="general" vertical="bottom" textRotation="0" wrapText="false" indent="0" shrinkToFit="false"/>
      <protection locked="true" hidden="false"/>
    </xf>
    <xf numFmtId="166" fontId="14" fillId="7" borderId="0" xfId="0" applyFont="true" applyBorder="false" applyAlignment="true" applyProtection="false">
      <alignment horizontal="general" vertical="bottom" textRotation="0" wrapText="false" indent="0" shrinkToFit="false"/>
      <protection locked="true" hidden="false"/>
    </xf>
    <xf numFmtId="173" fontId="14" fillId="7" borderId="0" xfId="0" applyFont="true" applyBorder="false" applyAlignment="true" applyProtection="false">
      <alignment horizontal="general" vertical="bottom" textRotation="0" wrapText="false" indent="0" shrinkToFit="false"/>
      <protection locked="true" hidden="false"/>
    </xf>
    <xf numFmtId="178" fontId="14" fillId="7" borderId="0" xfId="0" applyFont="true" applyBorder="false" applyAlignment="true" applyProtection="false">
      <alignment horizontal="general" vertical="bottom"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9" fontId="14"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7" fontId="1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E699"/>
        </patternFill>
      </fill>
    </dxf>
    <dxf>
      <fill>
        <patternFill>
          <bgColor rgb="FFE2EFDA"/>
        </patternFill>
      </fill>
    </dxf>
    <dxf>
      <fill>
        <patternFill>
          <bgColor rgb="FFDDEBF7"/>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C55A11"/>
      <rgbColor rgb="FF595959"/>
      <rgbColor rgb="FF969696"/>
      <rgbColor rgb="FF003366"/>
      <rgbColor rgb="FF2A7F62"/>
      <rgbColor rgb="FF003300"/>
      <rgbColor rgb="FF333300"/>
      <rgbColor rgb="FF993300"/>
      <rgbColor rgb="FF993366"/>
      <rgbColor rgb="FF333399"/>
      <rgbColor rgb="FF1B2A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24"/>
    <col collapsed="false" customWidth="true" hidden="false" outlineLevel="0" max="4" min="4" style="1" width="26"/>
    <col collapsed="false" customWidth="true" hidden="false" outlineLevel="0" max="6" min="5" style="1" width="18"/>
    <col collapsed="false" customWidth="true" hidden="false" outlineLevel="0" max="7" min="7" style="1" width="46"/>
  </cols>
  <sheetData>
    <row r="1" customFormat="false" ht="19.5" hidden="false" customHeight="true" outlineLevel="0" collapsed="false">
      <c r="A1" s="2" t="s">
        <v>0</v>
      </c>
    </row>
    <row r="2" customFormat="false" ht="15" hidden="false" customHeight="true" outlineLevel="0" collapsed="false">
      <c r="A2" s="3" t="str">
        <f aca="false">"1 roll = "&amp;TEXT('Order Cadence'!B6,"#,##0")&amp;" pcs · we use "&amp;TEXT(Inputs!B26,"#,##0")&amp;" pcs/week · order when on-hand + on-order ≤ "&amp;TEXT('Order Cadence'!B16,"#,##0")&amp;" · Trotter: "&amp;Inputs!B28&amp;" days at their end, "&amp;Inputs!B30&amp;" days door to door"</f>
        <v>1 roll = 1,300 pcs · we use 250 pcs/week · order when on-hand + on-order ≤ 1,000 · Trotter: 14 days at their end, 20 days door to door</v>
      </c>
    </row>
    <row r="3" customFormat="false" ht="15" hidden="false" customHeight="true" outlineLevel="0" collapsed="false">
      <c r="A3" s="4" t="str">
        <f aca="false">"TODAY "&amp;TEXT(Inputs!B42,"m/d")&amp;": "&amp;TEXT(Inputs!B47,"#,##0")&amp;" pcs on hand → RELEASE PO-0 NOW. At the standard turnaround it lands "&amp;TEXT(Inputs!B57,"ddd m/d")&amp;" with ~"&amp;TEXT(Inputs!B60,"0")&amp;" days of cover left — ask Trotter for the first available cut slot."</f>
        <v>TODAY 9/24: 937 pcs on hand → RELEASE PO-0 NOW. At the standard turnaround it lands Mon 10/19 with ~2 days of cover left — ask Trotter for the first available cut slot.</v>
      </c>
    </row>
    <row r="5" customFormat="false" ht="31.5" hidden="false" customHeight="true" outlineLevel="0" collapsed="false">
      <c r="A5" s="5" t="s">
        <v>1</v>
      </c>
      <c r="B5" s="5" t="s">
        <v>2</v>
      </c>
      <c r="C5" s="5" t="s">
        <v>3</v>
      </c>
      <c r="D5" s="5" t="s">
        <v>4</v>
      </c>
      <c r="E5" s="5" t="s">
        <v>5</v>
      </c>
      <c r="F5" s="5" t="s">
        <v>6</v>
      </c>
      <c r="G5" s="5" t="s">
        <v>7</v>
      </c>
    </row>
    <row r="6" customFormat="false" ht="15" hidden="false" customHeight="true" outlineLevel="0" collapsed="false">
      <c r="A6" s="6" t="n">
        <f aca="false">'6-Month Forecast'!B14</f>
        <v>46293</v>
      </c>
      <c r="B6" s="7" t="n">
        <f aca="false">'6-Month Forecast'!C14</f>
        <v>837</v>
      </c>
      <c r="C6" s="8" t="str">
        <f aca="false">IF('6-Month Forecast'!H14&gt;0,"▲ Release PO-"&amp;COUNTIF('6-Month Forecast'!$H$14:H14,"&gt;0")&amp;" (1 roll)","")</f>
        <v/>
      </c>
      <c r="D6" s="9" t="str">
        <f aca="false">'6-Month Forecast'!L14</f>
        <v/>
      </c>
      <c r="E6" s="7" t="str">
        <f aca="false">IF('6-Month Forecast'!D14&gt;0,'6-Month Forecast'!D14,"")</f>
        <v/>
      </c>
      <c r="F6" s="7" t="n">
        <f aca="false">'6-Month Forecast'!G14</f>
        <v>587</v>
      </c>
      <c r="G6" s="10" t="str">
        <f aca="false">IF('6-Month Forecast'!G14&lt;0,"STOCKOUT",IF('6-Month Forecast'!G14&lt;Inputs!$B$26,"⚠ under a week of cover — PO-0 must land by here",IF('6-Month Forecast'!D14&gt;0,"Roll arrives (credited to this Monday)","")))</f>
        <v/>
      </c>
    </row>
    <row r="7" customFormat="false" ht="15" hidden="false" customHeight="true" outlineLevel="0" collapsed="false">
      <c r="A7" s="6" t="n">
        <f aca="false">'6-Month Forecast'!B15</f>
        <v>46300</v>
      </c>
      <c r="B7" s="7" t="n">
        <f aca="false">'6-Month Forecast'!C15</f>
        <v>587</v>
      </c>
      <c r="C7" s="8" t="str">
        <f aca="false">IF('6-Month Forecast'!H15&gt;0,"▲ Release PO-"&amp;COUNTIF('6-Month Forecast'!$H$14:H15,"&gt;0")&amp;" (1 roll)","")</f>
        <v/>
      </c>
      <c r="D7" s="9" t="str">
        <f aca="false">'6-Month Forecast'!L15</f>
        <v/>
      </c>
      <c r="E7" s="7" t="str">
        <f aca="false">IF('6-Month Forecast'!D15&gt;0,'6-Month Forecast'!D15,"")</f>
        <v/>
      </c>
      <c r="F7" s="7" t="n">
        <f aca="false">'6-Month Forecast'!G15</f>
        <v>337</v>
      </c>
      <c r="G7" s="10" t="str">
        <f aca="false">IF('6-Month Forecast'!G15&lt;0,"STOCKOUT",IF('6-Month Forecast'!G15&lt;Inputs!$B$26,"⚠ under a week of cover — PO-0 must land by here",IF('6-Month Forecast'!D15&gt;0,"Roll arrives (credited to this Monday)","")))</f>
        <v/>
      </c>
    </row>
    <row r="8" customFormat="false" ht="15" hidden="false" customHeight="true" outlineLevel="0" collapsed="false">
      <c r="A8" s="6" t="n">
        <f aca="false">'6-Month Forecast'!B16</f>
        <v>46307</v>
      </c>
      <c r="B8" s="7" t="n">
        <f aca="false">'6-Month Forecast'!C16</f>
        <v>337</v>
      </c>
      <c r="C8" s="8" t="str">
        <f aca="false">IF('6-Month Forecast'!H16&gt;0,"▲ Release PO-"&amp;COUNTIF('6-Month Forecast'!$H$14:H16,"&gt;0")&amp;" (1 roll)","")</f>
        <v/>
      </c>
      <c r="D8" s="9" t="str">
        <f aca="false">'6-Month Forecast'!L16</f>
        <v>▶ PO-0 cut at Trotter</v>
      </c>
      <c r="E8" s="7" t="str">
        <f aca="false">IF('6-Month Forecast'!D16&gt;0,'6-Month Forecast'!D16,"")</f>
        <v/>
      </c>
      <c r="F8" s="7" t="n">
        <f aca="false">'6-Month Forecast'!G16</f>
        <v>87</v>
      </c>
      <c r="G8" s="10" t="str">
        <f aca="false">IF('6-Month Forecast'!G16&lt;0,"STOCKOUT",IF('6-Month Forecast'!G16&lt;Inputs!$B$26,"⚠ under a week of cover — PO-0 must land by here",IF('6-Month Forecast'!D16&gt;0,"Roll arrives (credited to this Monday)","")))</f>
        <v>⚠ under a week of cover — PO-0 must land by here</v>
      </c>
    </row>
    <row r="9" customFormat="false" ht="15" hidden="false" customHeight="true" outlineLevel="0" collapsed="false">
      <c r="A9" s="6" t="n">
        <f aca="false">'6-Month Forecast'!B17</f>
        <v>46314</v>
      </c>
      <c r="B9" s="7" t="n">
        <f aca="false">'6-Month Forecast'!C17</f>
        <v>87</v>
      </c>
      <c r="C9" s="8" t="str">
        <f aca="false">IF('6-Month Forecast'!H17&gt;0,"▲ Release PO-"&amp;COUNTIF('6-Month Forecast'!$H$14:H17,"&gt;0")&amp;" (1 roll)","")</f>
        <v/>
      </c>
      <c r="D9" s="9" t="str">
        <f aca="false">'6-Month Forecast'!L17</f>
        <v/>
      </c>
      <c r="E9" s="7" t="n">
        <f aca="false">IF('6-Month Forecast'!D17&gt;0,'6-Month Forecast'!D17,"")</f>
        <v>1300</v>
      </c>
      <c r="F9" s="7" t="n">
        <f aca="false">'6-Month Forecast'!G17</f>
        <v>1137</v>
      </c>
      <c r="G9" s="10" t="str">
        <f aca="false">IF('6-Month Forecast'!G17&lt;0,"STOCKOUT",IF('6-Month Forecast'!G17&lt;Inputs!$B$26,"⚠ under a week of cover — PO-0 must land by here",IF('6-Month Forecast'!D17&gt;0,"Roll arrives (credited to this Monday)","")))</f>
        <v>Roll arrives (credited to this Monday)</v>
      </c>
    </row>
    <row r="10" customFormat="false" ht="15" hidden="false" customHeight="true" outlineLevel="0" collapsed="false">
      <c r="A10" s="6" t="n">
        <f aca="false">'6-Month Forecast'!B18</f>
        <v>46321</v>
      </c>
      <c r="B10" s="7" t="n">
        <f aca="false">'6-Month Forecast'!C18</f>
        <v>1137</v>
      </c>
      <c r="C10" s="8" t="str">
        <f aca="false">IF('6-Month Forecast'!H18&gt;0,"▲ Release PO-"&amp;COUNTIF('6-Month Forecast'!$H$14:H18,"&gt;0")&amp;" (1 roll)","")</f>
        <v>▲ Release PO-1 (1 roll)</v>
      </c>
      <c r="D10" s="9" t="str">
        <f aca="false">'6-Month Forecast'!L18</f>
        <v/>
      </c>
      <c r="E10" s="7" t="str">
        <f aca="false">IF('6-Month Forecast'!D18&gt;0,'6-Month Forecast'!D18,"")</f>
        <v/>
      </c>
      <c r="F10" s="7" t="n">
        <f aca="false">'6-Month Forecast'!G18</f>
        <v>887</v>
      </c>
      <c r="G10" s="10" t="str">
        <f aca="false">IF('6-Month Forecast'!G18&lt;0,"STOCKOUT",IF('6-Month Forecast'!G18&lt;Inputs!$B$26,"⚠ under a week of cover — PO-0 must land by here",IF('6-Month Forecast'!D18&gt;0,"Roll arrives (credited to this Monday)","")))</f>
        <v/>
      </c>
    </row>
    <row r="11" customFormat="false" ht="15" hidden="false" customHeight="true" outlineLevel="0" collapsed="false">
      <c r="A11" s="6" t="n">
        <f aca="false">'6-Month Forecast'!B19</f>
        <v>46328</v>
      </c>
      <c r="B11" s="7" t="n">
        <f aca="false">'6-Month Forecast'!C19</f>
        <v>887</v>
      </c>
      <c r="C11" s="8" t="str">
        <f aca="false">IF('6-Month Forecast'!H19&gt;0,"▲ Release PO-"&amp;COUNTIF('6-Month Forecast'!$H$14:H19,"&gt;0")&amp;" (1 roll)","")</f>
        <v/>
      </c>
      <c r="D11" s="9" t="str">
        <f aca="false">'6-Month Forecast'!L19</f>
        <v/>
      </c>
      <c r="E11" s="7" t="str">
        <f aca="false">IF('6-Month Forecast'!D19&gt;0,'6-Month Forecast'!D19,"")</f>
        <v/>
      </c>
      <c r="F11" s="7" t="n">
        <f aca="false">'6-Month Forecast'!G19</f>
        <v>637</v>
      </c>
      <c r="G11" s="10" t="str">
        <f aca="false">IF('6-Month Forecast'!G19&lt;0,"STOCKOUT",IF('6-Month Forecast'!G19&lt;Inputs!$B$26,"⚠ under a week of cover — PO-0 must land by here",IF('6-Month Forecast'!D19&gt;0,"Roll arrives (credited to this Monday)","")))</f>
        <v/>
      </c>
    </row>
    <row r="12" customFormat="false" ht="15" hidden="false" customHeight="true" outlineLevel="0" collapsed="false">
      <c r="A12" s="6" t="n">
        <f aca="false">'6-Month Forecast'!B20</f>
        <v>46335</v>
      </c>
      <c r="B12" s="7" t="n">
        <f aca="false">'6-Month Forecast'!C20</f>
        <v>637</v>
      </c>
      <c r="C12" s="8" t="str">
        <f aca="false">IF('6-Month Forecast'!H20&gt;0,"▲ Release PO-"&amp;COUNTIF('6-Month Forecast'!$H$14:H20,"&gt;0")&amp;" (1 roll)","")</f>
        <v/>
      </c>
      <c r="D12" s="9" t="str">
        <f aca="false">'6-Month Forecast'!L20</f>
        <v>▶ PO-1 cut at Trotter</v>
      </c>
      <c r="E12" s="7" t="str">
        <f aca="false">IF('6-Month Forecast'!D20&gt;0,'6-Month Forecast'!D20,"")</f>
        <v/>
      </c>
      <c r="F12" s="7" t="n">
        <f aca="false">'6-Month Forecast'!G20</f>
        <v>387</v>
      </c>
      <c r="G12" s="10" t="str">
        <f aca="false">IF('6-Month Forecast'!G20&lt;0,"STOCKOUT",IF('6-Month Forecast'!G20&lt;Inputs!$B$26,"⚠ under a week of cover — PO-0 must land by here",IF('6-Month Forecast'!D20&gt;0,"Roll arrives (credited to this Monday)","")))</f>
        <v/>
      </c>
    </row>
    <row r="13" customFormat="false" ht="15" hidden="false" customHeight="true" outlineLevel="0" collapsed="false">
      <c r="A13" s="6" t="n">
        <f aca="false">'6-Month Forecast'!B21</f>
        <v>46342</v>
      </c>
      <c r="B13" s="7" t="n">
        <f aca="false">'6-Month Forecast'!C21</f>
        <v>387</v>
      </c>
      <c r="C13" s="8" t="str">
        <f aca="false">IF('6-Month Forecast'!H21&gt;0,"▲ Release PO-"&amp;COUNTIF('6-Month Forecast'!$H$14:H21,"&gt;0")&amp;" (1 roll)","")</f>
        <v/>
      </c>
      <c r="D13" s="9" t="str">
        <f aca="false">'6-Month Forecast'!L21</f>
        <v/>
      </c>
      <c r="E13" s="7" t="n">
        <f aca="false">IF('6-Month Forecast'!D21&gt;0,'6-Month Forecast'!D21,"")</f>
        <v>1300</v>
      </c>
      <c r="F13" s="7" t="n">
        <f aca="false">'6-Month Forecast'!G21</f>
        <v>1437</v>
      </c>
      <c r="G13" s="10" t="str">
        <f aca="false">IF('6-Month Forecast'!G21&lt;0,"STOCKOUT",IF('6-Month Forecast'!G21&lt;Inputs!$B$26,"⚠ under a week of cover — PO-0 must land by here",IF('6-Month Forecast'!D21&gt;0,"Roll arrives (credited to this Monday)","")))</f>
        <v>Roll arrives (credited to this Monday)</v>
      </c>
    </row>
    <row r="14" customFormat="false" ht="15" hidden="false" customHeight="true" outlineLevel="0" collapsed="false">
      <c r="A14" s="6" t="n">
        <f aca="false">'6-Month Forecast'!B22</f>
        <v>46349</v>
      </c>
      <c r="B14" s="7" t="n">
        <f aca="false">'6-Month Forecast'!C22</f>
        <v>1437</v>
      </c>
      <c r="C14" s="8" t="str">
        <f aca="false">IF('6-Month Forecast'!H22&gt;0,"▲ Release PO-"&amp;COUNTIF('6-Month Forecast'!$H$14:H22,"&gt;0")&amp;" (1 roll)","")</f>
        <v/>
      </c>
      <c r="D14" s="9" t="str">
        <f aca="false">'6-Month Forecast'!L22</f>
        <v/>
      </c>
      <c r="E14" s="7" t="str">
        <f aca="false">IF('6-Month Forecast'!D22&gt;0,'6-Month Forecast'!D22,"")</f>
        <v/>
      </c>
      <c r="F14" s="7" t="n">
        <f aca="false">'6-Month Forecast'!G22</f>
        <v>1187</v>
      </c>
      <c r="G14" s="10" t="str">
        <f aca="false">IF('6-Month Forecast'!G22&lt;0,"STOCKOUT",IF('6-Month Forecast'!G22&lt;Inputs!$B$26,"⚠ under a week of cover — PO-0 must land by here",IF('6-Month Forecast'!D22&gt;0,"Roll arrives (credited to this Monday)","")))</f>
        <v/>
      </c>
    </row>
    <row r="15" customFormat="false" ht="15" hidden="false" customHeight="true" outlineLevel="0" collapsed="false">
      <c r="A15" s="6" t="n">
        <f aca="false">'6-Month Forecast'!B23</f>
        <v>46356</v>
      </c>
      <c r="B15" s="7" t="n">
        <f aca="false">'6-Month Forecast'!C23</f>
        <v>1187</v>
      </c>
      <c r="C15" s="8" t="str">
        <f aca="false">IF('6-Month Forecast'!H23&gt;0,"▲ Release PO-"&amp;COUNTIF('6-Month Forecast'!$H$14:H23,"&gt;0")&amp;" (1 roll)","")</f>
        <v>▲ Release PO-2 (1 roll)</v>
      </c>
      <c r="D15" s="9" t="str">
        <f aca="false">'6-Month Forecast'!L23</f>
        <v/>
      </c>
      <c r="E15" s="7" t="str">
        <f aca="false">IF('6-Month Forecast'!D23&gt;0,'6-Month Forecast'!D23,"")</f>
        <v/>
      </c>
      <c r="F15" s="7" t="n">
        <f aca="false">'6-Month Forecast'!G23</f>
        <v>937</v>
      </c>
      <c r="G15" s="10" t="str">
        <f aca="false">IF('6-Month Forecast'!G23&lt;0,"STOCKOUT",IF('6-Month Forecast'!G23&lt;Inputs!$B$26,"⚠ under a week of cover — PO-0 must land by here",IF('6-Month Forecast'!D23&gt;0,"Roll arrives (credited to this Monday)","")))</f>
        <v/>
      </c>
    </row>
    <row r="16" customFormat="false" ht="15" hidden="false" customHeight="true" outlineLevel="0" collapsed="false">
      <c r="A16" s="6" t="n">
        <f aca="false">'6-Month Forecast'!B24</f>
        <v>46363</v>
      </c>
      <c r="B16" s="7" t="n">
        <f aca="false">'6-Month Forecast'!C24</f>
        <v>937</v>
      </c>
      <c r="C16" s="8" t="str">
        <f aca="false">IF('6-Month Forecast'!H24&gt;0,"▲ Release PO-"&amp;COUNTIF('6-Month Forecast'!$H$14:H24,"&gt;0")&amp;" (1 roll)","")</f>
        <v/>
      </c>
      <c r="D16" s="9" t="str">
        <f aca="false">'6-Month Forecast'!L24</f>
        <v/>
      </c>
      <c r="E16" s="7" t="str">
        <f aca="false">IF('6-Month Forecast'!D24&gt;0,'6-Month Forecast'!D24,"")</f>
        <v/>
      </c>
      <c r="F16" s="7" t="n">
        <f aca="false">'6-Month Forecast'!G24</f>
        <v>687</v>
      </c>
      <c r="G16" s="10" t="str">
        <f aca="false">IF('6-Month Forecast'!G24&lt;0,"STOCKOUT",IF('6-Month Forecast'!G24&lt;Inputs!$B$26,"⚠ under a week of cover — PO-0 must land by here",IF('6-Month Forecast'!D24&gt;0,"Roll arrives (credited to this Monday)","")))</f>
        <v/>
      </c>
    </row>
    <row r="17" customFormat="false" ht="15" hidden="false" customHeight="true" outlineLevel="0" collapsed="false">
      <c r="A17" s="6" t="n">
        <f aca="false">'6-Month Forecast'!B25</f>
        <v>46370</v>
      </c>
      <c r="B17" s="7" t="n">
        <f aca="false">'6-Month Forecast'!C25</f>
        <v>687</v>
      </c>
      <c r="C17" s="8" t="str">
        <f aca="false">IF('6-Month Forecast'!H25&gt;0,"▲ Release PO-"&amp;COUNTIF('6-Month Forecast'!$H$14:H25,"&gt;0")&amp;" (1 roll)","")</f>
        <v/>
      </c>
      <c r="D17" s="9" t="str">
        <f aca="false">'6-Month Forecast'!L25</f>
        <v>▶ PO-2 cut at Trotter</v>
      </c>
      <c r="E17" s="7" t="str">
        <f aca="false">IF('6-Month Forecast'!D25&gt;0,'6-Month Forecast'!D25,"")</f>
        <v/>
      </c>
      <c r="F17" s="7" t="n">
        <f aca="false">'6-Month Forecast'!G25</f>
        <v>437</v>
      </c>
      <c r="G17" s="10" t="str">
        <f aca="false">IF('6-Month Forecast'!G25&lt;0,"STOCKOUT",IF('6-Month Forecast'!G25&lt;Inputs!$B$26,"⚠ under a week of cover — PO-0 must land by here",IF('6-Month Forecast'!D25&gt;0,"Roll arrives (credited to this Monday)","")))</f>
        <v/>
      </c>
    </row>
    <row r="18" customFormat="false" ht="15" hidden="false" customHeight="true" outlineLevel="0" collapsed="false">
      <c r="A18" s="6" t="n">
        <f aca="false">'6-Month Forecast'!B26</f>
        <v>46377</v>
      </c>
      <c r="B18" s="7" t="n">
        <f aca="false">'6-Month Forecast'!C26</f>
        <v>437</v>
      </c>
      <c r="C18" s="8" t="str">
        <f aca="false">IF('6-Month Forecast'!H26&gt;0,"▲ Release PO-"&amp;COUNTIF('6-Month Forecast'!$H$14:H26,"&gt;0")&amp;" (1 roll)","")</f>
        <v/>
      </c>
      <c r="D18" s="9" t="str">
        <f aca="false">'6-Month Forecast'!L26</f>
        <v/>
      </c>
      <c r="E18" s="7" t="n">
        <f aca="false">IF('6-Month Forecast'!D26&gt;0,'6-Month Forecast'!D26,"")</f>
        <v>1300</v>
      </c>
      <c r="F18" s="7" t="n">
        <f aca="false">'6-Month Forecast'!G26</f>
        <v>1487</v>
      </c>
      <c r="G18" s="10" t="str">
        <f aca="false">IF('6-Month Forecast'!G26&lt;0,"STOCKOUT",IF('6-Month Forecast'!G26&lt;Inputs!$B$26,"⚠ under a week of cover — PO-0 must land by here",IF('6-Month Forecast'!D26&gt;0,"Roll arrives (credited to this Monday)","")))</f>
        <v>Roll arrives (credited to this Monday)</v>
      </c>
    </row>
    <row r="19" customFormat="false" ht="15" hidden="false" customHeight="true" outlineLevel="0" collapsed="false">
      <c r="A19" s="6" t="n">
        <f aca="false">'6-Month Forecast'!B27</f>
        <v>46384</v>
      </c>
      <c r="B19" s="7" t="n">
        <f aca="false">'6-Month Forecast'!C27</f>
        <v>1487</v>
      </c>
      <c r="C19" s="8" t="str">
        <f aca="false">IF('6-Month Forecast'!H27&gt;0,"▲ Release PO-"&amp;COUNTIF('6-Month Forecast'!$H$14:H27,"&gt;0")&amp;" (1 roll)","")</f>
        <v/>
      </c>
      <c r="D19" s="9" t="str">
        <f aca="false">'6-Month Forecast'!L27</f>
        <v/>
      </c>
      <c r="E19" s="7" t="str">
        <f aca="false">IF('6-Month Forecast'!D27&gt;0,'6-Month Forecast'!D27,"")</f>
        <v/>
      </c>
      <c r="F19" s="7" t="n">
        <f aca="false">'6-Month Forecast'!G27</f>
        <v>1237</v>
      </c>
      <c r="G19" s="10" t="str">
        <f aca="false">IF('6-Month Forecast'!G27&lt;0,"STOCKOUT",IF('6-Month Forecast'!G27&lt;Inputs!$B$26,"⚠ under a week of cover — PO-0 must land by here",IF('6-Month Forecast'!D27&gt;0,"Roll arrives (credited to this Monday)","")))</f>
        <v/>
      </c>
    </row>
    <row r="20" customFormat="false" ht="15" hidden="false" customHeight="true" outlineLevel="0" collapsed="false">
      <c r="A20" s="6" t="n">
        <f aca="false">'6-Month Forecast'!B28</f>
        <v>46391</v>
      </c>
      <c r="B20" s="7" t="n">
        <f aca="false">'6-Month Forecast'!C28</f>
        <v>1237</v>
      </c>
      <c r="C20" s="8" t="str">
        <f aca="false">IF('6-Month Forecast'!H28&gt;0,"▲ Release PO-"&amp;COUNTIF('6-Month Forecast'!$H$14:H28,"&gt;0")&amp;" (1 roll)","")</f>
        <v>▲ Release PO-3 (1 roll)</v>
      </c>
      <c r="D20" s="9" t="str">
        <f aca="false">'6-Month Forecast'!L28</f>
        <v/>
      </c>
      <c r="E20" s="7" t="str">
        <f aca="false">IF('6-Month Forecast'!D28&gt;0,'6-Month Forecast'!D28,"")</f>
        <v/>
      </c>
      <c r="F20" s="7" t="n">
        <f aca="false">'6-Month Forecast'!G28</f>
        <v>987</v>
      </c>
      <c r="G20" s="10" t="str">
        <f aca="false">IF('6-Month Forecast'!G28&lt;0,"STOCKOUT",IF('6-Month Forecast'!G28&lt;Inputs!$B$26,"⚠ under a week of cover — PO-0 must land by here",IF('6-Month Forecast'!D28&gt;0,"Roll arrives (credited to this Monday)","")))</f>
        <v/>
      </c>
    </row>
    <row r="21" customFormat="false" ht="15" hidden="false" customHeight="true" outlineLevel="0" collapsed="false">
      <c r="A21" s="6" t="n">
        <f aca="false">'6-Month Forecast'!B29</f>
        <v>46398</v>
      </c>
      <c r="B21" s="7" t="n">
        <f aca="false">'6-Month Forecast'!C29</f>
        <v>987</v>
      </c>
      <c r="C21" s="8" t="str">
        <f aca="false">IF('6-Month Forecast'!H29&gt;0,"▲ Release PO-"&amp;COUNTIF('6-Month Forecast'!$H$14:H29,"&gt;0")&amp;" (1 roll)","")</f>
        <v/>
      </c>
      <c r="D21" s="9" t="str">
        <f aca="false">'6-Month Forecast'!L29</f>
        <v/>
      </c>
      <c r="E21" s="7" t="str">
        <f aca="false">IF('6-Month Forecast'!D29&gt;0,'6-Month Forecast'!D29,"")</f>
        <v/>
      </c>
      <c r="F21" s="7" t="n">
        <f aca="false">'6-Month Forecast'!G29</f>
        <v>737</v>
      </c>
      <c r="G21" s="10" t="str">
        <f aca="false">IF('6-Month Forecast'!G29&lt;0,"STOCKOUT",IF('6-Month Forecast'!G29&lt;Inputs!$B$26,"⚠ under a week of cover — PO-0 must land by here",IF('6-Month Forecast'!D29&gt;0,"Roll arrives (credited to this Monday)","")))</f>
        <v/>
      </c>
    </row>
    <row r="22" customFormat="false" ht="15" hidden="false" customHeight="true" outlineLevel="0" collapsed="false">
      <c r="A22" s="6" t="n">
        <f aca="false">'6-Month Forecast'!B30</f>
        <v>46405</v>
      </c>
      <c r="B22" s="7" t="n">
        <f aca="false">'6-Month Forecast'!C30</f>
        <v>737</v>
      </c>
      <c r="C22" s="8" t="str">
        <f aca="false">IF('6-Month Forecast'!H30&gt;0,"▲ Release PO-"&amp;COUNTIF('6-Month Forecast'!$H$14:H30,"&gt;0")&amp;" (1 roll)","")</f>
        <v/>
      </c>
      <c r="D22" s="9" t="str">
        <f aca="false">'6-Month Forecast'!L30</f>
        <v>▶ PO-3 cut at Trotter</v>
      </c>
      <c r="E22" s="7" t="str">
        <f aca="false">IF('6-Month Forecast'!D30&gt;0,'6-Month Forecast'!D30,"")</f>
        <v/>
      </c>
      <c r="F22" s="7" t="n">
        <f aca="false">'6-Month Forecast'!G30</f>
        <v>487</v>
      </c>
      <c r="G22" s="10" t="str">
        <f aca="false">IF('6-Month Forecast'!G30&lt;0,"STOCKOUT",IF('6-Month Forecast'!G30&lt;Inputs!$B$26,"⚠ under a week of cover — PO-0 must land by here",IF('6-Month Forecast'!D30&gt;0,"Roll arrives (credited to this Monday)","")))</f>
        <v/>
      </c>
    </row>
    <row r="23" customFormat="false" ht="15" hidden="false" customHeight="true" outlineLevel="0" collapsed="false">
      <c r="A23" s="6" t="n">
        <f aca="false">'6-Month Forecast'!B31</f>
        <v>46412</v>
      </c>
      <c r="B23" s="7" t="n">
        <f aca="false">'6-Month Forecast'!C31</f>
        <v>487</v>
      </c>
      <c r="C23" s="8" t="str">
        <f aca="false">IF('6-Month Forecast'!H31&gt;0,"▲ Release PO-"&amp;COUNTIF('6-Month Forecast'!$H$14:H31,"&gt;0")&amp;" (1 roll)","")</f>
        <v/>
      </c>
      <c r="D23" s="9" t="str">
        <f aca="false">'6-Month Forecast'!L31</f>
        <v/>
      </c>
      <c r="E23" s="7" t="n">
        <f aca="false">IF('6-Month Forecast'!D31&gt;0,'6-Month Forecast'!D31,"")</f>
        <v>1300</v>
      </c>
      <c r="F23" s="7" t="n">
        <f aca="false">'6-Month Forecast'!G31</f>
        <v>1537</v>
      </c>
      <c r="G23" s="10" t="str">
        <f aca="false">IF('6-Month Forecast'!G31&lt;0,"STOCKOUT",IF('6-Month Forecast'!G31&lt;Inputs!$B$26,"⚠ under a week of cover — PO-0 must land by here",IF('6-Month Forecast'!D31&gt;0,"Roll arrives (credited to this Monday)","")))</f>
        <v>Roll arrives (credited to this Monday)</v>
      </c>
    </row>
    <row r="24" customFormat="false" ht="15" hidden="false" customHeight="true" outlineLevel="0" collapsed="false">
      <c r="A24" s="6" t="n">
        <f aca="false">'6-Month Forecast'!B32</f>
        <v>46419</v>
      </c>
      <c r="B24" s="7" t="n">
        <f aca="false">'6-Month Forecast'!C32</f>
        <v>1537</v>
      </c>
      <c r="C24" s="8" t="str">
        <f aca="false">IF('6-Month Forecast'!H32&gt;0,"▲ Release PO-"&amp;COUNTIF('6-Month Forecast'!$H$14:H32,"&gt;0")&amp;" (1 roll)","")</f>
        <v/>
      </c>
      <c r="D24" s="9" t="str">
        <f aca="false">'6-Month Forecast'!L32</f>
        <v/>
      </c>
      <c r="E24" s="7" t="str">
        <f aca="false">IF('6-Month Forecast'!D32&gt;0,'6-Month Forecast'!D32,"")</f>
        <v/>
      </c>
      <c r="F24" s="7" t="n">
        <f aca="false">'6-Month Forecast'!G32</f>
        <v>1287</v>
      </c>
      <c r="G24" s="10" t="str">
        <f aca="false">IF('6-Month Forecast'!G32&lt;0,"STOCKOUT",IF('6-Month Forecast'!G32&lt;Inputs!$B$26,"⚠ under a week of cover — PO-0 must land by here",IF('6-Month Forecast'!D32&gt;0,"Roll arrives (credited to this Monday)","")))</f>
        <v/>
      </c>
    </row>
    <row r="25" customFormat="false" ht="15" hidden="false" customHeight="true" outlineLevel="0" collapsed="false">
      <c r="A25" s="6" t="n">
        <f aca="false">'6-Month Forecast'!B33</f>
        <v>46426</v>
      </c>
      <c r="B25" s="7" t="n">
        <f aca="false">'6-Month Forecast'!C33</f>
        <v>1287</v>
      </c>
      <c r="C25" s="8" t="str">
        <f aca="false">IF('6-Month Forecast'!H33&gt;0,"▲ Release PO-"&amp;COUNTIF('6-Month Forecast'!$H$14:H33,"&gt;0")&amp;" (1 roll)","")</f>
        <v/>
      </c>
      <c r="D25" s="9" t="str">
        <f aca="false">'6-Month Forecast'!L33</f>
        <v/>
      </c>
      <c r="E25" s="7" t="str">
        <f aca="false">IF('6-Month Forecast'!D33&gt;0,'6-Month Forecast'!D33,"")</f>
        <v/>
      </c>
      <c r="F25" s="7" t="n">
        <f aca="false">'6-Month Forecast'!G33</f>
        <v>1037</v>
      </c>
      <c r="G25" s="10" t="str">
        <f aca="false">IF('6-Month Forecast'!G33&lt;0,"STOCKOUT",IF('6-Month Forecast'!G33&lt;Inputs!$B$26,"⚠ under a week of cover — PO-0 must land by here",IF('6-Month Forecast'!D33&gt;0,"Roll arrives (credited to this Monday)","")))</f>
        <v/>
      </c>
    </row>
    <row r="26" customFormat="false" ht="15" hidden="false" customHeight="true" outlineLevel="0" collapsed="false">
      <c r="A26" s="6" t="n">
        <f aca="false">'6-Month Forecast'!B34</f>
        <v>46433</v>
      </c>
      <c r="B26" s="7" t="n">
        <f aca="false">'6-Month Forecast'!C34</f>
        <v>1037</v>
      </c>
      <c r="C26" s="8" t="str">
        <f aca="false">IF('6-Month Forecast'!H34&gt;0,"▲ Release PO-"&amp;COUNTIF('6-Month Forecast'!$H$14:H34,"&gt;0")&amp;" (1 roll)","")</f>
        <v>▲ Release PO-4 (1 roll)</v>
      </c>
      <c r="D26" s="9" t="str">
        <f aca="false">'6-Month Forecast'!L34</f>
        <v/>
      </c>
      <c r="E26" s="7" t="str">
        <f aca="false">IF('6-Month Forecast'!D34&gt;0,'6-Month Forecast'!D34,"")</f>
        <v/>
      </c>
      <c r="F26" s="7" t="n">
        <f aca="false">'6-Month Forecast'!G34</f>
        <v>787</v>
      </c>
      <c r="G26" s="10" t="str">
        <f aca="false">IF('6-Month Forecast'!G34&lt;0,"STOCKOUT",IF('6-Month Forecast'!G34&lt;Inputs!$B$26,"⚠ under a week of cover — PO-0 must land by here",IF('6-Month Forecast'!D34&gt;0,"Roll arrives (credited to this Monday)","")))</f>
        <v/>
      </c>
    </row>
    <row r="27" customFormat="false" ht="15" hidden="false" customHeight="true" outlineLevel="0" collapsed="false">
      <c r="A27" s="6" t="n">
        <f aca="false">'6-Month Forecast'!B35</f>
        <v>46440</v>
      </c>
      <c r="B27" s="7" t="n">
        <f aca="false">'6-Month Forecast'!C35</f>
        <v>787</v>
      </c>
      <c r="C27" s="8" t="str">
        <f aca="false">IF('6-Month Forecast'!H35&gt;0,"▲ Release PO-"&amp;COUNTIF('6-Month Forecast'!$H$14:H35,"&gt;0")&amp;" (1 roll)","")</f>
        <v/>
      </c>
      <c r="D27" s="9" t="str">
        <f aca="false">'6-Month Forecast'!L35</f>
        <v/>
      </c>
      <c r="E27" s="7" t="str">
        <f aca="false">IF('6-Month Forecast'!D35&gt;0,'6-Month Forecast'!D35,"")</f>
        <v/>
      </c>
      <c r="F27" s="7" t="n">
        <f aca="false">'6-Month Forecast'!G35</f>
        <v>537</v>
      </c>
      <c r="G27" s="10" t="str">
        <f aca="false">IF('6-Month Forecast'!G35&lt;0,"STOCKOUT",IF('6-Month Forecast'!G35&lt;Inputs!$B$26,"⚠ under a week of cover — PO-0 must land by here",IF('6-Month Forecast'!D35&gt;0,"Roll arrives (credited to this Monday)","")))</f>
        <v/>
      </c>
    </row>
    <row r="28" customFormat="false" ht="15" hidden="false" customHeight="true" outlineLevel="0" collapsed="false">
      <c r="A28" s="6" t="n">
        <f aca="false">'6-Month Forecast'!B36</f>
        <v>46447</v>
      </c>
      <c r="B28" s="7" t="n">
        <f aca="false">'6-Month Forecast'!C36</f>
        <v>537</v>
      </c>
      <c r="C28" s="8" t="str">
        <f aca="false">IF('6-Month Forecast'!H36&gt;0,"▲ Release PO-"&amp;COUNTIF('6-Month Forecast'!$H$14:H36,"&gt;0")&amp;" (1 roll)","")</f>
        <v/>
      </c>
      <c r="D28" s="9" t="str">
        <f aca="false">'6-Month Forecast'!L36</f>
        <v>▶ PO-4 cut at Trotter</v>
      </c>
      <c r="E28" s="7" t="str">
        <f aca="false">IF('6-Month Forecast'!D36&gt;0,'6-Month Forecast'!D36,"")</f>
        <v/>
      </c>
      <c r="F28" s="7" t="n">
        <f aca="false">'6-Month Forecast'!G36</f>
        <v>287</v>
      </c>
      <c r="G28" s="10" t="str">
        <f aca="false">IF('6-Month Forecast'!G36&lt;0,"STOCKOUT",IF('6-Month Forecast'!G36&lt;Inputs!$B$26,"⚠ under a week of cover — PO-0 must land by here",IF('6-Month Forecast'!D36&gt;0,"Roll arrives (credited to this Monday)","")))</f>
        <v/>
      </c>
    </row>
    <row r="29" customFormat="false" ht="15" hidden="false" customHeight="true" outlineLevel="0" collapsed="false">
      <c r="A29" s="6" t="n">
        <f aca="false">'6-Month Forecast'!B37</f>
        <v>46454</v>
      </c>
      <c r="B29" s="7" t="n">
        <f aca="false">'6-Month Forecast'!C37</f>
        <v>287</v>
      </c>
      <c r="C29" s="8" t="str">
        <f aca="false">IF('6-Month Forecast'!H37&gt;0,"▲ Release PO-"&amp;COUNTIF('6-Month Forecast'!$H$14:H37,"&gt;0")&amp;" (1 roll)","")</f>
        <v/>
      </c>
      <c r="D29" s="9" t="str">
        <f aca="false">'6-Month Forecast'!L37</f>
        <v/>
      </c>
      <c r="E29" s="7" t="n">
        <f aca="false">IF('6-Month Forecast'!D37&gt;0,'6-Month Forecast'!D37,"")</f>
        <v>1300</v>
      </c>
      <c r="F29" s="7" t="n">
        <f aca="false">'6-Month Forecast'!G37</f>
        <v>1337</v>
      </c>
      <c r="G29" s="10" t="str">
        <f aca="false">IF('6-Month Forecast'!G37&lt;0,"STOCKOUT",IF('6-Month Forecast'!G37&lt;Inputs!$B$26,"⚠ under a week of cover — PO-0 must land by here",IF('6-Month Forecast'!D37&gt;0,"Roll arrives (credited to this Monday)","")))</f>
        <v>Roll arrives (credited to this Monday)</v>
      </c>
    </row>
    <row r="30" customFormat="false" ht="15" hidden="false" customHeight="true" outlineLevel="0" collapsed="false">
      <c r="A30" s="6" t="n">
        <f aca="false">'6-Month Forecast'!B38</f>
        <v>46461</v>
      </c>
      <c r="B30" s="7" t="n">
        <f aca="false">'6-Month Forecast'!C38</f>
        <v>1337</v>
      </c>
      <c r="C30" s="8" t="str">
        <f aca="false">IF('6-Month Forecast'!H38&gt;0,"▲ Release PO-"&amp;COUNTIF('6-Month Forecast'!$H$14:H38,"&gt;0")&amp;" (1 roll)","")</f>
        <v/>
      </c>
      <c r="D30" s="9" t="str">
        <f aca="false">'6-Month Forecast'!L38</f>
        <v/>
      </c>
      <c r="E30" s="7" t="str">
        <f aca="false">IF('6-Month Forecast'!D38&gt;0,'6-Month Forecast'!D38,"")</f>
        <v/>
      </c>
      <c r="F30" s="7" t="n">
        <f aca="false">'6-Month Forecast'!G38</f>
        <v>1087</v>
      </c>
      <c r="G30" s="10" t="str">
        <f aca="false">IF('6-Month Forecast'!G38&lt;0,"STOCKOUT",IF('6-Month Forecast'!G38&lt;Inputs!$B$26,"⚠ under a week of cover — PO-0 must land by here",IF('6-Month Forecast'!D38&gt;0,"Roll arrives (credited to this Monday)","")))</f>
        <v/>
      </c>
    </row>
    <row r="31" customFormat="false" ht="15" hidden="false" customHeight="true" outlineLevel="0" collapsed="false">
      <c r="A31" s="6" t="n">
        <f aca="false">'6-Month Forecast'!B39</f>
        <v>46468</v>
      </c>
      <c r="B31" s="7" t="n">
        <f aca="false">'6-Month Forecast'!C39</f>
        <v>1087</v>
      </c>
      <c r="C31" s="8" t="str">
        <f aca="false">IF('6-Month Forecast'!H39&gt;0,"▲ Release PO-"&amp;COUNTIF('6-Month Forecast'!$H$14:H39,"&gt;0")&amp;" (1 roll)","")</f>
        <v>▲ Release PO-5 (1 roll)</v>
      </c>
      <c r="D31" s="9" t="str">
        <f aca="false">'6-Month Forecast'!L39</f>
        <v/>
      </c>
      <c r="E31" s="7" t="str">
        <f aca="false">IF('6-Month Forecast'!D39&gt;0,'6-Month Forecast'!D39,"")</f>
        <v/>
      </c>
      <c r="F31" s="7" t="n">
        <f aca="false">'6-Month Forecast'!G39</f>
        <v>837</v>
      </c>
      <c r="G31" s="10" t="str">
        <f aca="false">IF('6-Month Forecast'!G39&lt;0,"STOCKOUT",IF('6-Month Forecast'!G39&lt;Inputs!$B$26,"⚠ under a week of cover — PO-0 must land by here",IF('6-Month Forecast'!D39&gt;0,"Roll arrives (credited to this Monday)","")))</f>
        <v/>
      </c>
    </row>
    <row r="33" customFormat="false" ht="15" hidden="false" customHeight="true" outlineLevel="0" collapsed="false">
      <c r="A33" s="11" t="s">
        <v>8</v>
      </c>
    </row>
  </sheetData>
  <conditionalFormatting sqref="C6:C31">
    <cfRule type="expression" priority="2" aboveAverage="0" equalAverage="0" bottom="0" percent="0" rank="0" text="" dxfId="0">
      <formula>C6&lt;&gt;""</formula>
    </cfRule>
  </conditionalFormatting>
  <conditionalFormatting sqref="D6:D31">
    <cfRule type="expression" priority="3" aboveAverage="0" equalAverage="0" bottom="0" percent="0" rank="0" text="" dxfId="1">
      <formula>D6&lt;&gt;""</formula>
    </cfRule>
  </conditionalFormatting>
  <conditionalFormatting sqref="E6:E31">
    <cfRule type="expression" priority="4" aboveAverage="0" equalAverage="0" bottom="0" percent="0" rank="0" text="" dxfId="2">
      <formula>E6&lt;&gt;""</formula>
    </cfRule>
  </conditionalFormatting>
  <conditionalFormatting sqref="B6:B31">
    <cfRule type="expression" priority="5" aboveAverage="0" equalAverage="0" bottom="0" percent="0" rank="0" text="" dxfId="3">
      <formula>B6&lt;Inputs!$B$26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3"/>
    <col collapsed="false" customWidth="true" hidden="false" outlineLevel="0" max="2" min="2" style="1" width="26"/>
    <col collapsed="false" customWidth="true" hidden="false" outlineLevel="0" max="3" min="3" style="1" width="3"/>
    <col collapsed="false" customWidth="true" hidden="false" outlineLevel="0" max="4" min="4" style="1" width="62"/>
  </cols>
  <sheetData>
    <row r="1" customFormat="false" ht="17.25" hidden="false" customHeight="true" outlineLevel="0" collapsed="false">
      <c r="A1" s="12" t="s">
        <v>9</v>
      </c>
    </row>
    <row r="2" customFormat="false" ht="24" hidden="false" customHeight="true" outlineLevel="0" collapsed="false">
      <c r="A2" s="13" t="s">
        <v>10</v>
      </c>
    </row>
    <row r="4" customFormat="false" ht="15" hidden="false" customHeight="true" outlineLevel="0" collapsed="false">
      <c r="A4" s="14" t="s">
        <v>11</v>
      </c>
      <c r="B4" s="15"/>
      <c r="C4" s="15"/>
      <c r="D4" s="15"/>
    </row>
    <row r="5" customFormat="false" ht="23.25" hidden="false" customHeight="true" outlineLevel="0" collapsed="false">
      <c r="A5" s="16" t="s">
        <v>12</v>
      </c>
      <c r="B5" s="17" t="str">
        <f aca="false">Inputs!B5&amp;" × "&amp;Inputs!B6&amp;" in cut mesh"</f>
        <v>24 × 27 in cut mesh</v>
      </c>
      <c r="D5" s="18" t="s">
        <v>13</v>
      </c>
    </row>
    <row r="6" customFormat="false" ht="15" hidden="false" customHeight="true" outlineLevel="0" collapsed="false">
      <c r="A6" s="16" t="s">
        <v>14</v>
      </c>
      <c r="B6" s="19" t="n">
        <f aca="false">Inputs!B20</f>
        <v>0.41</v>
      </c>
      <c r="D6" s="20" t="s">
        <v>15</v>
      </c>
    </row>
    <row r="7" customFormat="false" ht="15" hidden="false" customHeight="true" outlineLevel="0" collapsed="false">
      <c r="A7" s="16" t="s">
        <v>16</v>
      </c>
      <c r="B7" s="16" t="s">
        <v>17</v>
      </c>
      <c r="D7" s="20" t="s">
        <v>18</v>
      </c>
    </row>
    <row r="8" customFormat="false" ht="15" hidden="false" customHeight="true" outlineLevel="0" collapsed="false">
      <c r="A8" s="16" t="s">
        <v>19</v>
      </c>
      <c r="B8" s="21" t="str">
        <f aca="false">Inputs!B10&amp;" ft × "&amp;Inputs!B12&amp;" in"</f>
        <v>750 ft × 101 in</v>
      </c>
      <c r="D8" s="20" t="s">
        <v>20</v>
      </c>
    </row>
    <row r="10" customFormat="false" ht="15" hidden="false" customHeight="true" outlineLevel="0" collapsed="false">
      <c r="A10" s="14" t="s">
        <v>21</v>
      </c>
      <c r="B10" s="15"/>
      <c r="C10" s="15"/>
      <c r="D10" s="15"/>
    </row>
    <row r="11" customFormat="false" ht="23.25" hidden="false" customHeight="true" outlineLevel="0" collapsed="false">
      <c r="A11" s="16" t="s">
        <v>22</v>
      </c>
      <c r="B11" s="22" t="n">
        <f aca="false">'Order Cadence'!B5</f>
        <v>250</v>
      </c>
      <c r="D11" s="18" t="s">
        <v>23</v>
      </c>
    </row>
    <row r="12" customFormat="false" ht="15" hidden="false" customHeight="true" outlineLevel="0" collapsed="false">
      <c r="A12" s="16" t="s">
        <v>24</v>
      </c>
      <c r="B12" s="22" t="n">
        <f aca="false">'Yield per Roll'!B13</f>
        <v>1300</v>
      </c>
      <c r="D12" s="20" t="str">
        <f aca="false">TEXT('Yield per Roll'!B10,"#,##0")&amp;" theoretical × "&amp;TEXT(Inputs!B37,"0.0%")&amp;" realized yield — backtracked from the 1,300-pc batch (last PO, one roll)"</f>
        <v>1,332 theoretical × 97.6% realized yield — backtracked from the 1,300-pc batch (last PO, one roll)</v>
      </c>
    </row>
    <row r="13" customFormat="false" ht="15" hidden="false" customHeight="true" outlineLevel="0" collapsed="false">
      <c r="A13" s="16" t="s">
        <v>25</v>
      </c>
      <c r="B13" s="23" t="n">
        <f aca="false">'Order Cadence'!B8</f>
        <v>5.2</v>
      </c>
    </row>
    <row r="14" customFormat="false" ht="15" hidden="false" customHeight="true" outlineLevel="0" collapsed="false">
      <c r="A14" s="24" t="s">
        <v>26</v>
      </c>
      <c r="B14" s="25" t="n">
        <f aca="false">'Order Cadence'!B5*52</f>
        <v>13000</v>
      </c>
    </row>
    <row r="15" customFormat="false" ht="15" hidden="false" customHeight="true" outlineLevel="0" collapsed="false">
      <c r="A15" s="16" t="s">
        <v>27</v>
      </c>
      <c r="B15" s="22" t="n">
        <f aca="false">'Order Cadence'!B10</f>
        <v>10</v>
      </c>
    </row>
    <row r="16" customFormat="false" ht="15" hidden="false" customHeight="true" outlineLevel="0" collapsed="false">
      <c r="A16" s="16" t="s">
        <v>28</v>
      </c>
      <c r="B16" s="26" t="n">
        <f aca="false">'Order Cadence'!B5*52*Inputs!B20</f>
        <v>5330</v>
      </c>
    </row>
    <row r="17" customFormat="false" ht="15" hidden="false" customHeight="true" outlineLevel="0" collapsed="false">
      <c r="A17" s="24" t="s">
        <v>29</v>
      </c>
      <c r="B17" s="25" t="n">
        <f aca="false">'Order Cadence'!B5*26</f>
        <v>6500</v>
      </c>
    </row>
    <row r="18" customFormat="false" ht="15" hidden="false" customHeight="true" outlineLevel="0" collapsed="false">
      <c r="A18" s="16" t="s">
        <v>30</v>
      </c>
      <c r="B18" s="27" t="n">
        <f aca="false">'6-Month Forecast'!B42</f>
        <v>5</v>
      </c>
      <c r="D18" s="20" t="s">
        <v>31</v>
      </c>
    </row>
    <row r="20" customFormat="false" ht="15" hidden="false" customHeight="true" outlineLevel="0" collapsed="false">
      <c r="A20" s="14" t="s">
        <v>32</v>
      </c>
      <c r="B20" s="15"/>
      <c r="C20" s="15"/>
      <c r="D20" s="15"/>
    </row>
    <row r="21" customFormat="false" ht="15" hidden="false" customHeight="true" outlineLevel="0" collapsed="false">
      <c r="A21" s="16" t="s">
        <v>33</v>
      </c>
      <c r="B21" s="22" t="n">
        <f aca="false">'Order Cadence'!B16</f>
        <v>1000</v>
      </c>
      <c r="D21" s="20" t="s">
        <v>34</v>
      </c>
    </row>
    <row r="22" customFormat="false" ht="15" hidden="false" customHeight="true" outlineLevel="0" collapsed="false">
      <c r="A22" s="16" t="s">
        <v>35</v>
      </c>
      <c r="B22" s="22" t="n">
        <f aca="false">'Order Cadence'!B6</f>
        <v>1300</v>
      </c>
    </row>
    <row r="23" customFormat="false" ht="15" hidden="false" customHeight="true" outlineLevel="0" collapsed="false">
      <c r="A23" s="16" t="s">
        <v>36</v>
      </c>
      <c r="B23" s="21" t="str">
        <f aca="false">Inputs!B30&amp;" days"</f>
        <v>20 days</v>
      </c>
      <c r="D23" s="20" t="str">
        <f aca="false">"Legs: "&amp;Inputs!B27&amp;" roll→Trotter + "&amp;Inputs!B28&amp;" at Trotter + "&amp;Inputs!B29&amp;" to us &amp; put away = "&amp;Inputs!B30&amp;" days, planned as "&amp;Inputs!B31&amp;" wks · scenario: "&amp;'Cycle Time'!B5&amp;" — see Cycle Time &amp; PO Schedule tabs"</f>
        <v>Legs: 3 roll→Trotter + 14 at Trotter + 3 to us &amp; put away = 20 days, planned as 3 wks · scenario: Supplier standard — see Cycle Time &amp; PO Schedule tabs</v>
      </c>
    </row>
    <row r="24" customFormat="false" ht="15" hidden="false" customHeight="true" outlineLevel="0" collapsed="false">
      <c r="A24" s="16" t="s">
        <v>37</v>
      </c>
      <c r="B24" s="22" t="n">
        <f aca="false">Inputs!B26*Inputs!B32</f>
        <v>250</v>
      </c>
    </row>
    <row r="26" customFormat="false" ht="15" hidden="false" customHeight="true" outlineLevel="0" collapsed="false">
      <c r="A26" s="14" t="s">
        <v>38</v>
      </c>
      <c r="B26" s="15"/>
      <c r="C26" s="15"/>
      <c r="D26" s="15"/>
    </row>
    <row r="27" customFormat="false" ht="15" hidden="false" customHeight="true" outlineLevel="0" collapsed="false">
      <c r="A27" s="16" t="s">
        <v>39</v>
      </c>
      <c r="B27" s="16" t="s">
        <v>40</v>
      </c>
      <c r="D27" s="20" t="s">
        <v>41</v>
      </c>
    </row>
    <row r="28" customFormat="false" ht="15" hidden="false" customHeight="true" outlineLevel="0" collapsed="false">
      <c r="A28" s="16" t="s">
        <v>42</v>
      </c>
      <c r="B28" s="21" t="str">
        <f aca="false">"1,300 units of "&amp;Inputs!B5&amp;"x"&amp;Inputs!B6</f>
        <v>1,300 units of 24x27</v>
      </c>
      <c r="D28" s="20" t="s">
        <v>43</v>
      </c>
    </row>
    <row r="29" customFormat="false" ht="21.75" hidden="false" customHeight="true" outlineLevel="0" collapsed="false">
      <c r="A29" s="16" t="s">
        <v>44</v>
      </c>
      <c r="B29" s="16" t="s">
        <v>45</v>
      </c>
      <c r="D29" s="20" t="s">
        <v>46</v>
      </c>
    </row>
    <row r="31" customFormat="false" ht="15" hidden="false" customHeight="true" outlineLevel="0" collapsed="false">
      <c r="A31" s="14" t="s">
        <v>47</v>
      </c>
      <c r="B31" s="15"/>
      <c r="C31" s="15"/>
      <c r="D31" s="15"/>
    </row>
    <row r="32" customFormat="false" ht="15" hidden="false" customHeight="true" outlineLevel="0" collapsed="false">
      <c r="A32" s="28" t="s">
        <v>48</v>
      </c>
      <c r="B32" s="28"/>
      <c r="C32" s="28"/>
      <c r="D32" s="28"/>
    </row>
    <row r="33" customFormat="false" ht="15" hidden="false" customHeight="true" outlineLevel="0" collapsed="false">
      <c r="A33" s="28" t="s">
        <v>49</v>
      </c>
      <c r="B33" s="28"/>
      <c r="C33" s="28"/>
      <c r="D33" s="28"/>
    </row>
    <row r="34" customFormat="false" ht="15" hidden="false" customHeight="true" outlineLevel="0" collapsed="false">
      <c r="A34" s="28" t="str">
        <f aca="false">"• Physical count "&amp;TEXT(Inputs!B42,"m/d")&amp;": "&amp;TEXT(Inputs!B47,"#,##0")&amp;" pcs ("&amp;Inputs!B43&amp;" loose + "&amp;Inputs!B44&amp;" boxes) — "&amp;IF(Inputs!B47&lt;'Order Cadence'!B16,"BELOW the "&amp;TEXT('Order Cadence'!B16,"#,##0")&amp;" reorder point → release PO-0 now; ~"&amp;TEXT(Inputs!B60,"0.0")&amp;" days of cover left when it lands "&amp;TEXT(Inputs!B57,"m/d")&amp;" at the standard turnaround → ask Trotter to expedite it","above the reorder point")</f>
        <v>• Physical count 9/24: 937 pcs (70 loose + 2 boxes) — BELOW the 1,000 reorder point → release PO-0 now; ~1.7 days of cover left when it lands 10/19 at the standard turnaround → ask Trotter to expedite it</v>
      </c>
      <c r="B34" s="28"/>
      <c r="C34" s="28"/>
      <c r="D34" s="28"/>
    </row>
    <row r="35" customFormat="false" ht="15" hidden="false" customHeight="true" outlineLevel="0" collapsed="false">
      <c r="A35" s="29" t="s">
        <v>50</v>
      </c>
      <c r="B35" s="29"/>
      <c r="C35" s="29"/>
      <c r="D35" s="29"/>
    </row>
  </sheetData>
  <mergeCells count="4">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3"/>
    <col collapsed="false" customWidth="true" hidden="false" outlineLevel="0" max="3" min="3" style="1" width="3"/>
    <col collapsed="false" customWidth="true" hidden="false" outlineLevel="0" max="4" min="4" style="1" width="62"/>
  </cols>
  <sheetData>
    <row r="1" customFormat="false" ht="17.25" hidden="false" customHeight="true" outlineLevel="0" collapsed="false">
      <c r="A1" s="12" t="s">
        <v>51</v>
      </c>
    </row>
    <row r="2" customFormat="false" ht="15" hidden="false" customHeight="true" outlineLevel="0" collapsed="false">
      <c r="A2" s="30" t="s">
        <v>52</v>
      </c>
    </row>
    <row r="4" customFormat="false" ht="15" hidden="false" customHeight="true" outlineLevel="0" collapsed="false">
      <c r="A4" s="14" t="s">
        <v>53</v>
      </c>
      <c r="B4" s="15"/>
      <c r="C4" s="15"/>
      <c r="D4" s="15"/>
    </row>
    <row r="5" customFormat="false" ht="15" hidden="false" customHeight="true" outlineLevel="0" collapsed="false">
      <c r="A5" s="16" t="s">
        <v>54</v>
      </c>
      <c r="B5" s="31" t="n">
        <v>24</v>
      </c>
      <c r="D5" s="20" t="s">
        <v>55</v>
      </c>
    </row>
    <row r="6" customFormat="false" ht="15" hidden="false" customHeight="true" outlineLevel="0" collapsed="false">
      <c r="A6" s="16" t="s">
        <v>56</v>
      </c>
      <c r="B6" s="31" t="n">
        <v>27</v>
      </c>
      <c r="D6" s="20" t="s">
        <v>57</v>
      </c>
    </row>
    <row r="7" customFormat="false" ht="15" hidden="false" customHeight="true" outlineLevel="0" collapsed="false">
      <c r="A7" s="16" t="s">
        <v>58</v>
      </c>
      <c r="B7" s="32" t="n">
        <f aca="false">B5*B6</f>
        <v>648</v>
      </c>
    </row>
    <row r="9" customFormat="false" ht="15" hidden="false" customHeight="true" outlineLevel="0" collapsed="false">
      <c r="A9" s="14" t="s">
        <v>59</v>
      </c>
      <c r="B9" s="15"/>
      <c r="C9" s="15"/>
      <c r="D9" s="15"/>
    </row>
    <row r="10" customFormat="false" ht="15" hidden="false" customHeight="true" outlineLevel="0" collapsed="false">
      <c r="A10" s="16" t="s">
        <v>60</v>
      </c>
      <c r="B10" s="33" t="n">
        <v>750</v>
      </c>
      <c r="D10" s="20" t="s">
        <v>61</v>
      </c>
    </row>
    <row r="11" customFormat="false" ht="15" hidden="false" customHeight="true" outlineLevel="0" collapsed="false">
      <c r="A11" s="16" t="s">
        <v>62</v>
      </c>
      <c r="B11" s="32" t="n">
        <f aca="false">B10*12</f>
        <v>9000</v>
      </c>
    </row>
    <row r="12" customFormat="false" ht="21.75" hidden="false" customHeight="true" outlineLevel="0" collapsed="false">
      <c r="A12" s="16" t="s">
        <v>63</v>
      </c>
      <c r="B12" s="31" t="n">
        <v>101</v>
      </c>
      <c r="D12" s="20" t="s">
        <v>64</v>
      </c>
    </row>
    <row r="13" customFormat="false" ht="15" hidden="false" customHeight="true" outlineLevel="0" collapsed="false">
      <c r="A13" s="16" t="s">
        <v>65</v>
      </c>
      <c r="B13" s="32" t="n">
        <f aca="false">B11*B12</f>
        <v>909000</v>
      </c>
    </row>
    <row r="15" customFormat="false" ht="15" hidden="false" customHeight="true" outlineLevel="0" collapsed="false">
      <c r="A15" s="14" t="s">
        <v>66</v>
      </c>
      <c r="B15" s="15"/>
      <c r="C15" s="15"/>
      <c r="D15" s="15"/>
    </row>
    <row r="16" customFormat="false" ht="15" hidden="false" customHeight="true" outlineLevel="0" collapsed="false">
      <c r="A16" s="16" t="s">
        <v>67</v>
      </c>
      <c r="B16" s="31" t="n">
        <v>150</v>
      </c>
      <c r="D16" s="20" t="s">
        <v>68</v>
      </c>
    </row>
    <row r="17" customFormat="false" ht="15" hidden="false" customHeight="true" outlineLevel="0" collapsed="false">
      <c r="A17" s="16" t="s">
        <v>69</v>
      </c>
      <c r="B17" s="32" t="n">
        <f aca="false">B16*12</f>
        <v>1800</v>
      </c>
    </row>
    <row r="18" customFormat="false" ht="21.75" hidden="false" customHeight="true" outlineLevel="0" collapsed="false">
      <c r="A18" s="16" t="s">
        <v>70</v>
      </c>
      <c r="B18" s="31" t="n">
        <v>101</v>
      </c>
      <c r="D18" s="20" t="s">
        <v>71</v>
      </c>
    </row>
    <row r="19" customFormat="false" ht="15" hidden="false" customHeight="true" outlineLevel="0" collapsed="false">
      <c r="A19" s="16" t="s">
        <v>72</v>
      </c>
      <c r="B19" s="33" t="n">
        <v>260</v>
      </c>
      <c r="D19" s="20" t="s">
        <v>73</v>
      </c>
    </row>
    <row r="20" customFormat="false" ht="15" hidden="false" customHeight="true" outlineLevel="0" collapsed="false">
      <c r="A20" s="16" t="s">
        <v>74</v>
      </c>
      <c r="B20" s="34" t="n">
        <v>0.41</v>
      </c>
      <c r="D20" s="20" t="s">
        <v>75</v>
      </c>
    </row>
    <row r="21" customFormat="false" ht="15" hidden="false" customHeight="true" outlineLevel="0" collapsed="false">
      <c r="A21" s="16" t="s">
        <v>76</v>
      </c>
      <c r="B21" s="26" t="n">
        <f aca="false">B19*B20</f>
        <v>106.6</v>
      </c>
      <c r="D21" s="20" t="s">
        <v>77</v>
      </c>
    </row>
    <row r="22" customFormat="false" ht="15" hidden="false" customHeight="true" outlineLevel="0" collapsed="false">
      <c r="A22" s="16" t="s">
        <v>78</v>
      </c>
      <c r="B22" s="32" t="n">
        <f aca="false">INT(B18/B5)*INT(B17/B6)</f>
        <v>264</v>
      </c>
      <c r="D22" s="20" t="s">
        <v>79</v>
      </c>
    </row>
    <row r="23" customFormat="false" ht="21.75" hidden="false" customHeight="true" outlineLevel="0" collapsed="false">
      <c r="A23" s="16" t="s">
        <v>80</v>
      </c>
      <c r="B23" s="35" t="n">
        <f aca="false">B19/B22</f>
        <v>0.984848484848485</v>
      </c>
      <c r="D23" s="20" t="s">
        <v>81</v>
      </c>
    </row>
    <row r="25" customFormat="false" ht="15" hidden="false" customHeight="true" outlineLevel="0" collapsed="false">
      <c r="A25" s="14" t="s">
        <v>82</v>
      </c>
      <c r="B25" s="15"/>
      <c r="C25" s="15"/>
      <c r="D25" s="15"/>
    </row>
    <row r="26" customFormat="false" ht="23.25" hidden="false" customHeight="true" outlineLevel="0" collapsed="false">
      <c r="A26" s="16" t="s">
        <v>83</v>
      </c>
      <c r="B26" s="33" t="n">
        <v>250</v>
      </c>
      <c r="D26" s="18" t="s">
        <v>84</v>
      </c>
    </row>
    <row r="27" customFormat="false" ht="15" hidden="false" customHeight="true" outlineLevel="0" collapsed="false">
      <c r="A27" s="16" t="s">
        <v>85</v>
      </c>
      <c r="B27" s="27" t="n">
        <f aca="false">'Cycle Time'!F14</f>
        <v>3</v>
      </c>
      <c r="D27" s="20" t="s">
        <v>86</v>
      </c>
    </row>
    <row r="28" customFormat="false" ht="21.75" hidden="false" customHeight="true" outlineLevel="0" collapsed="false">
      <c r="A28" s="16" t="s">
        <v>87</v>
      </c>
      <c r="B28" s="27" t="n">
        <f aca="false">'Cycle Time'!F19+'Cycle Time'!F24</f>
        <v>14</v>
      </c>
      <c r="D28" s="20" t="s">
        <v>88</v>
      </c>
    </row>
    <row r="29" customFormat="false" ht="15" hidden="false" customHeight="true" outlineLevel="0" collapsed="false">
      <c r="A29" s="16" t="s">
        <v>89</v>
      </c>
      <c r="B29" s="27" t="n">
        <f aca="false">'Cycle Time'!F29</f>
        <v>3</v>
      </c>
      <c r="D29" s="20" t="s">
        <v>90</v>
      </c>
    </row>
    <row r="30" customFormat="false" ht="15" hidden="false" customHeight="true" outlineLevel="0" collapsed="false">
      <c r="A30" s="16" t="s">
        <v>91</v>
      </c>
      <c r="B30" s="36" t="n">
        <f aca="false">SUM(B27:B29)</f>
        <v>20</v>
      </c>
    </row>
    <row r="31" customFormat="false" ht="15" hidden="false" customHeight="true" outlineLevel="0" collapsed="false">
      <c r="A31" s="16" t="s">
        <v>92</v>
      </c>
      <c r="B31" s="36" t="n">
        <f aca="false">CEILING(B30/7,1)</f>
        <v>3</v>
      </c>
      <c r="D31" s="20" t="s">
        <v>93</v>
      </c>
    </row>
    <row r="32" customFormat="false" ht="15" hidden="false" customHeight="true" outlineLevel="0" collapsed="false">
      <c r="A32" s="16" t="s">
        <v>94</v>
      </c>
      <c r="B32" s="31" t="n">
        <v>1</v>
      </c>
      <c r="D32" s="20" t="s">
        <v>95</v>
      </c>
    </row>
    <row r="34" customFormat="false" ht="15" hidden="false" customHeight="true" outlineLevel="0" collapsed="false">
      <c r="A34" s="14" t="s">
        <v>96</v>
      </c>
    </row>
    <row r="35" customFormat="false" ht="15" hidden="false" customHeight="true" outlineLevel="0" collapsed="false">
      <c r="A35" s="16" t="s">
        <v>97</v>
      </c>
      <c r="B35" s="33" t="n">
        <v>1300</v>
      </c>
      <c r="D35" s="11" t="s">
        <v>98</v>
      </c>
    </row>
    <row r="36" customFormat="false" ht="15" hidden="false" customHeight="true" outlineLevel="0" collapsed="false">
      <c r="A36" s="16" t="s">
        <v>99</v>
      </c>
      <c r="B36" s="22" t="n">
        <f aca="false">'Yield per Roll'!B10</f>
        <v>1332</v>
      </c>
      <c r="D36" s="11" t="s">
        <v>100</v>
      </c>
    </row>
    <row r="37" customFormat="false" ht="15" hidden="false" customHeight="true" outlineLevel="0" collapsed="false">
      <c r="A37" s="16" t="s">
        <v>101</v>
      </c>
      <c r="B37" s="35" t="n">
        <f aca="false">B35/B36</f>
        <v>0.975975975975976</v>
      </c>
      <c r="D37" s="11" t="s">
        <v>102</v>
      </c>
    </row>
    <row r="38" customFormat="false" ht="15" hidden="false" customHeight="true" outlineLevel="0" collapsed="false">
      <c r="A38" s="16" t="s">
        <v>103</v>
      </c>
      <c r="B38" s="37" t="n">
        <f aca="false">B23</f>
        <v>0.984848484848485</v>
      </c>
      <c r="D38" s="11" t="s">
        <v>104</v>
      </c>
    </row>
    <row r="39" customFormat="false" ht="15" hidden="false" customHeight="true" outlineLevel="0" collapsed="false">
      <c r="A39" s="16" t="s">
        <v>105</v>
      </c>
      <c r="B39" s="32" t="n">
        <f aca="false">B36-B35</f>
        <v>32</v>
      </c>
      <c r="D39" s="38" t="s">
        <v>106</v>
      </c>
    </row>
    <row r="41" customFormat="false" ht="15" hidden="false" customHeight="true" outlineLevel="0" collapsed="false">
      <c r="A41" s="14" t="s">
        <v>107</v>
      </c>
    </row>
    <row r="42" customFormat="false" ht="15" hidden="false" customHeight="true" outlineLevel="0" collapsed="false">
      <c r="A42" s="16" t="s">
        <v>108</v>
      </c>
      <c r="B42" s="39" t="n">
        <v>46289</v>
      </c>
      <c r="D42" s="11" t="s">
        <v>109</v>
      </c>
    </row>
    <row r="43" customFormat="false" ht="15" hidden="false" customHeight="true" outlineLevel="0" collapsed="false">
      <c r="A43" s="16" t="s">
        <v>110</v>
      </c>
      <c r="B43" s="33" t="n">
        <v>70</v>
      </c>
    </row>
    <row r="44" customFormat="false" ht="15" hidden="false" customHeight="true" outlineLevel="0" collapsed="false">
      <c r="A44" s="16" t="s">
        <v>111</v>
      </c>
      <c r="B44" s="31" t="n">
        <v>2</v>
      </c>
    </row>
    <row r="45" customFormat="false" ht="15" hidden="false" customHeight="true" outlineLevel="0" collapsed="false">
      <c r="A45" s="16" t="s">
        <v>112</v>
      </c>
      <c r="B45" s="31" t="n">
        <v>3</v>
      </c>
      <c r="D45" s="11" t="s">
        <v>113</v>
      </c>
    </row>
    <row r="46" customFormat="false" ht="15" hidden="false" customHeight="true" outlineLevel="0" collapsed="false">
      <c r="A46" s="16" t="s">
        <v>114</v>
      </c>
      <c r="B46" s="40" t="n">
        <f aca="false">B35/B45</f>
        <v>433.333333333333</v>
      </c>
      <c r="D46" s="11" t="s">
        <v>115</v>
      </c>
    </row>
    <row r="47" customFormat="false" ht="15" hidden="false" customHeight="true" outlineLevel="0" collapsed="false">
      <c r="A47" s="24" t="s">
        <v>116</v>
      </c>
      <c r="B47" s="25" t="n">
        <f aca="false">ROUND(B43+B44*B46,0)</f>
        <v>937</v>
      </c>
    </row>
    <row r="48" customFormat="false" ht="15" hidden="false" customHeight="true" outlineLevel="0" collapsed="false">
      <c r="A48" s="16" t="s">
        <v>117</v>
      </c>
      <c r="B48" s="40" t="n">
        <f aca="false">B47/B26</f>
        <v>3.748</v>
      </c>
    </row>
    <row r="49" customFormat="false" ht="15" hidden="false" customHeight="true" outlineLevel="0" collapsed="false">
      <c r="A49" s="16" t="s">
        <v>118</v>
      </c>
      <c r="B49" s="41" t="str">
        <f aca="false">IF(B47&lt;'Order Cadence'!B16,"⚠ BELOW ROP "&amp;TEXT('Order Cadence'!B16,"#,##0")&amp;" — release PO now","OK — above ROP")</f>
        <v>⚠ BELOW ROP 1,000 — release PO now</v>
      </c>
      <c r="D49" s="11" t="s">
        <v>119</v>
      </c>
    </row>
    <row r="50" customFormat="false" ht="15" hidden="false" customHeight="true" outlineLevel="0" collapsed="false">
      <c r="A50" s="16" t="s">
        <v>120</v>
      </c>
      <c r="B50" s="36" t="n">
        <f aca="false">NETWORKDAYS(B42,'6-Month Forecast'!B5-1)</f>
        <v>2</v>
      </c>
      <c r="D50" s="11" t="s">
        <v>121</v>
      </c>
    </row>
    <row r="51" customFormat="false" ht="15" hidden="false" customHeight="true" outlineLevel="0" collapsed="false">
      <c r="A51" s="16" t="s">
        <v>122</v>
      </c>
      <c r="B51" s="32" t="n">
        <f aca="false">ROUND(B50*B26/5,0)</f>
        <v>100</v>
      </c>
      <c r="D51" s="11" t="s">
        <v>123</v>
      </c>
    </row>
    <row r="52" customFormat="false" ht="15" hidden="false" customHeight="true" outlineLevel="0" collapsed="false">
      <c r="A52" s="24" t="s">
        <v>124</v>
      </c>
      <c r="B52" s="25" t="n">
        <f aca="false">B47-B51</f>
        <v>837</v>
      </c>
      <c r="D52" s="11" t="s">
        <v>125</v>
      </c>
    </row>
    <row r="54" customFormat="false" ht="15" hidden="false" customHeight="true" outlineLevel="0" collapsed="false">
      <c r="A54" s="14" t="s">
        <v>126</v>
      </c>
    </row>
    <row r="55" customFormat="false" ht="15" hidden="false" customHeight="true" outlineLevel="0" collapsed="false">
      <c r="A55" s="16" t="s">
        <v>127</v>
      </c>
      <c r="B55" s="39" t="n">
        <v>46289</v>
      </c>
      <c r="D55" s="38" t="s">
        <v>128</v>
      </c>
    </row>
    <row r="56" customFormat="false" ht="15" hidden="false" customHeight="true" outlineLevel="0" collapsed="false">
      <c r="A56" s="16" t="s">
        <v>129</v>
      </c>
      <c r="B56" s="33" t="n">
        <v>1300</v>
      </c>
      <c r="D56" s="11" t="s">
        <v>130</v>
      </c>
    </row>
    <row r="57" customFormat="false" ht="15" hidden="false" customHeight="true" outlineLevel="0" collapsed="false">
      <c r="A57" s="16" t="s">
        <v>131</v>
      </c>
      <c r="B57" s="42" t="n">
        <f aca="false">IF(B56&lt;=0,"",'PO Schedule'!G14)</f>
        <v>46314</v>
      </c>
      <c r="D57" s="11" t="str">
        <f aca="false">"Calendar-day total says "&amp;TEXT(B55+B30,"m/d")&amp;"; rolling each leg off weekends pushes it to the date shown (release Thu 9/24 → roll due Sun → cut ends Wed → receive Sat → shelf Mon)"</f>
        <v>Calendar-day total says 10/14; rolling each leg off weekends pushes it to the date shown (release Thu 9/24 → roll due Sun → cut ends Wed → receive Sat → shelf Mon)</v>
      </c>
    </row>
    <row r="58" customFormat="false" ht="15" hidden="false" customHeight="true" outlineLevel="0" collapsed="false">
      <c r="A58" s="16" t="s">
        <v>132</v>
      </c>
      <c r="B58" s="36" t="n">
        <f aca="false">IF(B56&lt;=0,0,MAX(1,INT((B57-'6-Month Forecast'!B5)/7)+1))</f>
        <v>4</v>
      </c>
      <c r="D58" s="11" t="s">
        <v>133</v>
      </c>
    </row>
    <row r="59" customFormat="false" ht="15" hidden="false" customHeight="true" outlineLevel="0" collapsed="false">
      <c r="A59" s="16" t="s">
        <v>134</v>
      </c>
      <c r="B59" s="32" t="n">
        <f aca="false">IF(B56&lt;=0,"n/a",B47-NETWORKDAYS(B42,B57-1)*B26/5)</f>
        <v>87</v>
      </c>
      <c r="D59" s="11" t="s">
        <v>135</v>
      </c>
    </row>
    <row r="60" customFormat="false" ht="15" hidden="false" customHeight="true" outlineLevel="0" collapsed="false">
      <c r="A60" s="24" t="s">
        <v>136</v>
      </c>
      <c r="B60" s="43" t="n">
        <f aca="false">IF(B56&lt;=0,"n/a",B59/(B26/5))</f>
        <v>1.74</v>
      </c>
      <c r="D60" s="41" t="str">
        <f aca="false">IF(B56&lt;=0,"",IF(B60&lt;5,"⚠ Under a week of cover when the first roll lands — ask Trotter to cut PO-0 in the first available slot, not the full 2-week queue (their 1-day cut makes it realistic)","OK"))</f>
        <v>⚠ Under a week of cover when the first roll lands — ask Trotter to cut PO-0 in the first available slot, not the full 2-week queue (their 1-day cut makes it realistic)</v>
      </c>
    </row>
    <row r="61" customFormat="false" ht="15" hidden="false" customHeight="true" outlineLevel="0" collapsed="false">
      <c r="A61" s="16" t="s">
        <v>137</v>
      </c>
      <c r="B61" s="44" t="n">
        <f aca="false">WORKDAY(B42,INT(B47/(B26/5)))</f>
        <v>46315</v>
      </c>
      <c r="D61" s="11"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44"/>
    <col collapsed="false" customWidth="true" hidden="false" outlineLevel="0" max="3" min="3" style="1" width="16"/>
    <col collapsed="false" customWidth="true" hidden="false" outlineLevel="0" max="4" min="4" style="1" width="17"/>
    <col collapsed="false" customWidth="true" hidden="false" outlineLevel="0" max="5" min="5" style="1" width="14"/>
    <col collapsed="false" customWidth="true" hidden="false" outlineLevel="0" max="6" min="6" style="1" width="15"/>
    <col collapsed="false" customWidth="true" hidden="false" outlineLevel="0" max="7" min="7" style="1" width="20"/>
    <col collapsed="false" customWidth="true" hidden="false" outlineLevel="0" max="8" min="8" style="1" width="74"/>
    <col collapsed="false" customWidth="true" hidden="false" outlineLevel="0" max="9" min="9" style="1" width="3"/>
    <col collapsed="false" customWidth="true" hidden="false" outlineLevel="0" max="11" min="10" style="1" width="8"/>
  </cols>
  <sheetData>
    <row r="1" customFormat="false" ht="17.25" hidden="false" customHeight="true" outlineLevel="0" collapsed="false">
      <c r="A1" s="12" t="s">
        <v>139</v>
      </c>
    </row>
    <row r="2" customFormat="false" ht="15" hidden="false" customHeight="true" outlineLevel="0" collapsed="false">
      <c r="A2" s="11" t="s">
        <v>140</v>
      </c>
    </row>
    <row r="4" customFormat="false" ht="15" hidden="false" customHeight="true" outlineLevel="0" collapsed="false">
      <c r="A4" s="14" t="s">
        <v>141</v>
      </c>
    </row>
    <row r="5" customFormat="false" ht="137.25" hidden="false" customHeight="true" outlineLevel="0" collapsed="false">
      <c r="A5" s="16" t="s">
        <v>142</v>
      </c>
      <c r="B5" s="45" t="s">
        <v>143</v>
      </c>
      <c r="D5" s="20" t="s">
        <v>144</v>
      </c>
    </row>
    <row r="6" customFormat="false" ht="32.25" hidden="false" customHeight="true" outlineLevel="0" collapsed="false">
      <c r="A6" s="11" t="s">
        <v>145</v>
      </c>
      <c r="B6" s="46" t="n">
        <f aca="false">MATCH(B5,$C$10:$E$10,0)</f>
        <v>1</v>
      </c>
      <c r="D6" s="20" t="s">
        <v>146</v>
      </c>
    </row>
    <row r="7" customFormat="false" ht="53.25" hidden="false" customHeight="true" outlineLevel="0" collapsed="false">
      <c r="A7" s="16" t="s">
        <v>147</v>
      </c>
      <c r="B7" s="31" t="n">
        <v>14</v>
      </c>
      <c r="D7" s="20" t="s">
        <v>148</v>
      </c>
    </row>
    <row r="8" customFormat="false" ht="15" hidden="false" customHeight="true" outlineLevel="0" collapsed="false">
      <c r="A8" s="14" t="s">
        <v>149</v>
      </c>
    </row>
    <row r="9" customFormat="false" ht="32.25" hidden="false" customHeight="true" outlineLevel="0" collapsed="false">
      <c r="A9" s="20" t="s">
        <v>150</v>
      </c>
    </row>
    <row r="10" customFormat="false" ht="15" hidden="false" customHeight="true" outlineLevel="0" collapsed="false">
      <c r="A10" s="47" t="s">
        <v>151</v>
      </c>
      <c r="B10" s="47" t="s">
        <v>152</v>
      </c>
      <c r="C10" s="47" t="s">
        <v>143</v>
      </c>
      <c r="D10" s="47" t="s">
        <v>153</v>
      </c>
      <c r="E10" s="47" t="s">
        <v>154</v>
      </c>
      <c r="F10" s="47" t="s">
        <v>155</v>
      </c>
      <c r="G10" s="47" t="s">
        <v>156</v>
      </c>
      <c r="H10" s="47" t="s">
        <v>157</v>
      </c>
      <c r="J10" s="48" t="s">
        <v>158</v>
      </c>
    </row>
    <row r="11" customFormat="false" ht="15" hidden="false" customHeight="true" outlineLevel="0" collapsed="false">
      <c r="A11" s="49" t="s">
        <v>159</v>
      </c>
      <c r="B11" s="50"/>
      <c r="C11" s="50"/>
      <c r="D11" s="50"/>
      <c r="E11" s="50"/>
      <c r="F11" s="50"/>
      <c r="G11" s="50"/>
      <c r="H11" s="50"/>
      <c r="J11" s="51" t="s">
        <v>160</v>
      </c>
      <c r="K11" s="51" t="s">
        <v>161</v>
      </c>
    </row>
    <row r="12" customFormat="false" ht="21.75" hidden="false" customHeight="true" outlineLevel="0" collapsed="false">
      <c r="A12" s="52" t="s">
        <v>162</v>
      </c>
      <c r="B12" s="20" t="s">
        <v>163</v>
      </c>
      <c r="C12" s="53" t="n">
        <v>1</v>
      </c>
      <c r="D12" s="53"/>
      <c r="E12" s="53" t="n">
        <v>2</v>
      </c>
      <c r="F12" s="54" t="n">
        <f aca="false">IF(INDEX($C12:$E12,1,$B$6)="",$C12,INDEX($C12:$E12,1,$B$6))</f>
        <v>1</v>
      </c>
      <c r="G12" s="20" t="s">
        <v>164</v>
      </c>
      <c r="H12" s="55" t="s">
        <v>165</v>
      </c>
      <c r="J12" s="56" t="n">
        <f aca="false">'6-Month Forecast'!A14</f>
        <v>1</v>
      </c>
      <c r="K12" s="56" t="str">
        <f aca="false">IF('6-Month Forecast'!H14&gt;0,COUNTIF('6-Month Forecast'!$H$14:H14,"&gt;0"),"")</f>
        <v/>
      </c>
    </row>
    <row r="13" customFormat="false" ht="21.75" hidden="false" customHeight="true" outlineLevel="0" collapsed="false">
      <c r="A13" s="52" t="s">
        <v>166</v>
      </c>
      <c r="B13" s="20" t="s">
        <v>167</v>
      </c>
      <c r="C13" s="53" t="n">
        <v>2</v>
      </c>
      <c r="D13" s="53"/>
      <c r="E13" s="53" t="n">
        <v>5</v>
      </c>
      <c r="F13" s="54" t="n">
        <f aca="false">IF(INDEX($C13:$E13,1,$B$6)="",$C13,INDEX($C13:$E13,1,$B$6))</f>
        <v>2</v>
      </c>
      <c r="G13" s="20" t="s">
        <v>168</v>
      </c>
      <c r="H13" s="55" t="s">
        <v>169</v>
      </c>
      <c r="J13" s="56" t="n">
        <f aca="false">'6-Month Forecast'!A15</f>
        <v>2</v>
      </c>
      <c r="K13" s="56" t="str">
        <f aca="false">IF('6-Month Forecast'!H15&gt;0,COUNTIF('6-Month Forecast'!$H$14:H15,"&gt;0"),"")</f>
        <v/>
      </c>
    </row>
    <row r="14" customFormat="false" ht="15" hidden="false" customHeight="true" outlineLevel="0" collapsed="false">
      <c r="A14" s="57" t="s">
        <v>170</v>
      </c>
      <c r="C14" s="58" t="n">
        <f aca="false">SUM(C12:C13)</f>
        <v>3</v>
      </c>
      <c r="D14" s="58" t="n">
        <f aca="false">IF(D12="",C12,D12)+IF(D13="",C13,D13)</f>
        <v>3</v>
      </c>
      <c r="E14" s="58" t="n">
        <f aca="false">SUM(E12:E13)</f>
        <v>7</v>
      </c>
      <c r="F14" s="59" t="n">
        <f aca="false">SUM(F12:F13)</f>
        <v>3</v>
      </c>
      <c r="H14" s="20" t="s">
        <v>171</v>
      </c>
      <c r="J14" s="56" t="n">
        <f aca="false">'6-Month Forecast'!A16</f>
        <v>3</v>
      </c>
      <c r="K14" s="56" t="str">
        <f aca="false">IF('6-Month Forecast'!H16&gt;0,COUNTIF('6-Month Forecast'!$H$14:H16,"&gt;0"),"")</f>
        <v/>
      </c>
    </row>
    <row r="15" customFormat="false" ht="15" hidden="false" customHeight="true" outlineLevel="0" collapsed="false">
      <c r="J15" s="56" t="n">
        <f aca="false">'6-Month Forecast'!A17</f>
        <v>4</v>
      </c>
      <c r="K15" s="56" t="str">
        <f aca="false">IF('6-Month Forecast'!H17&gt;0,COUNTIF('6-Month Forecast'!$H$14:H17,"&gt;0"),"")</f>
        <v/>
      </c>
    </row>
    <row r="16" customFormat="false" ht="15" hidden="false" customHeight="true" outlineLevel="0" collapsed="false">
      <c r="A16" s="49" t="s">
        <v>172</v>
      </c>
      <c r="B16" s="50"/>
      <c r="C16" s="50"/>
      <c r="D16" s="50"/>
      <c r="E16" s="50"/>
      <c r="F16" s="50"/>
      <c r="G16" s="50"/>
      <c r="H16" s="50"/>
      <c r="J16" s="56" t="n">
        <f aca="false">'6-Month Forecast'!A18</f>
        <v>5</v>
      </c>
      <c r="K16" s="56" t="n">
        <f aca="false">IF('6-Month Forecast'!H18&gt;0,COUNTIF('6-Month Forecast'!$H$14:H18,"&gt;0"),"")</f>
        <v>1</v>
      </c>
    </row>
    <row r="17" customFormat="false" ht="15" hidden="false" customHeight="true" outlineLevel="0" collapsed="false">
      <c r="A17" s="52" t="s">
        <v>173</v>
      </c>
      <c r="B17" s="20" t="s">
        <v>174</v>
      </c>
      <c r="C17" s="53" t="n">
        <v>1</v>
      </c>
      <c r="D17" s="53"/>
      <c r="E17" s="53" t="n">
        <v>2</v>
      </c>
      <c r="F17" s="54" t="n">
        <f aca="false">IF(INDEX($C17:$E17,1,$B$6)="",$C17,INDEX($C17:$E17,1,$B$6))</f>
        <v>1</v>
      </c>
      <c r="G17" s="20" t="s">
        <v>17</v>
      </c>
      <c r="H17" s="55" t="s">
        <v>175</v>
      </c>
      <c r="J17" s="56" t="n">
        <f aca="false">'6-Month Forecast'!A19</f>
        <v>6</v>
      </c>
      <c r="K17" s="56" t="str">
        <f aca="false">IF('6-Month Forecast'!H19&gt;0,COUNTIF('6-Month Forecast'!$H$14:H19,"&gt;0"),"")</f>
        <v/>
      </c>
    </row>
    <row r="18" customFormat="false" ht="21.75" hidden="false" customHeight="true" outlineLevel="0" collapsed="false">
      <c r="A18" s="52" t="s">
        <v>176</v>
      </c>
      <c r="B18" s="20" t="s">
        <v>177</v>
      </c>
      <c r="C18" s="53" t="n">
        <v>11</v>
      </c>
      <c r="D18" s="53"/>
      <c r="E18" s="53" t="n">
        <v>12</v>
      </c>
      <c r="F18" s="54" t="n">
        <f aca="false">IF(INDEX($C18:$E18,1,$B$6)="",$C18,INDEX($C18:$E18,1,$B$6))</f>
        <v>11</v>
      </c>
      <c r="G18" s="20" t="s">
        <v>17</v>
      </c>
      <c r="H18" s="20" t="s">
        <v>178</v>
      </c>
      <c r="J18" s="56" t="n">
        <f aca="false">'6-Month Forecast'!A20</f>
        <v>7</v>
      </c>
      <c r="K18" s="56" t="str">
        <f aca="false">IF('6-Month Forecast'!H20&gt;0,COUNTIF('6-Month Forecast'!$H$14:H20,"&gt;0"),"")</f>
        <v/>
      </c>
    </row>
    <row r="19" customFormat="false" ht="15" hidden="false" customHeight="true" outlineLevel="0" collapsed="false">
      <c r="A19" s="57" t="s">
        <v>179</v>
      </c>
      <c r="C19" s="58" t="n">
        <f aca="false">SUM(C17:C18)</f>
        <v>12</v>
      </c>
      <c r="D19" s="58" t="n">
        <f aca="false">IF(D17="",C17,D17)+IF(D18="",C18,D18)</f>
        <v>12</v>
      </c>
      <c r="E19" s="58" t="n">
        <f aca="false">SUM(E17:E18)</f>
        <v>14</v>
      </c>
      <c r="F19" s="59" t="n">
        <f aca="false">SUM(F17:F18)</f>
        <v>12</v>
      </c>
      <c r="H19" s="20" t="s">
        <v>180</v>
      </c>
      <c r="J19" s="56" t="n">
        <f aca="false">'6-Month Forecast'!A21</f>
        <v>8</v>
      </c>
      <c r="K19" s="56" t="str">
        <f aca="false">IF('6-Month Forecast'!H21&gt;0,COUNTIF('6-Month Forecast'!$H$14:H21,"&gt;0"),"")</f>
        <v/>
      </c>
    </row>
    <row r="20" customFormat="false" ht="15" hidden="false" customHeight="true" outlineLevel="0" collapsed="false">
      <c r="J20" s="56" t="n">
        <f aca="false">'6-Month Forecast'!A22</f>
        <v>9</v>
      </c>
      <c r="K20" s="56" t="str">
        <f aca="false">IF('6-Month Forecast'!H22&gt;0,COUNTIF('6-Month Forecast'!$H$14:H22,"&gt;0"),"")</f>
        <v/>
      </c>
    </row>
    <row r="21" customFormat="false" ht="15" hidden="false" customHeight="true" outlineLevel="0" collapsed="false">
      <c r="A21" s="49" t="s">
        <v>181</v>
      </c>
      <c r="B21" s="50"/>
      <c r="C21" s="50"/>
      <c r="D21" s="50"/>
      <c r="E21" s="50"/>
      <c r="F21" s="50"/>
      <c r="G21" s="50"/>
      <c r="H21" s="50"/>
      <c r="J21" s="56" t="n">
        <f aca="false">'6-Month Forecast'!A23</f>
        <v>10</v>
      </c>
      <c r="K21" s="56" t="n">
        <f aca="false">IF('6-Month Forecast'!H23&gt;0,COUNTIF('6-Month Forecast'!$H$14:H23,"&gt;0"),"")</f>
        <v>2</v>
      </c>
    </row>
    <row r="22" customFormat="false" ht="21.75" hidden="false" customHeight="true" outlineLevel="0" collapsed="false">
      <c r="A22" s="52" t="s">
        <v>182</v>
      </c>
      <c r="B22" s="20" t="s">
        <v>183</v>
      </c>
      <c r="C22" s="53" t="n">
        <v>1</v>
      </c>
      <c r="D22" s="53" t="n">
        <v>1</v>
      </c>
      <c r="E22" s="53" t="n">
        <v>1</v>
      </c>
      <c r="F22" s="54" t="n">
        <f aca="false">IF(INDEX($C22:$E22,1,$B$6)="",$C22,INDEX($C22:$E22,1,$B$6))</f>
        <v>1</v>
      </c>
      <c r="G22" s="20" t="s">
        <v>17</v>
      </c>
      <c r="H22" s="60" t="s">
        <v>184</v>
      </c>
      <c r="J22" s="56" t="n">
        <f aca="false">'6-Month Forecast'!A24</f>
        <v>11</v>
      </c>
      <c r="K22" s="56" t="str">
        <f aca="false">IF('6-Month Forecast'!H24&gt;0,COUNTIF('6-Month Forecast'!$H$14:H24,"&gt;0"),"")</f>
        <v/>
      </c>
    </row>
    <row r="23" customFormat="false" ht="15" hidden="false" customHeight="true" outlineLevel="0" collapsed="false">
      <c r="A23" s="52" t="s">
        <v>185</v>
      </c>
      <c r="B23" s="20" t="s">
        <v>186</v>
      </c>
      <c r="C23" s="53" t="n">
        <v>1</v>
      </c>
      <c r="D23" s="53"/>
      <c r="E23" s="53" t="n">
        <v>2</v>
      </c>
      <c r="F23" s="54" t="n">
        <f aca="false">IF(INDEX($C23:$E23,1,$B$6)="",$C23,INDEX($C23:$E23,1,$B$6))</f>
        <v>1</v>
      </c>
      <c r="G23" s="20" t="s">
        <v>17</v>
      </c>
      <c r="H23" s="55" t="s">
        <v>187</v>
      </c>
      <c r="J23" s="56" t="n">
        <f aca="false">'6-Month Forecast'!A25</f>
        <v>12</v>
      </c>
      <c r="K23" s="56" t="str">
        <f aca="false">IF('6-Month Forecast'!H25&gt;0,COUNTIF('6-Month Forecast'!$H$14:H25,"&gt;0"),"")</f>
        <v/>
      </c>
    </row>
    <row r="24" customFormat="false" ht="15" hidden="false" customHeight="true" outlineLevel="0" collapsed="false">
      <c r="A24" s="57" t="s">
        <v>188</v>
      </c>
      <c r="C24" s="58" t="n">
        <f aca="false">SUM(C22:C23)</f>
        <v>2</v>
      </c>
      <c r="D24" s="58" t="n">
        <f aca="false">IF(D22="",C22,D22)+IF(D23="",C23,D23)</f>
        <v>2</v>
      </c>
      <c r="E24" s="58" t="n">
        <f aca="false">SUM(E22:E23)</f>
        <v>3</v>
      </c>
      <c r="F24" s="59" t="n">
        <f aca="false">SUM(F22:F23)</f>
        <v>2</v>
      </c>
      <c r="J24" s="56" t="n">
        <f aca="false">'6-Month Forecast'!A26</f>
        <v>13</v>
      </c>
      <c r="K24" s="56" t="str">
        <f aca="false">IF('6-Month Forecast'!H26&gt;0,COUNTIF('6-Month Forecast'!$H$14:H26,"&gt;0"),"")</f>
        <v/>
      </c>
    </row>
    <row r="25" customFormat="false" ht="15" hidden="false" customHeight="true" outlineLevel="0" collapsed="false">
      <c r="J25" s="56" t="n">
        <f aca="false">'6-Month Forecast'!A27</f>
        <v>14</v>
      </c>
      <c r="K25" s="56" t="str">
        <f aca="false">IF('6-Month Forecast'!H27&gt;0,COUNTIF('6-Month Forecast'!$H$14:H27,"&gt;0"),"")</f>
        <v/>
      </c>
    </row>
    <row r="26" customFormat="false" ht="15" hidden="false" customHeight="true" outlineLevel="0" collapsed="false">
      <c r="A26" s="49" t="s">
        <v>189</v>
      </c>
      <c r="B26" s="50"/>
      <c r="C26" s="50"/>
      <c r="D26" s="50"/>
      <c r="E26" s="50"/>
      <c r="F26" s="50"/>
      <c r="G26" s="50"/>
      <c r="H26" s="50"/>
      <c r="J26" s="56" t="n">
        <f aca="false">'6-Month Forecast'!A28</f>
        <v>15</v>
      </c>
      <c r="K26" s="56" t="n">
        <f aca="false">IF('6-Month Forecast'!H28&gt;0,COUNTIF('6-Month Forecast'!$H$14:H28,"&gt;0"),"")</f>
        <v>3</v>
      </c>
    </row>
    <row r="27" customFormat="false" ht="15" hidden="false" customHeight="true" outlineLevel="0" collapsed="false">
      <c r="A27" s="52" t="s">
        <v>190</v>
      </c>
      <c r="B27" s="20" t="s">
        <v>191</v>
      </c>
      <c r="C27" s="53" t="n">
        <v>2</v>
      </c>
      <c r="D27" s="53"/>
      <c r="E27" s="53" t="n">
        <v>3</v>
      </c>
      <c r="F27" s="54" t="n">
        <f aca="false">IF(INDEX($C27:$E27,1,$B$6)="",$C27,INDEX($C27:$E27,1,$B$6))</f>
        <v>2</v>
      </c>
      <c r="G27" s="20" t="s">
        <v>192</v>
      </c>
      <c r="H27" s="55" t="s">
        <v>193</v>
      </c>
      <c r="J27" s="56" t="n">
        <f aca="false">'6-Month Forecast'!A29</f>
        <v>16</v>
      </c>
      <c r="K27" s="56" t="str">
        <f aca="false">IF('6-Month Forecast'!H29&gt;0,COUNTIF('6-Month Forecast'!$H$14:H29,"&gt;0"),"")</f>
        <v/>
      </c>
    </row>
    <row r="28" customFormat="false" ht="15" hidden="false" customHeight="true" outlineLevel="0" collapsed="false">
      <c r="A28" s="52" t="s">
        <v>194</v>
      </c>
      <c r="B28" s="20" t="s">
        <v>195</v>
      </c>
      <c r="C28" s="53" t="n">
        <v>1</v>
      </c>
      <c r="D28" s="53"/>
      <c r="E28" s="53" t="n">
        <v>2</v>
      </c>
      <c r="F28" s="54" t="n">
        <f aca="false">IF(INDEX($C28:$E28,1,$B$6)="",$C28,INDEX($C28:$E28,1,$B$6))</f>
        <v>1</v>
      </c>
      <c r="G28" s="20" t="s">
        <v>196</v>
      </c>
      <c r="H28" s="20" t="s">
        <v>197</v>
      </c>
      <c r="J28" s="56" t="n">
        <f aca="false">'6-Month Forecast'!A30</f>
        <v>17</v>
      </c>
      <c r="K28" s="56" t="str">
        <f aca="false">IF('6-Month Forecast'!H30&gt;0,COUNTIF('6-Month Forecast'!$H$14:H30,"&gt;0"),"")</f>
        <v/>
      </c>
    </row>
    <row r="29" customFormat="false" ht="15" hidden="false" customHeight="true" outlineLevel="0" collapsed="false">
      <c r="A29" s="57" t="s">
        <v>198</v>
      </c>
      <c r="C29" s="58" t="n">
        <f aca="false">SUM(C27:C28)</f>
        <v>3</v>
      </c>
      <c r="D29" s="58" t="n">
        <f aca="false">IF(D27="",C27,D27)+IF(D28="",C28,D28)</f>
        <v>3</v>
      </c>
      <c r="E29" s="58" t="n">
        <f aca="false">SUM(E27:E28)</f>
        <v>5</v>
      </c>
      <c r="F29" s="59" t="n">
        <f aca="false">SUM(F27:F28)</f>
        <v>3</v>
      </c>
      <c r="J29" s="56" t="n">
        <f aca="false">'6-Month Forecast'!A31</f>
        <v>18</v>
      </c>
      <c r="K29" s="56" t="str">
        <f aca="false">IF('6-Month Forecast'!H31&gt;0,COUNTIF('6-Month Forecast'!$H$14:H31,"&gt;0"),"")</f>
        <v/>
      </c>
    </row>
    <row r="30" customFormat="false" ht="15" hidden="false" customHeight="true" outlineLevel="0" collapsed="false">
      <c r="J30" s="56" t="n">
        <f aca="false">'6-Month Forecast'!A32</f>
        <v>19</v>
      </c>
      <c r="K30" s="56" t="str">
        <f aca="false">IF('6-Month Forecast'!H32&gt;0,COUNTIF('6-Month Forecast'!$H$14:H32,"&gt;0"),"")</f>
        <v/>
      </c>
    </row>
    <row r="31" customFormat="false" ht="15" hidden="false" customHeight="true" outlineLevel="0" collapsed="false">
      <c r="A31" s="24" t="s">
        <v>199</v>
      </c>
      <c r="C31" s="59" t="n">
        <f aca="false">C14+C19+C24+C29</f>
        <v>20</v>
      </c>
      <c r="D31" s="59" t="n">
        <f aca="false">D14+D19+D24+D29</f>
        <v>20</v>
      </c>
      <c r="E31" s="59" t="n">
        <f aca="false">E14+E19+E24+E29</f>
        <v>29</v>
      </c>
      <c r="F31" s="59" t="n">
        <f aca="false">F14+F19+F24+F29</f>
        <v>20</v>
      </c>
      <c r="H31" s="20" t="s">
        <v>200</v>
      </c>
      <c r="J31" s="56" t="n">
        <f aca="false">'6-Month Forecast'!A33</f>
        <v>20</v>
      </c>
      <c r="K31" s="56" t="str">
        <f aca="false">IF('6-Month Forecast'!H33&gt;0,COUNTIF('6-Month Forecast'!$H$14:H33,"&gt;0"),"")</f>
        <v/>
      </c>
    </row>
    <row r="32" customFormat="false" ht="15" hidden="false" customHeight="true" outlineLevel="0" collapsed="false">
      <c r="A32" s="16" t="s">
        <v>201</v>
      </c>
      <c r="C32" s="36" t="n">
        <f aca="false">CEILING(C31/7,1)</f>
        <v>3</v>
      </c>
      <c r="D32" s="36" t="n">
        <f aca="false">CEILING(D31/7,1)</f>
        <v>3</v>
      </c>
      <c r="E32" s="36" t="n">
        <f aca="false">CEILING(E31/7,1)</f>
        <v>5</v>
      </c>
      <c r="F32" s="36" t="n">
        <f aca="false">CEILING(F31/7,1)</f>
        <v>3</v>
      </c>
      <c r="H32" s="20" t="s">
        <v>202</v>
      </c>
      <c r="J32" s="56" t="n">
        <f aca="false">'6-Month Forecast'!A34</f>
        <v>21</v>
      </c>
      <c r="K32" s="56" t="n">
        <f aca="false">IF('6-Month Forecast'!H34&gt;0,COUNTIF('6-Month Forecast'!$H$14:H34,"&gt;0"),"")</f>
        <v>4</v>
      </c>
    </row>
    <row r="33" customFormat="false" ht="15" hidden="false" customHeight="true" outlineLevel="0" collapsed="false">
      <c r="A33" s="16" t="s">
        <v>203</v>
      </c>
      <c r="C33" s="36" t="n">
        <f aca="false">C32*7-C31</f>
        <v>1</v>
      </c>
      <c r="D33" s="36" t="n">
        <f aca="false">D32*7-D31</f>
        <v>1</v>
      </c>
      <c r="E33" s="36" t="n">
        <f aca="false">E32*7-E31</f>
        <v>6</v>
      </c>
      <c r="F33" s="36" t="n">
        <f aca="false">F32*7-F31</f>
        <v>1</v>
      </c>
      <c r="J33" s="56" t="n">
        <f aca="false">'6-Month Forecast'!A35</f>
        <v>22</v>
      </c>
      <c r="K33" s="56" t="str">
        <f aca="false">IF('6-Month Forecast'!H35&gt;0,COUNTIF('6-Month Forecast'!$H$14:H35,"&gt;0"),"")</f>
        <v/>
      </c>
    </row>
    <row r="34" customFormat="false" ht="15" hidden="false" customHeight="true" outlineLevel="0" collapsed="false">
      <c r="A34" s="16" t="s">
        <v>204</v>
      </c>
      <c r="C34" s="36" t="n">
        <f aca="false">C19+C24</f>
        <v>14</v>
      </c>
      <c r="D34" s="36" t="n">
        <f aca="false">D19+D24</f>
        <v>14</v>
      </c>
      <c r="E34" s="36" t="n">
        <f aca="false">E19+E24</f>
        <v>17</v>
      </c>
      <c r="F34" s="36" t="n">
        <f aca="false">F19+F24</f>
        <v>14</v>
      </c>
      <c r="H34" s="20" t="s">
        <v>205</v>
      </c>
      <c r="J34" s="56" t="n">
        <f aca="false">'6-Month Forecast'!A36</f>
        <v>23</v>
      </c>
      <c r="K34" s="56" t="str">
        <f aca="false">IF('6-Month Forecast'!H36&gt;0,COUNTIF('6-Month Forecast'!$H$14:H36,"&gt;0"),"")</f>
        <v/>
      </c>
    </row>
    <row r="35" customFormat="false" ht="15" hidden="false" customHeight="true" outlineLevel="0" collapsed="false">
      <c r="A35" s="16" t="s">
        <v>206</v>
      </c>
      <c r="C35" s="11" t="str">
        <f aca="false">IF(C34&lt;=$B$7,"Within standard ("&amp;($B$7-C34)&amp;" d spare)","Exceeds by "&amp;(C34-$B$7)&amp;" d")</f>
        <v>Within standard (0 d spare)</v>
      </c>
      <c r="D35" s="11" t="str">
        <f aca="false">IF(D34&lt;=$B$7,"Within standard ("&amp;($B$7-D34)&amp;" d spare)","Exceeds by "&amp;(D34-$B$7)&amp;" d")</f>
        <v>Within standard (0 d spare)</v>
      </c>
      <c r="E35" s="11" t="str">
        <f aca="false">IF(E34&lt;=$B$7,"Within standard ("&amp;($B$7-E34)&amp;" d spare)","Exceeds by "&amp;(E34-$B$7)&amp;" d")</f>
        <v>Exceeds by 3 d</v>
      </c>
      <c r="F35" s="11" t="str">
        <f aca="false">IF(F34&lt;=$B$7,"Within standard ("&amp;($B$7-F34)&amp;" d spare)","Exceeds by "&amp;(F34-$B$7)&amp;" d")</f>
        <v>Within standard (0 d spare)</v>
      </c>
      <c r="J35" s="56" t="n">
        <f aca="false">'6-Month Forecast'!A37</f>
        <v>24</v>
      </c>
      <c r="K35" s="56" t="str">
        <f aca="false">IF('6-Month Forecast'!H37&gt;0,COUNTIF('6-Month Forecast'!$H$14:H37,"&gt;0"),"")</f>
        <v/>
      </c>
    </row>
    <row r="36" customFormat="false" ht="15" hidden="false" customHeight="true" outlineLevel="0" collapsed="false">
      <c r="A36" s="16" t="s">
        <v>207</v>
      </c>
      <c r="C36" s="36" t="n">
        <f aca="false">C31-C28</f>
        <v>19</v>
      </c>
      <c r="D36" s="36" t="n">
        <f aca="false">D31-D28</f>
        <v>20</v>
      </c>
      <c r="E36" s="36" t="n">
        <f aca="false">E31-E28</f>
        <v>27</v>
      </c>
      <c r="F36" s="36" t="n">
        <f aca="false">F31-F28</f>
        <v>19</v>
      </c>
      <c r="H36" s="20" t="s">
        <v>208</v>
      </c>
      <c r="J36" s="56" t="n">
        <f aca="false">'6-Month Forecast'!A38</f>
        <v>25</v>
      </c>
      <c r="K36" s="56" t="str">
        <f aca="false">IF('6-Month Forecast'!H38&gt;0,COUNTIF('6-Month Forecast'!$H$14:H38,"&gt;0"),"")</f>
        <v/>
      </c>
    </row>
    <row r="37" customFormat="false" ht="15" hidden="false" customHeight="true" outlineLevel="0" collapsed="false">
      <c r="A37" s="16" t="s">
        <v>209</v>
      </c>
      <c r="C37" s="36" t="n">
        <f aca="false">C28</f>
        <v>1</v>
      </c>
      <c r="D37" s="36" t="n">
        <f aca="false">D28</f>
        <v>0</v>
      </c>
      <c r="E37" s="36" t="n">
        <f aca="false">E28</f>
        <v>2</v>
      </c>
      <c r="F37" s="36" t="n">
        <f aca="false">F28</f>
        <v>1</v>
      </c>
      <c r="J37" s="56" t="n">
        <f aca="false">'6-Month Forecast'!A39</f>
        <v>26</v>
      </c>
      <c r="K37" s="56" t="n">
        <f aca="false">IF('6-Month Forecast'!H39&gt;0,COUNTIF('6-Month Forecast'!$H$14:H39,"&gt;0"),"")</f>
        <v>5</v>
      </c>
    </row>
    <row r="39" customFormat="false" ht="15" hidden="false" customHeight="true" outlineLevel="0" collapsed="false">
      <c r="A39" s="14" t="s">
        <v>210</v>
      </c>
    </row>
    <row r="40" customFormat="false" ht="15" hidden="false" customHeight="true" outlineLevel="0" collapsed="false">
      <c r="A40" s="61" t="s">
        <v>211</v>
      </c>
      <c r="B40" s="61" t="s">
        <v>212</v>
      </c>
      <c r="C40" s="61" t="str">
        <f aca="false">C10</f>
        <v>Supplier standard</v>
      </c>
      <c r="D40" s="61" t="str">
        <f aca="false">D10</f>
        <v>Confirmed on call</v>
      </c>
      <c r="E40" s="61" t="str">
        <f aca="false">E10</f>
        <v>Conservative</v>
      </c>
      <c r="F40" s="61" t="s">
        <v>155</v>
      </c>
      <c r="H40" s="61" t="s">
        <v>7</v>
      </c>
    </row>
    <row r="41" customFormat="false" ht="15" hidden="false" customHeight="true" outlineLevel="0" collapsed="false">
      <c r="A41" s="52" t="s">
        <v>213</v>
      </c>
      <c r="B41" s="20" t="s">
        <v>214</v>
      </c>
      <c r="C41" s="62" t="n">
        <f aca="false">C31</f>
        <v>20</v>
      </c>
      <c r="D41" s="62" t="n">
        <f aca="false">D31</f>
        <v>20</v>
      </c>
      <c r="E41" s="62" t="n">
        <f aca="false">E31</f>
        <v>29</v>
      </c>
      <c r="F41" s="62" t="n">
        <f aca="false">F31</f>
        <v>20</v>
      </c>
    </row>
    <row r="42" customFormat="false" ht="15" hidden="false" customHeight="true" outlineLevel="0" collapsed="false">
      <c r="A42" s="52" t="s">
        <v>92</v>
      </c>
      <c r="B42" s="20" t="s">
        <v>215</v>
      </c>
      <c r="C42" s="62" t="n">
        <f aca="false">C32</f>
        <v>3</v>
      </c>
      <c r="D42" s="62" t="n">
        <f aca="false">D32</f>
        <v>3</v>
      </c>
      <c r="E42" s="62" t="n">
        <f aca="false">E32</f>
        <v>5</v>
      </c>
      <c r="F42" s="62" t="n">
        <f aca="false">F32</f>
        <v>3</v>
      </c>
    </row>
    <row r="43" customFormat="false" ht="15" hidden="false" customHeight="true" outlineLevel="0" collapsed="false">
      <c r="A43" s="52" t="s">
        <v>216</v>
      </c>
      <c r="B43" s="20" t="s">
        <v>217</v>
      </c>
      <c r="C43" s="63" t="n">
        <f aca="false">Inputs!$B$26</f>
        <v>250</v>
      </c>
      <c r="D43" s="63" t="n">
        <f aca="false">Inputs!$B$26</f>
        <v>250</v>
      </c>
      <c r="E43" s="63" t="n">
        <f aca="false">Inputs!$B$26</f>
        <v>250</v>
      </c>
      <c r="F43" s="63" t="n">
        <f aca="false">Inputs!$B$26</f>
        <v>250</v>
      </c>
    </row>
    <row r="44" customFormat="false" ht="15" hidden="false" customHeight="true" outlineLevel="0" collapsed="false">
      <c r="A44" s="52" t="s">
        <v>218</v>
      </c>
      <c r="B44" s="20" t="s">
        <v>219</v>
      </c>
      <c r="C44" s="64" t="n">
        <f aca="false">Inputs!$B$32*Inputs!$B$26</f>
        <v>250</v>
      </c>
      <c r="D44" s="64" t="n">
        <f aca="false">Inputs!$B$32*Inputs!$B$26</f>
        <v>250</v>
      </c>
      <c r="E44" s="64" t="n">
        <f aca="false">Inputs!$B$32*Inputs!$B$26</f>
        <v>250</v>
      </c>
      <c r="F44" s="64" t="n">
        <f aca="false">Inputs!$B$32*Inputs!$B$26</f>
        <v>250</v>
      </c>
    </row>
    <row r="45" customFormat="false" ht="15" hidden="false" customHeight="true" outlineLevel="0" collapsed="false">
      <c r="A45" s="65" t="s">
        <v>220</v>
      </c>
      <c r="B45" s="20" t="s">
        <v>221</v>
      </c>
      <c r="C45" s="66" t="n">
        <f aca="false">(C42+Inputs!$B$32)*Inputs!$B$26</f>
        <v>1000</v>
      </c>
      <c r="D45" s="66" t="n">
        <f aca="false">(D42+Inputs!$B$32)*Inputs!$B$26</f>
        <v>1000</v>
      </c>
      <c r="E45" s="66" t="n">
        <f aca="false">(E42+Inputs!$B$32)*Inputs!$B$26</f>
        <v>1500</v>
      </c>
      <c r="F45" s="66" t="n">
        <f aca="false">(F42+Inputs!$B$32)*Inputs!$B$26</f>
        <v>1000</v>
      </c>
      <c r="H45" s="20" t="s">
        <v>222</v>
      </c>
    </row>
    <row r="46" customFormat="false" ht="15" hidden="false" customHeight="true" outlineLevel="0" collapsed="false">
      <c r="A46" s="52" t="s">
        <v>223</v>
      </c>
      <c r="B46" s="20" t="s">
        <v>224</v>
      </c>
      <c r="C46" s="67" t="n">
        <f aca="false">C45/Inputs!$B$26</f>
        <v>4</v>
      </c>
      <c r="D46" s="67" t="n">
        <f aca="false">D45/Inputs!$B$26</f>
        <v>4</v>
      </c>
      <c r="E46" s="67" t="n">
        <f aca="false">E45/Inputs!$B$26</f>
        <v>6</v>
      </c>
      <c r="F46" s="67" t="n">
        <f aca="false">F45/Inputs!$B$26</f>
        <v>4</v>
      </c>
    </row>
    <row r="47" customFormat="false" ht="15" hidden="false" customHeight="true" outlineLevel="0" collapsed="false">
      <c r="A47" s="52" t="s">
        <v>225</v>
      </c>
      <c r="B47" s="20" t="s">
        <v>226</v>
      </c>
      <c r="C47" s="63" t="n">
        <f aca="false">'Order Cadence'!$B$6</f>
        <v>1300</v>
      </c>
      <c r="D47" s="63" t="n">
        <f aca="false">'Order Cadence'!$B$6</f>
        <v>1300</v>
      </c>
      <c r="E47" s="63" t="n">
        <f aca="false">'Order Cadence'!$B$6</f>
        <v>1300</v>
      </c>
      <c r="F47" s="63" t="n">
        <f aca="false">'Order Cadence'!$B$6</f>
        <v>1300</v>
      </c>
    </row>
    <row r="48" customFormat="false" ht="15" hidden="false" customHeight="true" outlineLevel="0" collapsed="false">
      <c r="A48" s="52" t="s">
        <v>227</v>
      </c>
      <c r="B48" s="20" t="s">
        <v>228</v>
      </c>
      <c r="C48" s="68" t="str">
        <f aca="false">IF(C45&lt;=C47,"Yes — one PO open at a time","No — two POs open at times; consider 2-roll POs")</f>
        <v>Yes — one PO open at a time</v>
      </c>
      <c r="D48" s="68" t="str">
        <f aca="false">IF(D45&lt;=D47,"Yes — one PO open at a time","No — two POs open at times; consider 2-roll POs")</f>
        <v>Yes — one PO open at a time</v>
      </c>
      <c r="E48" s="68" t="str">
        <f aca="false">IF(E45&lt;=E47,"Yes — one PO open at a time","No — two POs open at times; consider 2-roll POs")</f>
        <v>No — two POs open at times; consider 2-roll POs</v>
      </c>
      <c r="F48" s="68" t="str">
        <f aca="false">IF(F45&lt;=F47,"Yes — one PO open at a time","No — two POs open at times; consider 2-roll POs")</f>
        <v>Yes — one PO open at a time</v>
      </c>
    </row>
    <row r="49" customFormat="false" ht="15" hidden="false" customHeight="true" outlineLevel="0" collapsed="false">
      <c r="A49" s="52" t="s">
        <v>229</v>
      </c>
      <c r="B49" s="20" t="s">
        <v>230</v>
      </c>
      <c r="C49" s="64" t="n">
        <f aca="false">C44+C47</f>
        <v>1550</v>
      </c>
      <c r="D49" s="64" t="n">
        <f aca="false">D44+D47</f>
        <v>1550</v>
      </c>
      <c r="E49" s="64" t="n">
        <f aca="false">E44+E47</f>
        <v>1550</v>
      </c>
      <c r="F49" s="64" t="n">
        <f aca="false">F44+F47</f>
        <v>1550</v>
      </c>
    </row>
    <row r="50" customFormat="false" ht="15" hidden="false" customHeight="true" outlineLevel="0" collapsed="false">
      <c r="A50" s="52" t="s">
        <v>231</v>
      </c>
      <c r="B50" s="20" t="s">
        <v>232</v>
      </c>
      <c r="C50" s="64" t="n">
        <f aca="false">C47/2+C44</f>
        <v>900</v>
      </c>
      <c r="D50" s="64" t="n">
        <f aca="false">D47/2+D44</f>
        <v>900</v>
      </c>
      <c r="E50" s="64" t="n">
        <f aca="false">E47/2+E44</f>
        <v>900</v>
      </c>
      <c r="F50" s="64" t="n">
        <f aca="false">F47/2+F44</f>
        <v>900</v>
      </c>
      <c r="H50" s="20" t="s">
        <v>233</v>
      </c>
    </row>
    <row r="51" customFormat="false" ht="23.25" hidden="false" customHeight="true" outlineLevel="0" collapsed="false">
      <c r="A51" s="52" t="s">
        <v>234</v>
      </c>
      <c r="B51" s="20" t="s">
        <v>235</v>
      </c>
      <c r="C51" s="64" t="n">
        <f aca="false">MAX(0,(C42*7-$D41)*Inputs!$B$26/7)</f>
        <v>35.7142857142857</v>
      </c>
      <c r="D51" s="64" t="n">
        <f aca="false">MAX(0,(D42*7-$D41)*Inputs!$B$26/7)</f>
        <v>35.7142857142857</v>
      </c>
      <c r="E51" s="64" t="n">
        <f aca="false">MAX(0,(E42*7-$D41)*Inputs!$B$26/7)</f>
        <v>535.714285714286</v>
      </c>
      <c r="F51" s="64" t="n">
        <f aca="false">MAX(0,(F42*7-$D41)*Inputs!$B$26/7)</f>
        <v>35.7142857142857</v>
      </c>
      <c r="H51" s="20" t="s">
        <v>236</v>
      </c>
    </row>
    <row r="52" customFormat="false" ht="15" hidden="false" customHeight="true" outlineLevel="0" collapsed="false">
      <c r="A52" s="52" t="s">
        <v>237</v>
      </c>
      <c r="B52" s="20" t="s">
        <v>238</v>
      </c>
      <c r="C52" s="69" t="n">
        <f aca="false">C51*Inputs!$B$20</f>
        <v>14.6428571428571</v>
      </c>
      <c r="D52" s="69" t="n">
        <f aca="false">D51*Inputs!$B$20</f>
        <v>14.6428571428571</v>
      </c>
      <c r="E52" s="69" t="n">
        <f aca="false">E51*Inputs!$B$20</f>
        <v>219.642857142857</v>
      </c>
      <c r="F52" s="69" t="n">
        <f aca="false">F51*Inputs!$B$20</f>
        <v>14.6428571428571</v>
      </c>
    </row>
    <row r="54" customFormat="false" ht="42" hidden="false" customHeight="true" outlineLevel="0" collapsed="false">
      <c r="A54" s="70" t="s">
        <v>239</v>
      </c>
      <c r="B54" s="70"/>
      <c r="C54" s="70"/>
      <c r="D54" s="70"/>
      <c r="E54" s="70"/>
      <c r="F54" s="70"/>
      <c r="G54" s="70"/>
      <c r="H54" s="70"/>
    </row>
    <row r="56" customFormat="false" ht="15" hidden="false" customHeight="true" outlineLevel="0" collapsed="false">
      <c r="A56" s="14" t="s">
        <v>240</v>
      </c>
    </row>
    <row r="57" customFormat="false" ht="15" hidden="false" customHeight="true" outlineLevel="0" collapsed="false">
      <c r="A57" s="71" t="s">
        <v>241</v>
      </c>
      <c r="B57" s="71"/>
      <c r="C57" s="71"/>
      <c r="D57" s="71"/>
      <c r="E57" s="71"/>
      <c r="F57" s="71"/>
      <c r="G57" s="71"/>
      <c r="H57" s="71"/>
    </row>
    <row r="58" customFormat="false" ht="15" hidden="false" customHeight="true" outlineLevel="0" collapsed="false">
      <c r="A58" s="71" t="s">
        <v>242</v>
      </c>
      <c r="B58" s="71"/>
      <c r="C58" s="71"/>
      <c r="D58" s="71"/>
      <c r="E58" s="71"/>
      <c r="F58" s="71"/>
      <c r="G58" s="71"/>
      <c r="H58" s="71"/>
    </row>
    <row r="59" customFormat="false" ht="15" hidden="false" customHeight="true" outlineLevel="0" collapsed="false">
      <c r="A59" s="71" t="s">
        <v>243</v>
      </c>
      <c r="B59" s="71"/>
      <c r="C59" s="71"/>
      <c r="D59" s="71"/>
      <c r="E59" s="71"/>
      <c r="F59" s="71"/>
      <c r="G59" s="71"/>
      <c r="H59" s="71"/>
    </row>
  </sheetData>
  <mergeCells count="4">
    <mergeCell ref="A54:H54"/>
    <mergeCell ref="A57:H57"/>
    <mergeCell ref="A58:H58"/>
    <mergeCell ref="A59:H59"/>
  </mergeCells>
  <dataValidations count="1">
    <dataValidation allowBlank="false" errorStyle="stop" operator="between" showDropDown="false" showErrorMessage="false" showInputMessage="false" sqref="B5" type="list">
      <formula1>"Supplier standard,Confirmed on call,Conservative"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5"/>
    <col collapsed="false" customWidth="true" hidden="false" outlineLevel="0" max="3" min="3" style="1" width="14"/>
    <col collapsed="false" customWidth="true" hidden="false" outlineLevel="0" max="5" min="4" style="1" width="13"/>
    <col collapsed="false" customWidth="true" hidden="false" outlineLevel="0" max="6" min="6" style="1" width="14"/>
    <col collapsed="false" customWidth="true" hidden="false" outlineLevel="0" max="7" min="7" style="1" width="13"/>
    <col collapsed="false" customWidth="true" hidden="false" outlineLevel="0" max="8" min="8" style="1" width="15"/>
    <col collapsed="false" customWidth="true" hidden="false" outlineLevel="0" max="9" min="9" style="1" width="16"/>
    <col collapsed="false" customWidth="true" hidden="false" outlineLevel="0" max="10" min="10" style="1" width="14"/>
    <col collapsed="false" customWidth="true" hidden="false" outlineLevel="0" max="11" min="11" style="1" width="16"/>
    <col collapsed="false" customWidth="true" hidden="false" outlineLevel="0" max="12" min="12" style="1" width="24"/>
    <col collapsed="false" customWidth="true" hidden="false" outlineLevel="0" max="13" min="13" style="1" width="14"/>
    <col collapsed="false" customWidth="true" hidden="false" outlineLevel="0" max="14" min="14" style="1" width="15"/>
    <col collapsed="false" customWidth="true" hidden="false" outlineLevel="0" max="15" min="15" style="1" width="22"/>
    <col collapsed="false" customWidth="true" hidden="false" outlineLevel="0" max="16" min="16" style="1" width="10"/>
    <col collapsed="false" customWidth="true" hidden="false" outlineLevel="0" max="17" min="17" style="1" width="11"/>
  </cols>
  <sheetData>
    <row r="1" customFormat="false" ht="17.25" hidden="false" customHeight="true" outlineLevel="0" collapsed="false">
      <c r="A1" s="12" t="s">
        <v>244</v>
      </c>
    </row>
    <row r="2" customFormat="false" ht="15" hidden="false" customHeight="true" outlineLevel="0" collapsed="false">
      <c r="A2" s="11" t="s">
        <v>245</v>
      </c>
    </row>
    <row r="4" customFormat="false" ht="15" hidden="false" customHeight="true" outlineLevel="0" collapsed="false">
      <c r="A4" s="14" t="s">
        <v>246</v>
      </c>
    </row>
    <row r="5" customFormat="false" ht="15" hidden="false" customHeight="true" outlineLevel="0" collapsed="false">
      <c r="A5" s="16" t="s">
        <v>247</v>
      </c>
      <c r="B5" s="21" t="str">
        <f aca="false">'Cycle Time'!B5</f>
        <v>Supplier standard</v>
      </c>
      <c r="D5" s="11" t="s">
        <v>248</v>
      </c>
    </row>
    <row r="6" customFormat="false" ht="15" hidden="false" customHeight="true" outlineLevel="0" collapsed="false">
      <c r="A6" s="16" t="s">
        <v>213</v>
      </c>
      <c r="B6" s="27" t="n">
        <f aca="false">'Cycle Time'!F31</f>
        <v>20</v>
      </c>
    </row>
    <row r="7" customFormat="false" ht="15" hidden="false" customHeight="true" outlineLevel="0" collapsed="false">
      <c r="A7" s="16" t="s">
        <v>92</v>
      </c>
      <c r="B7" s="27" t="n">
        <f aca="false">Inputs!B31</f>
        <v>3</v>
      </c>
    </row>
    <row r="8" customFormat="false" ht="15" hidden="false" customHeight="true" outlineLevel="0" collapsed="false">
      <c r="A8" s="16" t="s">
        <v>147</v>
      </c>
      <c r="B8" s="27" t="n">
        <f aca="false">'Cycle Time'!B7</f>
        <v>14</v>
      </c>
    </row>
    <row r="9" customFormat="false" ht="15" hidden="false" customHeight="true" outlineLevel="0" collapsed="false">
      <c r="A9" s="16" t="s">
        <v>216</v>
      </c>
      <c r="B9" s="22" t="n">
        <f aca="false">Inputs!B26</f>
        <v>250</v>
      </c>
    </row>
    <row r="10" customFormat="false" ht="15" hidden="false" customHeight="true" outlineLevel="0" collapsed="false">
      <c r="A10" s="16" t="s">
        <v>249</v>
      </c>
      <c r="B10" s="16" t="s">
        <v>250</v>
      </c>
      <c r="D10" s="11" t="s">
        <v>251</v>
      </c>
    </row>
    <row r="12" customFormat="false" ht="15" hidden="false" customHeight="true" outlineLevel="0" collapsed="false">
      <c r="A12" s="14" t="s">
        <v>252</v>
      </c>
    </row>
    <row r="13" customFormat="false" ht="43.5" hidden="false" customHeight="true" outlineLevel="0" collapsed="false">
      <c r="A13" s="47" t="s">
        <v>253</v>
      </c>
      <c r="B13" s="47" t="s">
        <v>254</v>
      </c>
      <c r="C13" s="47" t="s">
        <v>255</v>
      </c>
      <c r="D13" s="47" t="s">
        <v>256</v>
      </c>
      <c r="E13" s="47" t="s">
        <v>257</v>
      </c>
      <c r="F13" s="47" t="s">
        <v>258</v>
      </c>
      <c r="G13" s="47" t="s">
        <v>259</v>
      </c>
      <c r="H13" s="47" t="s">
        <v>260</v>
      </c>
      <c r="I13" s="47" t="s">
        <v>261</v>
      </c>
      <c r="J13" s="47" t="s">
        <v>262</v>
      </c>
      <c r="K13" s="47" t="s">
        <v>263</v>
      </c>
      <c r="L13" s="47" t="s">
        <v>264</v>
      </c>
      <c r="M13" s="47" t="s">
        <v>265</v>
      </c>
      <c r="N13" s="47" t="s">
        <v>266</v>
      </c>
      <c r="O13" s="47" t="s">
        <v>267</v>
      </c>
      <c r="P13" s="47" t="s">
        <v>268</v>
      </c>
      <c r="Q13" s="47" t="s">
        <v>269</v>
      </c>
    </row>
    <row r="14" customFormat="false" ht="15" hidden="false" customHeight="true" outlineLevel="0" collapsed="false">
      <c r="A14" s="72" t="n">
        <v>0</v>
      </c>
      <c r="B14" s="73" t="n">
        <f aca="false">IF(Inputs!$B$56&gt;0,Inputs!$B$55,"")</f>
        <v>46289</v>
      </c>
      <c r="C14" s="73" t="n">
        <f aca="false">IF($B14="","",WORKDAY($B14+'Cycle Time'!$F$14-1,1))</f>
        <v>46293</v>
      </c>
      <c r="D14" s="73" t="n">
        <f aca="false">IF($B14="","",WORKDAY(C14+'Cycle Time'!$F$19-1,1))</f>
        <v>46307</v>
      </c>
      <c r="E14" s="74" t="n">
        <f aca="false">IF($B14="","",WORKDAY(D14+'Cycle Time'!$F$24-1,1))</f>
        <v>46309</v>
      </c>
      <c r="F14" s="73" t="n">
        <f aca="false">IF($B14="","",WORKDAY(E14+'Cycle Time'!$F$27-1,1))</f>
        <v>46311</v>
      </c>
      <c r="G14" s="73" t="n">
        <f aca="false">IF($B14="","",WORKDAY(F14+'Cycle Time'!$F$28-1,1))</f>
        <v>46314</v>
      </c>
      <c r="H14" s="75" t="n">
        <f aca="false">IF($B14="","",'6-Month Forecast'!$B$5+(Inputs!$B$58-1)*7)</f>
        <v>46314</v>
      </c>
      <c r="I14" s="74" t="n">
        <f aca="false">IF($B14="","",$H14-'Cycle Time'!$F$29)</f>
        <v>46311</v>
      </c>
      <c r="J14" s="36" t="n">
        <f aca="false">IF($B14="","",I14-$B14)</f>
        <v>22</v>
      </c>
      <c r="K14" s="58" t="n">
        <f aca="false">IF($B14="","",I14-C14)</f>
        <v>18</v>
      </c>
      <c r="L14" s="11" t="str">
        <f aca="false">IF($B14="","",IF(K14&gt;=$B$8,"Yes — "&amp;(K14-$B$8)&amp;" d margin","NO — short "&amp;($B$8-K14)&amp;" d"))</f>
        <v>Yes — 4 d margin</v>
      </c>
      <c r="M14" s="36" t="n">
        <f aca="false">IF($B14="","",I14-E14)</f>
        <v>2</v>
      </c>
      <c r="N14" s="40" t="n">
        <f aca="false">IF($B14="","",Inputs!$B$60)</f>
        <v>1.74</v>
      </c>
      <c r="O14" s="11" t="str">
        <f aca="false">IF($B14="","",IF(SUMPRODUCT(($B$29:$B$32&lt;&gt;"")*($B$29:$B$32&lt;=E14)*($C$29:$C$32&gt;=C14))&gt;0,"⚠ holiday in window","clear"))</f>
        <v>clear</v>
      </c>
      <c r="P14" s="32" t="n">
        <f aca="false">IF($B14="","",Inputs!$B$56)</f>
        <v>1300</v>
      </c>
      <c r="Q14" s="26" t="n">
        <f aca="false">IF($B14="","",P14*Inputs!$B$20)</f>
        <v>533</v>
      </c>
    </row>
    <row r="15" customFormat="false" ht="15" hidden="false" customHeight="true" outlineLevel="0" collapsed="false">
      <c r="A15" s="72" t="n">
        <v>1</v>
      </c>
      <c r="B15" s="73" t="n">
        <f aca="false">IFERROR(INDEX('6-Month Forecast'!$B$14:$B$39,MATCH($A15,'Cycle Time'!$K$12:$K$37,0)),"")</f>
        <v>46321</v>
      </c>
      <c r="C15" s="73" t="n">
        <f aca="false">IF($B15="","",WORKDAY($B15+'Cycle Time'!$F$14-1,1))</f>
        <v>46324</v>
      </c>
      <c r="D15" s="73" t="n">
        <f aca="false">IF($B15="","",WORKDAY(C15+'Cycle Time'!$F$19-1,1))</f>
        <v>46336</v>
      </c>
      <c r="E15" s="74" t="n">
        <f aca="false">IF($B15="","",WORKDAY(D15+'Cycle Time'!$F$24-1,1))</f>
        <v>46338</v>
      </c>
      <c r="F15" s="73" t="n">
        <f aca="false">IF($B15="","",WORKDAY(E15+'Cycle Time'!$F$27-1,1))</f>
        <v>46342</v>
      </c>
      <c r="G15" s="73" t="n">
        <f aca="false">IF($B15="","",WORKDAY(F15+'Cycle Time'!$F$28-1,1))</f>
        <v>46343</v>
      </c>
      <c r="H15" s="75" t="n">
        <f aca="false">IF($B15="","",$B15+$B$7*7)</f>
        <v>46342</v>
      </c>
      <c r="I15" s="74" t="n">
        <f aca="false">IF($B15="","",$H15-'Cycle Time'!$F$29)</f>
        <v>46339</v>
      </c>
      <c r="J15" s="36" t="n">
        <f aca="false">IF($B15="","",I15-$B15)</f>
        <v>18</v>
      </c>
      <c r="K15" s="58" t="n">
        <f aca="false">IF($B15="","",I15-C15)</f>
        <v>15</v>
      </c>
      <c r="L15" s="11" t="str">
        <f aca="false">IF($B15="","",IF(K15&gt;=$B$8,"Yes — "&amp;(K15-$B$8)&amp;" d margin","NO — short "&amp;($B$8-K15)&amp;" d"))</f>
        <v>Yes — 1 d margin</v>
      </c>
      <c r="M15" s="36" t="n">
        <f aca="false">IF($B15="","",I15-E15)</f>
        <v>1</v>
      </c>
      <c r="N15" s="40" t="n">
        <f aca="false">IF($B15="","",IFERROR(INDEX('6-Month Forecast'!$C$14:$C$39,MATCH($A15,'Cycle Time'!$K$12:$K$37,0)+$B$7)/$B$9*7,"beyond horizon"))</f>
        <v>10.836</v>
      </c>
      <c r="O15" s="11" t="str">
        <f aca="false">IF($B15="","",IF(SUMPRODUCT(($B$29:$B$32&lt;&gt;"")*($B$29:$B$32&lt;=E15)*($C$29:$C$32&gt;=C15))&gt;0,"⚠ holiday in window","clear"))</f>
        <v>clear</v>
      </c>
      <c r="P15" s="32" t="n">
        <f aca="false">IF($B15="","",INDEX('6-Month Forecast'!$H$14:$H$39,MATCH($A15,'Cycle Time'!$K$12:$K$37,0)))</f>
        <v>1300</v>
      </c>
      <c r="Q15" s="26" t="n">
        <f aca="false">IF($B15="","",P15*Inputs!$B$20)</f>
        <v>533</v>
      </c>
    </row>
    <row r="16" customFormat="false" ht="15" hidden="false" customHeight="true" outlineLevel="0" collapsed="false">
      <c r="A16" s="72" t="n">
        <v>2</v>
      </c>
      <c r="B16" s="73" t="n">
        <f aca="false">IFERROR(INDEX('6-Month Forecast'!$B$14:$B$39,MATCH($A16,'Cycle Time'!$K$12:$K$37,0)),"")</f>
        <v>46356</v>
      </c>
      <c r="C16" s="73" t="n">
        <f aca="false">IF($B16="","",WORKDAY($B16+'Cycle Time'!$F$14-1,1))</f>
        <v>46359</v>
      </c>
      <c r="D16" s="73" t="n">
        <f aca="false">IF($B16="","",WORKDAY(C16+'Cycle Time'!$F$19-1,1))</f>
        <v>46371</v>
      </c>
      <c r="E16" s="74" t="n">
        <f aca="false">IF($B16="","",WORKDAY(D16+'Cycle Time'!$F$24-1,1))</f>
        <v>46373</v>
      </c>
      <c r="F16" s="73" t="n">
        <f aca="false">IF($B16="","",WORKDAY(E16+'Cycle Time'!$F$27-1,1))</f>
        <v>46377</v>
      </c>
      <c r="G16" s="73" t="n">
        <f aca="false">IF($B16="","",WORKDAY(F16+'Cycle Time'!$F$28-1,1))</f>
        <v>46378</v>
      </c>
      <c r="H16" s="75" t="n">
        <f aca="false">IF($B16="","",$B16+$B$7*7)</f>
        <v>46377</v>
      </c>
      <c r="I16" s="74" t="n">
        <f aca="false">IF($B16="","",$H16-'Cycle Time'!$F$29)</f>
        <v>46374</v>
      </c>
      <c r="J16" s="36" t="n">
        <f aca="false">IF($B16="","",I16-$B16)</f>
        <v>18</v>
      </c>
      <c r="K16" s="58" t="n">
        <f aca="false">IF($B16="","",I16-C16)</f>
        <v>15</v>
      </c>
      <c r="L16" s="11" t="str">
        <f aca="false">IF($B16="","",IF(K16&gt;=$B$8,"Yes — "&amp;(K16-$B$8)&amp;" d margin","NO — short "&amp;($B$8-K16)&amp;" d"))</f>
        <v>Yes — 1 d margin</v>
      </c>
      <c r="M16" s="36" t="n">
        <f aca="false">IF($B16="","",I16-E16)</f>
        <v>1</v>
      </c>
      <c r="N16" s="40" t="n">
        <f aca="false">IF($B16="","",IFERROR(INDEX('6-Month Forecast'!$C$14:$C$39,MATCH($A16,'Cycle Time'!$K$12:$K$37,0)+$B$7)/$B$9*7,"beyond horizon"))</f>
        <v>12.236</v>
      </c>
      <c r="O16" s="11" t="str">
        <f aca="false">IF($B16="","",IF(SUMPRODUCT(($B$29:$B$32&lt;&gt;"")*($B$29:$B$32&lt;=E16)*($C$29:$C$32&gt;=C16))&gt;0,"⚠ holiday in window","clear"))</f>
        <v>clear</v>
      </c>
      <c r="P16" s="32" t="n">
        <f aca="false">IF($B16="","",INDEX('6-Month Forecast'!$H$14:$H$39,MATCH($A16,'Cycle Time'!$K$12:$K$37,0)))</f>
        <v>1300</v>
      </c>
      <c r="Q16" s="26" t="n">
        <f aca="false">IF($B16="","",P16*Inputs!$B$20)</f>
        <v>533</v>
      </c>
    </row>
    <row r="17" customFormat="false" ht="15" hidden="false" customHeight="true" outlineLevel="0" collapsed="false">
      <c r="A17" s="72" t="n">
        <v>3</v>
      </c>
      <c r="B17" s="73" t="n">
        <f aca="false">IFERROR(INDEX('6-Month Forecast'!$B$14:$B$39,MATCH($A17,'Cycle Time'!$K$12:$K$37,0)),"")</f>
        <v>46391</v>
      </c>
      <c r="C17" s="73" t="n">
        <f aca="false">IF($B17="","",WORKDAY($B17+'Cycle Time'!$F$14-1,1))</f>
        <v>46394</v>
      </c>
      <c r="D17" s="73" t="n">
        <f aca="false">IF($B17="","",WORKDAY(C17+'Cycle Time'!$F$19-1,1))</f>
        <v>46406</v>
      </c>
      <c r="E17" s="74" t="n">
        <f aca="false">IF($B17="","",WORKDAY(D17+'Cycle Time'!$F$24-1,1))</f>
        <v>46408</v>
      </c>
      <c r="F17" s="73" t="n">
        <f aca="false">IF($B17="","",WORKDAY(E17+'Cycle Time'!$F$27-1,1))</f>
        <v>46412</v>
      </c>
      <c r="G17" s="73" t="n">
        <f aca="false">IF($B17="","",WORKDAY(F17+'Cycle Time'!$F$28-1,1))</f>
        <v>46413</v>
      </c>
      <c r="H17" s="75" t="n">
        <f aca="false">IF($B17="","",$B17+$B$7*7)</f>
        <v>46412</v>
      </c>
      <c r="I17" s="74" t="n">
        <f aca="false">IF($B17="","",$H17-'Cycle Time'!$F$29)</f>
        <v>46409</v>
      </c>
      <c r="J17" s="36" t="n">
        <f aca="false">IF($B17="","",I17-$B17)</f>
        <v>18</v>
      </c>
      <c r="K17" s="58" t="n">
        <f aca="false">IF($B17="","",I17-C17)</f>
        <v>15</v>
      </c>
      <c r="L17" s="11" t="str">
        <f aca="false">IF($B17="","",IF(K17&gt;=$B$8,"Yes — "&amp;(K17-$B$8)&amp;" d margin","NO — short "&amp;($B$8-K17)&amp;" d"))</f>
        <v>Yes — 1 d margin</v>
      </c>
      <c r="M17" s="36" t="n">
        <f aca="false">IF($B17="","",I17-E17)</f>
        <v>1</v>
      </c>
      <c r="N17" s="40" t="n">
        <f aca="false">IF($B17="","",IFERROR(INDEX('6-Month Forecast'!$C$14:$C$39,MATCH($A17,'Cycle Time'!$K$12:$K$37,0)+$B$7)/$B$9*7,"beyond horizon"))</f>
        <v>13.636</v>
      </c>
      <c r="O17" s="11" t="str">
        <f aca="false">IF($B17="","",IF(SUMPRODUCT(($B$29:$B$32&lt;&gt;"")*($B$29:$B$32&lt;=E17)*($C$29:$C$32&gt;=C17))&gt;0,"⚠ holiday in window","clear"))</f>
        <v>clear</v>
      </c>
      <c r="P17" s="32" t="n">
        <f aca="false">IF($B17="","",INDEX('6-Month Forecast'!$H$14:$H$39,MATCH($A17,'Cycle Time'!$K$12:$K$37,0)))</f>
        <v>1300</v>
      </c>
      <c r="Q17" s="26" t="n">
        <f aca="false">IF($B17="","",P17*Inputs!$B$20)</f>
        <v>533</v>
      </c>
    </row>
    <row r="18" customFormat="false" ht="15" hidden="false" customHeight="true" outlineLevel="0" collapsed="false">
      <c r="A18" s="72" t="n">
        <v>4</v>
      </c>
      <c r="B18" s="73" t="n">
        <f aca="false">IFERROR(INDEX('6-Month Forecast'!$B$14:$B$39,MATCH($A18,'Cycle Time'!$K$12:$K$37,0)),"")</f>
        <v>46433</v>
      </c>
      <c r="C18" s="73" t="n">
        <f aca="false">IF($B18="","",WORKDAY($B18+'Cycle Time'!$F$14-1,1))</f>
        <v>46436</v>
      </c>
      <c r="D18" s="73" t="n">
        <f aca="false">IF($B18="","",WORKDAY(C18+'Cycle Time'!$F$19-1,1))</f>
        <v>46448</v>
      </c>
      <c r="E18" s="74" t="n">
        <f aca="false">IF($B18="","",WORKDAY(D18+'Cycle Time'!$F$24-1,1))</f>
        <v>46450</v>
      </c>
      <c r="F18" s="73" t="n">
        <f aca="false">IF($B18="","",WORKDAY(E18+'Cycle Time'!$F$27-1,1))</f>
        <v>46454</v>
      </c>
      <c r="G18" s="73" t="n">
        <f aca="false">IF($B18="","",WORKDAY(F18+'Cycle Time'!$F$28-1,1))</f>
        <v>46455</v>
      </c>
      <c r="H18" s="75" t="n">
        <f aca="false">IF($B18="","",$B18+$B$7*7)</f>
        <v>46454</v>
      </c>
      <c r="I18" s="74" t="n">
        <f aca="false">IF($B18="","",$H18-'Cycle Time'!$F$29)</f>
        <v>46451</v>
      </c>
      <c r="J18" s="36" t="n">
        <f aca="false">IF($B18="","",I18-$B18)</f>
        <v>18</v>
      </c>
      <c r="K18" s="58" t="n">
        <f aca="false">IF($B18="","",I18-C18)</f>
        <v>15</v>
      </c>
      <c r="L18" s="11" t="str">
        <f aca="false">IF($B18="","",IF(K18&gt;=$B$8,"Yes — "&amp;(K18-$B$8)&amp;" d margin","NO — short "&amp;($B$8-K18)&amp;" d"))</f>
        <v>Yes — 1 d margin</v>
      </c>
      <c r="M18" s="36" t="n">
        <f aca="false">IF($B18="","",I18-E18)</f>
        <v>1</v>
      </c>
      <c r="N18" s="40" t="n">
        <f aca="false">IF($B18="","",IFERROR(INDEX('6-Month Forecast'!$C$14:$C$39,MATCH($A18,'Cycle Time'!$K$12:$K$37,0)+$B$7)/$B$9*7,"beyond horizon"))</f>
        <v>8.036</v>
      </c>
      <c r="O18" s="11" t="str">
        <f aca="false">IF($B18="","",IF(SUMPRODUCT(($B$29:$B$32&lt;&gt;"")*($B$29:$B$32&lt;=E18)*($C$29:$C$32&gt;=C18))&gt;0,"⚠ holiday in window","clear"))</f>
        <v>clear</v>
      </c>
      <c r="P18" s="32" t="n">
        <f aca="false">IF($B18="","",INDEX('6-Month Forecast'!$H$14:$H$39,MATCH($A18,'Cycle Time'!$K$12:$K$37,0)))</f>
        <v>1300</v>
      </c>
      <c r="Q18" s="26" t="n">
        <f aca="false">IF($B18="","",P18*Inputs!$B$20)</f>
        <v>533</v>
      </c>
    </row>
    <row r="19" customFormat="false" ht="15" hidden="false" customHeight="true" outlineLevel="0" collapsed="false">
      <c r="A19" s="72" t="n">
        <v>5</v>
      </c>
      <c r="B19" s="73" t="n">
        <f aca="false">IFERROR(INDEX('6-Month Forecast'!$B$14:$B$39,MATCH($A19,'Cycle Time'!$K$12:$K$37,0)),"")</f>
        <v>46468</v>
      </c>
      <c r="C19" s="73" t="n">
        <f aca="false">IF($B19="","",WORKDAY($B19+'Cycle Time'!$F$14-1,1))</f>
        <v>46471</v>
      </c>
      <c r="D19" s="73" t="n">
        <f aca="false">IF($B19="","",WORKDAY(C19+'Cycle Time'!$F$19-1,1))</f>
        <v>46483</v>
      </c>
      <c r="E19" s="74" t="n">
        <f aca="false">IF($B19="","",WORKDAY(D19+'Cycle Time'!$F$24-1,1))</f>
        <v>46485</v>
      </c>
      <c r="F19" s="73" t="n">
        <f aca="false">IF($B19="","",WORKDAY(E19+'Cycle Time'!$F$27-1,1))</f>
        <v>46489</v>
      </c>
      <c r="G19" s="73" t="n">
        <f aca="false">IF($B19="","",WORKDAY(F19+'Cycle Time'!$F$28-1,1))</f>
        <v>46490</v>
      </c>
      <c r="H19" s="75" t="n">
        <f aca="false">IF($B19="","",$B19+$B$7*7)</f>
        <v>46489</v>
      </c>
      <c r="I19" s="74" t="n">
        <f aca="false">IF($B19="","",$H19-'Cycle Time'!$F$29)</f>
        <v>46486</v>
      </c>
      <c r="J19" s="36" t="n">
        <f aca="false">IF($B19="","",I19-$B19)</f>
        <v>18</v>
      </c>
      <c r="K19" s="58" t="n">
        <f aca="false">IF($B19="","",I19-C19)</f>
        <v>15</v>
      </c>
      <c r="L19" s="11" t="str">
        <f aca="false">IF($B19="","",IF(K19&gt;=$B$8,"Yes — "&amp;(K19-$B$8)&amp;" d margin","NO — short "&amp;($B$8-K19)&amp;" d"))</f>
        <v>Yes — 1 d margin</v>
      </c>
      <c r="M19" s="36" t="n">
        <f aca="false">IF($B19="","",I19-E19)</f>
        <v>1</v>
      </c>
      <c r="N19" s="40" t="str">
        <f aca="false">IF($B19="","",IFERROR(INDEX('6-Month Forecast'!$C$14:$C$39,MATCH($A19,'Cycle Time'!$K$12:$K$37,0)+$B$7)/$B$9*7,"beyond horizon"))</f>
        <v>beyond horizon</v>
      </c>
      <c r="O19" s="11" t="str">
        <f aca="false">IF($B19="","",IF(SUMPRODUCT(($B$29:$B$32&lt;&gt;"")*($B$29:$B$32&lt;=E19)*($C$29:$C$32&gt;=C19))&gt;0,"⚠ holiday in window","clear"))</f>
        <v>clear</v>
      </c>
      <c r="P19" s="32" t="n">
        <f aca="false">IF($B19="","",INDEX('6-Month Forecast'!$H$14:$H$39,MATCH($A19,'Cycle Time'!$K$12:$K$37,0)))</f>
        <v>1300</v>
      </c>
      <c r="Q19" s="26" t="n">
        <f aca="false">IF($B19="","",P19*Inputs!$B$20)</f>
        <v>533</v>
      </c>
    </row>
    <row r="20" customFormat="false" ht="15" hidden="false" customHeight="true" outlineLevel="0" collapsed="false">
      <c r="A20" s="72" t="n">
        <v>6</v>
      </c>
      <c r="B20" s="73" t="str">
        <f aca="false">IFERROR(INDEX('6-Month Forecast'!$B$14:$B$39,MATCH($A20,'Cycle Time'!$K$12:$K$37,0)),"")</f>
        <v/>
      </c>
      <c r="C20" s="73" t="str">
        <f aca="false">IF($B20="","",WORKDAY($B20+'Cycle Time'!$F$14-1,1))</f>
        <v/>
      </c>
      <c r="D20" s="73" t="str">
        <f aca="false">IF($B20="","",WORKDAY(C20+'Cycle Time'!$F$19-1,1))</f>
        <v/>
      </c>
      <c r="E20" s="74" t="str">
        <f aca="false">IF($B20="","",WORKDAY(D20+'Cycle Time'!$F$24-1,1))</f>
        <v/>
      </c>
      <c r="F20" s="73" t="str">
        <f aca="false">IF($B20="","",WORKDAY(E20+'Cycle Time'!$F$27-1,1))</f>
        <v/>
      </c>
      <c r="G20" s="73" t="str">
        <f aca="false">IF($B20="","",WORKDAY(F20+'Cycle Time'!$F$28-1,1))</f>
        <v/>
      </c>
      <c r="H20" s="75" t="str">
        <f aca="false">IF($B20="","",$B20+$B$7*7)</f>
        <v/>
      </c>
      <c r="I20" s="74" t="str">
        <f aca="false">IF($B20="","",$H20-'Cycle Time'!$F$29)</f>
        <v/>
      </c>
      <c r="J20" s="36" t="str">
        <f aca="false">IF($B20="","",I20-$B20)</f>
        <v/>
      </c>
      <c r="K20" s="58" t="str">
        <f aca="false">IF($B20="","",I20-C20)</f>
        <v/>
      </c>
      <c r="L20" s="11" t="str">
        <f aca="false">IF($B20="","",IF(K20&gt;=$B$8,"Yes — "&amp;(K20-$B$8)&amp;" d margin","NO — short "&amp;($B$8-K20)&amp;" d"))</f>
        <v/>
      </c>
      <c r="M20" s="36" t="str">
        <f aca="false">IF($B20="","",I20-E20)</f>
        <v/>
      </c>
      <c r="N20" s="40" t="str">
        <f aca="false">IF($B20="","",IFERROR(INDEX('6-Month Forecast'!$C$14:$C$39,MATCH($A20,'Cycle Time'!$K$12:$K$37,0)+$B$7)/$B$9*7,"beyond horizon"))</f>
        <v/>
      </c>
      <c r="O20" s="11" t="str">
        <f aca="false">IF($B20="","",IF(SUMPRODUCT(($B$29:$B$32&lt;&gt;"")*($B$29:$B$32&lt;=E20)*($C$29:$C$32&gt;=C20))&gt;0,"⚠ holiday in window","clear"))</f>
        <v/>
      </c>
      <c r="P20" s="32" t="str">
        <f aca="false">IF($B20="","",INDEX('6-Month Forecast'!$H$14:$H$39,MATCH($A20,'Cycle Time'!$K$12:$K$37,0)))</f>
        <v/>
      </c>
      <c r="Q20" s="26" t="str">
        <f aca="false">IF($B20="","",P20*Inputs!$B$20)</f>
        <v/>
      </c>
    </row>
    <row r="21" customFormat="false" ht="15" hidden="false" customHeight="true" outlineLevel="0" collapsed="false">
      <c r="A21" s="72" t="n">
        <v>7</v>
      </c>
      <c r="B21" s="73" t="str">
        <f aca="false">IFERROR(INDEX('6-Month Forecast'!$B$14:$B$39,MATCH($A21,'Cycle Time'!$K$12:$K$37,0)),"")</f>
        <v/>
      </c>
      <c r="C21" s="73" t="str">
        <f aca="false">IF($B21="","",WORKDAY($B21+'Cycle Time'!$F$14-1,1))</f>
        <v/>
      </c>
      <c r="D21" s="73" t="str">
        <f aca="false">IF($B21="","",WORKDAY(C21+'Cycle Time'!$F$19-1,1))</f>
        <v/>
      </c>
      <c r="E21" s="74" t="str">
        <f aca="false">IF($B21="","",WORKDAY(D21+'Cycle Time'!$F$24-1,1))</f>
        <v/>
      </c>
      <c r="F21" s="73" t="str">
        <f aca="false">IF($B21="","",WORKDAY(E21+'Cycle Time'!$F$27-1,1))</f>
        <v/>
      </c>
      <c r="G21" s="73" t="str">
        <f aca="false">IF($B21="","",WORKDAY(F21+'Cycle Time'!$F$28-1,1))</f>
        <v/>
      </c>
      <c r="H21" s="75" t="str">
        <f aca="false">IF($B21="","",$B21+$B$7*7)</f>
        <v/>
      </c>
      <c r="I21" s="74" t="str">
        <f aca="false">IF($B21="","",$H21-'Cycle Time'!$F$29)</f>
        <v/>
      </c>
      <c r="J21" s="36" t="str">
        <f aca="false">IF($B21="","",I21-$B21)</f>
        <v/>
      </c>
      <c r="K21" s="58" t="str">
        <f aca="false">IF($B21="","",I21-C21)</f>
        <v/>
      </c>
      <c r="L21" s="11" t="str">
        <f aca="false">IF($B21="","",IF(K21&gt;=$B$8,"Yes — "&amp;(K21-$B$8)&amp;" d margin","NO — short "&amp;($B$8-K21)&amp;" d"))</f>
        <v/>
      </c>
      <c r="M21" s="36" t="str">
        <f aca="false">IF($B21="","",I21-E21)</f>
        <v/>
      </c>
      <c r="N21" s="40" t="str">
        <f aca="false">IF($B21="","",IFERROR(INDEX('6-Month Forecast'!$C$14:$C$39,MATCH($A21,'Cycle Time'!$K$12:$K$37,0)+$B$7)/$B$9*7,"beyond horizon"))</f>
        <v/>
      </c>
      <c r="O21" s="11" t="str">
        <f aca="false">IF($B21="","",IF(SUMPRODUCT(($B$29:$B$32&lt;&gt;"")*($B$29:$B$32&lt;=E21)*($C$29:$C$32&gt;=C21))&gt;0,"⚠ holiday in window","clear"))</f>
        <v/>
      </c>
      <c r="P21" s="32" t="str">
        <f aca="false">IF($B21="","",INDEX('6-Month Forecast'!$H$14:$H$39,MATCH($A21,'Cycle Time'!$K$12:$K$37,0)))</f>
        <v/>
      </c>
      <c r="Q21" s="26" t="str">
        <f aca="false">IF($B21="","",P21*Inputs!$B$20)</f>
        <v/>
      </c>
    </row>
    <row r="22" customFormat="false" ht="15" hidden="false" customHeight="true" outlineLevel="0" collapsed="false">
      <c r="A22" s="72" t="n">
        <v>8</v>
      </c>
      <c r="B22" s="73" t="str">
        <f aca="false">IFERROR(INDEX('6-Month Forecast'!$B$14:$B$39,MATCH($A22,'Cycle Time'!$K$12:$K$37,0)),"")</f>
        <v/>
      </c>
      <c r="C22" s="73" t="str">
        <f aca="false">IF($B22="","",WORKDAY($B22+'Cycle Time'!$F$14-1,1))</f>
        <v/>
      </c>
      <c r="D22" s="73" t="str">
        <f aca="false">IF($B22="","",WORKDAY(C22+'Cycle Time'!$F$19-1,1))</f>
        <v/>
      </c>
      <c r="E22" s="74" t="str">
        <f aca="false">IF($B22="","",WORKDAY(D22+'Cycle Time'!$F$24-1,1))</f>
        <v/>
      </c>
      <c r="F22" s="73" t="str">
        <f aca="false">IF($B22="","",WORKDAY(E22+'Cycle Time'!$F$27-1,1))</f>
        <v/>
      </c>
      <c r="G22" s="73" t="str">
        <f aca="false">IF($B22="","",WORKDAY(F22+'Cycle Time'!$F$28-1,1))</f>
        <v/>
      </c>
      <c r="H22" s="75" t="str">
        <f aca="false">IF($B22="","",$B22+$B$7*7)</f>
        <v/>
      </c>
      <c r="I22" s="74" t="str">
        <f aca="false">IF($B22="","",$H22-'Cycle Time'!$F$29)</f>
        <v/>
      </c>
      <c r="J22" s="36" t="str">
        <f aca="false">IF($B22="","",I22-$B22)</f>
        <v/>
      </c>
      <c r="K22" s="58" t="str">
        <f aca="false">IF($B22="","",I22-C22)</f>
        <v/>
      </c>
      <c r="L22" s="11" t="str">
        <f aca="false">IF($B22="","",IF(K22&gt;=$B$8,"Yes — "&amp;(K22-$B$8)&amp;" d margin","NO — short "&amp;($B$8-K22)&amp;" d"))</f>
        <v/>
      </c>
      <c r="M22" s="36" t="str">
        <f aca="false">IF($B22="","",I22-E22)</f>
        <v/>
      </c>
      <c r="N22" s="40" t="str">
        <f aca="false">IF($B22="","",IFERROR(INDEX('6-Month Forecast'!$C$14:$C$39,MATCH($A22,'Cycle Time'!$K$12:$K$37,0)+$B$7)/$B$9*7,"beyond horizon"))</f>
        <v/>
      </c>
      <c r="O22" s="11" t="str">
        <f aca="false">IF($B22="","",IF(SUMPRODUCT(($B$29:$B$32&lt;&gt;"")*($B$29:$B$32&lt;=E22)*($C$29:$C$32&gt;=C22))&gt;0,"⚠ holiday in window","clear"))</f>
        <v/>
      </c>
      <c r="P22" s="32" t="str">
        <f aca="false">IF($B22="","",INDEX('6-Month Forecast'!$H$14:$H$39,MATCH($A22,'Cycle Time'!$K$12:$K$37,0)))</f>
        <v/>
      </c>
      <c r="Q22" s="26" t="str">
        <f aca="false">IF($B22="","",P22*Inputs!$B$20)</f>
        <v/>
      </c>
    </row>
    <row r="23" customFormat="false" ht="15" hidden="false" customHeight="true" outlineLevel="0" collapsed="false">
      <c r="A23" s="24" t="s">
        <v>270</v>
      </c>
      <c r="B23" s="76" t="n">
        <f aca="false">COUNT(B14:B22)</f>
        <v>6</v>
      </c>
      <c r="P23" s="25" t="n">
        <f aca="false">SUM(P14:P22)</f>
        <v>7800</v>
      </c>
      <c r="Q23" s="77" t="n">
        <f aca="false">SUM(Q14:Q22)</f>
        <v>3198</v>
      </c>
    </row>
    <row r="25" customFormat="false" ht="15" hidden="false" customHeight="true" outlineLevel="0" collapsed="false">
      <c r="A25" s="71" t="s">
        <v>271</v>
      </c>
      <c r="B25" s="71"/>
      <c r="C25" s="71"/>
      <c r="D25" s="71"/>
      <c r="E25" s="71"/>
      <c r="F25" s="71"/>
      <c r="G25" s="71"/>
      <c r="H25" s="71"/>
      <c r="I25" s="71"/>
      <c r="J25" s="71"/>
      <c r="K25" s="71"/>
      <c r="L25" s="71"/>
      <c r="M25" s="71"/>
      <c r="N25" s="71"/>
      <c r="O25" s="71"/>
      <c r="P25" s="71"/>
      <c r="Q25" s="71"/>
    </row>
    <row r="27" customFormat="false" ht="15" hidden="false" customHeight="true" outlineLevel="0" collapsed="false">
      <c r="A27" s="14" t="s">
        <v>272</v>
      </c>
    </row>
    <row r="28" customFormat="false" ht="15" hidden="false" customHeight="true" outlineLevel="0" collapsed="false">
      <c r="A28" s="61" t="s">
        <v>273</v>
      </c>
      <c r="B28" s="61" t="s">
        <v>274</v>
      </c>
      <c r="C28" s="61" t="s">
        <v>275</v>
      </c>
      <c r="D28" s="61" t="s">
        <v>7</v>
      </c>
    </row>
    <row r="29" customFormat="false" ht="15" hidden="false" customHeight="true" outlineLevel="0" collapsed="false">
      <c r="A29" s="16" t="s">
        <v>276</v>
      </c>
      <c r="B29" s="39" t="n">
        <v>46352</v>
      </c>
      <c r="C29" s="39" t="n">
        <v>46353</v>
      </c>
      <c r="D29" s="11" t="s">
        <v>277</v>
      </c>
    </row>
    <row r="30" customFormat="false" ht="15" hidden="false" customHeight="true" outlineLevel="0" collapsed="false">
      <c r="A30" s="16" t="s">
        <v>278</v>
      </c>
      <c r="B30" s="39" t="n">
        <v>46380</v>
      </c>
      <c r="C30" s="39" t="n">
        <v>46388</v>
      </c>
      <c r="D30" s="11" t="s">
        <v>279</v>
      </c>
    </row>
    <row r="31" customFormat="false" ht="15" hidden="false" customHeight="true" outlineLevel="0" collapsed="false">
      <c r="A31" s="16" t="s">
        <v>280</v>
      </c>
      <c r="B31" s="39"/>
      <c r="C31" s="39"/>
      <c r="D31" s="11" t="s">
        <v>281</v>
      </c>
    </row>
    <row r="32" customFormat="false" ht="15" hidden="false" customHeight="true" outlineLevel="0" collapsed="false">
      <c r="A32" s="16" t="s">
        <v>282</v>
      </c>
      <c r="B32" s="39"/>
      <c r="C32" s="39"/>
      <c r="D32" s="11" t="s">
        <v>283</v>
      </c>
    </row>
  </sheetData>
  <mergeCells count="1">
    <mergeCell ref="A25:Q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0"/>
    <col collapsed="false" customWidth="true" hidden="false" outlineLevel="0" max="4" min="4" style="1" width="58"/>
  </cols>
  <sheetData>
    <row r="1" customFormat="false" ht="17.25" hidden="false" customHeight="true" outlineLevel="0" collapsed="false">
      <c r="A1" s="12" t="s">
        <v>284</v>
      </c>
    </row>
    <row r="2" customFormat="false" ht="24" hidden="false" customHeight="true" outlineLevel="0" collapsed="false">
      <c r="A2" s="13" t="s">
        <v>285</v>
      </c>
    </row>
    <row r="4" customFormat="false" ht="15" hidden="false" customHeight="true" outlineLevel="0" collapsed="false">
      <c r="A4" s="78" t="s">
        <v>211</v>
      </c>
      <c r="B4" s="78" t="s">
        <v>286</v>
      </c>
      <c r="C4" s="78" t="s">
        <v>287</v>
      </c>
      <c r="D4" s="78" t="s">
        <v>7</v>
      </c>
    </row>
    <row r="5" customFormat="false" ht="15" hidden="false" customHeight="true" outlineLevel="0" collapsed="false">
      <c r="A5" s="16" t="s">
        <v>288</v>
      </c>
      <c r="B5" s="21" t="str">
        <f aca="false">Inputs!B5&amp;" × "&amp;Inputs!B6</f>
        <v>24 × 27</v>
      </c>
      <c r="C5" s="21" t="str">
        <f aca="false">Inputs!B6&amp;" × "&amp;Inputs!B5</f>
        <v>27 × 24</v>
      </c>
      <c r="D5" s="20" t="s">
        <v>289</v>
      </c>
    </row>
    <row r="6" customFormat="false" ht="15" hidden="false" customHeight="true" outlineLevel="0" collapsed="false">
      <c r="A6" s="16" t="s">
        <v>290</v>
      </c>
      <c r="B6" s="36" t="n">
        <f aca="false">INT(Inputs!$B$12/Inputs!$B$5)</f>
        <v>4</v>
      </c>
      <c r="C6" s="36" t="n">
        <f aca="false">INT(Inputs!$B$12/Inputs!$B$6)</f>
        <v>3</v>
      </c>
    </row>
    <row r="7" customFormat="false" ht="21.75" hidden="false" customHeight="true" outlineLevel="0" collapsed="false">
      <c r="A7" s="16" t="s">
        <v>291</v>
      </c>
      <c r="B7" s="36" t="n">
        <f aca="false">Inputs!$B$12-B6*Inputs!$B$5</f>
        <v>5</v>
      </c>
      <c r="C7" s="36" t="n">
        <f aca="false">Inputs!$B$12-C6*Inputs!$B$6</f>
        <v>20</v>
      </c>
      <c r="D7" s="20" t="s">
        <v>292</v>
      </c>
    </row>
    <row r="8" customFormat="false" ht="15" hidden="false" customHeight="true" outlineLevel="0" collapsed="false">
      <c r="A8" s="16" t="s">
        <v>293</v>
      </c>
      <c r="B8" s="36" t="n">
        <f aca="false">INT(Inputs!$B$11/Inputs!$B$6)</f>
        <v>333</v>
      </c>
      <c r="C8" s="36" t="n">
        <f aca="false">INT(Inputs!$B$11/Inputs!$B$5)</f>
        <v>375</v>
      </c>
    </row>
    <row r="9" customFormat="false" ht="15" hidden="false" customHeight="true" outlineLevel="0" collapsed="false">
      <c r="A9" s="16" t="s">
        <v>294</v>
      </c>
      <c r="B9" s="36" t="n">
        <f aca="false">Inputs!$B$11-B8*Inputs!$B$6</f>
        <v>9</v>
      </c>
      <c r="C9" s="36" t="n">
        <f aca="false">Inputs!$B$11-C8*Inputs!$B$5</f>
        <v>0</v>
      </c>
    </row>
    <row r="10" customFormat="false" ht="15" hidden="false" customHeight="true" outlineLevel="0" collapsed="false">
      <c r="A10" s="57" t="s">
        <v>295</v>
      </c>
      <c r="B10" s="79" t="n">
        <f aca="false">B6*B8</f>
        <v>1332</v>
      </c>
      <c r="C10" s="79" t="n">
        <f aca="false">C6*C8</f>
        <v>1125</v>
      </c>
      <c r="D10" s="20" t="s">
        <v>296</v>
      </c>
    </row>
    <row r="11" customFormat="false" ht="15" hidden="false" customHeight="true" outlineLevel="0" collapsed="false">
      <c r="A11" s="16" t="s">
        <v>297</v>
      </c>
      <c r="B11" s="37" t="n">
        <f aca="false">B10*Inputs!$B$7/Inputs!$B$13</f>
        <v>0.949544554455446</v>
      </c>
      <c r="C11" s="37" t="n">
        <f aca="false">C10*Inputs!$B$7/Inputs!$B$13</f>
        <v>0.801980198019802</v>
      </c>
    </row>
    <row r="12" customFormat="false" ht="15" hidden="false" customHeight="true" outlineLevel="0" collapsed="false">
      <c r="A12" s="16" t="s">
        <v>298</v>
      </c>
      <c r="B12" s="80" t="n">
        <f aca="false">Inputs!$B$37</f>
        <v>0.975975975975976</v>
      </c>
      <c r="C12" s="80" t="n">
        <f aca="false">Inputs!$B$37</f>
        <v>0.975975975975976</v>
      </c>
      <c r="D12" s="20" t="s">
        <v>299</v>
      </c>
    </row>
    <row r="13" customFormat="false" ht="15" hidden="false" customHeight="true" outlineLevel="0" collapsed="false">
      <c r="A13" s="24" t="s">
        <v>300</v>
      </c>
      <c r="B13" s="25" t="n">
        <f aca="false">ROUND(B10*B12,0)</f>
        <v>1300</v>
      </c>
      <c r="C13" s="25" t="n">
        <f aca="false">ROUND(C10*C12,0)</f>
        <v>1098</v>
      </c>
      <c r="D13" s="20" t="s">
        <v>301</v>
      </c>
    </row>
    <row r="14" customFormat="false" ht="15" hidden="false" customHeight="true" outlineLevel="0" collapsed="false">
      <c r="A14" s="16" t="s">
        <v>302</v>
      </c>
      <c r="B14" s="26" t="n">
        <f aca="false">B13*Inputs!$B$20</f>
        <v>533</v>
      </c>
      <c r="C14" s="26" t="n">
        <f aca="false">C13*Inputs!$B$20</f>
        <v>450.18</v>
      </c>
    </row>
    <row r="15" customFormat="false" ht="15" hidden="false" customHeight="true" outlineLevel="0" collapsed="false">
      <c r="A15" s="16" t="s">
        <v>303</v>
      </c>
      <c r="B15" s="32" t="n">
        <f aca="false">B13-C13</f>
        <v>202</v>
      </c>
    </row>
    <row r="16" customFormat="false" ht="15" hidden="false" customHeight="true" outlineLevel="0" collapsed="false">
      <c r="A16" s="16" t="s">
        <v>304</v>
      </c>
      <c r="B16" s="37" t="n">
        <f aca="false">B13/C13-1</f>
        <v>0.183970856102004</v>
      </c>
    </row>
    <row r="18" customFormat="false" ht="25.5" hidden="false" customHeight="true" outlineLevel="0" collapsed="false">
      <c r="A18" s="70" t="s">
        <v>305</v>
      </c>
      <c r="B18" s="70"/>
      <c r="C18" s="70"/>
      <c r="D18" s="70"/>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5"/>
    <col collapsed="false" customWidth="true" hidden="false" outlineLevel="0" max="3" min="3" style="1" width="14"/>
    <col collapsed="false" customWidth="true" hidden="false" outlineLevel="0" max="5" min="4" style="1" width="15"/>
    <col collapsed="false" customWidth="true" hidden="false" outlineLevel="0" max="6" min="6" style="1" width="14"/>
    <col collapsed="false" customWidth="true" hidden="false" outlineLevel="0" max="7" min="7" style="1" width="13"/>
    <col collapsed="false" customWidth="true" hidden="false" outlineLevel="0" max="8" min="8" style="1" width="15"/>
  </cols>
  <sheetData>
    <row r="1" customFormat="false" ht="17.25" hidden="false" customHeight="true" outlineLevel="0" collapsed="false">
      <c r="A1" s="12" t="s">
        <v>306</v>
      </c>
    </row>
    <row r="2" customFormat="false" ht="15" hidden="false" customHeight="true" outlineLevel="0" collapsed="false">
      <c r="A2" s="30" t="s">
        <v>307</v>
      </c>
    </row>
    <row r="4" customFormat="false" ht="15" hidden="false" customHeight="true" outlineLevel="0" collapsed="false">
      <c r="A4" s="14" t="s">
        <v>308</v>
      </c>
      <c r="B4" s="15"/>
      <c r="C4" s="15"/>
      <c r="D4" s="15"/>
      <c r="E4" s="15"/>
    </row>
    <row r="5" customFormat="false" ht="15" hidden="false" customHeight="true" outlineLevel="0" collapsed="false">
      <c r="A5" s="16" t="s">
        <v>22</v>
      </c>
      <c r="B5" s="22" t="n">
        <f aca="false">Inputs!B26</f>
        <v>250</v>
      </c>
    </row>
    <row r="6" customFormat="false" ht="15" hidden="false" customHeight="true" outlineLevel="0" collapsed="false">
      <c r="A6" s="16" t="s">
        <v>309</v>
      </c>
      <c r="B6" s="22" t="n">
        <f aca="false">'Yield per Roll'!B13</f>
        <v>1300</v>
      </c>
    </row>
    <row r="7" customFormat="false" ht="15" hidden="false" customHeight="true" outlineLevel="0" collapsed="false">
      <c r="A7" s="16" t="s">
        <v>310</v>
      </c>
      <c r="B7" s="22" t="n">
        <f aca="false">'Yield per Roll'!C13</f>
        <v>1098</v>
      </c>
    </row>
    <row r="8" customFormat="false" ht="53.25" hidden="false" customHeight="true" outlineLevel="0" collapsed="false">
      <c r="A8" s="24" t="s">
        <v>311</v>
      </c>
      <c r="B8" s="81" t="n">
        <f aca="false">B6/B5</f>
        <v>5.2</v>
      </c>
      <c r="D8" s="20" t="s">
        <v>312</v>
      </c>
    </row>
    <row r="9" customFormat="false" ht="15" hidden="false" customHeight="true" outlineLevel="0" collapsed="false">
      <c r="A9" s="16" t="s">
        <v>313</v>
      </c>
      <c r="B9" s="82" t="n">
        <f aca="false">B7/B5</f>
        <v>4.392</v>
      </c>
    </row>
    <row r="10" customFormat="false" ht="15" hidden="false" customHeight="true" outlineLevel="0" collapsed="false">
      <c r="A10" s="16" t="s">
        <v>314</v>
      </c>
      <c r="B10" s="79" t="n">
        <f aca="false">ROUNDUP(B5*52/B6,0)</f>
        <v>10</v>
      </c>
    </row>
    <row r="11" customFormat="false" ht="15" hidden="false" customHeight="true" outlineLevel="0" collapsed="false">
      <c r="A11" s="16" t="s">
        <v>315</v>
      </c>
      <c r="B11" s="32" t="n">
        <f aca="false">ROUNDUP(B5*52/B7,0)</f>
        <v>12</v>
      </c>
    </row>
    <row r="13" customFormat="false" ht="15" hidden="false" customHeight="true" outlineLevel="0" collapsed="false">
      <c r="A13" s="14" t="s">
        <v>316</v>
      </c>
      <c r="B13" s="15"/>
      <c r="C13" s="15"/>
      <c r="D13" s="15"/>
      <c r="E13" s="15"/>
    </row>
    <row r="14" customFormat="false" ht="15" hidden="false" customHeight="true" outlineLevel="0" collapsed="false">
      <c r="A14" s="16" t="s">
        <v>92</v>
      </c>
      <c r="B14" s="27" t="n">
        <f aca="false">Inputs!B31</f>
        <v>3</v>
      </c>
    </row>
    <row r="15" customFormat="false" ht="15" hidden="false" customHeight="true" outlineLevel="0" collapsed="false">
      <c r="A15" s="16" t="s">
        <v>94</v>
      </c>
      <c r="B15" s="27" t="n">
        <f aca="false">Inputs!B32</f>
        <v>1</v>
      </c>
    </row>
    <row r="16" customFormat="false" ht="53.25" hidden="false" customHeight="true" outlineLevel="0" collapsed="false">
      <c r="A16" s="24" t="s">
        <v>317</v>
      </c>
      <c r="B16" s="25" t="n">
        <f aca="false">(B14+B15)*B5</f>
        <v>1000</v>
      </c>
      <c r="D16" s="20" t="s">
        <v>318</v>
      </c>
    </row>
    <row r="17" customFormat="false" ht="42.75" hidden="false" customHeight="true" outlineLevel="0" collapsed="false">
      <c r="A17" s="16" t="s">
        <v>319</v>
      </c>
      <c r="B17" s="31" t="n">
        <v>1</v>
      </c>
      <c r="D17" s="20" t="s">
        <v>320</v>
      </c>
    </row>
    <row r="18" customFormat="false" ht="15" hidden="false" customHeight="true" outlineLevel="0" collapsed="false">
      <c r="A18" s="16" t="s">
        <v>321</v>
      </c>
      <c r="B18" s="40" t="n">
        <f aca="false">B17*B6/B5</f>
        <v>5.2</v>
      </c>
    </row>
    <row r="19" customFormat="false" ht="15" hidden="false" customHeight="true" outlineLevel="0" collapsed="false">
      <c r="A19" s="16" t="s">
        <v>322</v>
      </c>
      <c r="B19" s="36" t="n">
        <f aca="false">ROUNDUP(B5*52/(B17*B6),0)</f>
        <v>10</v>
      </c>
    </row>
    <row r="21" customFormat="false" ht="15" hidden="false" customHeight="true" outlineLevel="0" collapsed="false">
      <c r="A21" s="14" t="s">
        <v>323</v>
      </c>
      <c r="B21" s="15"/>
      <c r="C21" s="15"/>
      <c r="D21" s="15"/>
      <c r="E21" s="15"/>
      <c r="F21" s="15"/>
      <c r="G21" s="15"/>
      <c r="H21" s="15"/>
    </row>
    <row r="22" customFormat="false" ht="42" hidden="false" customHeight="true" outlineLevel="0" collapsed="false">
      <c r="A22" s="83" t="s">
        <v>319</v>
      </c>
      <c r="B22" s="83" t="s">
        <v>324</v>
      </c>
      <c r="C22" s="83" t="s">
        <v>325</v>
      </c>
      <c r="D22" s="83" t="s">
        <v>326</v>
      </c>
      <c r="E22" s="83" t="s">
        <v>322</v>
      </c>
      <c r="F22" s="83" t="s">
        <v>327</v>
      </c>
      <c r="G22" s="83" t="s">
        <v>328</v>
      </c>
      <c r="H22" s="83" t="s">
        <v>329</v>
      </c>
    </row>
    <row r="23" customFormat="false" ht="15" hidden="false" customHeight="true" outlineLevel="0" collapsed="false">
      <c r="A23" s="84" t="n">
        <v>1</v>
      </c>
      <c r="B23" s="85" t="n">
        <f aca="false">A23*$B$6</f>
        <v>1300</v>
      </c>
      <c r="C23" s="86" t="n">
        <f aca="false">B23/$B$5</f>
        <v>5.2</v>
      </c>
      <c r="D23" s="87" t="n">
        <f aca="false">B23*Inputs!$B$20</f>
        <v>533</v>
      </c>
      <c r="E23" s="84" t="n">
        <f aca="false">ROUNDUP($B$5*52/B23,0)</f>
        <v>10</v>
      </c>
      <c r="F23" s="85" t="n">
        <f aca="false">Inputs!$B$32*$B$5+B23</f>
        <v>1550</v>
      </c>
      <c r="G23" s="86" t="n">
        <f aca="false">F23/$B$5</f>
        <v>6.2</v>
      </c>
      <c r="H23" s="86" t="n">
        <f aca="false">A23*$B$7/$B$5</f>
        <v>4.392</v>
      </c>
    </row>
    <row r="24" customFormat="false" ht="15" hidden="false" customHeight="true" outlineLevel="0" collapsed="false">
      <c r="A24" s="36" t="n">
        <v>2</v>
      </c>
      <c r="B24" s="32" t="n">
        <f aca="false">A24*$B$6</f>
        <v>2600</v>
      </c>
      <c r="C24" s="40" t="n">
        <f aca="false">B24/$B$5</f>
        <v>10.4</v>
      </c>
      <c r="D24" s="88" t="n">
        <f aca="false">B24*Inputs!$B$20</f>
        <v>1066</v>
      </c>
      <c r="E24" s="36" t="n">
        <f aca="false">ROUNDUP($B$5*52/B24,0)</f>
        <v>5</v>
      </c>
      <c r="F24" s="32" t="n">
        <f aca="false">Inputs!$B$32*$B$5+B24</f>
        <v>2850</v>
      </c>
      <c r="G24" s="40" t="n">
        <f aca="false">F24/$B$5</f>
        <v>11.4</v>
      </c>
      <c r="H24" s="40" t="n">
        <f aca="false">A24*$B$7/$B$5</f>
        <v>8.784</v>
      </c>
    </row>
    <row r="25" customFormat="false" ht="15" hidden="false" customHeight="true" outlineLevel="0" collapsed="false">
      <c r="A25" s="36" t="n">
        <v>3</v>
      </c>
      <c r="B25" s="32" t="n">
        <f aca="false">A25*$B$6</f>
        <v>3900</v>
      </c>
      <c r="C25" s="40" t="n">
        <f aca="false">B25/$B$5</f>
        <v>15.6</v>
      </c>
      <c r="D25" s="88" t="n">
        <f aca="false">B25*Inputs!$B$20</f>
        <v>1599</v>
      </c>
      <c r="E25" s="36" t="n">
        <f aca="false">ROUNDUP($B$5*52/B25,0)</f>
        <v>4</v>
      </c>
      <c r="F25" s="32" t="n">
        <f aca="false">Inputs!$B$32*$B$5+B25</f>
        <v>4150</v>
      </c>
      <c r="G25" s="40" t="n">
        <f aca="false">F25/$B$5</f>
        <v>16.6</v>
      </c>
      <c r="H25" s="40" t="n">
        <f aca="false">A25*$B$7/$B$5</f>
        <v>13.176</v>
      </c>
    </row>
    <row r="26" customFormat="false" ht="15" hidden="false" customHeight="true" outlineLevel="0" collapsed="false">
      <c r="A26" s="36" t="n">
        <v>4</v>
      </c>
      <c r="B26" s="32" t="n">
        <f aca="false">A26*$B$6</f>
        <v>5200</v>
      </c>
      <c r="C26" s="40" t="n">
        <f aca="false">B26/$B$5</f>
        <v>20.8</v>
      </c>
      <c r="D26" s="88" t="n">
        <f aca="false">B26*Inputs!$B$20</f>
        <v>2132</v>
      </c>
      <c r="E26" s="36" t="n">
        <f aca="false">ROUNDUP($B$5*52/B26,0)</f>
        <v>3</v>
      </c>
      <c r="F26" s="32" t="n">
        <f aca="false">Inputs!$B$32*$B$5+B26</f>
        <v>5450</v>
      </c>
      <c r="G26" s="40" t="n">
        <f aca="false">F26/$B$5</f>
        <v>21.8</v>
      </c>
      <c r="H26" s="40" t="n">
        <f aca="false">A26*$B$7/$B$5</f>
        <v>17.568</v>
      </c>
    </row>
    <row r="28" customFormat="false" ht="30" hidden="false" customHeight="true" outlineLevel="0" collapsed="false">
      <c r="A28" s="70" t="str">
        <f aca="false">"RECOMMENDED: order "&amp;B17&amp;" roll per PO. Release a PO when inventory position ≤ "&amp;TEXT(B16,"#,##0")&amp;" pieces — in steady state that fires about every "&amp;TEXT(B18,"0.0")&amp;" weeks ("&amp;B19&amp;" POs/year, "&amp;TEXT(B6,"#,##0")&amp;" pieces per delivery). If cut as "&amp;"Orientation B instead: a PO about every "&amp;TEXT(B7/B5,"0.0")&amp;" weeks, "&amp;B11&amp;" POs/year."</f>
        <v>RECOMMENDED: order 1 roll per PO. Release a PO when inventory position ≤ 1,000 pieces — in steady state that fires about every 5.2 weeks (10 POs/year, 1,300 pieces per delivery). If cut as Orientation B instead: a PO about every 4.4 weeks, 12 POs/year.</v>
      </c>
      <c r="B28" s="70"/>
      <c r="C28" s="70"/>
      <c r="D28" s="70"/>
      <c r="E28" s="70"/>
      <c r="F28" s="70"/>
      <c r="G28" s="70"/>
      <c r="H28" s="70"/>
    </row>
    <row r="30" customFormat="false" ht="15" hidden="false" customHeight="true" outlineLevel="0" collapsed="false">
      <c r="A30" s="14" t="s">
        <v>330</v>
      </c>
      <c r="B30" s="15"/>
      <c r="C30" s="15"/>
      <c r="D30" s="15"/>
      <c r="E30" s="15"/>
    </row>
    <row r="31" customFormat="false" ht="42" hidden="false" customHeight="true" outlineLevel="0" collapsed="false">
      <c r="A31" s="83" t="s">
        <v>331</v>
      </c>
      <c r="B31" s="83" t="s">
        <v>332</v>
      </c>
      <c r="C31" s="83" t="s">
        <v>333</v>
      </c>
      <c r="D31" s="83" t="s">
        <v>334</v>
      </c>
      <c r="E31" s="83" t="s">
        <v>335</v>
      </c>
    </row>
    <row r="32" customFormat="false" ht="15" hidden="false" customHeight="true" outlineLevel="0" collapsed="false">
      <c r="A32" s="33" t="n">
        <v>200</v>
      </c>
      <c r="B32" s="40" t="n">
        <f aca="false">$B$6/A32</f>
        <v>6.5</v>
      </c>
      <c r="C32" s="40" t="n">
        <f aca="false">$B$17*$B$6/A32</f>
        <v>6.5</v>
      </c>
      <c r="D32" s="36" t="n">
        <f aca="false">ROUNDUP(A32*52/($B$17*$B$6),0)</f>
        <v>8</v>
      </c>
      <c r="E32" s="36" t="n">
        <f aca="false">ROUNDUP(A32*52/($B$17*$B$7),0)</f>
        <v>10</v>
      </c>
    </row>
    <row r="33" customFormat="false" ht="15" hidden="false" customHeight="true" outlineLevel="0" collapsed="false">
      <c r="A33" s="33" t="n">
        <v>225</v>
      </c>
      <c r="B33" s="40" t="n">
        <f aca="false">$B$6/A33</f>
        <v>5.77777777777778</v>
      </c>
      <c r="C33" s="40" t="n">
        <f aca="false">$B$17*$B$6/A33</f>
        <v>5.77777777777778</v>
      </c>
      <c r="D33" s="36" t="n">
        <f aca="false">ROUNDUP(A33*52/($B$17*$B$6),0)</f>
        <v>9</v>
      </c>
      <c r="E33" s="36" t="n">
        <f aca="false">ROUNDUP(A33*52/($B$17*$B$7),0)</f>
        <v>11</v>
      </c>
    </row>
    <row r="34" customFormat="false" ht="15" hidden="false" customHeight="true" outlineLevel="0" collapsed="false">
      <c r="A34" s="33" t="n">
        <v>250</v>
      </c>
      <c r="B34" s="40" t="n">
        <f aca="false">$B$6/A34</f>
        <v>5.2</v>
      </c>
      <c r="C34" s="40" t="n">
        <f aca="false">$B$17*$B$6/A34</f>
        <v>5.2</v>
      </c>
      <c r="D34" s="36" t="n">
        <f aca="false">ROUNDUP(A34*52/($B$17*$B$6),0)</f>
        <v>10</v>
      </c>
      <c r="E34" s="36" t="n">
        <f aca="false">ROUNDUP(A34*52/($B$17*$B$7),0)</f>
        <v>12</v>
      </c>
    </row>
    <row r="35" customFormat="false" ht="15" hidden="false" customHeight="true" outlineLevel="0" collapsed="false">
      <c r="A35" s="33" t="n">
        <v>270</v>
      </c>
      <c r="B35" s="40" t="n">
        <f aca="false">$B$6/A35</f>
        <v>4.81481481481482</v>
      </c>
      <c r="C35" s="40" t="n">
        <f aca="false">$B$17*$B$6/A35</f>
        <v>4.81481481481482</v>
      </c>
      <c r="D35" s="36" t="n">
        <f aca="false">ROUNDUP(A35*52/($B$17*$B$6),0)</f>
        <v>11</v>
      </c>
      <c r="E35" s="36" t="n">
        <f aca="false">ROUNDUP(A35*52/($B$17*$B$7),0)</f>
        <v>13</v>
      </c>
    </row>
    <row r="36" customFormat="false" ht="15" hidden="false" customHeight="true" outlineLevel="0" collapsed="false">
      <c r="A36" s="33" t="n">
        <v>300</v>
      </c>
      <c r="B36" s="40" t="n">
        <f aca="false">$B$6/A36</f>
        <v>4.33333333333333</v>
      </c>
      <c r="C36" s="40" t="n">
        <f aca="false">$B$17*$B$6/A36</f>
        <v>4.33333333333333</v>
      </c>
      <c r="D36" s="36" t="n">
        <f aca="false">ROUNDUP(A36*52/($B$17*$B$6),0)</f>
        <v>12</v>
      </c>
      <c r="E36" s="36" t="n">
        <f aca="false">ROUNDUP(A36*52/($B$17*$B$7),0)</f>
        <v>15</v>
      </c>
    </row>
    <row r="37" customFormat="false" ht="15" hidden="false" customHeight="true" outlineLevel="0" collapsed="false">
      <c r="A37" s="33" t="n">
        <v>325</v>
      </c>
      <c r="B37" s="40" t="n">
        <f aca="false">$B$6/A37</f>
        <v>4</v>
      </c>
      <c r="C37" s="40" t="n">
        <f aca="false">$B$17*$B$6/A37</f>
        <v>4</v>
      </c>
      <c r="D37" s="36" t="n">
        <f aca="false">ROUNDUP(A37*52/($B$17*$B$6),0)</f>
        <v>13</v>
      </c>
      <c r="E37" s="36" t="n">
        <f aca="false">ROUNDUP(A37*52/($B$17*$B$7),0)</f>
        <v>16</v>
      </c>
    </row>
    <row r="38" customFormat="false" ht="15" hidden="false" customHeight="true" outlineLevel="0" collapsed="false">
      <c r="A38" s="33" t="n">
        <v>350</v>
      </c>
      <c r="B38" s="40" t="n">
        <f aca="false">$B$6/A38</f>
        <v>3.71428571428571</v>
      </c>
      <c r="C38" s="40" t="n">
        <f aca="false">$B$17*$B$6/A38</f>
        <v>3.71428571428571</v>
      </c>
      <c r="D38" s="36" t="n">
        <f aca="false">ROUNDUP(A38*52/($B$17*$B$6),0)</f>
        <v>14</v>
      </c>
      <c r="E38" s="36" t="n">
        <f aca="false">ROUNDUP(A38*52/($B$17*$B$7),0)</f>
        <v>17</v>
      </c>
    </row>
    <row r="40" customFormat="false" ht="25.5" hidden="false" customHeight="true" outlineLevel="0" collapsed="false">
      <c r="A40" s="89" t="s">
        <v>336</v>
      </c>
      <c r="B40" s="89"/>
      <c r="C40" s="89"/>
      <c r="D40" s="89"/>
      <c r="E40" s="89"/>
    </row>
  </sheetData>
  <mergeCells count="2">
    <mergeCell ref="A28:H28"/>
    <mergeCell ref="A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7" min="3" style="1" width="10"/>
    <col collapsed="false" customWidth="true" hidden="false" outlineLevel="0" max="8" min="8" style="1" width="12"/>
    <col collapsed="false" customWidth="true" hidden="false" outlineLevel="0" max="9" min="9" style="1" width="10"/>
    <col collapsed="false" customWidth="true" hidden="false" outlineLevel="0" max="10" min="10" style="1" width="11"/>
    <col collapsed="false" customWidth="true" hidden="false" outlineLevel="0" max="11" min="11" style="1" width="14"/>
    <col collapsed="false" customWidth="true" hidden="false" outlineLevel="0" max="12" min="12" style="1" width="26"/>
  </cols>
  <sheetData>
    <row r="1" customFormat="false" ht="17.25" hidden="false" customHeight="true" outlineLevel="0" collapsed="false">
      <c r="A1" s="12" t="s">
        <v>337</v>
      </c>
    </row>
    <row r="2" customFormat="false" ht="15" hidden="false" customHeight="true" outlineLevel="0" collapsed="false">
      <c r="A2" s="30" t="s">
        <v>338</v>
      </c>
    </row>
    <row r="4" customFormat="false" ht="15" hidden="false" customHeight="true" outlineLevel="0" collapsed="false">
      <c r="A4" s="14" t="s">
        <v>339</v>
      </c>
      <c r="B4" s="15"/>
      <c r="C4" s="15"/>
      <c r="D4" s="15"/>
      <c r="E4" s="15"/>
    </row>
    <row r="5" customFormat="false" ht="15" hidden="false" customHeight="true" outlineLevel="0" collapsed="false">
      <c r="A5" s="16" t="s">
        <v>340</v>
      </c>
      <c r="B5" s="39" t="n">
        <v>46293</v>
      </c>
      <c r="D5" s="89" t="s">
        <v>341</v>
      </c>
      <c r="E5" s="89"/>
      <c r="F5" s="89"/>
      <c r="G5" s="89"/>
      <c r="H5" s="89"/>
      <c r="I5" s="89"/>
      <c r="J5" s="89"/>
      <c r="K5" s="89"/>
    </row>
    <row r="6" customFormat="false" ht="23.25" hidden="false" customHeight="true" outlineLevel="0" collapsed="false">
      <c r="A6" s="16" t="s">
        <v>342</v>
      </c>
      <c r="B6" s="22" t="n">
        <f aca="false">Inputs!B52</f>
        <v>837</v>
      </c>
      <c r="D6" s="89" t="str">
        <f aca="false">"LINKED — Inputs rows 41–52: "&amp;TEXT(Inputs!B47,"#,##0")&amp;" pcs counted "&amp;TEXT(Inputs!B42,"m/d")&amp;" ("&amp;Inputs!B43&amp;" loose + "&amp;Inputs!B44&amp;" boxes) less "&amp;TEXT(Inputs!B51,"#,##0")&amp;" consumed before the horizon starts"</f>
        <v>LINKED — Inputs rows 41–52: 937 pcs counted 9/24 (70 loose + 2 boxes) less 100 consumed before the horizon starts</v>
      </c>
      <c r="E6" s="89"/>
      <c r="F6" s="89"/>
      <c r="G6" s="89"/>
      <c r="H6" s="89"/>
      <c r="I6" s="89"/>
      <c r="J6" s="89"/>
      <c r="K6" s="89"/>
    </row>
    <row r="7" customFormat="false" ht="15" hidden="false" customHeight="true" outlineLevel="0" collapsed="false">
      <c r="A7" s="16" t="s">
        <v>343</v>
      </c>
      <c r="B7" s="22" t="n">
        <f aca="false">Inputs!B26</f>
        <v>250</v>
      </c>
    </row>
    <row r="8" customFormat="false" ht="15" hidden="false" customHeight="true" outlineLevel="0" collapsed="false">
      <c r="A8" s="16" t="s">
        <v>33</v>
      </c>
      <c r="B8" s="22" t="n">
        <f aca="false">'Order Cadence'!B16</f>
        <v>1000</v>
      </c>
    </row>
    <row r="9" customFormat="false" ht="15" hidden="false" customHeight="true" outlineLevel="0" collapsed="false">
      <c r="A9" s="16" t="s">
        <v>35</v>
      </c>
      <c r="B9" s="22" t="n">
        <f aca="false">'Order Cadence'!B6</f>
        <v>1300</v>
      </c>
    </row>
    <row r="10" customFormat="false" ht="15" hidden="false" customHeight="true" outlineLevel="0" collapsed="false">
      <c r="A10" s="16" t="s">
        <v>344</v>
      </c>
      <c r="B10" s="27" t="n">
        <f aca="false">Inputs!B31</f>
        <v>3</v>
      </c>
    </row>
    <row r="11" customFormat="false" ht="15" hidden="false" customHeight="true" outlineLevel="0" collapsed="false">
      <c r="A11" s="16" t="s">
        <v>345</v>
      </c>
      <c r="B11" s="22" t="n">
        <f aca="false">Inputs!B56</f>
        <v>1300</v>
      </c>
      <c r="D11" s="71" t="str">
        <f aca="false">"Released "&amp;TEXT(Inputs!B55,"m/d/yy")&amp;", credited to week "&amp;Inputs!B58&amp;" (arrives "&amp;TEXT(Inputs!B57,"m/d/yy")&amp;") — Inputs rows 54–61"</f>
        <v>Released 9/24/26, credited to week 4 (arrives 10/19/26) — Inputs rows 54–61</v>
      </c>
      <c r="E11" s="71"/>
      <c r="F11" s="71"/>
      <c r="G11" s="71"/>
      <c r="H11" s="71"/>
      <c r="I11" s="71"/>
      <c r="J11" s="71"/>
      <c r="K11" s="71"/>
    </row>
    <row r="12" customFormat="false" ht="15" hidden="false" customHeight="true" outlineLevel="0" collapsed="false">
      <c r="A12" s="14" t="s">
        <v>346</v>
      </c>
      <c r="B12" s="15"/>
      <c r="C12" s="15"/>
      <c r="D12" s="15"/>
      <c r="E12" s="15"/>
      <c r="F12" s="15"/>
      <c r="G12" s="15"/>
      <c r="H12" s="15"/>
      <c r="I12" s="15"/>
      <c r="J12" s="15"/>
      <c r="K12" s="15"/>
    </row>
    <row r="13" customFormat="false" ht="15" hidden="false" customHeight="true" outlineLevel="0" collapsed="false">
      <c r="A13" s="83" t="s">
        <v>347</v>
      </c>
      <c r="B13" s="83" t="s">
        <v>348</v>
      </c>
      <c r="C13" s="83" t="s">
        <v>349</v>
      </c>
      <c r="D13" s="83" t="s">
        <v>350</v>
      </c>
      <c r="E13" s="83" t="s">
        <v>351</v>
      </c>
      <c r="F13" s="83" t="s">
        <v>352</v>
      </c>
      <c r="G13" s="83" t="s">
        <v>353</v>
      </c>
      <c r="H13" s="83" t="s">
        <v>354</v>
      </c>
      <c r="I13" s="83" t="s">
        <v>355</v>
      </c>
      <c r="J13" s="83" t="s">
        <v>356</v>
      </c>
      <c r="K13" s="83" t="s">
        <v>357</v>
      </c>
      <c r="L13" s="61" t="s">
        <v>358</v>
      </c>
    </row>
    <row r="14" customFormat="false" ht="15" hidden="false" customHeight="true" outlineLevel="0" collapsed="false">
      <c r="A14" s="36" t="n">
        <v>1</v>
      </c>
      <c r="B14" s="73" t="n">
        <f aca="false">$B$5+(A14-1)*7</f>
        <v>46293</v>
      </c>
      <c r="C14" s="32" t="n">
        <f aca="false">$B$6</f>
        <v>837</v>
      </c>
      <c r="D14" s="32" t="n">
        <f aca="false">IF(A14&gt;$B$10, INDEX($H$14:$H$39, A14-$B$10), 0)+IF(A14=Inputs!$B$58,Inputs!$B$56,0)</f>
        <v>0</v>
      </c>
      <c r="E14" s="32" t="n">
        <f aca="false">C14+D14</f>
        <v>837</v>
      </c>
      <c r="F14" s="32" t="n">
        <f aca="false">$B$7</f>
        <v>250</v>
      </c>
      <c r="G14" s="32" t="n">
        <f aca="false">E14-F14</f>
        <v>587</v>
      </c>
      <c r="H14" s="32" t="n">
        <f aca="false">IF(G14+(Inputs!$B$56-D14)&lt;$B$8, $B$9, 0)</f>
        <v>0</v>
      </c>
      <c r="I14" s="32" t="n">
        <f aca="false">Inputs!$B$56+H14-D14</f>
        <v>1300</v>
      </c>
      <c r="J14" s="32" t="n">
        <f aca="false">G14+I14</f>
        <v>1887</v>
      </c>
      <c r="K14" s="11" t="str">
        <f aca="false">IF(G14&lt;0,"STOCKOUT",IF(TRIM(IF(H14&gt;0,"PO released ","")&amp;IF(D14&gt;0,"Delivery ","")&amp;IF(G14&lt;$B$7,"⚠ LOW &lt;1 wk",""))="","OK",TRIM(IF(H14&gt;0,"PO released ","")&amp;IF(D14&gt;0,"Delivery ","")&amp;IF(G14&lt;$B$7,"⚠ LOW &lt;1 wk",""))))</f>
        <v>OK</v>
      </c>
      <c r="L14" s="90" t="str">
        <f aca="false">IF(SUMPRODUCT(('PO Schedule'!$D$14:$D$22&lt;&gt;"")*('PO Schedule'!$D$14:$D$22&lt;=B14+6)*('PO Schedule'!$E$14:$E$22&gt;=B14))&gt;0,"▶ PO-"&amp;(SUMPRODUCT(('PO Schedule'!$D$14:$D$22&lt;&gt;"")*('PO Schedule'!$D$14:$D$22&lt;=B14+6)*('PO Schedule'!$E$14:$E$22&gt;=B14)*('PO Schedule'!$A$14:$A$22+1))-1)&amp;" cut at Trotter","")</f>
        <v/>
      </c>
    </row>
    <row r="15" customFormat="false" ht="15" hidden="false" customHeight="true" outlineLevel="0" collapsed="false">
      <c r="A15" s="36" t="n">
        <v>2</v>
      </c>
      <c r="B15" s="73" t="n">
        <f aca="false">$B$5+(A15-1)*7</f>
        <v>46300</v>
      </c>
      <c r="C15" s="32" t="n">
        <f aca="false">G14</f>
        <v>587</v>
      </c>
      <c r="D15" s="32" t="n">
        <f aca="false">IF(A15&gt;$B$10, INDEX($H$14:$H$39, A15-$B$10), 0)+IF(A15=Inputs!$B$58,Inputs!$B$56,0)</f>
        <v>0</v>
      </c>
      <c r="E15" s="32" t="n">
        <f aca="false">C15+D15</f>
        <v>587</v>
      </c>
      <c r="F15" s="32" t="n">
        <f aca="false">$B$7</f>
        <v>250</v>
      </c>
      <c r="G15" s="32" t="n">
        <f aca="false">E15-F15</f>
        <v>337</v>
      </c>
      <c r="H15" s="32" t="n">
        <f aca="false">IF(G15+(I14-D15)&lt;$B$8, $B$9, 0)</f>
        <v>0</v>
      </c>
      <c r="I15" s="32" t="n">
        <f aca="false">I14-D15+H15</f>
        <v>1300</v>
      </c>
      <c r="J15" s="32" t="n">
        <f aca="false">G15+I15</f>
        <v>1637</v>
      </c>
      <c r="K15" s="11" t="str">
        <f aca="false">IF(G15&lt;0,"STOCKOUT",IF(TRIM(IF(H15&gt;0,"PO released ","")&amp;IF(D15&gt;0,"Delivery ","")&amp;IF(G15&lt;$B$7,"⚠ LOW &lt;1 wk",""))="","OK",TRIM(IF(H15&gt;0,"PO released ","")&amp;IF(D15&gt;0,"Delivery ","")&amp;IF(G15&lt;$B$7,"⚠ LOW &lt;1 wk",""))))</f>
        <v>OK</v>
      </c>
      <c r="L15" s="90" t="str">
        <f aca="false">IF(SUMPRODUCT(('PO Schedule'!$D$14:$D$22&lt;&gt;"")*('PO Schedule'!$D$14:$D$22&lt;=B15+6)*('PO Schedule'!$E$14:$E$22&gt;=B15))&gt;0,"▶ PO-"&amp;(SUMPRODUCT(('PO Schedule'!$D$14:$D$22&lt;&gt;"")*('PO Schedule'!$D$14:$D$22&lt;=B15+6)*('PO Schedule'!$E$14:$E$22&gt;=B15)*('PO Schedule'!$A$14:$A$22+1))-1)&amp;" cut at Trotter","")</f>
        <v/>
      </c>
    </row>
    <row r="16" customFormat="false" ht="15" hidden="false" customHeight="true" outlineLevel="0" collapsed="false">
      <c r="A16" s="36" t="n">
        <v>3</v>
      </c>
      <c r="B16" s="73" t="n">
        <f aca="false">$B$5+(A16-1)*7</f>
        <v>46307</v>
      </c>
      <c r="C16" s="32" t="n">
        <f aca="false">G15</f>
        <v>337</v>
      </c>
      <c r="D16" s="32" t="n">
        <f aca="false">IF(A16&gt;$B$10, INDEX($H$14:$H$39, A16-$B$10), 0)+IF(A16=Inputs!$B$58,Inputs!$B$56,0)</f>
        <v>0</v>
      </c>
      <c r="E16" s="32" t="n">
        <f aca="false">C16+D16</f>
        <v>337</v>
      </c>
      <c r="F16" s="32" t="n">
        <f aca="false">$B$7</f>
        <v>250</v>
      </c>
      <c r="G16" s="32" t="n">
        <f aca="false">E16-F16</f>
        <v>87</v>
      </c>
      <c r="H16" s="32" t="n">
        <f aca="false">IF(G16+(I15-D16)&lt;$B$8, $B$9, 0)</f>
        <v>0</v>
      </c>
      <c r="I16" s="32" t="n">
        <f aca="false">I15-D16+H16</f>
        <v>1300</v>
      </c>
      <c r="J16" s="32" t="n">
        <f aca="false">G16+I16</f>
        <v>1387</v>
      </c>
      <c r="K16" s="11" t="str">
        <f aca="false">IF(G16&lt;0,"STOCKOUT",IF(TRIM(IF(H16&gt;0,"PO released ","")&amp;IF(D16&gt;0,"Delivery ","")&amp;IF(G16&lt;$B$7,"⚠ LOW &lt;1 wk",""))="","OK",TRIM(IF(H16&gt;0,"PO released ","")&amp;IF(D16&gt;0,"Delivery ","")&amp;IF(G16&lt;$B$7,"⚠ LOW &lt;1 wk",""))))</f>
        <v>⚠ LOW &lt;1 wk</v>
      </c>
      <c r="L16" s="90" t="str">
        <f aca="false">IF(SUMPRODUCT(('PO Schedule'!$D$14:$D$22&lt;&gt;"")*('PO Schedule'!$D$14:$D$22&lt;=B16+6)*('PO Schedule'!$E$14:$E$22&gt;=B16))&gt;0,"▶ PO-"&amp;(SUMPRODUCT(('PO Schedule'!$D$14:$D$22&lt;&gt;"")*('PO Schedule'!$D$14:$D$22&lt;=B16+6)*('PO Schedule'!$E$14:$E$22&gt;=B16)*('PO Schedule'!$A$14:$A$22+1))-1)&amp;" cut at Trotter","")</f>
        <v>▶ PO-0 cut at Trotter</v>
      </c>
    </row>
    <row r="17" customFormat="false" ht="15" hidden="false" customHeight="true" outlineLevel="0" collapsed="false">
      <c r="A17" s="36" t="n">
        <v>4</v>
      </c>
      <c r="B17" s="73" t="n">
        <f aca="false">$B$5+(A17-1)*7</f>
        <v>46314</v>
      </c>
      <c r="C17" s="32" t="n">
        <f aca="false">G16</f>
        <v>87</v>
      </c>
      <c r="D17" s="32" t="n">
        <f aca="false">IF(A17&gt;$B$10, INDEX($H$14:$H$39, A17-$B$10), 0)+IF(A17=Inputs!$B$58,Inputs!$B$56,0)</f>
        <v>1300</v>
      </c>
      <c r="E17" s="32" t="n">
        <f aca="false">C17+D17</f>
        <v>1387</v>
      </c>
      <c r="F17" s="32" t="n">
        <f aca="false">$B$7</f>
        <v>250</v>
      </c>
      <c r="G17" s="32" t="n">
        <f aca="false">E17-F17</f>
        <v>1137</v>
      </c>
      <c r="H17" s="32" t="n">
        <f aca="false">IF(G17+(I16-D17)&lt;$B$8, $B$9, 0)</f>
        <v>0</v>
      </c>
      <c r="I17" s="32" t="n">
        <f aca="false">I16-D17+H17</f>
        <v>0</v>
      </c>
      <c r="J17" s="32" t="n">
        <f aca="false">G17+I17</f>
        <v>1137</v>
      </c>
      <c r="K17" s="11" t="str">
        <f aca="false">IF(G17&lt;0,"STOCKOUT",IF(TRIM(IF(H17&gt;0,"PO released ","")&amp;IF(D17&gt;0,"Delivery ","")&amp;IF(G17&lt;$B$7,"⚠ LOW &lt;1 wk",""))="","OK",TRIM(IF(H17&gt;0,"PO released ","")&amp;IF(D17&gt;0,"Delivery ","")&amp;IF(G17&lt;$B$7,"⚠ LOW &lt;1 wk",""))))</f>
        <v>Delivery</v>
      </c>
      <c r="L17" s="90" t="str">
        <f aca="false">IF(SUMPRODUCT(('PO Schedule'!$D$14:$D$22&lt;&gt;"")*('PO Schedule'!$D$14:$D$22&lt;=B17+6)*('PO Schedule'!$E$14:$E$22&gt;=B17))&gt;0,"▶ PO-"&amp;(SUMPRODUCT(('PO Schedule'!$D$14:$D$22&lt;&gt;"")*('PO Schedule'!$D$14:$D$22&lt;=B17+6)*('PO Schedule'!$E$14:$E$22&gt;=B17)*('PO Schedule'!$A$14:$A$22+1))-1)&amp;" cut at Trotter","")</f>
        <v/>
      </c>
    </row>
    <row r="18" customFormat="false" ht="15" hidden="false" customHeight="true" outlineLevel="0" collapsed="false">
      <c r="A18" s="36" t="n">
        <v>5</v>
      </c>
      <c r="B18" s="73" t="n">
        <f aca="false">$B$5+(A18-1)*7</f>
        <v>46321</v>
      </c>
      <c r="C18" s="32" t="n">
        <f aca="false">G17</f>
        <v>1137</v>
      </c>
      <c r="D18" s="32" t="n">
        <f aca="false">IF(A18&gt;$B$10, INDEX($H$14:$H$39, A18-$B$10), 0)+IF(A18=Inputs!$B$58,Inputs!$B$56,0)</f>
        <v>0</v>
      </c>
      <c r="E18" s="32" t="n">
        <f aca="false">C18+D18</f>
        <v>1137</v>
      </c>
      <c r="F18" s="32" t="n">
        <f aca="false">$B$7</f>
        <v>250</v>
      </c>
      <c r="G18" s="32" t="n">
        <f aca="false">E18-F18</f>
        <v>887</v>
      </c>
      <c r="H18" s="32" t="n">
        <f aca="false">IF(G18+(I17-D18)&lt;$B$8, $B$9, 0)</f>
        <v>1300</v>
      </c>
      <c r="I18" s="32" t="n">
        <f aca="false">I17-D18+H18</f>
        <v>1300</v>
      </c>
      <c r="J18" s="32" t="n">
        <f aca="false">G18+I18</f>
        <v>2187</v>
      </c>
      <c r="K18" s="11" t="str">
        <f aca="false">IF(G18&lt;0,"STOCKOUT",IF(TRIM(IF(H18&gt;0,"PO released ","")&amp;IF(D18&gt;0,"Delivery ","")&amp;IF(G18&lt;$B$7,"⚠ LOW &lt;1 wk",""))="","OK",TRIM(IF(H18&gt;0,"PO released ","")&amp;IF(D18&gt;0,"Delivery ","")&amp;IF(G18&lt;$B$7,"⚠ LOW &lt;1 wk",""))))</f>
        <v>PO released</v>
      </c>
      <c r="L18" s="90" t="str">
        <f aca="false">IF(SUMPRODUCT(('PO Schedule'!$D$14:$D$22&lt;&gt;"")*('PO Schedule'!$D$14:$D$22&lt;=B18+6)*('PO Schedule'!$E$14:$E$22&gt;=B18))&gt;0,"▶ PO-"&amp;(SUMPRODUCT(('PO Schedule'!$D$14:$D$22&lt;&gt;"")*('PO Schedule'!$D$14:$D$22&lt;=B18+6)*('PO Schedule'!$E$14:$E$22&gt;=B18)*('PO Schedule'!$A$14:$A$22+1))-1)&amp;" cut at Trotter","")</f>
        <v/>
      </c>
    </row>
    <row r="19" customFormat="false" ht="15" hidden="false" customHeight="true" outlineLevel="0" collapsed="false">
      <c r="A19" s="36" t="n">
        <v>6</v>
      </c>
      <c r="B19" s="73" t="n">
        <f aca="false">$B$5+(A19-1)*7</f>
        <v>46328</v>
      </c>
      <c r="C19" s="32" t="n">
        <f aca="false">G18</f>
        <v>887</v>
      </c>
      <c r="D19" s="32" t="n">
        <f aca="false">IF(A19&gt;$B$10, INDEX($H$14:$H$39, A19-$B$10), 0)+IF(A19=Inputs!$B$58,Inputs!$B$56,0)</f>
        <v>0</v>
      </c>
      <c r="E19" s="32" t="n">
        <f aca="false">C19+D19</f>
        <v>887</v>
      </c>
      <c r="F19" s="32" t="n">
        <f aca="false">$B$7</f>
        <v>250</v>
      </c>
      <c r="G19" s="32" t="n">
        <f aca="false">E19-F19</f>
        <v>637</v>
      </c>
      <c r="H19" s="32" t="n">
        <f aca="false">IF(G19+(I18-D19)&lt;$B$8, $B$9, 0)</f>
        <v>0</v>
      </c>
      <c r="I19" s="32" t="n">
        <f aca="false">I18-D19+H19</f>
        <v>1300</v>
      </c>
      <c r="J19" s="32" t="n">
        <f aca="false">G19+I19</f>
        <v>1937</v>
      </c>
      <c r="K19" s="11" t="str">
        <f aca="false">IF(G19&lt;0,"STOCKOUT",IF(TRIM(IF(H19&gt;0,"PO released ","")&amp;IF(D19&gt;0,"Delivery ","")&amp;IF(G19&lt;$B$7,"⚠ LOW &lt;1 wk",""))="","OK",TRIM(IF(H19&gt;0,"PO released ","")&amp;IF(D19&gt;0,"Delivery ","")&amp;IF(G19&lt;$B$7,"⚠ LOW &lt;1 wk",""))))</f>
        <v>OK</v>
      </c>
      <c r="L19" s="90" t="str">
        <f aca="false">IF(SUMPRODUCT(('PO Schedule'!$D$14:$D$22&lt;&gt;"")*('PO Schedule'!$D$14:$D$22&lt;=B19+6)*('PO Schedule'!$E$14:$E$22&gt;=B19))&gt;0,"▶ PO-"&amp;(SUMPRODUCT(('PO Schedule'!$D$14:$D$22&lt;&gt;"")*('PO Schedule'!$D$14:$D$22&lt;=B19+6)*('PO Schedule'!$E$14:$E$22&gt;=B19)*('PO Schedule'!$A$14:$A$22+1))-1)&amp;" cut at Trotter","")</f>
        <v/>
      </c>
    </row>
    <row r="20" customFormat="false" ht="15" hidden="false" customHeight="true" outlineLevel="0" collapsed="false">
      <c r="A20" s="36" t="n">
        <v>7</v>
      </c>
      <c r="B20" s="73" t="n">
        <f aca="false">$B$5+(A20-1)*7</f>
        <v>46335</v>
      </c>
      <c r="C20" s="32" t="n">
        <f aca="false">G19</f>
        <v>637</v>
      </c>
      <c r="D20" s="32" t="n">
        <f aca="false">IF(A20&gt;$B$10, INDEX($H$14:$H$39, A20-$B$10), 0)+IF(A20=Inputs!$B$58,Inputs!$B$56,0)</f>
        <v>0</v>
      </c>
      <c r="E20" s="32" t="n">
        <f aca="false">C20+D20</f>
        <v>637</v>
      </c>
      <c r="F20" s="32" t="n">
        <f aca="false">$B$7</f>
        <v>250</v>
      </c>
      <c r="G20" s="32" t="n">
        <f aca="false">E20-F20</f>
        <v>387</v>
      </c>
      <c r="H20" s="32" t="n">
        <f aca="false">IF(G20+(I19-D20)&lt;$B$8, $B$9, 0)</f>
        <v>0</v>
      </c>
      <c r="I20" s="32" t="n">
        <f aca="false">I19-D20+H20</f>
        <v>1300</v>
      </c>
      <c r="J20" s="32" t="n">
        <f aca="false">G20+I20</f>
        <v>1687</v>
      </c>
      <c r="K20" s="11" t="str">
        <f aca="false">IF(G20&lt;0,"STOCKOUT",IF(TRIM(IF(H20&gt;0,"PO released ","")&amp;IF(D20&gt;0,"Delivery ","")&amp;IF(G20&lt;$B$7,"⚠ LOW &lt;1 wk",""))="","OK",TRIM(IF(H20&gt;0,"PO released ","")&amp;IF(D20&gt;0,"Delivery ","")&amp;IF(G20&lt;$B$7,"⚠ LOW &lt;1 wk",""))))</f>
        <v>OK</v>
      </c>
      <c r="L20" s="90" t="str">
        <f aca="false">IF(SUMPRODUCT(('PO Schedule'!$D$14:$D$22&lt;&gt;"")*('PO Schedule'!$D$14:$D$22&lt;=B20+6)*('PO Schedule'!$E$14:$E$22&gt;=B20))&gt;0,"▶ PO-"&amp;(SUMPRODUCT(('PO Schedule'!$D$14:$D$22&lt;&gt;"")*('PO Schedule'!$D$14:$D$22&lt;=B20+6)*('PO Schedule'!$E$14:$E$22&gt;=B20)*('PO Schedule'!$A$14:$A$22+1))-1)&amp;" cut at Trotter","")</f>
        <v>▶ PO-1 cut at Trotter</v>
      </c>
    </row>
    <row r="21" customFormat="false" ht="15" hidden="false" customHeight="true" outlineLevel="0" collapsed="false">
      <c r="A21" s="36" t="n">
        <v>8</v>
      </c>
      <c r="B21" s="73" t="n">
        <f aca="false">$B$5+(A21-1)*7</f>
        <v>46342</v>
      </c>
      <c r="C21" s="32" t="n">
        <f aca="false">G20</f>
        <v>387</v>
      </c>
      <c r="D21" s="32" t="n">
        <f aca="false">IF(A21&gt;$B$10, INDEX($H$14:$H$39, A21-$B$10), 0)+IF(A21=Inputs!$B$58,Inputs!$B$56,0)</f>
        <v>1300</v>
      </c>
      <c r="E21" s="32" t="n">
        <f aca="false">C21+D21</f>
        <v>1687</v>
      </c>
      <c r="F21" s="32" t="n">
        <f aca="false">$B$7</f>
        <v>250</v>
      </c>
      <c r="G21" s="32" t="n">
        <f aca="false">E21-F21</f>
        <v>1437</v>
      </c>
      <c r="H21" s="32" t="n">
        <f aca="false">IF(G21+(I20-D21)&lt;$B$8, $B$9, 0)</f>
        <v>0</v>
      </c>
      <c r="I21" s="32" t="n">
        <f aca="false">I20-D21+H21</f>
        <v>0</v>
      </c>
      <c r="J21" s="32" t="n">
        <f aca="false">G21+I21</f>
        <v>1437</v>
      </c>
      <c r="K21" s="11" t="str">
        <f aca="false">IF(G21&lt;0,"STOCKOUT",IF(TRIM(IF(H21&gt;0,"PO released ","")&amp;IF(D21&gt;0,"Delivery ","")&amp;IF(G21&lt;$B$7,"⚠ LOW &lt;1 wk",""))="","OK",TRIM(IF(H21&gt;0,"PO released ","")&amp;IF(D21&gt;0,"Delivery ","")&amp;IF(G21&lt;$B$7,"⚠ LOW &lt;1 wk",""))))</f>
        <v>Delivery</v>
      </c>
      <c r="L21" s="90" t="str">
        <f aca="false">IF(SUMPRODUCT(('PO Schedule'!$D$14:$D$22&lt;&gt;"")*('PO Schedule'!$D$14:$D$22&lt;=B21+6)*('PO Schedule'!$E$14:$E$22&gt;=B21))&gt;0,"▶ PO-"&amp;(SUMPRODUCT(('PO Schedule'!$D$14:$D$22&lt;&gt;"")*('PO Schedule'!$D$14:$D$22&lt;=B21+6)*('PO Schedule'!$E$14:$E$22&gt;=B21)*('PO Schedule'!$A$14:$A$22+1))-1)&amp;" cut at Trotter","")</f>
        <v/>
      </c>
    </row>
    <row r="22" customFormat="false" ht="15" hidden="false" customHeight="true" outlineLevel="0" collapsed="false">
      <c r="A22" s="36" t="n">
        <v>9</v>
      </c>
      <c r="B22" s="73" t="n">
        <f aca="false">$B$5+(A22-1)*7</f>
        <v>46349</v>
      </c>
      <c r="C22" s="32" t="n">
        <f aca="false">G21</f>
        <v>1437</v>
      </c>
      <c r="D22" s="32" t="n">
        <f aca="false">IF(A22&gt;$B$10, INDEX($H$14:$H$39, A22-$B$10), 0)+IF(A22=Inputs!$B$58,Inputs!$B$56,0)</f>
        <v>0</v>
      </c>
      <c r="E22" s="32" t="n">
        <f aca="false">C22+D22</f>
        <v>1437</v>
      </c>
      <c r="F22" s="32" t="n">
        <f aca="false">$B$7</f>
        <v>250</v>
      </c>
      <c r="G22" s="32" t="n">
        <f aca="false">E22-F22</f>
        <v>1187</v>
      </c>
      <c r="H22" s="32" t="n">
        <f aca="false">IF(G22+(I21-D22)&lt;$B$8, $B$9, 0)</f>
        <v>0</v>
      </c>
      <c r="I22" s="32" t="n">
        <f aca="false">I21-D22+H22</f>
        <v>0</v>
      </c>
      <c r="J22" s="32" t="n">
        <f aca="false">G22+I22</f>
        <v>1187</v>
      </c>
      <c r="K22" s="11" t="str">
        <f aca="false">IF(G22&lt;0,"STOCKOUT",IF(TRIM(IF(H22&gt;0,"PO released ","")&amp;IF(D22&gt;0,"Delivery ","")&amp;IF(G22&lt;$B$7,"⚠ LOW &lt;1 wk",""))="","OK",TRIM(IF(H22&gt;0,"PO released ","")&amp;IF(D22&gt;0,"Delivery ","")&amp;IF(G22&lt;$B$7,"⚠ LOW &lt;1 wk",""))))</f>
        <v>OK</v>
      </c>
      <c r="L22" s="90" t="str">
        <f aca="false">IF(SUMPRODUCT(('PO Schedule'!$D$14:$D$22&lt;&gt;"")*('PO Schedule'!$D$14:$D$22&lt;=B22+6)*('PO Schedule'!$E$14:$E$22&gt;=B22))&gt;0,"▶ PO-"&amp;(SUMPRODUCT(('PO Schedule'!$D$14:$D$22&lt;&gt;"")*('PO Schedule'!$D$14:$D$22&lt;=B22+6)*('PO Schedule'!$E$14:$E$22&gt;=B22)*('PO Schedule'!$A$14:$A$22+1))-1)&amp;" cut at Trotter","")</f>
        <v/>
      </c>
    </row>
    <row r="23" customFormat="false" ht="15" hidden="false" customHeight="true" outlineLevel="0" collapsed="false">
      <c r="A23" s="36" t="n">
        <v>10</v>
      </c>
      <c r="B23" s="73" t="n">
        <f aca="false">$B$5+(A23-1)*7</f>
        <v>46356</v>
      </c>
      <c r="C23" s="32" t="n">
        <f aca="false">G22</f>
        <v>1187</v>
      </c>
      <c r="D23" s="32" t="n">
        <f aca="false">IF(A23&gt;$B$10, INDEX($H$14:$H$39, A23-$B$10), 0)+IF(A23=Inputs!$B$58,Inputs!$B$56,0)</f>
        <v>0</v>
      </c>
      <c r="E23" s="32" t="n">
        <f aca="false">C23+D23</f>
        <v>1187</v>
      </c>
      <c r="F23" s="32" t="n">
        <f aca="false">$B$7</f>
        <v>250</v>
      </c>
      <c r="G23" s="32" t="n">
        <f aca="false">E23-F23</f>
        <v>937</v>
      </c>
      <c r="H23" s="32" t="n">
        <f aca="false">IF(G23+(I22-D23)&lt;$B$8, $B$9, 0)</f>
        <v>1300</v>
      </c>
      <c r="I23" s="32" t="n">
        <f aca="false">I22-D23+H23</f>
        <v>1300</v>
      </c>
      <c r="J23" s="32" t="n">
        <f aca="false">G23+I23</f>
        <v>2237</v>
      </c>
      <c r="K23" s="11" t="str">
        <f aca="false">IF(G23&lt;0,"STOCKOUT",IF(TRIM(IF(H23&gt;0,"PO released ","")&amp;IF(D23&gt;0,"Delivery ","")&amp;IF(G23&lt;$B$7,"⚠ LOW &lt;1 wk",""))="","OK",TRIM(IF(H23&gt;0,"PO released ","")&amp;IF(D23&gt;0,"Delivery ","")&amp;IF(G23&lt;$B$7,"⚠ LOW &lt;1 wk",""))))</f>
        <v>PO released</v>
      </c>
      <c r="L23" s="90" t="str">
        <f aca="false">IF(SUMPRODUCT(('PO Schedule'!$D$14:$D$22&lt;&gt;"")*('PO Schedule'!$D$14:$D$22&lt;=B23+6)*('PO Schedule'!$E$14:$E$22&gt;=B23))&gt;0,"▶ PO-"&amp;(SUMPRODUCT(('PO Schedule'!$D$14:$D$22&lt;&gt;"")*('PO Schedule'!$D$14:$D$22&lt;=B23+6)*('PO Schedule'!$E$14:$E$22&gt;=B23)*('PO Schedule'!$A$14:$A$22+1))-1)&amp;" cut at Trotter","")</f>
        <v/>
      </c>
    </row>
    <row r="24" customFormat="false" ht="15" hidden="false" customHeight="true" outlineLevel="0" collapsed="false">
      <c r="A24" s="36" t="n">
        <v>11</v>
      </c>
      <c r="B24" s="73" t="n">
        <f aca="false">$B$5+(A24-1)*7</f>
        <v>46363</v>
      </c>
      <c r="C24" s="32" t="n">
        <f aca="false">G23</f>
        <v>937</v>
      </c>
      <c r="D24" s="32" t="n">
        <f aca="false">IF(A24&gt;$B$10, INDEX($H$14:$H$39, A24-$B$10), 0)+IF(A24=Inputs!$B$58,Inputs!$B$56,0)</f>
        <v>0</v>
      </c>
      <c r="E24" s="32" t="n">
        <f aca="false">C24+D24</f>
        <v>937</v>
      </c>
      <c r="F24" s="32" t="n">
        <f aca="false">$B$7</f>
        <v>250</v>
      </c>
      <c r="G24" s="32" t="n">
        <f aca="false">E24-F24</f>
        <v>687</v>
      </c>
      <c r="H24" s="32" t="n">
        <f aca="false">IF(G24+(I23-D24)&lt;$B$8, $B$9, 0)</f>
        <v>0</v>
      </c>
      <c r="I24" s="32" t="n">
        <f aca="false">I23-D24+H24</f>
        <v>1300</v>
      </c>
      <c r="J24" s="32" t="n">
        <f aca="false">G24+I24</f>
        <v>1987</v>
      </c>
      <c r="K24" s="11" t="str">
        <f aca="false">IF(G24&lt;0,"STOCKOUT",IF(TRIM(IF(H24&gt;0,"PO released ","")&amp;IF(D24&gt;0,"Delivery ","")&amp;IF(G24&lt;$B$7,"⚠ LOW &lt;1 wk",""))="","OK",TRIM(IF(H24&gt;0,"PO released ","")&amp;IF(D24&gt;0,"Delivery ","")&amp;IF(G24&lt;$B$7,"⚠ LOW &lt;1 wk",""))))</f>
        <v>OK</v>
      </c>
      <c r="L24" s="90" t="str">
        <f aca="false">IF(SUMPRODUCT(('PO Schedule'!$D$14:$D$22&lt;&gt;"")*('PO Schedule'!$D$14:$D$22&lt;=B24+6)*('PO Schedule'!$E$14:$E$22&gt;=B24))&gt;0,"▶ PO-"&amp;(SUMPRODUCT(('PO Schedule'!$D$14:$D$22&lt;&gt;"")*('PO Schedule'!$D$14:$D$22&lt;=B24+6)*('PO Schedule'!$E$14:$E$22&gt;=B24)*('PO Schedule'!$A$14:$A$22+1))-1)&amp;" cut at Trotter","")</f>
        <v/>
      </c>
    </row>
    <row r="25" customFormat="false" ht="15" hidden="false" customHeight="true" outlineLevel="0" collapsed="false">
      <c r="A25" s="36" t="n">
        <v>12</v>
      </c>
      <c r="B25" s="73" t="n">
        <f aca="false">$B$5+(A25-1)*7</f>
        <v>46370</v>
      </c>
      <c r="C25" s="32" t="n">
        <f aca="false">G24</f>
        <v>687</v>
      </c>
      <c r="D25" s="32" t="n">
        <f aca="false">IF(A25&gt;$B$10, INDEX($H$14:$H$39, A25-$B$10), 0)+IF(A25=Inputs!$B$58,Inputs!$B$56,0)</f>
        <v>0</v>
      </c>
      <c r="E25" s="32" t="n">
        <f aca="false">C25+D25</f>
        <v>687</v>
      </c>
      <c r="F25" s="32" t="n">
        <f aca="false">$B$7</f>
        <v>250</v>
      </c>
      <c r="G25" s="32" t="n">
        <f aca="false">E25-F25</f>
        <v>437</v>
      </c>
      <c r="H25" s="32" t="n">
        <f aca="false">IF(G25+(I24-D25)&lt;$B$8, $B$9, 0)</f>
        <v>0</v>
      </c>
      <c r="I25" s="32" t="n">
        <f aca="false">I24-D25+H25</f>
        <v>1300</v>
      </c>
      <c r="J25" s="32" t="n">
        <f aca="false">G25+I25</f>
        <v>1737</v>
      </c>
      <c r="K25" s="11" t="str">
        <f aca="false">IF(G25&lt;0,"STOCKOUT",IF(TRIM(IF(H25&gt;0,"PO released ","")&amp;IF(D25&gt;0,"Delivery ","")&amp;IF(G25&lt;$B$7,"⚠ LOW &lt;1 wk",""))="","OK",TRIM(IF(H25&gt;0,"PO released ","")&amp;IF(D25&gt;0,"Delivery ","")&amp;IF(G25&lt;$B$7,"⚠ LOW &lt;1 wk",""))))</f>
        <v>OK</v>
      </c>
      <c r="L25" s="90" t="str">
        <f aca="false">IF(SUMPRODUCT(('PO Schedule'!$D$14:$D$22&lt;&gt;"")*('PO Schedule'!$D$14:$D$22&lt;=B25+6)*('PO Schedule'!$E$14:$E$22&gt;=B25))&gt;0,"▶ PO-"&amp;(SUMPRODUCT(('PO Schedule'!$D$14:$D$22&lt;&gt;"")*('PO Schedule'!$D$14:$D$22&lt;=B25+6)*('PO Schedule'!$E$14:$E$22&gt;=B25)*('PO Schedule'!$A$14:$A$22+1))-1)&amp;" cut at Trotter","")</f>
        <v>▶ PO-2 cut at Trotter</v>
      </c>
    </row>
    <row r="26" customFormat="false" ht="15" hidden="false" customHeight="true" outlineLevel="0" collapsed="false">
      <c r="A26" s="36" t="n">
        <v>13</v>
      </c>
      <c r="B26" s="73" t="n">
        <f aca="false">$B$5+(A26-1)*7</f>
        <v>46377</v>
      </c>
      <c r="C26" s="32" t="n">
        <f aca="false">G25</f>
        <v>437</v>
      </c>
      <c r="D26" s="32" t="n">
        <f aca="false">IF(A26&gt;$B$10, INDEX($H$14:$H$39, A26-$B$10), 0)+IF(A26=Inputs!$B$58,Inputs!$B$56,0)</f>
        <v>1300</v>
      </c>
      <c r="E26" s="32" t="n">
        <f aca="false">C26+D26</f>
        <v>1737</v>
      </c>
      <c r="F26" s="32" t="n">
        <f aca="false">$B$7</f>
        <v>250</v>
      </c>
      <c r="G26" s="32" t="n">
        <f aca="false">E26-F26</f>
        <v>1487</v>
      </c>
      <c r="H26" s="32" t="n">
        <f aca="false">IF(G26+(I25-D26)&lt;$B$8, $B$9, 0)</f>
        <v>0</v>
      </c>
      <c r="I26" s="32" t="n">
        <f aca="false">I25-D26+H26</f>
        <v>0</v>
      </c>
      <c r="J26" s="32" t="n">
        <f aca="false">G26+I26</f>
        <v>1487</v>
      </c>
      <c r="K26" s="11" t="str">
        <f aca="false">IF(G26&lt;0,"STOCKOUT",IF(TRIM(IF(H26&gt;0,"PO released ","")&amp;IF(D26&gt;0,"Delivery ","")&amp;IF(G26&lt;$B$7,"⚠ LOW &lt;1 wk",""))="","OK",TRIM(IF(H26&gt;0,"PO released ","")&amp;IF(D26&gt;0,"Delivery ","")&amp;IF(G26&lt;$B$7,"⚠ LOW &lt;1 wk",""))))</f>
        <v>Delivery</v>
      </c>
      <c r="L26" s="90" t="str">
        <f aca="false">IF(SUMPRODUCT(('PO Schedule'!$D$14:$D$22&lt;&gt;"")*('PO Schedule'!$D$14:$D$22&lt;=B26+6)*('PO Schedule'!$E$14:$E$22&gt;=B26))&gt;0,"▶ PO-"&amp;(SUMPRODUCT(('PO Schedule'!$D$14:$D$22&lt;&gt;"")*('PO Schedule'!$D$14:$D$22&lt;=B26+6)*('PO Schedule'!$E$14:$E$22&gt;=B26)*('PO Schedule'!$A$14:$A$22+1))-1)&amp;" cut at Trotter","")</f>
        <v/>
      </c>
    </row>
    <row r="27" customFormat="false" ht="15" hidden="false" customHeight="true" outlineLevel="0" collapsed="false">
      <c r="A27" s="36" t="n">
        <v>14</v>
      </c>
      <c r="B27" s="73" t="n">
        <f aca="false">$B$5+(A27-1)*7</f>
        <v>46384</v>
      </c>
      <c r="C27" s="32" t="n">
        <f aca="false">G26</f>
        <v>1487</v>
      </c>
      <c r="D27" s="32" t="n">
        <f aca="false">IF(A27&gt;$B$10, INDEX($H$14:$H$39, A27-$B$10), 0)+IF(A27=Inputs!$B$58,Inputs!$B$56,0)</f>
        <v>0</v>
      </c>
      <c r="E27" s="32" t="n">
        <f aca="false">C27+D27</f>
        <v>1487</v>
      </c>
      <c r="F27" s="32" t="n">
        <f aca="false">$B$7</f>
        <v>250</v>
      </c>
      <c r="G27" s="32" t="n">
        <f aca="false">E27-F27</f>
        <v>1237</v>
      </c>
      <c r="H27" s="32" t="n">
        <f aca="false">IF(G27+(I26-D27)&lt;$B$8, $B$9, 0)</f>
        <v>0</v>
      </c>
      <c r="I27" s="32" t="n">
        <f aca="false">I26-D27+H27</f>
        <v>0</v>
      </c>
      <c r="J27" s="32" t="n">
        <f aca="false">G27+I27</f>
        <v>1237</v>
      </c>
      <c r="K27" s="11" t="str">
        <f aca="false">IF(G27&lt;0,"STOCKOUT",IF(TRIM(IF(H27&gt;0,"PO released ","")&amp;IF(D27&gt;0,"Delivery ","")&amp;IF(G27&lt;$B$7,"⚠ LOW &lt;1 wk",""))="","OK",TRIM(IF(H27&gt;0,"PO released ","")&amp;IF(D27&gt;0,"Delivery ","")&amp;IF(G27&lt;$B$7,"⚠ LOW &lt;1 wk",""))))</f>
        <v>OK</v>
      </c>
      <c r="L27" s="90" t="str">
        <f aca="false">IF(SUMPRODUCT(('PO Schedule'!$D$14:$D$22&lt;&gt;"")*('PO Schedule'!$D$14:$D$22&lt;=B27+6)*('PO Schedule'!$E$14:$E$22&gt;=B27))&gt;0,"▶ PO-"&amp;(SUMPRODUCT(('PO Schedule'!$D$14:$D$22&lt;&gt;"")*('PO Schedule'!$D$14:$D$22&lt;=B27+6)*('PO Schedule'!$E$14:$E$22&gt;=B27)*('PO Schedule'!$A$14:$A$22+1))-1)&amp;" cut at Trotter","")</f>
        <v/>
      </c>
    </row>
    <row r="28" customFormat="false" ht="15" hidden="false" customHeight="true" outlineLevel="0" collapsed="false">
      <c r="A28" s="36" t="n">
        <v>15</v>
      </c>
      <c r="B28" s="73" t="n">
        <f aca="false">$B$5+(A28-1)*7</f>
        <v>46391</v>
      </c>
      <c r="C28" s="32" t="n">
        <f aca="false">G27</f>
        <v>1237</v>
      </c>
      <c r="D28" s="32" t="n">
        <f aca="false">IF(A28&gt;$B$10, INDEX($H$14:$H$39, A28-$B$10), 0)+IF(A28=Inputs!$B$58,Inputs!$B$56,0)</f>
        <v>0</v>
      </c>
      <c r="E28" s="32" t="n">
        <f aca="false">C28+D28</f>
        <v>1237</v>
      </c>
      <c r="F28" s="32" t="n">
        <f aca="false">$B$7</f>
        <v>250</v>
      </c>
      <c r="G28" s="32" t="n">
        <f aca="false">E28-F28</f>
        <v>987</v>
      </c>
      <c r="H28" s="32" t="n">
        <f aca="false">IF(G28+(I27-D28)&lt;$B$8, $B$9, 0)</f>
        <v>1300</v>
      </c>
      <c r="I28" s="32" t="n">
        <f aca="false">I27-D28+H28</f>
        <v>1300</v>
      </c>
      <c r="J28" s="32" t="n">
        <f aca="false">G28+I28</f>
        <v>2287</v>
      </c>
      <c r="K28" s="11" t="str">
        <f aca="false">IF(G28&lt;0,"STOCKOUT",IF(TRIM(IF(H28&gt;0,"PO released ","")&amp;IF(D28&gt;0,"Delivery ","")&amp;IF(G28&lt;$B$7,"⚠ LOW &lt;1 wk",""))="","OK",TRIM(IF(H28&gt;0,"PO released ","")&amp;IF(D28&gt;0,"Delivery ","")&amp;IF(G28&lt;$B$7,"⚠ LOW &lt;1 wk",""))))</f>
        <v>PO released</v>
      </c>
      <c r="L28" s="90" t="str">
        <f aca="false">IF(SUMPRODUCT(('PO Schedule'!$D$14:$D$22&lt;&gt;"")*('PO Schedule'!$D$14:$D$22&lt;=B28+6)*('PO Schedule'!$E$14:$E$22&gt;=B28))&gt;0,"▶ PO-"&amp;(SUMPRODUCT(('PO Schedule'!$D$14:$D$22&lt;&gt;"")*('PO Schedule'!$D$14:$D$22&lt;=B28+6)*('PO Schedule'!$E$14:$E$22&gt;=B28)*('PO Schedule'!$A$14:$A$22+1))-1)&amp;" cut at Trotter","")</f>
        <v/>
      </c>
    </row>
    <row r="29" customFormat="false" ht="15" hidden="false" customHeight="true" outlineLevel="0" collapsed="false">
      <c r="A29" s="36" t="n">
        <v>16</v>
      </c>
      <c r="B29" s="73" t="n">
        <f aca="false">$B$5+(A29-1)*7</f>
        <v>46398</v>
      </c>
      <c r="C29" s="32" t="n">
        <f aca="false">G28</f>
        <v>987</v>
      </c>
      <c r="D29" s="32" t="n">
        <f aca="false">IF(A29&gt;$B$10, INDEX($H$14:$H$39, A29-$B$10), 0)+IF(A29=Inputs!$B$58,Inputs!$B$56,0)</f>
        <v>0</v>
      </c>
      <c r="E29" s="32" t="n">
        <f aca="false">C29+D29</f>
        <v>987</v>
      </c>
      <c r="F29" s="32" t="n">
        <f aca="false">$B$7</f>
        <v>250</v>
      </c>
      <c r="G29" s="32" t="n">
        <f aca="false">E29-F29</f>
        <v>737</v>
      </c>
      <c r="H29" s="32" t="n">
        <f aca="false">IF(G29+(I28-D29)&lt;$B$8, $B$9, 0)</f>
        <v>0</v>
      </c>
      <c r="I29" s="32" t="n">
        <f aca="false">I28-D29+H29</f>
        <v>1300</v>
      </c>
      <c r="J29" s="32" t="n">
        <f aca="false">G29+I29</f>
        <v>2037</v>
      </c>
      <c r="K29" s="11" t="str">
        <f aca="false">IF(G29&lt;0,"STOCKOUT",IF(TRIM(IF(H29&gt;0,"PO released ","")&amp;IF(D29&gt;0,"Delivery ","")&amp;IF(G29&lt;$B$7,"⚠ LOW &lt;1 wk",""))="","OK",TRIM(IF(H29&gt;0,"PO released ","")&amp;IF(D29&gt;0,"Delivery ","")&amp;IF(G29&lt;$B$7,"⚠ LOW &lt;1 wk",""))))</f>
        <v>OK</v>
      </c>
      <c r="L29" s="90" t="str">
        <f aca="false">IF(SUMPRODUCT(('PO Schedule'!$D$14:$D$22&lt;&gt;"")*('PO Schedule'!$D$14:$D$22&lt;=B29+6)*('PO Schedule'!$E$14:$E$22&gt;=B29))&gt;0,"▶ PO-"&amp;(SUMPRODUCT(('PO Schedule'!$D$14:$D$22&lt;&gt;"")*('PO Schedule'!$D$14:$D$22&lt;=B29+6)*('PO Schedule'!$E$14:$E$22&gt;=B29)*('PO Schedule'!$A$14:$A$22+1))-1)&amp;" cut at Trotter","")</f>
        <v/>
      </c>
    </row>
    <row r="30" customFormat="false" ht="15" hidden="false" customHeight="true" outlineLevel="0" collapsed="false">
      <c r="A30" s="36" t="n">
        <v>17</v>
      </c>
      <c r="B30" s="73" t="n">
        <f aca="false">$B$5+(A30-1)*7</f>
        <v>46405</v>
      </c>
      <c r="C30" s="32" t="n">
        <f aca="false">G29</f>
        <v>737</v>
      </c>
      <c r="D30" s="32" t="n">
        <f aca="false">IF(A30&gt;$B$10, INDEX($H$14:$H$39, A30-$B$10), 0)+IF(A30=Inputs!$B$58,Inputs!$B$56,0)</f>
        <v>0</v>
      </c>
      <c r="E30" s="32" t="n">
        <f aca="false">C30+D30</f>
        <v>737</v>
      </c>
      <c r="F30" s="32" t="n">
        <f aca="false">$B$7</f>
        <v>250</v>
      </c>
      <c r="G30" s="32" t="n">
        <f aca="false">E30-F30</f>
        <v>487</v>
      </c>
      <c r="H30" s="32" t="n">
        <f aca="false">IF(G30+(I29-D30)&lt;$B$8, $B$9, 0)</f>
        <v>0</v>
      </c>
      <c r="I30" s="32" t="n">
        <f aca="false">I29-D30+H30</f>
        <v>1300</v>
      </c>
      <c r="J30" s="32" t="n">
        <f aca="false">G30+I30</f>
        <v>1787</v>
      </c>
      <c r="K30" s="11" t="str">
        <f aca="false">IF(G30&lt;0,"STOCKOUT",IF(TRIM(IF(H30&gt;0,"PO released ","")&amp;IF(D30&gt;0,"Delivery ","")&amp;IF(G30&lt;$B$7,"⚠ LOW &lt;1 wk",""))="","OK",TRIM(IF(H30&gt;0,"PO released ","")&amp;IF(D30&gt;0,"Delivery ","")&amp;IF(G30&lt;$B$7,"⚠ LOW &lt;1 wk",""))))</f>
        <v>OK</v>
      </c>
      <c r="L30" s="90" t="str">
        <f aca="false">IF(SUMPRODUCT(('PO Schedule'!$D$14:$D$22&lt;&gt;"")*('PO Schedule'!$D$14:$D$22&lt;=B30+6)*('PO Schedule'!$E$14:$E$22&gt;=B30))&gt;0,"▶ PO-"&amp;(SUMPRODUCT(('PO Schedule'!$D$14:$D$22&lt;&gt;"")*('PO Schedule'!$D$14:$D$22&lt;=B30+6)*('PO Schedule'!$E$14:$E$22&gt;=B30)*('PO Schedule'!$A$14:$A$22+1))-1)&amp;" cut at Trotter","")</f>
        <v>▶ PO-3 cut at Trotter</v>
      </c>
    </row>
    <row r="31" customFormat="false" ht="15" hidden="false" customHeight="true" outlineLevel="0" collapsed="false">
      <c r="A31" s="36" t="n">
        <v>18</v>
      </c>
      <c r="B31" s="73" t="n">
        <f aca="false">$B$5+(A31-1)*7</f>
        <v>46412</v>
      </c>
      <c r="C31" s="32" t="n">
        <f aca="false">G30</f>
        <v>487</v>
      </c>
      <c r="D31" s="32" t="n">
        <f aca="false">IF(A31&gt;$B$10, INDEX($H$14:$H$39, A31-$B$10), 0)+IF(A31=Inputs!$B$58,Inputs!$B$56,0)</f>
        <v>1300</v>
      </c>
      <c r="E31" s="32" t="n">
        <f aca="false">C31+D31</f>
        <v>1787</v>
      </c>
      <c r="F31" s="32" t="n">
        <f aca="false">$B$7</f>
        <v>250</v>
      </c>
      <c r="G31" s="32" t="n">
        <f aca="false">E31-F31</f>
        <v>1537</v>
      </c>
      <c r="H31" s="32" t="n">
        <f aca="false">IF(G31+(I30-D31)&lt;$B$8, $B$9, 0)</f>
        <v>0</v>
      </c>
      <c r="I31" s="32" t="n">
        <f aca="false">I30-D31+H31</f>
        <v>0</v>
      </c>
      <c r="J31" s="32" t="n">
        <f aca="false">G31+I31</f>
        <v>1537</v>
      </c>
      <c r="K31" s="11" t="str">
        <f aca="false">IF(G31&lt;0,"STOCKOUT",IF(TRIM(IF(H31&gt;0,"PO released ","")&amp;IF(D31&gt;0,"Delivery ","")&amp;IF(G31&lt;$B$7,"⚠ LOW &lt;1 wk",""))="","OK",TRIM(IF(H31&gt;0,"PO released ","")&amp;IF(D31&gt;0,"Delivery ","")&amp;IF(G31&lt;$B$7,"⚠ LOW &lt;1 wk",""))))</f>
        <v>Delivery</v>
      </c>
      <c r="L31" s="90" t="str">
        <f aca="false">IF(SUMPRODUCT(('PO Schedule'!$D$14:$D$22&lt;&gt;"")*('PO Schedule'!$D$14:$D$22&lt;=B31+6)*('PO Schedule'!$E$14:$E$22&gt;=B31))&gt;0,"▶ PO-"&amp;(SUMPRODUCT(('PO Schedule'!$D$14:$D$22&lt;&gt;"")*('PO Schedule'!$D$14:$D$22&lt;=B31+6)*('PO Schedule'!$E$14:$E$22&gt;=B31)*('PO Schedule'!$A$14:$A$22+1))-1)&amp;" cut at Trotter","")</f>
        <v/>
      </c>
    </row>
    <row r="32" customFormat="false" ht="15" hidden="false" customHeight="true" outlineLevel="0" collapsed="false">
      <c r="A32" s="36" t="n">
        <v>19</v>
      </c>
      <c r="B32" s="73" t="n">
        <f aca="false">$B$5+(A32-1)*7</f>
        <v>46419</v>
      </c>
      <c r="C32" s="32" t="n">
        <f aca="false">G31</f>
        <v>1537</v>
      </c>
      <c r="D32" s="32" t="n">
        <f aca="false">IF(A32&gt;$B$10, INDEX($H$14:$H$39, A32-$B$10), 0)+IF(A32=Inputs!$B$58,Inputs!$B$56,0)</f>
        <v>0</v>
      </c>
      <c r="E32" s="32" t="n">
        <f aca="false">C32+D32</f>
        <v>1537</v>
      </c>
      <c r="F32" s="32" t="n">
        <f aca="false">$B$7</f>
        <v>250</v>
      </c>
      <c r="G32" s="32" t="n">
        <f aca="false">E32-F32</f>
        <v>1287</v>
      </c>
      <c r="H32" s="32" t="n">
        <f aca="false">IF(G32+(I31-D32)&lt;$B$8, $B$9, 0)</f>
        <v>0</v>
      </c>
      <c r="I32" s="32" t="n">
        <f aca="false">I31-D32+H32</f>
        <v>0</v>
      </c>
      <c r="J32" s="32" t="n">
        <f aca="false">G32+I32</f>
        <v>1287</v>
      </c>
      <c r="K32" s="11" t="str">
        <f aca="false">IF(G32&lt;0,"STOCKOUT",IF(TRIM(IF(H32&gt;0,"PO released ","")&amp;IF(D32&gt;0,"Delivery ","")&amp;IF(G32&lt;$B$7,"⚠ LOW &lt;1 wk",""))="","OK",TRIM(IF(H32&gt;0,"PO released ","")&amp;IF(D32&gt;0,"Delivery ","")&amp;IF(G32&lt;$B$7,"⚠ LOW &lt;1 wk",""))))</f>
        <v>OK</v>
      </c>
      <c r="L32" s="90" t="str">
        <f aca="false">IF(SUMPRODUCT(('PO Schedule'!$D$14:$D$22&lt;&gt;"")*('PO Schedule'!$D$14:$D$22&lt;=B32+6)*('PO Schedule'!$E$14:$E$22&gt;=B32))&gt;0,"▶ PO-"&amp;(SUMPRODUCT(('PO Schedule'!$D$14:$D$22&lt;&gt;"")*('PO Schedule'!$D$14:$D$22&lt;=B32+6)*('PO Schedule'!$E$14:$E$22&gt;=B32)*('PO Schedule'!$A$14:$A$22+1))-1)&amp;" cut at Trotter","")</f>
        <v/>
      </c>
    </row>
    <row r="33" customFormat="false" ht="15" hidden="false" customHeight="true" outlineLevel="0" collapsed="false">
      <c r="A33" s="36" t="n">
        <v>20</v>
      </c>
      <c r="B33" s="73" t="n">
        <f aca="false">$B$5+(A33-1)*7</f>
        <v>46426</v>
      </c>
      <c r="C33" s="32" t="n">
        <f aca="false">G32</f>
        <v>1287</v>
      </c>
      <c r="D33" s="32" t="n">
        <f aca="false">IF(A33&gt;$B$10, INDEX($H$14:$H$39, A33-$B$10), 0)+IF(A33=Inputs!$B$58,Inputs!$B$56,0)</f>
        <v>0</v>
      </c>
      <c r="E33" s="32" t="n">
        <f aca="false">C33+D33</f>
        <v>1287</v>
      </c>
      <c r="F33" s="32" t="n">
        <f aca="false">$B$7</f>
        <v>250</v>
      </c>
      <c r="G33" s="32" t="n">
        <f aca="false">E33-F33</f>
        <v>1037</v>
      </c>
      <c r="H33" s="32" t="n">
        <f aca="false">IF(G33+(I32-D33)&lt;$B$8, $B$9, 0)</f>
        <v>0</v>
      </c>
      <c r="I33" s="32" t="n">
        <f aca="false">I32-D33+H33</f>
        <v>0</v>
      </c>
      <c r="J33" s="32" t="n">
        <f aca="false">G33+I33</f>
        <v>1037</v>
      </c>
      <c r="K33" s="11" t="str">
        <f aca="false">IF(G33&lt;0,"STOCKOUT",IF(TRIM(IF(H33&gt;0,"PO released ","")&amp;IF(D33&gt;0,"Delivery ","")&amp;IF(G33&lt;$B$7,"⚠ LOW &lt;1 wk",""))="","OK",TRIM(IF(H33&gt;0,"PO released ","")&amp;IF(D33&gt;0,"Delivery ","")&amp;IF(G33&lt;$B$7,"⚠ LOW &lt;1 wk",""))))</f>
        <v>OK</v>
      </c>
      <c r="L33" s="90" t="str">
        <f aca="false">IF(SUMPRODUCT(('PO Schedule'!$D$14:$D$22&lt;&gt;"")*('PO Schedule'!$D$14:$D$22&lt;=B33+6)*('PO Schedule'!$E$14:$E$22&gt;=B33))&gt;0,"▶ PO-"&amp;(SUMPRODUCT(('PO Schedule'!$D$14:$D$22&lt;&gt;"")*('PO Schedule'!$D$14:$D$22&lt;=B33+6)*('PO Schedule'!$E$14:$E$22&gt;=B33)*('PO Schedule'!$A$14:$A$22+1))-1)&amp;" cut at Trotter","")</f>
        <v/>
      </c>
    </row>
    <row r="34" customFormat="false" ht="15" hidden="false" customHeight="true" outlineLevel="0" collapsed="false">
      <c r="A34" s="36" t="n">
        <v>21</v>
      </c>
      <c r="B34" s="73" t="n">
        <f aca="false">$B$5+(A34-1)*7</f>
        <v>46433</v>
      </c>
      <c r="C34" s="32" t="n">
        <f aca="false">G33</f>
        <v>1037</v>
      </c>
      <c r="D34" s="32" t="n">
        <f aca="false">IF(A34&gt;$B$10, INDEX($H$14:$H$39, A34-$B$10), 0)+IF(A34=Inputs!$B$58,Inputs!$B$56,0)</f>
        <v>0</v>
      </c>
      <c r="E34" s="32" t="n">
        <f aca="false">C34+D34</f>
        <v>1037</v>
      </c>
      <c r="F34" s="32" t="n">
        <f aca="false">$B$7</f>
        <v>250</v>
      </c>
      <c r="G34" s="32" t="n">
        <f aca="false">E34-F34</f>
        <v>787</v>
      </c>
      <c r="H34" s="32" t="n">
        <f aca="false">IF(G34+(I33-D34)&lt;$B$8, $B$9, 0)</f>
        <v>1300</v>
      </c>
      <c r="I34" s="32" t="n">
        <f aca="false">I33-D34+H34</f>
        <v>1300</v>
      </c>
      <c r="J34" s="32" t="n">
        <f aca="false">G34+I34</f>
        <v>2087</v>
      </c>
      <c r="K34" s="11" t="str">
        <f aca="false">IF(G34&lt;0,"STOCKOUT",IF(TRIM(IF(H34&gt;0,"PO released ","")&amp;IF(D34&gt;0,"Delivery ","")&amp;IF(G34&lt;$B$7,"⚠ LOW &lt;1 wk",""))="","OK",TRIM(IF(H34&gt;0,"PO released ","")&amp;IF(D34&gt;0,"Delivery ","")&amp;IF(G34&lt;$B$7,"⚠ LOW &lt;1 wk",""))))</f>
        <v>PO released</v>
      </c>
      <c r="L34" s="90" t="str">
        <f aca="false">IF(SUMPRODUCT(('PO Schedule'!$D$14:$D$22&lt;&gt;"")*('PO Schedule'!$D$14:$D$22&lt;=B34+6)*('PO Schedule'!$E$14:$E$22&gt;=B34))&gt;0,"▶ PO-"&amp;(SUMPRODUCT(('PO Schedule'!$D$14:$D$22&lt;&gt;"")*('PO Schedule'!$D$14:$D$22&lt;=B34+6)*('PO Schedule'!$E$14:$E$22&gt;=B34)*('PO Schedule'!$A$14:$A$22+1))-1)&amp;" cut at Trotter","")</f>
        <v/>
      </c>
    </row>
    <row r="35" customFormat="false" ht="15" hidden="false" customHeight="true" outlineLevel="0" collapsed="false">
      <c r="A35" s="36" t="n">
        <v>22</v>
      </c>
      <c r="B35" s="73" t="n">
        <f aca="false">$B$5+(A35-1)*7</f>
        <v>46440</v>
      </c>
      <c r="C35" s="32" t="n">
        <f aca="false">G34</f>
        <v>787</v>
      </c>
      <c r="D35" s="32" t="n">
        <f aca="false">IF(A35&gt;$B$10, INDEX($H$14:$H$39, A35-$B$10), 0)+IF(A35=Inputs!$B$58,Inputs!$B$56,0)</f>
        <v>0</v>
      </c>
      <c r="E35" s="32" t="n">
        <f aca="false">C35+D35</f>
        <v>787</v>
      </c>
      <c r="F35" s="32" t="n">
        <f aca="false">$B$7</f>
        <v>250</v>
      </c>
      <c r="G35" s="32" t="n">
        <f aca="false">E35-F35</f>
        <v>537</v>
      </c>
      <c r="H35" s="32" t="n">
        <f aca="false">IF(G35+(I34-D35)&lt;$B$8, $B$9, 0)</f>
        <v>0</v>
      </c>
      <c r="I35" s="32" t="n">
        <f aca="false">I34-D35+H35</f>
        <v>1300</v>
      </c>
      <c r="J35" s="32" t="n">
        <f aca="false">G35+I35</f>
        <v>1837</v>
      </c>
      <c r="K35" s="11" t="str">
        <f aca="false">IF(G35&lt;0,"STOCKOUT",IF(TRIM(IF(H35&gt;0,"PO released ","")&amp;IF(D35&gt;0,"Delivery ","")&amp;IF(G35&lt;$B$7,"⚠ LOW &lt;1 wk",""))="","OK",TRIM(IF(H35&gt;0,"PO released ","")&amp;IF(D35&gt;0,"Delivery ","")&amp;IF(G35&lt;$B$7,"⚠ LOW &lt;1 wk",""))))</f>
        <v>OK</v>
      </c>
      <c r="L35" s="90" t="str">
        <f aca="false">IF(SUMPRODUCT(('PO Schedule'!$D$14:$D$22&lt;&gt;"")*('PO Schedule'!$D$14:$D$22&lt;=B35+6)*('PO Schedule'!$E$14:$E$22&gt;=B35))&gt;0,"▶ PO-"&amp;(SUMPRODUCT(('PO Schedule'!$D$14:$D$22&lt;&gt;"")*('PO Schedule'!$D$14:$D$22&lt;=B35+6)*('PO Schedule'!$E$14:$E$22&gt;=B35)*('PO Schedule'!$A$14:$A$22+1))-1)&amp;" cut at Trotter","")</f>
        <v/>
      </c>
    </row>
    <row r="36" customFormat="false" ht="15" hidden="false" customHeight="true" outlineLevel="0" collapsed="false">
      <c r="A36" s="36" t="n">
        <v>23</v>
      </c>
      <c r="B36" s="73" t="n">
        <f aca="false">$B$5+(A36-1)*7</f>
        <v>46447</v>
      </c>
      <c r="C36" s="32" t="n">
        <f aca="false">G35</f>
        <v>537</v>
      </c>
      <c r="D36" s="32" t="n">
        <f aca="false">IF(A36&gt;$B$10, INDEX($H$14:$H$39, A36-$B$10), 0)+IF(A36=Inputs!$B$58,Inputs!$B$56,0)</f>
        <v>0</v>
      </c>
      <c r="E36" s="32" t="n">
        <f aca="false">C36+D36</f>
        <v>537</v>
      </c>
      <c r="F36" s="32" t="n">
        <f aca="false">$B$7</f>
        <v>250</v>
      </c>
      <c r="G36" s="32" t="n">
        <f aca="false">E36-F36</f>
        <v>287</v>
      </c>
      <c r="H36" s="32" t="n">
        <f aca="false">IF(G36+(I35-D36)&lt;$B$8, $B$9, 0)</f>
        <v>0</v>
      </c>
      <c r="I36" s="32" t="n">
        <f aca="false">I35-D36+H36</f>
        <v>1300</v>
      </c>
      <c r="J36" s="32" t="n">
        <f aca="false">G36+I36</f>
        <v>1587</v>
      </c>
      <c r="K36" s="11" t="str">
        <f aca="false">IF(G36&lt;0,"STOCKOUT",IF(TRIM(IF(H36&gt;0,"PO released ","")&amp;IF(D36&gt;0,"Delivery ","")&amp;IF(G36&lt;$B$7,"⚠ LOW &lt;1 wk",""))="","OK",TRIM(IF(H36&gt;0,"PO released ","")&amp;IF(D36&gt;0,"Delivery ","")&amp;IF(G36&lt;$B$7,"⚠ LOW &lt;1 wk",""))))</f>
        <v>OK</v>
      </c>
      <c r="L36" s="90" t="str">
        <f aca="false">IF(SUMPRODUCT(('PO Schedule'!$D$14:$D$22&lt;&gt;"")*('PO Schedule'!$D$14:$D$22&lt;=B36+6)*('PO Schedule'!$E$14:$E$22&gt;=B36))&gt;0,"▶ PO-"&amp;(SUMPRODUCT(('PO Schedule'!$D$14:$D$22&lt;&gt;"")*('PO Schedule'!$D$14:$D$22&lt;=B36+6)*('PO Schedule'!$E$14:$E$22&gt;=B36)*('PO Schedule'!$A$14:$A$22+1))-1)&amp;" cut at Trotter","")</f>
        <v>▶ PO-4 cut at Trotter</v>
      </c>
    </row>
    <row r="37" customFormat="false" ht="15" hidden="false" customHeight="true" outlineLevel="0" collapsed="false">
      <c r="A37" s="36" t="n">
        <v>24</v>
      </c>
      <c r="B37" s="73" t="n">
        <f aca="false">$B$5+(A37-1)*7</f>
        <v>46454</v>
      </c>
      <c r="C37" s="32" t="n">
        <f aca="false">G36</f>
        <v>287</v>
      </c>
      <c r="D37" s="32" t="n">
        <f aca="false">IF(A37&gt;$B$10, INDEX($H$14:$H$39, A37-$B$10), 0)+IF(A37=Inputs!$B$58,Inputs!$B$56,0)</f>
        <v>1300</v>
      </c>
      <c r="E37" s="32" t="n">
        <f aca="false">C37+D37</f>
        <v>1587</v>
      </c>
      <c r="F37" s="32" t="n">
        <f aca="false">$B$7</f>
        <v>250</v>
      </c>
      <c r="G37" s="32" t="n">
        <f aca="false">E37-F37</f>
        <v>1337</v>
      </c>
      <c r="H37" s="32" t="n">
        <f aca="false">IF(G37+(I36-D37)&lt;$B$8, $B$9, 0)</f>
        <v>0</v>
      </c>
      <c r="I37" s="32" t="n">
        <f aca="false">I36-D37+H37</f>
        <v>0</v>
      </c>
      <c r="J37" s="32" t="n">
        <f aca="false">G37+I37</f>
        <v>1337</v>
      </c>
      <c r="K37" s="11" t="str">
        <f aca="false">IF(G37&lt;0,"STOCKOUT",IF(TRIM(IF(H37&gt;0,"PO released ","")&amp;IF(D37&gt;0,"Delivery ","")&amp;IF(G37&lt;$B$7,"⚠ LOW &lt;1 wk",""))="","OK",TRIM(IF(H37&gt;0,"PO released ","")&amp;IF(D37&gt;0,"Delivery ","")&amp;IF(G37&lt;$B$7,"⚠ LOW &lt;1 wk",""))))</f>
        <v>Delivery</v>
      </c>
      <c r="L37" s="90" t="str">
        <f aca="false">IF(SUMPRODUCT(('PO Schedule'!$D$14:$D$22&lt;&gt;"")*('PO Schedule'!$D$14:$D$22&lt;=B37+6)*('PO Schedule'!$E$14:$E$22&gt;=B37))&gt;0,"▶ PO-"&amp;(SUMPRODUCT(('PO Schedule'!$D$14:$D$22&lt;&gt;"")*('PO Schedule'!$D$14:$D$22&lt;=B37+6)*('PO Schedule'!$E$14:$E$22&gt;=B37)*('PO Schedule'!$A$14:$A$22+1))-1)&amp;" cut at Trotter","")</f>
        <v/>
      </c>
    </row>
    <row r="38" customFormat="false" ht="15" hidden="false" customHeight="true" outlineLevel="0" collapsed="false">
      <c r="A38" s="36" t="n">
        <v>25</v>
      </c>
      <c r="B38" s="73" t="n">
        <f aca="false">$B$5+(A38-1)*7</f>
        <v>46461</v>
      </c>
      <c r="C38" s="32" t="n">
        <f aca="false">G37</f>
        <v>1337</v>
      </c>
      <c r="D38" s="32" t="n">
        <f aca="false">IF(A38&gt;$B$10, INDEX($H$14:$H$39, A38-$B$10), 0)+IF(A38=Inputs!$B$58,Inputs!$B$56,0)</f>
        <v>0</v>
      </c>
      <c r="E38" s="32" t="n">
        <f aca="false">C38+D38</f>
        <v>1337</v>
      </c>
      <c r="F38" s="32" t="n">
        <f aca="false">$B$7</f>
        <v>250</v>
      </c>
      <c r="G38" s="32" t="n">
        <f aca="false">E38-F38</f>
        <v>1087</v>
      </c>
      <c r="H38" s="32" t="n">
        <f aca="false">IF(G38+(I37-D38)&lt;$B$8, $B$9, 0)</f>
        <v>0</v>
      </c>
      <c r="I38" s="32" t="n">
        <f aca="false">I37-D38+H38</f>
        <v>0</v>
      </c>
      <c r="J38" s="32" t="n">
        <f aca="false">G38+I38</f>
        <v>1087</v>
      </c>
      <c r="K38" s="11" t="str">
        <f aca="false">IF(G38&lt;0,"STOCKOUT",IF(TRIM(IF(H38&gt;0,"PO released ","")&amp;IF(D38&gt;0,"Delivery ","")&amp;IF(G38&lt;$B$7,"⚠ LOW &lt;1 wk",""))="","OK",TRIM(IF(H38&gt;0,"PO released ","")&amp;IF(D38&gt;0,"Delivery ","")&amp;IF(G38&lt;$B$7,"⚠ LOW &lt;1 wk",""))))</f>
        <v>OK</v>
      </c>
      <c r="L38" s="90" t="str">
        <f aca="false">IF(SUMPRODUCT(('PO Schedule'!$D$14:$D$22&lt;&gt;"")*('PO Schedule'!$D$14:$D$22&lt;=B38+6)*('PO Schedule'!$E$14:$E$22&gt;=B38))&gt;0,"▶ PO-"&amp;(SUMPRODUCT(('PO Schedule'!$D$14:$D$22&lt;&gt;"")*('PO Schedule'!$D$14:$D$22&lt;=B38+6)*('PO Schedule'!$E$14:$E$22&gt;=B38)*('PO Schedule'!$A$14:$A$22+1))-1)&amp;" cut at Trotter","")</f>
        <v/>
      </c>
    </row>
    <row r="39" customFormat="false" ht="15" hidden="false" customHeight="true" outlineLevel="0" collapsed="false">
      <c r="A39" s="36" t="n">
        <v>26</v>
      </c>
      <c r="B39" s="73" t="n">
        <f aca="false">$B$5+(A39-1)*7</f>
        <v>46468</v>
      </c>
      <c r="C39" s="32" t="n">
        <f aca="false">G38</f>
        <v>1087</v>
      </c>
      <c r="D39" s="32" t="n">
        <f aca="false">IF(A39&gt;$B$10, INDEX($H$14:$H$39, A39-$B$10), 0)+IF(A39=Inputs!$B$58,Inputs!$B$56,0)</f>
        <v>0</v>
      </c>
      <c r="E39" s="32" t="n">
        <f aca="false">C39+D39</f>
        <v>1087</v>
      </c>
      <c r="F39" s="32" t="n">
        <f aca="false">$B$7</f>
        <v>250</v>
      </c>
      <c r="G39" s="32" t="n">
        <f aca="false">E39-F39</f>
        <v>837</v>
      </c>
      <c r="H39" s="32" t="n">
        <f aca="false">IF(G39+(I38-D39)&lt;$B$8, $B$9, 0)</f>
        <v>1300</v>
      </c>
      <c r="I39" s="32" t="n">
        <f aca="false">I38-D39+H39</f>
        <v>1300</v>
      </c>
      <c r="J39" s="32" t="n">
        <f aca="false">G39+I39</f>
        <v>2137</v>
      </c>
      <c r="K39" s="11" t="str">
        <f aca="false">IF(G39&lt;0,"STOCKOUT",IF(TRIM(IF(H39&gt;0,"PO released ","")&amp;IF(D39&gt;0,"Delivery ","")&amp;IF(G39&lt;$B$7,"⚠ LOW &lt;1 wk",""))="","OK",TRIM(IF(H39&gt;0,"PO released ","")&amp;IF(D39&gt;0,"Delivery ","")&amp;IF(G39&lt;$B$7,"⚠ LOW &lt;1 wk",""))))</f>
        <v>PO released</v>
      </c>
      <c r="L39" s="90" t="str">
        <f aca="false">IF(SUMPRODUCT(('PO Schedule'!$D$14:$D$22&lt;&gt;"")*('PO Schedule'!$D$14:$D$22&lt;=B39+6)*('PO Schedule'!$E$14:$E$22&gt;=B39))&gt;0,"▶ PO-"&amp;(SUMPRODUCT(('PO Schedule'!$D$14:$D$22&lt;&gt;"")*('PO Schedule'!$D$14:$D$22&lt;=B39+6)*('PO Schedule'!$E$14:$E$22&gt;=B39)*('PO Schedule'!$A$14:$A$22+1))-1)&amp;" cut at Trotter","")</f>
        <v/>
      </c>
    </row>
    <row r="41" customFormat="false" ht="15" hidden="false" customHeight="true" outlineLevel="0" collapsed="false">
      <c r="A41" s="14" t="s">
        <v>359</v>
      </c>
      <c r="B41" s="15"/>
      <c r="C41" s="15"/>
      <c r="D41" s="15"/>
      <c r="E41" s="15"/>
    </row>
    <row r="42" customFormat="false" ht="15" hidden="false" customHeight="true" outlineLevel="0" collapsed="false">
      <c r="A42" s="57" t="s">
        <v>360</v>
      </c>
      <c r="B42" s="59" t="n">
        <f aca="false">COUNTIF(H14:H39,"&gt;0")</f>
        <v>5</v>
      </c>
      <c r="D42" s="11" t="s">
        <v>361</v>
      </c>
    </row>
    <row r="43" customFormat="false" ht="15" hidden="false" customHeight="true" outlineLevel="0" collapsed="false">
      <c r="A43" s="16" t="s">
        <v>362</v>
      </c>
      <c r="B43" s="32" t="n">
        <f aca="false">SUM(H14:H39)</f>
        <v>6500</v>
      </c>
    </row>
    <row r="44" customFormat="false" ht="15" hidden="false" customHeight="true" outlineLevel="0" collapsed="false">
      <c r="A44" s="16" t="s">
        <v>363</v>
      </c>
      <c r="B44" s="32" t="n">
        <f aca="false">SUM(D14:D39)</f>
        <v>6500</v>
      </c>
    </row>
    <row r="45" customFormat="false" ht="15" hidden="false" customHeight="true" outlineLevel="0" collapsed="false">
      <c r="A45" s="16" t="s">
        <v>364</v>
      </c>
      <c r="B45" s="32" t="n">
        <f aca="false">SUM(F14:F39)</f>
        <v>6500</v>
      </c>
    </row>
    <row r="46" customFormat="false" ht="15" hidden="false" customHeight="true" outlineLevel="0" collapsed="false">
      <c r="A46" s="16" t="s">
        <v>6</v>
      </c>
      <c r="B46" s="32" t="n">
        <f aca="false">G39</f>
        <v>837</v>
      </c>
    </row>
    <row r="47" customFormat="false" ht="15" hidden="false" customHeight="true" outlineLevel="0" collapsed="false">
      <c r="A47" s="16" t="s">
        <v>365</v>
      </c>
      <c r="B47" s="32" t="n">
        <f aca="false">MIN(G14:G39)</f>
        <v>87</v>
      </c>
    </row>
    <row r="48" customFormat="false" ht="15" hidden="false" customHeight="true" outlineLevel="0" collapsed="false">
      <c r="A48" s="16" t="s">
        <v>366</v>
      </c>
      <c r="B48" s="36" t="n">
        <f aca="false">COUNTIF(K14:K39,"STOCKOUT")</f>
        <v>0</v>
      </c>
    </row>
    <row r="49" customFormat="false" ht="15" hidden="false" customHeight="true" outlineLevel="0" collapsed="false">
      <c r="A49" s="16" t="s">
        <v>367</v>
      </c>
      <c r="B49" s="26" t="n">
        <f aca="false">B43*Inputs!B20</f>
        <v>2665</v>
      </c>
    </row>
    <row r="51" customFormat="false" ht="15" hidden="false" customHeight="true" outlineLevel="0" collapsed="false">
      <c r="A51" s="14" t="s">
        <v>368</v>
      </c>
      <c r="B51" s="15"/>
      <c r="C51" s="15"/>
      <c r="D51" s="15"/>
      <c r="E51" s="15"/>
    </row>
    <row r="52" customFormat="false" ht="23.25" hidden="false" customHeight="true" outlineLevel="0" collapsed="false">
      <c r="A52" s="83" t="s">
        <v>369</v>
      </c>
      <c r="B52" s="83" t="s">
        <v>370</v>
      </c>
      <c r="C52" s="83" t="s">
        <v>371</v>
      </c>
      <c r="D52" s="83" t="s">
        <v>372</v>
      </c>
      <c r="E52" s="83" t="s">
        <v>373</v>
      </c>
    </row>
    <row r="53" customFormat="false" ht="15" hidden="false" customHeight="true" outlineLevel="0" collapsed="false">
      <c r="A53" s="91" t="n">
        <v>46266</v>
      </c>
      <c r="B53" s="36" t="n">
        <f aca="false">SUMPRODUCT(($B$14:$B$39&gt;=$A53)*($B$14:$B$39&lt;=EOMONTH($A53,0))*1)</f>
        <v>1</v>
      </c>
      <c r="C53" s="32" t="n">
        <f aca="false">SUMPRODUCT(($B$14:$B$39&gt;=$A53)*($B$14:$B$39&lt;=EOMONTH($A53,0))*$F$14:$F$39)</f>
        <v>250</v>
      </c>
      <c r="D53" s="36" t="n">
        <f aca="false">SUMPRODUCT(($B$14:$B$39&gt;=$A53)*($B$14:$B$39&lt;=EOMONTH($A53,0))*($H$14:$H$39&gt;0)*1)</f>
        <v>0</v>
      </c>
      <c r="E53" s="32" t="n">
        <f aca="false">SUMPRODUCT(($B$14:$B$39&gt;=$A53)*($B$14:$B$39&lt;=EOMONTH($A53,0))*$D$14:$D$39)</f>
        <v>0</v>
      </c>
    </row>
    <row r="54" customFormat="false" ht="15" hidden="false" customHeight="true" outlineLevel="0" collapsed="false">
      <c r="A54" s="91" t="n">
        <v>46296</v>
      </c>
      <c r="B54" s="36" t="n">
        <f aca="false">SUMPRODUCT(($B$14:$B$39&gt;=$A54)*($B$14:$B$39&lt;=EOMONTH($A54,0))*1)</f>
        <v>4</v>
      </c>
      <c r="C54" s="32" t="n">
        <f aca="false">SUMPRODUCT(($B$14:$B$39&gt;=$A54)*($B$14:$B$39&lt;=EOMONTH($A54,0))*$F$14:$F$39)</f>
        <v>1000</v>
      </c>
      <c r="D54" s="36" t="n">
        <f aca="false">SUMPRODUCT(($B$14:$B$39&gt;=$A54)*($B$14:$B$39&lt;=EOMONTH($A54,0))*($H$14:$H$39&gt;0)*1)</f>
        <v>1</v>
      </c>
      <c r="E54" s="32" t="n">
        <f aca="false">SUMPRODUCT(($B$14:$B$39&gt;=$A54)*($B$14:$B$39&lt;=EOMONTH($A54,0))*$D$14:$D$39)</f>
        <v>1300</v>
      </c>
    </row>
    <row r="55" customFormat="false" ht="15" hidden="false" customHeight="true" outlineLevel="0" collapsed="false">
      <c r="A55" s="91" t="n">
        <v>46327</v>
      </c>
      <c r="B55" s="36" t="n">
        <f aca="false">SUMPRODUCT(($B$14:$B$39&gt;=$A55)*($B$14:$B$39&lt;=EOMONTH($A55,0))*1)</f>
        <v>5</v>
      </c>
      <c r="C55" s="32" t="n">
        <f aca="false">SUMPRODUCT(($B$14:$B$39&gt;=$A55)*($B$14:$B$39&lt;=EOMONTH($A55,0))*$F$14:$F$39)</f>
        <v>1250</v>
      </c>
      <c r="D55" s="36" t="n">
        <f aca="false">SUMPRODUCT(($B$14:$B$39&gt;=$A55)*($B$14:$B$39&lt;=EOMONTH($A55,0))*($H$14:$H$39&gt;0)*1)</f>
        <v>1</v>
      </c>
      <c r="E55" s="32" t="n">
        <f aca="false">SUMPRODUCT(($B$14:$B$39&gt;=$A55)*($B$14:$B$39&lt;=EOMONTH($A55,0))*$D$14:$D$39)</f>
        <v>1300</v>
      </c>
    </row>
    <row r="56" customFormat="false" ht="15" hidden="false" customHeight="true" outlineLevel="0" collapsed="false">
      <c r="A56" s="91" t="n">
        <v>46357</v>
      </c>
      <c r="B56" s="36" t="n">
        <f aca="false">SUMPRODUCT(($B$14:$B$39&gt;=$A56)*($B$14:$B$39&lt;=EOMONTH($A56,0))*1)</f>
        <v>4</v>
      </c>
      <c r="C56" s="32" t="n">
        <f aca="false">SUMPRODUCT(($B$14:$B$39&gt;=$A56)*($B$14:$B$39&lt;=EOMONTH($A56,0))*$F$14:$F$39)</f>
        <v>1000</v>
      </c>
      <c r="D56" s="36" t="n">
        <f aca="false">SUMPRODUCT(($B$14:$B$39&gt;=$A56)*($B$14:$B$39&lt;=EOMONTH($A56,0))*($H$14:$H$39&gt;0)*1)</f>
        <v>0</v>
      </c>
      <c r="E56" s="32" t="n">
        <f aca="false">SUMPRODUCT(($B$14:$B$39&gt;=$A56)*($B$14:$B$39&lt;=EOMONTH($A56,0))*$D$14:$D$39)</f>
        <v>1300</v>
      </c>
    </row>
    <row r="57" customFormat="false" ht="15" hidden="false" customHeight="true" outlineLevel="0" collapsed="false">
      <c r="A57" s="91" t="n">
        <v>46388</v>
      </c>
      <c r="B57" s="36" t="n">
        <f aca="false">SUMPRODUCT(($B$14:$B$39&gt;=$A57)*($B$14:$B$39&lt;=EOMONTH($A57,0))*1)</f>
        <v>4</v>
      </c>
      <c r="C57" s="32" t="n">
        <f aca="false">SUMPRODUCT(($B$14:$B$39&gt;=$A57)*($B$14:$B$39&lt;=EOMONTH($A57,0))*$F$14:$F$39)</f>
        <v>1000</v>
      </c>
      <c r="D57" s="36" t="n">
        <f aca="false">SUMPRODUCT(($B$14:$B$39&gt;=$A57)*($B$14:$B$39&lt;=EOMONTH($A57,0))*($H$14:$H$39&gt;0)*1)</f>
        <v>1</v>
      </c>
      <c r="E57" s="32" t="n">
        <f aca="false">SUMPRODUCT(($B$14:$B$39&gt;=$A57)*($B$14:$B$39&lt;=EOMONTH($A57,0))*$D$14:$D$39)</f>
        <v>1300</v>
      </c>
    </row>
    <row r="58" customFormat="false" ht="15" hidden="false" customHeight="true" outlineLevel="0" collapsed="false">
      <c r="A58" s="91" t="n">
        <v>46419</v>
      </c>
      <c r="B58" s="36" t="n">
        <f aca="false">SUMPRODUCT(($B$14:$B$39&gt;=$A58)*($B$14:$B$39&lt;=EOMONTH($A58,0))*1)</f>
        <v>4</v>
      </c>
      <c r="C58" s="32" t="n">
        <f aca="false">SUMPRODUCT(($B$14:$B$39&gt;=$A58)*($B$14:$B$39&lt;=EOMONTH($A58,0))*$F$14:$F$39)</f>
        <v>1000</v>
      </c>
      <c r="D58" s="36" t="n">
        <f aca="false">SUMPRODUCT(($B$14:$B$39&gt;=$A58)*($B$14:$B$39&lt;=EOMONTH($A58,0))*($H$14:$H$39&gt;0)*1)</f>
        <v>1</v>
      </c>
      <c r="E58" s="32" t="n">
        <f aca="false">SUMPRODUCT(($B$14:$B$39&gt;=$A58)*($B$14:$B$39&lt;=EOMONTH($A58,0))*$D$14:$D$39)</f>
        <v>0</v>
      </c>
    </row>
    <row r="59" customFormat="false" ht="15" hidden="false" customHeight="true" outlineLevel="0" collapsed="false">
      <c r="A59" s="91" t="n">
        <v>46447</v>
      </c>
      <c r="B59" s="36" t="n">
        <f aca="false">SUMPRODUCT(($B$14:$B$39&gt;=$A59)*($B$14:$B$39&lt;=EOMONTH($A59,0))*1)</f>
        <v>4</v>
      </c>
      <c r="C59" s="32" t="n">
        <f aca="false">SUMPRODUCT(($B$14:$B$39&gt;=$A59)*($B$14:$B$39&lt;=EOMONTH($A59,0))*$F$14:$F$39)</f>
        <v>1000</v>
      </c>
      <c r="D59" s="36" t="n">
        <f aca="false">SUMPRODUCT(($B$14:$B$39&gt;=$A59)*($B$14:$B$39&lt;=EOMONTH($A59,0))*($H$14:$H$39&gt;0)*1)</f>
        <v>1</v>
      </c>
      <c r="E59" s="32" t="n">
        <f aca="false">SUMPRODUCT(($B$14:$B$39&gt;=$A59)*($B$14:$B$39&lt;=EOMONTH($A59,0))*$D$14:$D$39)</f>
        <v>1300</v>
      </c>
    </row>
    <row r="61" customFormat="false" ht="21.75" hidden="false" customHeight="true" outlineLevel="0" collapsed="false">
      <c r="A61" s="89" t="s">
        <v>374</v>
      </c>
      <c r="B61" s="89"/>
      <c r="C61" s="89"/>
      <c r="D61" s="89"/>
      <c r="E61" s="89"/>
    </row>
  </sheetData>
  <mergeCells count="4">
    <mergeCell ref="D5:K5"/>
    <mergeCell ref="D6:K6"/>
    <mergeCell ref="D11:K11"/>
    <mergeCell ref="A61:E61"/>
  </mergeCells>
  <conditionalFormatting sqref="L14:L39">
    <cfRule type="expression" priority="2" aboveAverage="0" equalAverage="0" bottom="0" percent="0" rank="0" text="" dxfId="1">
      <formula>L14&lt;&gt;""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8"/>
    <col collapsed="false" customWidth="true" hidden="false" outlineLevel="0" max="3" min="3" style="1" width="3"/>
    <col collapsed="false" customWidth="true" hidden="false" outlineLevel="0" max="4" min="4" style="1" width="58"/>
  </cols>
  <sheetData>
    <row r="1" customFormat="false" ht="17.25" hidden="false" customHeight="true" outlineLevel="0" collapsed="false">
      <c r="A1" s="12" t="s">
        <v>375</v>
      </c>
    </row>
    <row r="2" customFormat="false" ht="24" hidden="false" customHeight="true" outlineLevel="0" collapsed="false">
      <c r="A2" s="13" t="s">
        <v>376</v>
      </c>
    </row>
    <row r="4" customFormat="false" ht="15" hidden="false" customHeight="true" outlineLevel="0" collapsed="false">
      <c r="A4" s="78" t="s">
        <v>377</v>
      </c>
      <c r="B4" s="78" t="s">
        <v>378</v>
      </c>
      <c r="D4" s="78" t="s">
        <v>379</v>
      </c>
    </row>
    <row r="5" customFormat="false" ht="31.5" hidden="false" customHeight="true" outlineLevel="0" collapsed="false">
      <c r="A5" s="52" t="s">
        <v>380</v>
      </c>
      <c r="B5" s="52" t="s">
        <v>381</v>
      </c>
      <c r="D5" s="20" t="s">
        <v>382</v>
      </c>
    </row>
    <row r="6" customFormat="false" ht="31.5" hidden="false" customHeight="true" outlineLevel="0" collapsed="false">
      <c r="A6" s="52" t="s">
        <v>42</v>
      </c>
      <c r="B6" s="17" t="str">
        <f aca="false">"1,300 units of "&amp;Inputs!B5&amp;"x"&amp;Inputs!B6&amp;" (per Todd)"</f>
        <v>1,300 units of 24x27 (per Todd)</v>
      </c>
      <c r="D6" s="20" t="s">
        <v>383</v>
      </c>
    </row>
    <row r="7" customFormat="false" ht="31.5" hidden="false" customHeight="true" outlineLevel="0" collapsed="false">
      <c r="A7" s="52" t="s">
        <v>44</v>
      </c>
      <c r="B7" s="52" t="s">
        <v>384</v>
      </c>
      <c r="D7" s="20" t="s">
        <v>385</v>
      </c>
    </row>
    <row r="8" customFormat="false" ht="31.5" hidden="false" customHeight="true" outlineLevel="0" collapsed="false">
      <c r="A8" s="52" t="s">
        <v>386</v>
      </c>
      <c r="B8" s="52" t="s">
        <v>387</v>
      </c>
      <c r="D8" s="20" t="s">
        <v>388</v>
      </c>
    </row>
    <row r="9" customFormat="false" ht="15" hidden="false" customHeight="true" outlineLevel="0" collapsed="false">
      <c r="A9" s="16" t="s">
        <v>389</v>
      </c>
      <c r="B9" s="16" t="s">
        <v>390</v>
      </c>
      <c r="D9" s="11" t="s">
        <v>391</v>
      </c>
    </row>
    <row r="10" customFormat="false" ht="15" hidden="false" customHeight="true" outlineLevel="0" collapsed="false">
      <c r="A10" s="14" t="s">
        <v>392</v>
      </c>
      <c r="B10" s="15"/>
      <c r="C10" s="15"/>
      <c r="D10" s="15"/>
    </row>
    <row r="11" customFormat="false" ht="13.5" hidden="false" customHeight="true" outlineLevel="0" collapsed="false">
      <c r="A11" s="89" t="s">
        <v>393</v>
      </c>
      <c r="B11" s="89"/>
      <c r="C11" s="89"/>
      <c r="D11" s="89"/>
    </row>
    <row r="12" customFormat="false" ht="30" hidden="false" customHeight="true" outlineLevel="0" collapsed="false">
      <c r="A12" s="89" t="s">
        <v>394</v>
      </c>
      <c r="B12" s="89"/>
      <c r="C12" s="89"/>
      <c r="D12" s="89"/>
    </row>
    <row r="13" customFormat="false" ht="30" hidden="false" customHeight="true" outlineLevel="0" collapsed="false">
      <c r="A13" s="89" t="s">
        <v>395</v>
      </c>
      <c r="B13" s="89"/>
      <c r="C13" s="89"/>
      <c r="D13" s="89"/>
    </row>
    <row r="14" customFormat="false" ht="30" hidden="false" customHeight="true" outlineLevel="0" collapsed="false">
      <c r="A14" s="89" t="s">
        <v>396</v>
      </c>
      <c r="B14" s="89"/>
      <c r="C14" s="89"/>
      <c r="D14" s="89"/>
    </row>
    <row r="15" customFormat="false" ht="13.5" hidden="false" customHeight="true" outlineLevel="0" collapsed="false">
      <c r="A15" s="89" t="s">
        <v>397</v>
      </c>
      <c r="B15" s="89"/>
      <c r="C15" s="89"/>
      <c r="D15" s="89"/>
    </row>
  </sheetData>
  <mergeCells count="5">
    <mergeCell ref="A11:D11"/>
    <mergeCell ref="A12:D12"/>
    <mergeCell ref="A13:D13"/>
    <mergeCell ref="A14:D1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19"/>
    <col collapsed="false" customWidth="true" hidden="false" outlineLevel="0" max="4" min="4" style="1" width="62"/>
  </cols>
  <sheetData>
    <row r="1" customFormat="false" ht="17.25" hidden="false" customHeight="true" outlineLevel="0" collapsed="false">
      <c r="A1" s="12" t="s">
        <v>398</v>
      </c>
    </row>
    <row r="2" customFormat="false" ht="15" hidden="false" customHeight="true" outlineLevel="0" collapsed="false">
      <c r="A2" s="30" t="s">
        <v>399</v>
      </c>
    </row>
    <row r="4" customFormat="false" ht="15" hidden="false" customHeight="true" outlineLevel="0" collapsed="false">
      <c r="A4" s="14" t="s">
        <v>400</v>
      </c>
      <c r="B4" s="15"/>
      <c r="C4" s="15"/>
      <c r="D4" s="15"/>
    </row>
    <row r="5" customFormat="false" ht="15" hidden="false" customHeight="true" outlineLevel="0" collapsed="false">
      <c r="A5" s="78" t="s">
        <v>377</v>
      </c>
      <c r="B5" s="78" t="s">
        <v>401</v>
      </c>
      <c r="C5" s="78" t="s">
        <v>357</v>
      </c>
      <c r="D5" s="78" t="s">
        <v>402</v>
      </c>
    </row>
    <row r="6" customFormat="false" ht="25.5" hidden="false" customHeight="true" outlineLevel="0" collapsed="false">
      <c r="A6" s="52" t="s">
        <v>403</v>
      </c>
      <c r="B6" s="92" t="n">
        <f aca="false">Inputs!B19</f>
        <v>260</v>
      </c>
      <c r="C6" s="93" t="s">
        <v>404</v>
      </c>
      <c r="D6" s="20" t="s">
        <v>405</v>
      </c>
    </row>
    <row r="7" customFormat="false" ht="25.5" hidden="false" customHeight="true" outlineLevel="0" collapsed="false">
      <c r="A7" s="52" t="s">
        <v>14</v>
      </c>
      <c r="B7" s="94" t="n">
        <f aca="false">Inputs!B20</f>
        <v>0.41</v>
      </c>
      <c r="C7" s="93" t="s">
        <v>404</v>
      </c>
      <c r="D7" s="20" t="s">
        <v>406</v>
      </c>
    </row>
    <row r="8" customFormat="false" ht="25.5" hidden="false" customHeight="true" outlineLevel="0" collapsed="false">
      <c r="A8" s="52" t="s">
        <v>407</v>
      </c>
      <c r="B8" s="17" t="str">
        <f aca="false">Inputs!B5&amp;" × "&amp;Inputs!B6&amp;" in"</f>
        <v>24 × 27 in</v>
      </c>
      <c r="C8" s="52" t="s">
        <v>408</v>
      </c>
      <c r="D8" s="20" t="s">
        <v>409</v>
      </c>
    </row>
    <row r="9" customFormat="false" ht="25.5" hidden="false" customHeight="true" outlineLevel="0" collapsed="false">
      <c r="A9" s="52" t="s">
        <v>410</v>
      </c>
      <c r="B9" s="17" t="str">
        <f aca="false">Inputs!B16&amp;" ft × "&amp;Inputs!B18&amp;" in"</f>
        <v>150 ft × 101 in</v>
      </c>
      <c r="C9" s="93" t="s">
        <v>404</v>
      </c>
      <c r="D9" s="20" t="s">
        <v>411</v>
      </c>
    </row>
    <row r="10" customFormat="false" ht="25.5" hidden="false" customHeight="true" outlineLevel="0" collapsed="false">
      <c r="A10" s="52" t="s">
        <v>412</v>
      </c>
      <c r="B10" s="17" t="str">
        <f aca="false">"1,300 units of "&amp;Inputs!B5&amp;"x"&amp;Inputs!B6</f>
        <v>1,300 units of 24x27</v>
      </c>
      <c r="C10" s="93" t="s">
        <v>413</v>
      </c>
      <c r="D10" s="20" t="s">
        <v>414</v>
      </c>
    </row>
    <row r="11" customFormat="false" ht="25.5" hidden="false" customHeight="true" outlineLevel="0" collapsed="false">
      <c r="A11" s="52" t="s">
        <v>415</v>
      </c>
      <c r="B11" s="17" t="str">
        <f aca="false">Inputs!B10&amp;" ft × "&amp;Inputs!B12&amp;" in ("&amp;TEXT(Inputs!B11,"#,##0")&amp;" in long)"</f>
        <v>750 ft × 101 in (9,000 in long)</v>
      </c>
      <c r="C11" s="95" t="s">
        <v>416</v>
      </c>
      <c r="D11" s="20" t="s">
        <v>417</v>
      </c>
    </row>
    <row r="12" customFormat="false" ht="25.5" hidden="false" customHeight="true" outlineLevel="0" collapsed="false">
      <c r="A12" s="52" t="s">
        <v>80</v>
      </c>
      <c r="B12" s="17" t="str">
        <f aca="false">TEXT(Inputs!B37,"0.0%")&amp;" ("&amp;Inputs!B35&amp;" ÷ "&amp;Inputs!B36&amp;")"</f>
        <v>97.6% (1300 ÷ 1332)</v>
      </c>
      <c r="C12" s="52" t="s">
        <v>418</v>
      </c>
      <c r="D12" s="20" t="s">
        <v>419</v>
      </c>
    </row>
    <row r="13" customFormat="false" ht="25.5" hidden="false" customHeight="true" outlineLevel="0" collapsed="false">
      <c r="A13" s="52" t="s">
        <v>331</v>
      </c>
      <c r="B13" s="92" t="n">
        <f aca="false">Inputs!B26</f>
        <v>250</v>
      </c>
      <c r="C13" s="18" t="s">
        <v>420</v>
      </c>
      <c r="D13" s="20" t="s">
        <v>421</v>
      </c>
    </row>
    <row r="14" customFormat="false" ht="25.5" hidden="false" customHeight="true" outlineLevel="0" collapsed="false">
      <c r="A14" s="52" t="s">
        <v>36</v>
      </c>
      <c r="B14" s="17" t="str">
        <f aca="false">Inputs!B27&amp;" + "&amp;Inputs!B28&amp;" + "&amp;Inputs!B29&amp;" days = "&amp;Inputs!B30&amp;" days"</f>
        <v>3 + 14 + 3 days = 20 days</v>
      </c>
      <c r="C14" s="93" t="s">
        <v>413</v>
      </c>
      <c r="D14" s="20" t="s">
        <v>422</v>
      </c>
    </row>
    <row r="15" customFormat="false" ht="25.5" hidden="false" customHeight="true" outlineLevel="0" collapsed="false">
      <c r="A15" s="52" t="s">
        <v>423</v>
      </c>
      <c r="B15" s="17" t="str">
        <f aca="false">Inputs!B32&amp;" week"</f>
        <v>1 week</v>
      </c>
      <c r="C15" s="52" t="s">
        <v>424</v>
      </c>
      <c r="D15" s="20" t="s">
        <v>425</v>
      </c>
    </row>
    <row r="16" customFormat="false" ht="25.5" hidden="false" customHeight="true" outlineLevel="0" collapsed="false">
      <c r="A16" s="52" t="s">
        <v>426</v>
      </c>
      <c r="B16" s="17" t="s">
        <v>427</v>
      </c>
      <c r="C16" s="93" t="s">
        <v>428</v>
      </c>
      <c r="D16" s="20" t="s">
        <v>429</v>
      </c>
    </row>
    <row r="18" customFormat="false" ht="15" hidden="false" customHeight="true" outlineLevel="0" collapsed="false">
      <c r="A18" s="14" t="s">
        <v>430</v>
      </c>
      <c r="B18" s="15"/>
      <c r="C18" s="15"/>
      <c r="D18" s="15"/>
    </row>
    <row r="19" customFormat="false" ht="27.75" hidden="false" customHeight="true" outlineLevel="0" collapsed="false">
      <c r="A19" s="95" t="s">
        <v>431</v>
      </c>
      <c r="B19" s="52" t="s">
        <v>432</v>
      </c>
      <c r="C19" s="41" t="s">
        <v>433</v>
      </c>
      <c r="D19" s="20" t="s">
        <v>434</v>
      </c>
    </row>
    <row r="20" customFormat="false" ht="27.75" hidden="false" customHeight="true" outlineLevel="0" collapsed="false">
      <c r="A20" s="16" t="s">
        <v>435</v>
      </c>
      <c r="B20" s="21" t="str">
        <f aca="false">TEXT('Order Cadence'!B16,"#,##0")&amp;" pieces"</f>
        <v>1,000 pieces</v>
      </c>
      <c r="D20" s="20" t="s">
        <v>436</v>
      </c>
    </row>
    <row r="21" customFormat="false" ht="27.75" hidden="false" customHeight="true" outlineLevel="0" collapsed="false">
      <c r="A21" s="16" t="s">
        <v>437</v>
      </c>
      <c r="B21" s="21" t="str">
        <f aca="false">TEXT('Order Cadence'!B6,"#,##0")&amp;" pieces"</f>
        <v>1,300 pieces</v>
      </c>
      <c r="D21" s="20" t="s">
        <v>438</v>
      </c>
    </row>
    <row r="22" customFormat="false" ht="27.75" hidden="false" customHeight="true" outlineLevel="0" collapsed="false">
      <c r="A22" s="16" t="s">
        <v>439</v>
      </c>
      <c r="B22" s="21" t="str">
        <f aca="false">TEXT(Inputs!B26*Inputs!B32,"#,##0")&amp;" pieces"</f>
        <v>250 pieces</v>
      </c>
      <c r="D22" s="20" t="s">
        <v>440</v>
      </c>
    </row>
    <row r="23" customFormat="false" ht="27.75" hidden="false" customHeight="true" outlineLevel="0" collapsed="false">
      <c r="A23" s="16" t="s">
        <v>441</v>
      </c>
      <c r="B23" s="21" t="str">
        <f aca="false">Inputs!B30&amp;" days"</f>
        <v>20 days</v>
      </c>
      <c r="D23" s="20" t="s">
        <v>442</v>
      </c>
    </row>
    <row r="24" customFormat="false" ht="27.75" hidden="false" customHeight="true" outlineLevel="0" collapsed="false">
      <c r="A24" s="95" t="s">
        <v>443</v>
      </c>
      <c r="B24" s="17" t="str">
        <f aca="false">"Cut piece "&amp;Inputs!B5&amp;" × "&amp;Inputs!B6&amp;" in — new material #"</f>
        <v>Cut piece 24 × 27 in — new material #</v>
      </c>
      <c r="C24" s="41" t="s">
        <v>433</v>
      </c>
      <c r="D24" s="20" t="s">
        <v>444</v>
      </c>
    </row>
    <row r="25" customFormat="false" ht="27.75" hidden="false" customHeight="true" outlineLevel="0" collapsed="false">
      <c r="A25" s="16" t="s">
        <v>445</v>
      </c>
      <c r="B25" s="17" t="str">
        <f aca="false">"Roll "&amp;Inputs!B10&amp;" ft × "&amp;Inputs!B12&amp;" in"</f>
        <v>Roll 750 ft × 101 in</v>
      </c>
      <c r="C25" s="41" t="s">
        <v>446</v>
      </c>
      <c r="D25" s="20" t="s">
        <v>447</v>
      </c>
    </row>
    <row r="27" customFormat="false" ht="15" hidden="false" customHeight="true" outlineLevel="0" collapsed="false">
      <c r="A27" s="14" t="s">
        <v>448</v>
      </c>
      <c r="B27" s="15"/>
      <c r="C27" s="15"/>
      <c r="D27" s="15"/>
    </row>
    <row r="28" customFormat="false" ht="30" hidden="false" customHeight="true" outlineLevel="0" collapsed="false">
      <c r="A28" s="89" t="s">
        <v>449</v>
      </c>
      <c r="B28" s="89"/>
      <c r="C28" s="89"/>
      <c r="D28" s="89"/>
    </row>
    <row r="29" customFormat="false" ht="30" hidden="false" customHeight="true" outlineLevel="0" collapsed="false">
      <c r="A29" s="89" t="s">
        <v>450</v>
      </c>
      <c r="B29" s="89"/>
      <c r="C29" s="89"/>
      <c r="D29" s="89"/>
    </row>
    <row r="30" customFormat="false" ht="30" hidden="false" customHeight="true" outlineLevel="0" collapsed="false">
      <c r="A30" s="89" t="s">
        <v>451</v>
      </c>
      <c r="B30" s="89"/>
      <c r="C30" s="89"/>
      <c r="D30" s="89"/>
    </row>
    <row r="31" customFormat="false" ht="30" hidden="false" customHeight="true" outlineLevel="0" collapsed="false">
      <c r="A31" s="89" t="s">
        <v>452</v>
      </c>
      <c r="B31" s="89"/>
      <c r="C31" s="89"/>
      <c r="D31" s="89"/>
    </row>
    <row r="33" customFormat="false" ht="15" hidden="false" customHeight="true" outlineLevel="0" collapsed="false">
      <c r="A33" s="14" t="s">
        <v>453</v>
      </c>
      <c r="B33" s="15"/>
      <c r="C33" s="15"/>
      <c r="D33" s="15"/>
    </row>
    <row r="34" customFormat="false" ht="27.75" hidden="false" customHeight="true" outlineLevel="0" collapsed="false">
      <c r="A34" s="89" t="s">
        <v>454</v>
      </c>
      <c r="B34" s="89"/>
      <c r="C34" s="89"/>
      <c r="D34" s="89"/>
    </row>
    <row r="35" customFormat="false" ht="27.75" hidden="false" customHeight="true" outlineLevel="0" collapsed="false">
      <c r="A35" s="89" t="s">
        <v>455</v>
      </c>
      <c r="B35" s="89"/>
      <c r="C35" s="89"/>
      <c r="D35" s="89"/>
    </row>
    <row r="36" customFormat="false" ht="27.75" hidden="false" customHeight="true" outlineLevel="0" collapsed="false">
      <c r="A36" s="89" t="s">
        <v>456</v>
      </c>
      <c r="B36" s="89"/>
      <c r="C36" s="89"/>
      <c r="D36" s="89"/>
    </row>
    <row r="37" customFormat="false" ht="27.75" hidden="false" customHeight="true" outlineLevel="0" collapsed="false">
      <c r="A37" s="89" t="s">
        <v>457</v>
      </c>
      <c r="B37" s="89"/>
      <c r="C37" s="89"/>
      <c r="D37" s="89"/>
    </row>
    <row r="38" customFormat="false" ht="27.75" hidden="false" customHeight="true" outlineLevel="0" collapsed="false">
      <c r="A38" s="89" t="s">
        <v>458</v>
      </c>
      <c r="B38" s="89"/>
      <c r="C38" s="89"/>
      <c r="D38" s="89"/>
    </row>
    <row r="39" customFormat="false" ht="27.75" hidden="false" customHeight="true" outlineLevel="0" collapsed="false">
      <c r="A39" s="89" t="s">
        <v>459</v>
      </c>
      <c r="B39" s="89"/>
      <c r="C39" s="89"/>
      <c r="D39" s="89"/>
    </row>
    <row r="40" customFormat="false" ht="54" hidden="false" customHeight="true" outlineLevel="0" collapsed="false">
      <c r="A40" s="89" t="s">
        <v>460</v>
      </c>
      <c r="B40" s="89"/>
      <c r="C40" s="89"/>
      <c r="D40" s="89"/>
    </row>
  </sheetData>
  <mergeCells count="11">
    <mergeCell ref="A28:D28"/>
    <mergeCell ref="A29:D29"/>
    <mergeCell ref="A30:D30"/>
    <mergeCell ref="A31:D31"/>
    <mergeCell ref="A34:D34"/>
    <mergeCell ref="A35:D35"/>
    <mergeCell ref="A36:D36"/>
    <mergeCell ref="A37:D37"/>
    <mergeCell ref="A38:D38"/>
    <mergeCell ref="A39:D39"/>
    <mergeCell ref="A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2026-09-24T16:51:39Z</dcterms:created>
  <dc:creator>openpyxl</dc:creator>
  <dc:description/>
  <dc:language>en-US</dc:language>
  <cp:lastModifiedBy/>
  <dcterms:modified xsi:type="dcterms:W3CDTF">2026-09-24T17:56:24Z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