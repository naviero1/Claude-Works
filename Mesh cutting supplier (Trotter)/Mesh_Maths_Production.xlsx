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ple Schedule" sheetId="1" state="visible" r:id="rId3"/>
    <sheet name="Handoff Summary" sheetId="2" state="visible" r:id="rId4"/>
    <sheet name="Inputs" sheetId="3" state="visible" r:id="rId5"/>
    <sheet name="Cycle Time" sheetId="4" state="visible" r:id="rId6"/>
    <sheet name="PO Schedule" sheetId="5" state="visible" r:id="rId7"/>
    <sheet name="Yield per Roll" sheetId="6" state="visible" r:id="rId8"/>
    <sheet name="Order Cadence" sheetId="7" state="visible" r:id="rId9"/>
    <sheet name="6-Month Forecast" sheetId="8" state="visible" r:id="rId10"/>
    <sheet name="Supplier (Trotter) Info" sheetId="9" state="visible" r:id="rId11"/>
    <sheet name="Assumptions &amp; Not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<sst xmlns="http://schemas.openxmlformats.org/spreadsheetml/2006/main" count="538" uniqueCount="502">
  <si>
    <t xml:space="preserve">6-Month Schedule — 24 × 27 in cut mesh (Trotter lead time as given 9/24/2026)</t>
  </si>
  <si>
    <t xml:space="preserve">INPUTS — Trotter answers 9/24 (yellow = editable)</t>
  </si>
  <si>
    <t xml:space="preserve">Week of (Mon)</t>
  </si>
  <si>
    <t xml:space="preserve">Beginning inventory</t>
  </si>
  <si>
    <t xml:space="preserve">Received (pcs)</t>
  </si>
  <si>
    <t xml:space="preserve">Ending inventory</t>
  </si>
  <si>
    <t xml:space="preserve">Cut PO released (rolls)</t>
  </si>
  <si>
    <t xml:space="preserve">TROTTER — this week (cut pieces)</t>
  </si>
  <si>
    <t xml:space="preserve">Rolls at Trotter (start of week)</t>
  </si>
  <si>
    <t xml:space="preserve">Roll order (rolls)</t>
  </si>
  <si>
    <t xml:space="preserve">ROLLS — this week</t>
  </si>
  <si>
    <t xml:space="preserve">Flag</t>
  </si>
  <si>
    <t xml:space="preserve">Schedule start (Monday)</t>
  </si>
  <si>
    <t xml:space="preserve">Starting inventory (pcs)</t>
  </si>
  <si>
    <t xml:space="preserve">937 counted 9/24 (70 loose + 2 boxes) less Thu–Fri usage — Inputs tab</t>
  </si>
  <si>
    <t xml:space="preserve">Weekly usage (pcs)</t>
  </si>
  <si>
    <t xml:space="preserve">250/week — Inputs tab</t>
  </si>
  <si>
    <t xml:space="preserve">Pieces per roll</t>
  </si>
  <si>
    <t xml:space="preserve">1,300 — last PO actual</t>
  </si>
  <si>
    <t xml:space="preserve">Boxes per roll</t>
  </si>
  <si>
    <t xml:space="preserve">Pieces per box</t>
  </si>
  <si>
    <t xml:space="preserve">Minimum stock to always hold (boxes)</t>
  </si>
  <si>
    <t xml:space="preserve">"Always count 2 boxes as inventory"</t>
  </si>
  <si>
    <t xml:space="preserve">Minimum stock (pcs)</t>
  </si>
  <si>
    <t xml:space="preserve">Cut PO lead time when our roll is already at Trotter (weeks)</t>
  </si>
  <si>
    <t xml:space="preserve">Production + shipping business days ÷ 5: they produce AND ship in the PO week, 5 business days in transit → on our shelf the Monday after next.</t>
  </si>
  <si>
    <t xml:space="preserve">Roll order lead time to Trotter (weeks)</t>
  </si>
  <si>
    <t xml:space="preserve">Material shipping + receiving business days ÷ 5</t>
  </si>
  <si>
    <t xml:space="preserve">Rolls per roll order</t>
  </si>
  <si>
    <t xml:space="preserve">2 rolls per order (decided 9/24); Trotter can hold up to 3</t>
  </si>
  <si>
    <t xml:space="preserve">Trotter storage limit (rolls)</t>
  </si>
  <si>
    <t xml:space="preserve">Trotter, 9/24: up to 3 rolls</t>
  </si>
  <si>
    <t xml:space="preserve">RELEASE A CUT PO WHEN stock + open cut POs ≤ (pcs)</t>
  </si>
  <si>
    <t xml:space="preserve">lead-time usage + minimum stock</t>
  </si>
  <si>
    <t xml:space="preserve">PO-0 release date</t>
  </si>
  <si>
    <t xml:space="preserve">today, 9/24 — Inputs tab</t>
  </si>
  <si>
    <t xml:space="preserve">PO-0 lead time (weeks) — roll must ship first</t>
  </si>
  <si>
    <t xml:space="preserve">All four stages, business days ÷ 5 (17 bd → 4 weeks; day-level arrival ≈ business day 17)</t>
  </si>
  <si>
    <t xml:space="preserve">PO-0 pieces arrive in schedule week #</t>
  </si>
  <si>
    <t xml:space="preserve">Rolls ordered with PO-0</t>
  </si>
  <si>
    <t xml:space="preserve">2 rolls ship with PO-0; 1 is cut for PO-0</t>
  </si>
  <si>
    <t xml:space="preserve">Those rolls are at Trotter from week #</t>
  </si>
  <si>
    <t xml:space="preserve">TROTTER STAGES — business days of waiting (Trotter, 9/24; closed Fridays)</t>
  </si>
  <si>
    <t xml:space="preserve">Material shipping (roll → Trotter)</t>
  </si>
  <si>
    <t xml:space="preserve">Receiving at Trotter</t>
  </si>
  <si>
    <t xml:space="preserve">Production (slit + cut) — ships the same week</t>
  </si>
  <si>
    <t xml:space="preserve">Shipping to us</t>
  </si>
  <si>
    <t xml:space="preserve">Estimate</t>
  </si>
  <si>
    <t xml:space="preserve">PO-0 day-level arrival (business day 17 from schedule start)</t>
  </si>
  <si>
    <t xml:space="preserve">vs. stock-out day: see A3</t>
  </si>
  <si>
    <t xml:space="preserve">This tab is the model from Trotter's 9/24 answers (weekly stages, 3-roll storage, 2-box minimum). The other tabs hold the pre-call model and are kept for reference.</t>
  </si>
  <si>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</si>
  <si>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</si>
  <si>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</si>
  <si>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</si>
  <si>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</si>
  <si>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</si>
  <si>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</si>
  <si>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</si>
  <si>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</si>
  <si>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</si>
  <si>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</si>
  <si>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</si>
  <si>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</si>
  <si>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</si>
  <si>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</si>
  <si>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</si>
  <si>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</si>
  <si>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</si>
  <si>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</si>
  <si>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</si>
  <si>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</si>
  <si>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</si>
  <si>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</si>
  <si>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</si>
  <si>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</si>
  <si>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</si>
  <si>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</si>
  <si>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</si>
  <si>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</si>
  <si>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</si>
  <si>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</si>
  <si>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</si>
  <si>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</si>
  <si>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</si>
  <si>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</si>
  <si>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</si>
  <si>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</si>
  <si>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</si>
  <si>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</si>
  <si>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</si>
  <si>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</si>
  <si>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</si>
  <si>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</si>
  <si>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</si>
  <si>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</si>
  <si>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</si>
  <si>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</si>
  <si>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</si>
  <si>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</si>
  <si>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</si>
  <si>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</si>
  <si>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</si>
  <si>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</si>
  <si>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</si>
  <si>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</si>
  <si>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</si>
  <si>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</si>
  <si>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</si>
  <si>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</si>
  <si>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</si>
  <si>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</si>
  <si>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</si>
  <si>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</si>
  <si>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</si>
  <si>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</si>
  <si>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</si>
  <si>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</si>
  <si>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</si>
  <si>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</si>
  <si>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</si>
  <si>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</si>
  <si>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</si>
  <si>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</si>
  <si>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</si>
  <si>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</si>
  <si>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Set to 250 on 9/24/2026 (call day)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</si>
  <si>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</si>
  <si>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</si>
  <si>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</si>
  <si>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</si>
  <si>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</si>
  <si>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</si>
  <si>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</si>
  <si>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</si>
  <si>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</si>
  <si>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</si>
  <si>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</si>
  <si>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</si>
  <si>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</si>
  <si>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</si>
  <si>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</si>
  <si>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</si>
  <si>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</si>
  <si>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</si>
  <si>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</si>
  <si>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</si>
  <si>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</si>
  <si>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</si>
  <si>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</si>
  <si>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</si>
  <si>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</si>
  <si>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</si>
  <si>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</si>
  <si>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</si>
  <si>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</si>
  <si>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</si>
  <si>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</si>
  <si>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</si>
  <si>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</si>
  <si>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</si>
  <si>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</si>
  <si>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</si>
  <si>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</si>
  <si>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</si>
  <si>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</si>
  <si>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</si>
  <si>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</si>
  <si>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PO-0 and the 3-roll order go out the week of 9/28 (decided 9/24).</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</si>
  <si>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</si>
  <si>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</si>
  <si>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</si>
  <si>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</si>
  <si>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</si>
  <si>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</si>
  <si>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</si>
  <si>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</si>
  <si>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</si>
  <si>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</si>
  <si>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</si>
  <si>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</si>
  <si>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</si>
  <si>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</si>
  <si>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Supplier standard</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</si>
  <si>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</si>
  <si>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</si>
  <si>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</si>
  <si>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</si>
  <si>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</si>
  <si>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</si>
  <si>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Pre-call model. Trotter's 9/24 answers (weekly stages, 3-roll storage) drive the Simple Schedule tab; type per-step days here only if you want this detailed model updated too.</t>
  </si>
  <si>
    <t xml:space="preserve">Leg / step</t>
  </si>
  <si>
    <t xml:space="preserve">What happens</t>
  </si>
  <si>
    <t xml:space="preserve">Confirmed on call</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</si>
  <si>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</si>
  <si>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</si>
  <si>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</si>
  <si>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</si>
  <si>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</si>
  <si>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</si>
  <si>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</si>
  <si>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</si>
  <si>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</si>
  <si>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</si>
  <si>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</si>
  <si>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</si>
  <si>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</si>
  <si>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</si>
  <si>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</si>
  <si>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</si>
  <si>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</si>
  <si>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</si>
  <si>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</si>
  <si>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</si>
  <si>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</si>
  <si>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</si>
  <si>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</si>
  <si>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</si>
  <si>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</si>
  <si>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</si>
  <si>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</si>
  <si>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</si>
  <si>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</si>
  <si>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</si>
  <si>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</si>
  <si>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</si>
  <si>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</si>
  <si>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</si>
  <si>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</si>
  <si>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</si>
  <si>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</si>
  <si>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</si>
  <si>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</si>
  <si>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</si>
  <si>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</si>
  <si>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</si>
  <si>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</si>
  <si>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</si>
  <si>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</si>
  <si>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</si>
  <si>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</si>
  <si>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</si>
  <si>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</si>
  <si>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</si>
  <si>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</si>
  <si>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</si>
  <si>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</si>
  <si>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</si>
  <si>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</si>
  <si>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</si>
  <si>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</si>
  <si>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</si>
  <si>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</si>
  <si>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Note</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</si>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</sst>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9">
    <numFmt numFmtId="164" formatCode="General"/>
    <numFmt numFmtId="165" formatCode="mm/dd/yyyy"/>
    <numFmt numFmtId="166" formatCode="ddd\ mm/dd/yy"/>
    <numFmt numFmtId="167" formatCode="#,##0"/>
    <numFmt numFmtId="168" formatCode="#,##0;;;"/>
    <numFmt numFmtId="169" formatCode="0;;;"/>
    <numFmt numFmtId="170" formatCode="0"/>
    <numFmt numFmtId="171" formatCode="mm/dd/yy"/>
    <numFmt numFmtId="172" formatCode="0.0"/>
    <numFmt numFmtId="173" formatCode="ddd\ mm/dd/yyyy"/>
    <numFmt numFmtId="174" formatCode="\$0.00"/>
    <numFmt numFmtId="175" formatCode="0.00"/>
    <numFmt numFmtId="176" formatCode="\$#,##0.00"/>
    <numFmt numFmtId="177" formatCode="0.0%"/>
    <numFmt numFmtId="178" formatCode="@"/>
    <numFmt numFmtId="179" formatCode="&quot;PO-&quot;0"/>
    <numFmt numFmtId="180" formatCode="0&quot; POs&quot;"/>
    <numFmt numFmtId="181" formatCode="\$#,##0"/>
    <numFmt numFmtId="182" formatCode="mmm\-yy"/>
  </numFmts>
  <fonts count="28">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95959"/>
      <name val="Arial"/>
      <family val="0"/>
      <charset val="1"/>
    </font>
    <font>
      <b val="true"/>
      <sz val="11"/>
      <color rgb="FFC55A11"/>
      <name val="Arial"/>
      <family val="0"/>
      <charset val="1"/>
    </font>
    <font>
      <b val="true"/>
      <sz val="11"/>
      <name val="Arial"/>
      <family val="0"/>
      <charset val="1"/>
    </font>
    <font>
      <b val="true"/>
      <sz val="11"/>
      <color rgb="FFFFFFFF"/>
      <name val="Arial"/>
      <family val="0"/>
      <charset val="1"/>
    </font>
    <font>
      <sz val="10"/>
      <name val="Arial"/>
      <family val="0"/>
      <charset val="1"/>
    </font>
    <font>
      <b val="true"/>
      <sz val="10"/>
      <color rgb="FF0000FF"/>
      <name val="Arial"/>
      <family val="0"/>
      <charset val="1"/>
    </font>
    <font>
      <sz val="11"/>
      <name val="Arial"/>
      <family val="0"/>
      <charset val="1"/>
    </font>
    <font>
      <b val="true"/>
      <sz val="10"/>
      <color rgb="FF2A7F62"/>
      <name val="Arial"/>
      <family val="0"/>
      <charset val="1"/>
    </font>
    <font>
      <sz val="10"/>
      <color rgb="FF1B2A41"/>
      <name val="Arial"/>
      <family val="0"/>
      <charset val="1"/>
    </font>
    <font>
      <b val="true"/>
      <sz val="10"/>
      <color rgb="FFC55A11"/>
      <name val="Arial"/>
      <family val="0"/>
      <charset val="1"/>
    </font>
    <font>
      <sz val="10"/>
      <color rgb="FF008000"/>
      <name val="Arial"/>
      <family val="0"/>
      <charset val="1"/>
    </font>
    <font>
      <sz val="9"/>
      <color rgb="FF595959"/>
      <name val="Arial"/>
      <family val="0"/>
      <charset val="1"/>
    </font>
    <font>
      <sz val="8"/>
      <color rgb="FF999999"/>
      <name val="Arial"/>
      <family val="0"/>
      <charset val="1"/>
    </font>
    <font>
      <b val="true"/>
      <sz val="10"/>
      <name val="Arial"/>
      <family val="0"/>
      <charset val="1"/>
    </font>
    <font>
      <b val="true"/>
      <sz val="14"/>
      <name val="Arial"/>
      <family val="0"/>
      <charset val="1"/>
    </font>
    <font>
      <i val="true"/>
      <sz val="9"/>
      <color rgb="FF595959"/>
      <name val="Arial"/>
      <family val="0"/>
      <charset val="1"/>
    </font>
    <font>
      <sz val="10"/>
      <color rgb="FF0000FF"/>
      <name val="Arial"/>
      <family val="0"/>
      <charset val="1"/>
    </font>
    <font>
      <b val="true"/>
      <sz val="9"/>
      <color rgb="FFC55A11"/>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8">
    <fill>
      <patternFill patternType="none"/>
    </fill>
    <fill>
      <patternFill patternType="gray125"/>
    </fill>
    <fill>
      <patternFill patternType="solid">
        <fgColor rgb="FFF2F2F2"/>
        <bgColor rgb="FFE2EFDA"/>
      </patternFill>
    </fill>
    <fill>
      <patternFill patternType="solid">
        <fgColor rgb="FF1B2A41"/>
        <bgColor rgb="FF003366"/>
      </patternFill>
    </fill>
    <fill>
      <patternFill patternType="solid">
        <fgColor rgb="FFFFFF00"/>
        <bgColor rgb="FFFFFF00"/>
      </patternFill>
    </fill>
    <fill>
      <patternFill patternType="solid">
        <fgColor rgb="FFDDEBF7"/>
        <bgColor rgb="FFE2EFDA"/>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4"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67" fontId="11" fillId="0" borderId="0" xfId="0" applyFont="true" applyBorder="false" applyAlignment="true" applyProtection="false">
      <alignment horizontal="general" vertical="center" textRotation="0" wrapText="false" indent="0" shrinkToFit="false"/>
      <protection locked="true" hidden="false"/>
    </xf>
    <xf numFmtId="168" fontId="11" fillId="0" borderId="0" xfId="0" applyFont="true" applyBorder="false" applyAlignment="true" applyProtection="false">
      <alignment horizontal="general" vertical="center"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70" fontId="11"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7" fontId="15"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true" indent="0" shrinkToFit="false"/>
      <protection locked="true" hidden="false"/>
    </xf>
    <xf numFmtId="170" fontId="17" fillId="0" borderId="0" xfId="0" applyFont="true" applyBorder="false" applyAlignment="true" applyProtection="false">
      <alignment horizontal="general" vertical="center" textRotation="0" wrapText="false" indent="0" shrinkToFit="false"/>
      <protection locked="true" hidden="false"/>
    </xf>
    <xf numFmtId="171" fontId="17" fillId="0" borderId="0" xfId="0" applyFont="true" applyBorder="false" applyAlignment="true" applyProtection="false">
      <alignment horizontal="general" vertical="center" textRotation="0" wrapText="false" indent="0" shrinkToFit="false"/>
      <protection locked="true" hidden="false"/>
    </xf>
    <xf numFmtId="170" fontId="10" fillId="4" borderId="0" xfId="0" applyFont="true" applyBorder="false" applyAlignment="true" applyProtection="false">
      <alignment horizontal="general" vertical="center" textRotation="0" wrapText="false" indent="0" shrinkToFit="false"/>
      <protection locked="true" hidden="false"/>
    </xf>
    <xf numFmtId="172" fontId="9" fillId="0" borderId="0" xfId="0" applyFont="true" applyBorder="false" applyAlignment="true" applyProtection="false">
      <alignment horizontal="general" vertical="center" textRotation="0" wrapText="false" indent="0" shrinkToFit="false"/>
      <protection locked="true" hidden="false"/>
    </xf>
    <xf numFmtId="167" fontId="9" fillId="0" borderId="0" xfId="0" applyFont="true" applyBorder="false" applyAlignment="true" applyProtection="false">
      <alignment horizontal="general" vertical="center" textRotation="0" wrapText="false" indent="0" shrinkToFit="false"/>
      <protection locked="true" hidden="false"/>
    </xf>
    <xf numFmtId="170" fontId="9" fillId="0" borderId="0" xfId="0" applyFont="true" applyBorder="false" applyAlignment="true" applyProtection="false">
      <alignment horizontal="general" vertical="center" textRotation="0" wrapText="false" indent="0" shrinkToFit="false"/>
      <protection locked="true" hidden="false"/>
    </xf>
    <xf numFmtId="164" fontId="18" fillId="5" borderId="0" xfId="0" applyFont="true" applyBorder="false" applyAlignment="true" applyProtection="false">
      <alignment horizontal="general" vertical="center" textRotation="0" wrapText="true" indent="0" shrinkToFit="false"/>
      <protection locked="true" hidden="false"/>
    </xf>
    <xf numFmtId="167" fontId="18" fillId="5" borderId="0" xfId="0" applyFont="true" applyBorder="false" applyAlignment="true" applyProtection="false">
      <alignment horizontal="general" vertical="center" textRotation="0" wrapText="false" indent="0" shrinkToFit="false"/>
      <protection locked="true" hidden="false"/>
    </xf>
    <xf numFmtId="165" fontId="15" fillId="0" borderId="0" xfId="0" applyFont="true" applyBorder="false" applyAlignment="true" applyProtection="false">
      <alignment horizontal="general" vertical="center" textRotation="0" wrapText="false" indent="0" shrinkToFit="false"/>
      <protection locked="true" hidden="false"/>
    </xf>
    <xf numFmtId="164" fontId="18" fillId="2"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73" fontId="9"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75" fontId="15" fillId="0" borderId="0" xfId="0" applyFont="true" applyBorder="false" applyAlignment="true" applyProtection="false">
      <alignment horizontal="general" vertical="bottom" textRotation="0" wrapText="false" indent="0" shrinkToFit="false"/>
      <protection locked="true" hidden="false"/>
    </xf>
    <xf numFmtId="164" fontId="18" fillId="5" borderId="0" xfId="0" applyFont="true" applyBorder="false" applyAlignment="true" applyProtection="false">
      <alignment horizontal="general" vertical="bottom" textRotation="0" wrapText="false" indent="0" shrinkToFit="false"/>
      <protection locked="true" hidden="false"/>
    </xf>
    <xf numFmtId="167" fontId="18" fillId="5" borderId="0" xfId="0" applyFont="true" applyBorder="false" applyAlignment="true" applyProtection="false">
      <alignment horizontal="general" vertical="bottom" textRotation="0" wrapText="false" indent="0" shrinkToFit="false"/>
      <protection locked="true" hidden="false"/>
    </xf>
    <xf numFmtId="176" fontId="9"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0" fontId="21" fillId="4"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7" fontId="21" fillId="4" borderId="0" xfId="0" applyFont="true" applyBorder="false" applyAlignment="true" applyProtection="false">
      <alignment horizontal="general" vertical="bottom" textRotation="0" wrapText="false" indent="0" shrinkToFit="false"/>
      <protection locked="true" hidden="false"/>
    </xf>
    <xf numFmtId="174" fontId="21" fillId="4" borderId="0" xfId="0" applyFont="true" applyBorder="false" applyAlignment="true" applyProtection="false">
      <alignment horizontal="general" vertical="bottom" textRotation="0" wrapText="false" indent="0" shrinkToFit="false"/>
      <protection locked="true" hidden="false"/>
    </xf>
    <xf numFmtId="177" fontId="18" fillId="5"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7" fontId="9"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5" fontId="21" fillId="4"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72" fontId="18" fillId="5"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4" fillId="6"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21" fillId="4" borderId="0" xfId="0" applyFont="true" applyBorder="false" applyAlignment="true" applyProtection="false">
      <alignment horizontal="general" vertical="top" textRotation="0" wrapText="false" indent="0" shrinkToFit="false"/>
      <protection locked="true" hidden="false"/>
    </xf>
    <xf numFmtId="170" fontId="18" fillId="0" borderId="0" xfId="0" applyFont="tru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18" fillId="6"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top" textRotation="0" wrapText="false" indent="0" shrinkToFit="false"/>
      <protection locked="true" hidden="false"/>
    </xf>
    <xf numFmtId="167" fontId="15"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4" fontId="18" fillId="5" borderId="0" xfId="0" applyFont="true" applyBorder="false" applyAlignment="true" applyProtection="false">
      <alignment horizontal="general" vertical="top" textRotation="0" wrapText="true" indent="0" shrinkToFit="false"/>
      <protection locked="true" hidden="false"/>
    </xf>
    <xf numFmtId="167" fontId="18" fillId="5" borderId="0" xfId="0" applyFont="true" applyBorder="false" applyAlignment="true" applyProtection="false">
      <alignment horizontal="general" vertical="top" textRotation="0" wrapText="false" indent="0" shrinkToFit="false"/>
      <protection locked="true" hidden="false"/>
    </xf>
    <xf numFmtId="172" fontId="9" fillId="0" borderId="0" xfId="0" applyFont="true" applyBorder="false" applyAlignment="true" applyProtection="false">
      <alignment horizontal="general" vertical="top" textRotation="0" wrapText="false" indent="0" shrinkToFit="false"/>
      <protection locked="true" hidden="false"/>
    </xf>
    <xf numFmtId="178" fontId="9" fillId="0" borderId="0" xfId="0" applyFont="true" applyBorder="false" applyAlignment="true" applyProtection="false">
      <alignment horizontal="general" vertical="top" textRotation="0" wrapText="false" indent="0" shrinkToFit="false"/>
      <protection locked="true" hidden="false"/>
    </xf>
    <xf numFmtId="176" fontId="9" fillId="0" borderId="0" xfId="0" applyFont="true" applyBorder="false" applyAlignment="true" applyProtection="false">
      <alignment horizontal="general" vertical="top" textRotation="0" wrapText="fals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1" fontId="18" fillId="5" borderId="0" xfId="0" applyFont="true" applyBorder="false" applyAlignment="true" applyProtection="false">
      <alignment horizontal="general" vertical="bottom" textRotation="0" wrapText="false" indent="0" shrinkToFit="false"/>
      <protection locked="true" hidden="false"/>
    </xf>
    <xf numFmtId="180" fontId="18" fillId="5" borderId="0" xfId="0" applyFont="true" applyBorder="false" applyAlignment="true" applyProtection="false">
      <alignment horizontal="general" vertical="bottom" textRotation="0" wrapText="false" indent="0" shrinkToFit="false"/>
      <protection locked="true" hidden="false"/>
    </xf>
    <xf numFmtId="176" fontId="18" fillId="5" borderId="0" xfId="0" applyFont="true" applyBorder="false" applyAlignment="tru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bottom" textRotation="0" wrapText="fals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77" fontId="15" fillId="0"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75" fontId="9" fillId="0" borderId="0" xfId="0" applyFont="true" applyBorder="false" applyAlignment="tru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top" textRotation="0" wrapText="true" indent="0" shrinkToFit="false"/>
      <protection locked="true" hidden="false"/>
    </xf>
    <xf numFmtId="170" fontId="18" fillId="7" borderId="0" xfId="0" applyFont="true" applyBorder="false" applyAlignment="true" applyProtection="false">
      <alignment horizontal="general" vertical="bottom" textRotation="0" wrapText="false" indent="0" shrinkToFit="false"/>
      <protection locked="true" hidden="false"/>
    </xf>
    <xf numFmtId="167" fontId="9" fillId="7" borderId="0" xfId="0" applyFont="true" applyBorder="false" applyAlignment="true" applyProtection="false">
      <alignment horizontal="general" vertical="bottom" textRotation="0" wrapText="false" indent="0" shrinkToFit="false"/>
      <protection locked="true" hidden="false"/>
    </xf>
    <xf numFmtId="172" fontId="9" fillId="7" borderId="0" xfId="0" applyFont="true" applyBorder="false" applyAlignment="true" applyProtection="false">
      <alignment horizontal="general" vertical="bottom" textRotation="0" wrapText="false" indent="0" shrinkToFit="false"/>
      <protection locked="true" hidden="false"/>
    </xf>
    <xf numFmtId="181" fontId="9" fillId="7" borderId="0" xfId="0" applyFont="true" applyBorder="false" applyAlignment="true" applyProtection="false">
      <alignment horizontal="general" vertical="bottom" textRotation="0" wrapText="false" indent="0" shrinkToFit="false"/>
      <protection locked="true" hidden="false"/>
    </xf>
    <xf numFmtId="181"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82" fontId="9"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E2EFDA"/>
        </patternFill>
      </fill>
    </dxf>
    <dxf>
      <fill>
        <patternFill>
          <bgColor rgb="FFFFE699"/>
        </patternFill>
      </fill>
    </dxf>
    <dxf>
      <fill>
        <patternFill>
          <bgColor rgb="FFDDEBF7"/>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FE699"/>
      <rgbColor rgb="FF99CCFF"/>
      <rgbColor rgb="FFFF99CC"/>
      <rgbColor rgb="FFCC99FF"/>
      <rgbColor rgb="FFF8CBAD"/>
      <rgbColor rgb="FF3366FF"/>
      <rgbColor rgb="FF33CCCC"/>
      <rgbColor rgb="FF99CC00"/>
      <rgbColor rgb="FFFFCC00"/>
      <rgbColor rgb="FFFF9900"/>
      <rgbColor rgb="FFC55A11"/>
      <rgbColor rgb="FF595959"/>
      <rgbColor rgb="FF999999"/>
      <rgbColor rgb="FF003366"/>
      <rgbColor rgb="FF2A7F62"/>
      <rgbColor rgb="FF003300"/>
      <rgbColor rgb="FF333300"/>
      <rgbColor rgb="FF993300"/>
      <rgbColor rgb="FF993366"/>
      <rgbColor rgb="FF333399"/>
      <rgbColor rgb="FF1B2A4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4" min="3" style="1" width="12"/>
    <col collapsed="false" customWidth="true" hidden="false" outlineLevel="0" max="5" min="5" style="1" width="10"/>
    <col collapsed="false" customWidth="true" hidden="false" outlineLevel="0" max="6" min="6" style="1" width="40"/>
    <col collapsed="false" customWidth="true" hidden="false" outlineLevel="0" max="7" min="7" style="1" width="11"/>
    <col collapsed="false" customWidth="true" hidden="false" outlineLevel="0" max="8" min="8" style="1" width="10"/>
    <col collapsed="false" customWidth="true" hidden="false" outlineLevel="0" max="9" min="9" style="1" width="34"/>
    <col collapsed="false" customWidth="true" hidden="false" outlineLevel="0" max="10" min="10" style="1" width="26"/>
    <col collapsed="false" customWidth="true" hidden="false" outlineLevel="0" max="11" min="11" style="1" width="3"/>
    <col collapsed="false" customWidth="true" hidden="false" outlineLevel="0" max="12" min="12" style="1" width="46"/>
    <col collapsed="false" customWidth="true" hidden="false" outlineLevel="0" max="13" min="13" style="1" width="13"/>
    <col collapsed="false" customWidth="true" hidden="false" outlineLevel="0" max="14" min="14" style="1" width="56"/>
    <col collapsed="false" customWidth="true" hidden="false" outlineLevel="0" max="20" min="20" style="1" width="6"/>
  </cols>
  <sheetData>
    <row r="1" customFormat="false" ht="19.5" hidden="false" customHeight="true" outlineLevel="0" collapsed="false">
      <c r="A1" s="2" t="s">
        <v>0</v>
      </c>
    </row>
    <row r="2" customFormat="false" ht="15" hidden="false" customHeight="true" outlineLevel="0" collapsed="false">
      <c r="A2" s="3" t="str">
        <f aca="false">"Trotter stages in business days: material shipping "&amp;$M$24&amp;" → receiving "&amp;$M$25&amp;" → production "&amp;$M$26&amp;" (ships the same week; closed Fridays) → shipping to us "&amp;$M$27&amp;". 1 roll = "&amp;TEXT($M$8,"#,##0")&amp;" pcs · we use "&amp;TEXT($M$7,"#,##0")&amp;" pcs/week · we keep "&amp;$M$11&amp;" boxes ("&amp;TEXT($M$12,"#,##0")&amp;" pcs) as minimum stock · Trotter stores up to "&amp;$M$16&amp;" of our rolls, and we ship "&amp;$M$15&amp;" rolls at a time."</f>
        <v>Trotter stages in business days: material shipping 5 → receiving 5 → production 2 (ships the same week; closed Fridays) → shipping to us 5. 1 roll = 1,300 pcs · we use 250 pcs/week · we keep 2 boxes (867 pcs) as minimum stock · Trotter stores up to 3 of our rolls, and we ship 2 rolls at a time.</v>
      </c>
    </row>
    <row r="3" customFormat="false" ht="15" hidden="false" customHeight="true" outlineLevel="0" collapsed="false">
      <c r="A3" s="4" t="str">
        <f aca="false">"PO-0 and 3 rolls ordered week of "&amp;TEXT($M$18,"m/d")&amp;" (roll must ship first, "&amp;$M$19&amp;" weeks) → pieces arrive week of "&amp;TEXT(INDEX($A$6:$A$31,$M$20),"m/d")&amp;". Stock runs out: "&amp;IF(MIN($U$6:$U$31)=0,"no stockout in the horizon","week of "&amp;TEXT(MIN($U$6:$U$31),"m/d")&amp;" (day level: out ~"&amp;TEXT(WORKDAY($M$5-1,INT($M$6/($M$7/5))+1),"ddd m/d")&amp;", PO-0 arrives ~"&amp;TEXT($M$28,"ddd m/d")&amp;") — ASK TROTTER TO SHIP PO-0 A FEW DAYS EARLY OR SHIP PARTIAL")&amp;". Later cut POs use rolls already at Trotter ("&amp;$M$13&amp;"-week lead time)."</f>
        <v>PO-0 and 3 rolls ordered week of 9/28 (roll must ship first, 4 weeks) → pieces arrive week of 10/26. Stock runs out: week of 10/19 (day level: out ~Tue 10/20, PO-0 arrives ~Tue 10/20) — ASK TROTTER TO SHIP PO-0 A FEW DAYS EARLY OR SHIP PARTIAL. Later cut POs use rolls already at Trotter (2-week lead time).</v>
      </c>
    </row>
    <row r="4" customFormat="false" ht="15" hidden="false" customHeight="true" outlineLevel="0" collapsed="false">
      <c r="L4" s="5" t="s">
        <v>1</v>
      </c>
    </row>
    <row r="5" customFormat="false" ht="33.75" hidden="false" customHeight="true" outlineLevel="0" collapsed="false">
      <c r="A5" s="6" t="s">
        <v>2</v>
      </c>
      <c r="B5" s="6" t="s">
        <v>3</v>
      </c>
      <c r="C5" s="6" t="s">
        <v>4</v>
      </c>
      <c r="D5" s="6" t="s">
        <v>5</v>
      </c>
      <c r="E5" s="6" t="s">
        <v>6</v>
      </c>
      <c r="F5" s="6" t="s">
        <v>7</v>
      </c>
      <c r="G5" s="6" t="s">
        <v>8</v>
      </c>
      <c r="H5" s="6" t="s">
        <v>9</v>
      </c>
      <c r="I5" s="6" t="s">
        <v>10</v>
      </c>
      <c r="J5" s="6" t="s">
        <v>11</v>
      </c>
      <c r="L5" s="7" t="s">
        <v>12</v>
      </c>
      <c r="M5" s="8" t="n">
        <v>46293</v>
      </c>
    </row>
    <row r="6" customFormat="false" ht="15" hidden="false" customHeight="true" outlineLevel="0" collapsed="false">
      <c r="A6" s="9" t="n">
        <f aca="false">$M$5+(T6-1)*7</f>
        <v>46293</v>
      </c>
      <c r="B6" s="10" t="n">
        <f aca="false">$M$6</f>
        <v>837</v>
      </c>
      <c r="C6" s="11" t="n">
        <f aca="false">IF(T6=$M$20,$M$8,0)</f>
        <v>0</v>
      </c>
      <c r="D6" s="10" t="n">
        <f aca="false">B6+C6-$M$7</f>
        <v>587</v>
      </c>
      <c r="E6" s="12" t="n">
        <f aca="false">IF(D6+IF(T6&lt;$M$20,$M$8,0)&lt;$M$17,1,0)</f>
        <v>0</v>
      </c>
      <c r="F6" s="13" t="str">
        <f aca="false">TRIM(IF(T6&lt;=$M$19,CHOOSE(MIN(T6,4),"Material shipping — PO-0 roll → Trotter ("&amp;$M$24&amp;" bd)","Receiving at Trotter — PO-0 roll ("&amp;$M$25&amp;" bd)","PRODUCTION — PO-0 cut &amp; ships this week ("&amp;$M$26&amp;" bd)","Shipping to us — PO-0 ("&amp;$M$27&amp;" bd, arrives ~"&amp;TEXT($M$28,"ddd m/d")&amp;")"),IF(T6=$M$20,"PO-0 received (Monday)",""))&amp;" "&amp;""&amp;" "&amp;IF(E6&gt;0,"▲ RELEASE cut PO-"&amp;SUMPRODUCT(($T$6:T6&lt;=T6)*$E$6:E6)&amp;IF($M$13&lt;=2," · PRODUCTION &amp; SHIPS this week",""),""))</f>
        <v>Material shipping — PO-0 roll → Trotter (5 bd)</v>
      </c>
      <c r="G6" s="14" t="n">
        <f aca="false">0</f>
        <v>0</v>
      </c>
      <c r="H6" s="12" t="n">
        <f aca="false">IF(G6-E6+IF(T6&lt;$M$22,$M$21,0)&lt;=0,$M$15,0)</f>
        <v>0</v>
      </c>
      <c r="I6" s="15" t="str">
        <f aca="false">TRIM(IF(T6&lt;=$M$14,CHOOSE(MIN(T6,2),"Rolls shipping to Trotter (PO-0 order)","Trotter receiving our rolls"),"")&amp;" "&amp;IF(0=0,"",IF(0=$M$14,"Rolls received at Trotter","Rolls shipping to Trotter"))&amp;" "&amp;IF(H6&gt;0,"▲ ORDER "&amp;H6&amp;" ROLLS",""))</f>
        <v>Rolls shipping to Trotter (PO-0 order)</v>
      </c>
      <c r="J6" s="16" t="str">
        <f aca="false">IF(D6&lt;0,"STOCKOUT",IF(D6&lt;$M$12,"below 2-box minimum",""))&amp;IF(G6&gt;$M$16," · storage &gt; "&amp;$M$16&amp;" rolls","")</f>
        <v>below 2-box minimum</v>
      </c>
      <c r="L6" s="7" t="s">
        <v>13</v>
      </c>
      <c r="M6" s="17" t="n">
        <f aca="false">Inputs!B52</f>
        <v>837</v>
      </c>
      <c r="N6" s="18" t="s">
        <v>14</v>
      </c>
      <c r="T6" s="19" t="n">
        <f aca="false">ROW()-5</f>
        <v>1</v>
      </c>
      <c r="U6" s="20" t="str">
        <f aca="false">IF(D6&lt;0,A6,"")</f>
        <v/>
      </c>
    </row>
    <row r="7" customFormat="false" ht="15" hidden="false" customHeight="true" outlineLevel="0" collapsed="false">
      <c r="A7" s="9" t="n">
        <f aca="false">$M$5+(T7-1)*7</f>
        <v>46300</v>
      </c>
      <c r="B7" s="10" t="n">
        <f aca="false">D6</f>
        <v>587</v>
      </c>
      <c r="C7" s="11" t="n">
        <f aca="false">IF(T7=$M$20,$M$8,0)+IF(T7&gt;$M$13,INDEX($E$6:E6,T7-$M$13)*$M$8,0)</f>
        <v>0</v>
      </c>
      <c r="D7" s="10" t="n">
        <f aca="false">B7+C7-$M$7</f>
        <v>337</v>
      </c>
      <c r="E7" s="12" t="n">
        <f aca="false">IF(D7+IF(T7&lt;$M$20,$M$8,0)+$M$8*SUMPRODUCT(($T$6:T6&gt;T7-$M$13)*$E$6:E6)&lt;$M$17,1,0)</f>
        <v>0</v>
      </c>
      <c r="F7" s="13" t="str">
        <f aca="false">TRIM(IF(T7&lt;=$M$19,CHOOSE(MIN(T7,4),"Material shipping — PO-0 roll → Trotter ("&amp;$M$24&amp;" bd)","Receiving at Trotter — PO-0 roll ("&amp;$M$25&amp;" bd)","PRODUCTION — PO-0 cut &amp; ships this week ("&amp;$M$26&amp;" bd)","Shipping to us — PO-0 ("&amp;$M$27&amp;" bd, arrives ~"&amp;TEXT($M$28,"ddd m/d")&amp;")"),IF(T7=$M$20,"PO-0 received (Monday)",""))&amp;" "&amp;IF(SUMPRODUCT(($T$6:T6&gt;=T7-$M$13)*$E$6:E6*(T7-$T$6:T6))=0,"",IF(SUMPRODUCT(($T$6:T6&gt;=T7-$M$13)*$E$6:E6*(T7-$T$6:T6))=$M$13,"PO-"&amp;SUMPRODUCT(($T$6:T6&lt;=T7-SUMPRODUCT(($T$6:T6&gt;=T7-$M$13)*$E$6:E6*(T7-$T$6:T6)))*$E$6:E6)&amp;" received (Monday)",IF(SUMPRODUCT(($T$6:T6&gt;=T7-$M$13)*$E$6:E6*(T7-$T$6:T6))=$M$13-1,"Shipping to us — PO-"&amp;SUMPRODUCT(($T$6:T6&lt;=T7-SUMPRODUCT(($T$6:T6&gt;=T7-$M$13)*$E$6:E6*(T7-$T$6:T6)))*$E$6:E6)&amp;" ("&amp;$M$27&amp;" bd)",IF(SUMPRODUCT(($T$6:T6&gt;=T7-$M$13)*$E$6:E6*(T7-$T$6:T6))=$M$13-2,"PRODUCTION — PO-"&amp;SUMPRODUCT(($T$6:T6&lt;=T7-SUMPRODUCT(($T$6:T6&gt;=T7-$M$13)*$E$6:E6*(T7-$T$6:T6)))*$E$6:E6)&amp;" cut &amp; ships","PO-"&amp;SUMPRODUCT(($T$6:T6&lt;=T7-SUMPRODUCT(($T$6:T6&gt;=T7-$M$13)*$E$6:E6*(T7-$T$6:T6)))*$E$6:E6)&amp;" received &amp; scheduled at Trotter"))))&amp;" "&amp;IF(E7&gt;0,"▲ RELEASE cut PO-"&amp;SUMPRODUCT(($T$6:T7&lt;=T7)*$E$6:E7)&amp;IF($M$13&lt;=2," · PRODUCTION &amp; SHIPS this week",""),""))</f>
        <v>Receiving at Trotter — PO-0 roll (5 bd)</v>
      </c>
      <c r="G7" s="14" t="n">
        <f aca="false">G6-E6+IF(T7=$M$22,$M$21,0)+IF(T7&gt;$M$14,INDEX($H$6:H6,T7-$M$14),0)</f>
        <v>0</v>
      </c>
      <c r="H7" s="12" t="n">
        <f aca="false">IF(G7-E7+IF(T7&lt;$M$22,$M$21,0)+SUMPRODUCT(($T$6:T6&gt;T7-$M$14)*$H$6:H6)&lt;=0,$M$15,0)</f>
        <v>0</v>
      </c>
      <c r="I7" s="15" t="str">
        <f aca="false">TRIM(IF(T7&lt;=$M$14,CHOOSE(MIN(T7,2),"Rolls shipping to Trotter (PO-0 order)","Trotter receiving our rolls"),"")&amp;" "&amp;IF(SUMPRODUCT(($T$6:T6&gt;=T7-$M$14)*($H$6:H6&gt;0)*(T7-$T$6:T6))=0,"",IF(SUMPRODUCT(($T$6:T6&gt;=T7-$M$14)*($H$6:H6&gt;0)*(T7-$T$6:T6))=$M$14,"Rolls received at Trotter","Rolls shipping to Trotter"))&amp;" "&amp;IF(H7&gt;0,"▲ ORDER "&amp;H7&amp;" ROLLS",""))</f>
        <v>Trotter receiving our rolls</v>
      </c>
      <c r="J7" s="16" t="str">
        <f aca="false">IF(D7&lt;0,"STOCKOUT",IF(D7&lt;$M$12,"below 2-box minimum",""))&amp;IF(G7&gt;$M$16," · storage &gt; "&amp;$M$16&amp;" rolls","")</f>
        <v>below 2-box minimum</v>
      </c>
      <c r="L7" s="7" t="s">
        <v>15</v>
      </c>
      <c r="M7" s="17" t="n">
        <f aca="false">Inputs!B26</f>
        <v>250</v>
      </c>
      <c r="N7" s="18" t="s">
        <v>16</v>
      </c>
      <c r="T7" s="19" t="n">
        <f aca="false">ROW()-5</f>
        <v>2</v>
      </c>
      <c r="U7" s="20" t="str">
        <f aca="false">IF(D7&lt;0,A7,"")</f>
        <v/>
      </c>
    </row>
    <row r="8" customFormat="false" ht="15" hidden="false" customHeight="true" outlineLevel="0" collapsed="false">
      <c r="A8" s="9" t="n">
        <f aca="false">$M$5+(T8-1)*7</f>
        <v>46307</v>
      </c>
      <c r="B8" s="10" t="n">
        <f aca="false">D7</f>
        <v>337</v>
      </c>
      <c r="C8" s="11" t="n">
        <f aca="false">IF(T8=$M$20,$M$8,0)+IF(T8&gt;$M$13,INDEX($E$6:E7,T8-$M$13)*$M$8,0)</f>
        <v>0</v>
      </c>
      <c r="D8" s="10" t="n">
        <f aca="false">B8+C8-$M$7</f>
        <v>87</v>
      </c>
      <c r="E8" s="12" t="n">
        <f aca="false">IF(D8+IF(T8&lt;$M$20,$M$8,0)+$M$8*SUMPRODUCT(($T$6:T7&gt;T8-$M$13)*$E$6:E7)&lt;$M$17,1,0)</f>
        <v>0</v>
      </c>
      <c r="F8" s="13" t="str">
        <f aca="false">TRIM(IF(T8&lt;=$M$19,CHOOSE(MIN(T8,4),"Material shipping — PO-0 roll → Trotter ("&amp;$M$24&amp;" bd)","Receiving at Trotter — PO-0 roll ("&amp;$M$25&amp;" bd)","PRODUCTION — PO-0 cut &amp; ships this week ("&amp;$M$26&amp;" bd)","Shipping to us — PO-0 ("&amp;$M$27&amp;" bd, arrives ~"&amp;TEXT($M$28,"ddd m/d")&amp;")"),IF(T8=$M$20,"PO-0 received (Monday)",""))&amp;" "&amp;IF(SUMPRODUCT(($T$6:T7&gt;=T8-$M$13)*$E$6:E7*(T8-$T$6:T7))=0,"",IF(SUMPRODUCT(($T$6:T7&gt;=T8-$M$13)*$E$6:E7*(T8-$T$6:T7))=$M$13,"PO-"&amp;SUMPRODUCT(($T$6:T7&lt;=T8-SUMPRODUCT(($T$6:T7&gt;=T8-$M$13)*$E$6:E7*(T8-$T$6:T7)))*$E$6:E7)&amp;" received (Monday)",IF(SUMPRODUCT(($T$6:T7&gt;=T8-$M$13)*$E$6:E7*(T8-$T$6:T7))=$M$13-1,"Shipping to us — PO-"&amp;SUMPRODUCT(($T$6:T7&lt;=T8-SUMPRODUCT(($T$6:T7&gt;=T8-$M$13)*$E$6:E7*(T8-$T$6:T7)))*$E$6:E7)&amp;" ("&amp;$M$27&amp;" bd)",IF(SUMPRODUCT(($T$6:T7&gt;=T8-$M$13)*$E$6:E7*(T8-$T$6:T7))=$M$13-2,"PRODUCTION — PO-"&amp;SUMPRODUCT(($T$6:T7&lt;=T8-SUMPRODUCT(($T$6:T7&gt;=T8-$M$13)*$E$6:E7*(T8-$T$6:T7)))*$E$6:E7)&amp;" cut &amp; ships","PO-"&amp;SUMPRODUCT(($T$6:T7&lt;=T8-SUMPRODUCT(($T$6:T7&gt;=T8-$M$13)*$E$6:E7*(T8-$T$6:T7)))*$E$6:E7)&amp;" received &amp; scheduled at Trotter"))))&amp;" "&amp;IF(E8&gt;0,"▲ RELEASE cut PO-"&amp;SUMPRODUCT(($T$6:T8&lt;=T8)*$E$6:E8)&amp;IF($M$13&lt;=2," · PRODUCTION &amp; SHIPS this week",""),""))</f>
        <v>PRODUCTION — PO-0 cut &amp; ships this week (2 bd)</v>
      </c>
      <c r="G8" s="14" t="n">
        <f aca="false">G7-E7+IF(T8=$M$22,$M$21,0)+IF(T8&gt;$M$14,INDEX($H$6:H7,T8-$M$14),0)</f>
        <v>2</v>
      </c>
      <c r="H8" s="12" t="n">
        <f aca="false">IF(G8-E8+IF(T8&lt;$M$22,$M$21,0)+SUMPRODUCT(($T$6:T7&gt;T8-$M$14)*$H$6:H7)&lt;=0,$M$15,0)</f>
        <v>0</v>
      </c>
      <c r="I8" s="15" t="str">
        <f aca="false">TRIM(IF(T8&lt;=$M$14,CHOOSE(MIN(T8,2),"Rolls shipping to Trotter (PO-0 order)","Trotter receiving our rolls"),"")&amp;" "&amp;IF(SUMPRODUCT(($T$6:T7&gt;=T8-$M$14)*($H$6:H7&gt;0)*(T8-$T$6:T7))=0,"",IF(SUMPRODUCT(($T$6:T7&gt;=T8-$M$14)*($H$6:H7&gt;0)*(T8-$T$6:T7))=$M$14,"Rolls received at Trotter","Rolls shipping to Trotter"))&amp;" "&amp;IF(H8&gt;0,"▲ ORDER "&amp;H8&amp;" ROLLS",""))</f>
        <v/>
      </c>
      <c r="J8" s="16" t="str">
        <f aca="false">IF(D8&lt;0,"STOCKOUT",IF(D8&lt;$M$12,"below 2-box minimum",""))&amp;IF(G8&gt;$M$16," · storage &gt; "&amp;$M$16&amp;" rolls","")</f>
        <v>below 2-box minimum</v>
      </c>
      <c r="L8" s="7" t="s">
        <v>17</v>
      </c>
      <c r="M8" s="17" t="n">
        <f aca="false">Inputs!B35</f>
        <v>1300</v>
      </c>
      <c r="N8" s="18" t="s">
        <v>18</v>
      </c>
      <c r="T8" s="19" t="n">
        <f aca="false">ROW()-5</f>
        <v>3</v>
      </c>
      <c r="U8" s="20" t="str">
        <f aca="false">IF(D8&lt;0,A8,"")</f>
        <v/>
      </c>
    </row>
    <row r="9" customFormat="false" ht="23.25" hidden="false" customHeight="true" outlineLevel="0" collapsed="false">
      <c r="A9" s="9" t="n">
        <f aca="false">$M$5+(T9-1)*7</f>
        <v>46314</v>
      </c>
      <c r="B9" s="10" t="n">
        <f aca="false">D8</f>
        <v>87</v>
      </c>
      <c r="C9" s="11" t="n">
        <f aca="false">IF(T9=$M$20,$M$8,0)+IF(T9&gt;$M$13,INDEX($E$6:E8,T9-$M$13)*$M$8,0)</f>
        <v>0</v>
      </c>
      <c r="D9" s="10" t="n">
        <f aca="false">B9+C9-$M$7</f>
        <v>-163</v>
      </c>
      <c r="E9" s="12" t="n">
        <f aca="false">IF(D9+IF(T9&lt;$M$20,$M$8,0)+$M$8*SUMPRODUCT(($T$6:T8&gt;T9-$M$13)*$E$6:E8)&lt;$M$17,1,0)</f>
        <v>1</v>
      </c>
      <c r="F9" s="13" t="str">
        <f aca="false">TRIM(IF(T9&lt;=$M$19,CHOOSE(MIN(T9,4),"Material shipping — PO-0 roll → Trotter ("&amp;$M$24&amp;" bd)","Receiving at Trotter — PO-0 roll ("&amp;$M$25&amp;" bd)","PRODUCTION — PO-0 cut &amp; ships this week ("&amp;$M$26&amp;" bd)","Shipping to us — PO-0 ("&amp;$M$27&amp;" bd, arrives ~"&amp;TEXT($M$28,"ddd m/d")&amp;")"),IF(T9=$M$20,"PO-0 received (Monday)",""))&amp;" "&amp;IF(SUMPRODUCT(($T$6:T8&gt;=T9-$M$13)*$E$6:E8*(T9-$T$6:T8))=0,"",IF(SUMPRODUCT(($T$6:T8&gt;=T9-$M$13)*$E$6:E8*(T9-$T$6:T8))=$M$13,"PO-"&amp;SUMPRODUCT(($T$6:T8&lt;=T9-SUMPRODUCT(($T$6:T8&gt;=T9-$M$13)*$E$6:E8*(T9-$T$6:T8)))*$E$6:E8)&amp;" received (Monday)",IF(SUMPRODUCT(($T$6:T8&gt;=T9-$M$13)*$E$6:E8*(T9-$T$6:T8))=$M$13-1,"Shipping to us — PO-"&amp;SUMPRODUCT(($T$6:T8&lt;=T9-SUMPRODUCT(($T$6:T8&gt;=T9-$M$13)*$E$6:E8*(T9-$T$6:T8)))*$E$6:E8)&amp;" ("&amp;$M$27&amp;" bd)",IF(SUMPRODUCT(($T$6:T8&gt;=T9-$M$13)*$E$6:E8*(T9-$T$6:T8))=$M$13-2,"PRODUCTION — PO-"&amp;SUMPRODUCT(($T$6:T8&lt;=T9-SUMPRODUCT(($T$6:T8&gt;=T9-$M$13)*$E$6:E8*(T9-$T$6:T8)))*$E$6:E8)&amp;" cut &amp; ships","PO-"&amp;SUMPRODUCT(($T$6:T8&lt;=T9-SUMPRODUCT(($T$6:T8&gt;=T9-$M$13)*$E$6:E8*(T9-$T$6:T8)))*$E$6:E8)&amp;" received &amp; scheduled at Trotter"))))&amp;" "&amp;IF(E9&gt;0,"▲ RELEASE cut PO-"&amp;SUMPRODUCT(($T$6:T9&lt;=T9)*$E$6:E9)&amp;IF($M$13&lt;=2," · PRODUCTION &amp; SHIPS this week",""),""))</f>
        <v>Shipping to us — PO-0 (5 bd, arrives ~Tue 10/20) ▲ RELEASE cut PO-1 · PRODUCTION &amp; SHIPS this week</v>
      </c>
      <c r="G9" s="14" t="n">
        <f aca="false">G8-E8+IF(T9=$M$22,$M$21,0)+IF(T9&gt;$M$14,INDEX($H$6:H8,T9-$M$14),0)</f>
        <v>2</v>
      </c>
      <c r="H9" s="12" t="n">
        <f aca="false">IF(G9-E9+IF(T9&lt;$M$22,$M$21,0)+SUMPRODUCT(($T$6:T8&gt;T9-$M$14)*$H$6:H8)&lt;=0,$M$15,0)</f>
        <v>0</v>
      </c>
      <c r="I9" s="15" t="str">
        <f aca="false">TRIM(IF(T9&lt;=$M$14,CHOOSE(MIN(T9,2),"Rolls shipping to Trotter (PO-0 order)","Trotter receiving our rolls"),"")&amp;" "&amp;IF(SUMPRODUCT(($T$6:T8&gt;=T9-$M$14)*($H$6:H8&gt;0)*(T9-$T$6:T8))=0,"",IF(SUMPRODUCT(($T$6:T8&gt;=T9-$M$14)*($H$6:H8&gt;0)*(T9-$T$6:T8))=$M$14,"Rolls received at Trotter","Rolls shipping to Trotter"))&amp;" "&amp;IF(H9&gt;0,"▲ ORDER "&amp;H9&amp;" ROLLS",""))</f>
        <v/>
      </c>
      <c r="J9" s="16" t="str">
        <f aca="false">IF(D9&lt;0,"STOCKOUT",IF(D9&lt;$M$12,"below 2-box minimum",""))&amp;IF(G9&gt;$M$16," · storage &gt; "&amp;$M$16&amp;" rolls","")</f>
        <v>STOCKOUT</v>
      </c>
      <c r="L9" s="7" t="s">
        <v>19</v>
      </c>
      <c r="M9" s="21" t="n">
        <v>3</v>
      </c>
      <c r="T9" s="19" t="n">
        <f aca="false">ROW()-5</f>
        <v>4</v>
      </c>
      <c r="U9" s="20" t="n">
        <f aca="false">IF(D9&lt;0,A9,"")</f>
        <v>46314</v>
      </c>
    </row>
    <row r="10" customFormat="false" ht="15" hidden="false" customHeight="true" outlineLevel="0" collapsed="false">
      <c r="A10" s="9" t="n">
        <f aca="false">$M$5+(T10-1)*7</f>
        <v>46321</v>
      </c>
      <c r="B10" s="10" t="n">
        <f aca="false">D9</f>
        <v>-163</v>
      </c>
      <c r="C10" s="11" t="n">
        <f aca="false">IF(T10=$M$20,$M$8,0)+IF(T10&gt;$M$13,INDEX($E$6:E9,T10-$M$13)*$M$8,0)</f>
        <v>1300</v>
      </c>
      <c r="D10" s="10" t="n">
        <f aca="false">B10+C10-$M$7</f>
        <v>887</v>
      </c>
      <c r="E10" s="12" t="n">
        <f aca="false">IF(D10+IF(T10&lt;$M$20,$M$8,0)+$M$8*SUMPRODUCT(($T$6:T9&gt;T10-$M$13)*$E$6:E9)&lt;$M$17,1,0)</f>
        <v>0</v>
      </c>
      <c r="F10" s="13" t="str">
        <f aca="false">TRIM(IF(T10&lt;=$M$19,CHOOSE(MIN(T10,4),"Material shipping — PO-0 roll → Trotter ("&amp;$M$24&amp;" bd)","Receiving at Trotter — PO-0 roll ("&amp;$M$25&amp;" bd)","PRODUCTION — PO-0 cut &amp; ships this week ("&amp;$M$26&amp;" bd)","Shipping to us — PO-0 ("&amp;$M$27&amp;" bd, arrives ~"&amp;TEXT($M$28,"ddd m/d")&amp;")"),IF(T10=$M$20,"PO-0 received (Monday)",""))&amp;" "&amp;IF(SUMPRODUCT(($T$6:T9&gt;=T10-$M$13)*$E$6:E9*(T10-$T$6:T9))=0,"",IF(SUMPRODUCT(($T$6:T9&gt;=T10-$M$13)*$E$6:E9*(T10-$T$6:T9))=$M$13,"PO-"&amp;SUMPRODUCT(($T$6:T9&lt;=T10-SUMPRODUCT(($T$6:T9&gt;=T10-$M$13)*$E$6:E9*(T10-$T$6:T9)))*$E$6:E9)&amp;" received (Monday)",IF(SUMPRODUCT(($T$6:T9&gt;=T10-$M$13)*$E$6:E9*(T10-$T$6:T9))=$M$13-1,"Shipping to us — PO-"&amp;SUMPRODUCT(($T$6:T9&lt;=T10-SUMPRODUCT(($T$6:T9&gt;=T10-$M$13)*$E$6:E9*(T10-$T$6:T9)))*$E$6:E9)&amp;" ("&amp;$M$27&amp;" bd)",IF(SUMPRODUCT(($T$6:T9&gt;=T10-$M$13)*$E$6:E9*(T10-$T$6:T9))=$M$13-2,"PRODUCTION — PO-"&amp;SUMPRODUCT(($T$6:T9&lt;=T10-SUMPRODUCT(($T$6:T9&gt;=T10-$M$13)*$E$6:E9*(T10-$T$6:T9)))*$E$6:E9)&amp;" cut &amp; ships","PO-"&amp;SUMPRODUCT(($T$6:T9&lt;=T10-SUMPRODUCT(($T$6:T9&gt;=T10-$M$13)*$E$6:E9*(T10-$T$6:T9)))*$E$6:E9)&amp;" received &amp; scheduled at Trotter"))))&amp;" "&amp;IF(E10&gt;0,"▲ RELEASE cut PO-"&amp;SUMPRODUCT(($T$6:T10&lt;=T10)*$E$6:E10)&amp;IF($M$13&lt;=2," · PRODUCTION &amp; SHIPS this week",""),""))</f>
        <v>PO-0 received (Monday) Shipping to us — PO-1 (5 bd)</v>
      </c>
      <c r="G10" s="14" t="n">
        <f aca="false">G9-E9+IF(T10=$M$22,$M$21,0)+IF(T10&gt;$M$14,INDEX($H$6:H9,T10-$M$14),0)</f>
        <v>1</v>
      </c>
      <c r="H10" s="12" t="n">
        <f aca="false">IF(G10-E10+IF(T10&lt;$M$22,$M$21,0)+SUMPRODUCT(($T$6:T9&gt;T10-$M$14)*$H$6:H9)&lt;=0,$M$15,0)</f>
        <v>0</v>
      </c>
      <c r="I10" s="15" t="str">
        <f aca="false">TRIM(IF(T10&lt;=$M$14,CHOOSE(MIN(T10,2),"Rolls shipping to Trotter (PO-0 order)","Trotter receiving our rolls"),"")&amp;" "&amp;IF(SUMPRODUCT(($T$6:T9&gt;=T10-$M$14)*($H$6:H9&gt;0)*(T10-$T$6:T9))=0,"",IF(SUMPRODUCT(($T$6:T9&gt;=T10-$M$14)*($H$6:H9&gt;0)*(T10-$T$6:T9))=$M$14,"Rolls received at Trotter","Rolls shipping to Trotter"))&amp;" "&amp;IF(H10&gt;0,"▲ ORDER "&amp;H10&amp;" ROLLS",""))</f>
        <v/>
      </c>
      <c r="J10" s="16" t="str">
        <f aca="false">IF(D10&lt;0,"STOCKOUT",IF(D10&lt;$M$12,"below 2-box minimum",""))&amp;IF(G10&gt;$M$16," · storage &gt; "&amp;$M$16&amp;" rolls","")</f>
        <v/>
      </c>
      <c r="L10" s="7" t="s">
        <v>20</v>
      </c>
      <c r="M10" s="22" t="n">
        <f aca="false">M8/M9</f>
        <v>433.333333333333</v>
      </c>
      <c r="T10" s="19" t="n">
        <f aca="false">ROW()-5</f>
        <v>5</v>
      </c>
      <c r="U10" s="20" t="str">
        <f aca="false">IF(D10&lt;0,A10,"")</f>
        <v/>
      </c>
    </row>
    <row r="11" customFormat="false" ht="15" hidden="false" customHeight="true" outlineLevel="0" collapsed="false">
      <c r="A11" s="9" t="n">
        <f aca="false">$M$5+(T11-1)*7</f>
        <v>46328</v>
      </c>
      <c r="B11" s="10" t="n">
        <f aca="false">D10</f>
        <v>887</v>
      </c>
      <c r="C11" s="11" t="n">
        <f aca="false">IF(T11=$M$20,$M$8,0)+IF(T11&gt;$M$13,INDEX($E$6:E10,T11-$M$13)*$M$8,0)</f>
        <v>1300</v>
      </c>
      <c r="D11" s="10" t="n">
        <f aca="false">B11+C11-$M$7</f>
        <v>1937</v>
      </c>
      <c r="E11" s="12" t="n">
        <f aca="false">IF(D11+IF(T11&lt;$M$20,$M$8,0)+$M$8*SUMPRODUCT(($T$6:T10&gt;T11-$M$13)*$E$6:E10)&lt;$M$17,1,0)</f>
        <v>0</v>
      </c>
      <c r="F11" s="13" t="str">
        <f aca="false">TRIM(IF(T11&lt;=$M$19,CHOOSE(MIN(T11,4),"Material shipping — PO-0 roll → Trotter ("&amp;$M$24&amp;" bd)","Receiving at Trotter — PO-0 roll ("&amp;$M$25&amp;" bd)","PRODUCTION — PO-0 cut &amp; ships this week ("&amp;$M$26&amp;" bd)","Shipping to us — PO-0 ("&amp;$M$27&amp;" bd, arrives ~"&amp;TEXT($M$28,"ddd m/d")&amp;")"),IF(T11=$M$20,"PO-0 received (Monday)",""))&amp;" "&amp;IF(SUMPRODUCT(($T$6:T10&gt;=T11-$M$13)*$E$6:E10*(T11-$T$6:T10))=0,"",IF(SUMPRODUCT(($T$6:T10&gt;=T11-$M$13)*$E$6:E10*(T11-$T$6:T10))=$M$13,"PO-"&amp;SUMPRODUCT(($T$6:T10&lt;=T11-SUMPRODUCT(($T$6:T10&gt;=T11-$M$13)*$E$6:E10*(T11-$T$6:T10)))*$E$6:E10)&amp;" received (Monday)",IF(SUMPRODUCT(($T$6:T10&gt;=T11-$M$13)*$E$6:E10*(T11-$T$6:T10))=$M$13-1,"Shipping to us — PO-"&amp;SUMPRODUCT(($T$6:T10&lt;=T11-SUMPRODUCT(($T$6:T10&gt;=T11-$M$13)*$E$6:E10*(T11-$T$6:T10)))*$E$6:E10)&amp;" ("&amp;$M$27&amp;" bd)",IF(SUMPRODUCT(($T$6:T10&gt;=T11-$M$13)*$E$6:E10*(T11-$T$6:T10))=$M$13-2,"PRODUCTION — PO-"&amp;SUMPRODUCT(($T$6:T10&lt;=T11-SUMPRODUCT(($T$6:T10&gt;=T11-$M$13)*$E$6:E10*(T11-$T$6:T10)))*$E$6:E10)&amp;" cut &amp; ships","PO-"&amp;SUMPRODUCT(($T$6:T10&lt;=T11-SUMPRODUCT(($T$6:T10&gt;=T11-$M$13)*$E$6:E10*(T11-$T$6:T10)))*$E$6:E10)&amp;" received &amp; scheduled at Trotter"))))&amp;" "&amp;IF(E11&gt;0,"▲ RELEASE cut PO-"&amp;SUMPRODUCT(($T$6:T11&lt;=T11)*$E$6:E11)&amp;IF($M$13&lt;=2," · PRODUCTION &amp; SHIPS this week",""),""))</f>
        <v>PO-1 received (Monday)</v>
      </c>
      <c r="G11" s="14" t="n">
        <f aca="false">G10-E10+IF(T11=$M$22,$M$21,0)+IF(T11&gt;$M$14,INDEX($H$6:H10,T11-$M$14),0)</f>
        <v>1</v>
      </c>
      <c r="H11" s="12" t="n">
        <f aca="false">IF(G11-E11+IF(T11&lt;$M$22,$M$21,0)+SUMPRODUCT(($T$6:T10&gt;T11-$M$14)*$H$6:H10)&lt;=0,$M$15,0)</f>
        <v>0</v>
      </c>
      <c r="I11" s="15" t="str">
        <f aca="false">TRIM(IF(T11&lt;=$M$14,CHOOSE(MIN(T11,2),"Rolls shipping to Trotter (PO-0 order)","Trotter receiving our rolls"),"")&amp;" "&amp;IF(SUMPRODUCT(($T$6:T10&gt;=T11-$M$14)*($H$6:H10&gt;0)*(T11-$T$6:T10))=0,"",IF(SUMPRODUCT(($T$6:T10&gt;=T11-$M$14)*($H$6:H10&gt;0)*(T11-$T$6:T10))=$M$14,"Rolls received at Trotter","Rolls shipping to Trotter"))&amp;" "&amp;IF(H11&gt;0,"▲ ORDER "&amp;H11&amp;" ROLLS",""))</f>
        <v/>
      </c>
      <c r="J11" s="16" t="str">
        <f aca="false">IF(D11&lt;0,"STOCKOUT",IF(D11&lt;$M$12,"below 2-box minimum",""))&amp;IF(G11&gt;$M$16," · storage &gt; "&amp;$M$16&amp;" rolls","")</f>
        <v/>
      </c>
      <c r="L11" s="7" t="s">
        <v>21</v>
      </c>
      <c r="M11" s="21" t="n">
        <v>2</v>
      </c>
      <c r="N11" s="18" t="s">
        <v>22</v>
      </c>
      <c r="T11" s="19" t="n">
        <f aca="false">ROW()-5</f>
        <v>6</v>
      </c>
      <c r="U11" s="20" t="str">
        <f aca="false">IF(D11&lt;0,A11,"")</f>
        <v/>
      </c>
    </row>
    <row r="12" customFormat="false" ht="15" hidden="false" customHeight="true" outlineLevel="0" collapsed="false">
      <c r="A12" s="9" t="n">
        <f aca="false">$M$5+(T12-1)*7</f>
        <v>46335</v>
      </c>
      <c r="B12" s="10" t="n">
        <f aca="false">D11</f>
        <v>1937</v>
      </c>
      <c r="C12" s="11" t="n">
        <f aca="false">IF(T12=$M$20,$M$8,0)+IF(T12&gt;$M$13,INDEX($E$6:E11,T12-$M$13)*$M$8,0)</f>
        <v>0</v>
      </c>
      <c r="D12" s="10" t="n">
        <f aca="false">B12+C12-$M$7</f>
        <v>1687</v>
      </c>
      <c r="E12" s="12" t="n">
        <f aca="false">IF(D12+IF(T12&lt;$M$20,$M$8,0)+$M$8*SUMPRODUCT(($T$6:T11&gt;T12-$M$13)*$E$6:E11)&lt;$M$17,1,0)</f>
        <v>0</v>
      </c>
      <c r="F12" s="13" t="str">
        <f aca="false">TRIM(IF(T12&lt;=$M$19,CHOOSE(MIN(T12,4),"Material shipping — PO-0 roll → Trotter ("&amp;$M$24&amp;" bd)","Receiving at Trotter — PO-0 roll ("&amp;$M$25&amp;" bd)","PRODUCTION — PO-0 cut &amp; ships this week ("&amp;$M$26&amp;" bd)","Shipping to us — PO-0 ("&amp;$M$27&amp;" bd, arrives ~"&amp;TEXT($M$28,"ddd m/d")&amp;")"),IF(T12=$M$20,"PO-0 received (Monday)",""))&amp;" "&amp;IF(SUMPRODUCT(($T$6:T11&gt;=T12-$M$13)*$E$6:E11*(T12-$T$6:T11))=0,"",IF(SUMPRODUCT(($T$6:T11&gt;=T12-$M$13)*$E$6:E11*(T12-$T$6:T11))=$M$13,"PO-"&amp;SUMPRODUCT(($T$6:T11&lt;=T12-SUMPRODUCT(($T$6:T11&gt;=T12-$M$13)*$E$6:E11*(T12-$T$6:T11)))*$E$6:E11)&amp;" received (Monday)",IF(SUMPRODUCT(($T$6:T11&gt;=T12-$M$13)*$E$6:E11*(T12-$T$6:T11))=$M$13-1,"Shipping to us — PO-"&amp;SUMPRODUCT(($T$6:T11&lt;=T12-SUMPRODUCT(($T$6:T11&gt;=T12-$M$13)*$E$6:E11*(T12-$T$6:T11)))*$E$6:E11)&amp;" ("&amp;$M$27&amp;" bd)",IF(SUMPRODUCT(($T$6:T11&gt;=T12-$M$13)*$E$6:E11*(T12-$T$6:T11))=$M$13-2,"PRODUCTION — PO-"&amp;SUMPRODUCT(($T$6:T11&lt;=T12-SUMPRODUCT(($T$6:T11&gt;=T12-$M$13)*$E$6:E11*(T12-$T$6:T11)))*$E$6:E11)&amp;" cut &amp; ships","PO-"&amp;SUMPRODUCT(($T$6:T11&lt;=T12-SUMPRODUCT(($T$6:T11&gt;=T12-$M$13)*$E$6:E11*(T12-$T$6:T11)))*$E$6:E11)&amp;" received &amp; scheduled at Trotter"))))&amp;" "&amp;IF(E12&gt;0,"▲ RELEASE cut PO-"&amp;SUMPRODUCT(($T$6:T12&lt;=T12)*$E$6:E12)&amp;IF($M$13&lt;=2," · PRODUCTION &amp; SHIPS this week",""),""))</f>
        <v/>
      </c>
      <c r="G12" s="14" t="n">
        <f aca="false">G11-E11+IF(T12=$M$22,$M$21,0)+IF(T12&gt;$M$14,INDEX($H$6:H11,T12-$M$14),0)</f>
        <v>1</v>
      </c>
      <c r="H12" s="12" t="n">
        <f aca="false">IF(G12-E12+IF(T12&lt;$M$22,$M$21,0)+SUMPRODUCT(($T$6:T11&gt;T12-$M$14)*$H$6:H11)&lt;=0,$M$15,0)</f>
        <v>0</v>
      </c>
      <c r="I12" s="15" t="str">
        <f aca="false">TRIM(IF(T12&lt;=$M$14,CHOOSE(MIN(T12,2),"Rolls shipping to Trotter (PO-0 order)","Trotter receiving our rolls"),"")&amp;" "&amp;IF(SUMPRODUCT(($T$6:T11&gt;=T12-$M$14)*($H$6:H11&gt;0)*(T12-$T$6:T11))=0,"",IF(SUMPRODUCT(($T$6:T11&gt;=T12-$M$14)*($H$6:H11&gt;0)*(T12-$T$6:T11))=$M$14,"Rolls received at Trotter","Rolls shipping to Trotter"))&amp;" "&amp;IF(H12&gt;0,"▲ ORDER "&amp;H12&amp;" ROLLS",""))</f>
        <v/>
      </c>
      <c r="J12" s="16" t="str">
        <f aca="false">IF(D12&lt;0,"STOCKOUT",IF(D12&lt;$M$12,"below 2-box minimum",""))&amp;IF(G12&gt;$M$16," · storage &gt; "&amp;$M$16&amp;" rolls","")</f>
        <v/>
      </c>
      <c r="L12" s="7" t="s">
        <v>23</v>
      </c>
      <c r="M12" s="23" t="n">
        <f aca="false">ROUND(M11*M10,0)</f>
        <v>867</v>
      </c>
      <c r="T12" s="19" t="n">
        <f aca="false">ROW()-5</f>
        <v>7</v>
      </c>
      <c r="U12" s="20" t="str">
        <f aca="false">IF(D12&lt;0,A12,"")</f>
        <v/>
      </c>
    </row>
    <row r="13" customFormat="false" ht="21.75" hidden="false" customHeight="true" outlineLevel="0" collapsed="false">
      <c r="A13" s="9" t="n">
        <f aca="false">$M$5+(T13-1)*7</f>
        <v>46342</v>
      </c>
      <c r="B13" s="10" t="n">
        <f aca="false">D12</f>
        <v>1687</v>
      </c>
      <c r="C13" s="11" t="n">
        <f aca="false">IF(T13=$M$20,$M$8,0)+IF(T13&gt;$M$13,INDEX($E$6:E12,T13-$M$13)*$M$8,0)</f>
        <v>0</v>
      </c>
      <c r="D13" s="10" t="n">
        <f aca="false">B13+C13-$M$7</f>
        <v>1437</v>
      </c>
      <c r="E13" s="12" t="n">
        <f aca="false">IF(D13+IF(T13&lt;$M$20,$M$8,0)+$M$8*SUMPRODUCT(($T$6:T12&gt;T13-$M$13)*$E$6:E12)&lt;$M$17,1,0)</f>
        <v>0</v>
      </c>
      <c r="F13" s="13" t="str">
        <f aca="false">TRIM(IF(T13&lt;=$M$19,CHOOSE(MIN(T13,4),"Material shipping — PO-0 roll → Trotter ("&amp;$M$24&amp;" bd)","Receiving at Trotter — PO-0 roll ("&amp;$M$25&amp;" bd)","PRODUCTION — PO-0 cut &amp; ships this week ("&amp;$M$26&amp;" bd)","Shipping to us — PO-0 ("&amp;$M$27&amp;" bd, arrives ~"&amp;TEXT($M$28,"ddd m/d")&amp;")"),IF(T13=$M$20,"PO-0 received (Monday)",""))&amp;" "&amp;IF(SUMPRODUCT(($T$6:T12&gt;=T13-$M$13)*$E$6:E12*(T13-$T$6:T12))=0,"",IF(SUMPRODUCT(($T$6:T12&gt;=T13-$M$13)*$E$6:E12*(T13-$T$6:T12))=$M$13,"PO-"&amp;SUMPRODUCT(($T$6:T12&lt;=T13-SUMPRODUCT(($T$6:T12&gt;=T13-$M$13)*$E$6:E12*(T13-$T$6:T12)))*$E$6:E12)&amp;" received (Monday)",IF(SUMPRODUCT(($T$6:T12&gt;=T13-$M$13)*$E$6:E12*(T13-$T$6:T12))=$M$13-1,"Shipping to us — PO-"&amp;SUMPRODUCT(($T$6:T12&lt;=T13-SUMPRODUCT(($T$6:T12&gt;=T13-$M$13)*$E$6:E12*(T13-$T$6:T12)))*$E$6:E12)&amp;" ("&amp;$M$27&amp;" bd)",IF(SUMPRODUCT(($T$6:T12&gt;=T13-$M$13)*$E$6:E12*(T13-$T$6:T12))=$M$13-2,"PRODUCTION — PO-"&amp;SUMPRODUCT(($T$6:T12&lt;=T13-SUMPRODUCT(($T$6:T12&gt;=T13-$M$13)*$E$6:E12*(T13-$T$6:T12)))*$E$6:E12)&amp;" cut &amp; ships","PO-"&amp;SUMPRODUCT(($T$6:T12&lt;=T13-SUMPRODUCT(($T$6:T12&gt;=T13-$M$13)*$E$6:E12*(T13-$T$6:T12)))*$E$6:E12)&amp;" received &amp; scheduled at Trotter"))))&amp;" "&amp;IF(E13&gt;0,"▲ RELEASE cut PO-"&amp;SUMPRODUCT(($T$6:T13&lt;=T13)*$E$6:E13)&amp;IF($M$13&lt;=2," · PRODUCTION &amp; SHIPS this week",""),""))</f>
        <v/>
      </c>
      <c r="G13" s="14" t="n">
        <f aca="false">G12-E12+IF(T13=$M$22,$M$21,0)+IF(T13&gt;$M$14,INDEX($H$6:H12,T13-$M$14),0)</f>
        <v>1</v>
      </c>
      <c r="H13" s="12" t="n">
        <f aca="false">IF(G13-E13+IF(T13&lt;$M$22,$M$21,0)+SUMPRODUCT(($T$6:T12&gt;T13-$M$14)*$H$6:H12)&lt;=0,$M$15,0)</f>
        <v>0</v>
      </c>
      <c r="I13" s="15" t="str">
        <f aca="false">TRIM(IF(T13&lt;=$M$14,CHOOSE(MIN(T13,2),"Rolls shipping to Trotter (PO-0 order)","Trotter receiving our rolls"),"")&amp;" "&amp;IF(SUMPRODUCT(($T$6:T12&gt;=T13-$M$14)*($H$6:H12&gt;0)*(T13-$T$6:T12))=0,"",IF(SUMPRODUCT(($T$6:T12&gt;=T13-$M$14)*($H$6:H12&gt;0)*(T13-$T$6:T12))=$M$14,"Rolls received at Trotter","Rolls shipping to Trotter"))&amp;" "&amp;IF(H13&gt;0,"▲ ORDER "&amp;H13&amp;" ROLLS",""))</f>
        <v/>
      </c>
      <c r="J13" s="16" t="str">
        <f aca="false">IF(D13&lt;0,"STOCKOUT",IF(D13&lt;$M$12,"below 2-box minimum",""))&amp;IF(G13&gt;$M$16," · storage &gt; "&amp;$M$16&amp;" rolls","")</f>
        <v/>
      </c>
      <c r="L13" s="7" t="s">
        <v>24</v>
      </c>
      <c r="M13" s="24" t="n">
        <f aca="false">ROUNDUP((M26+M27)/5,0)</f>
        <v>2</v>
      </c>
      <c r="N13" s="18" t="s">
        <v>25</v>
      </c>
      <c r="T13" s="19" t="n">
        <f aca="false">ROW()-5</f>
        <v>8</v>
      </c>
      <c r="U13" s="20" t="str">
        <f aca="false">IF(D13&lt;0,A13,"")</f>
        <v/>
      </c>
    </row>
    <row r="14" customFormat="false" ht="15" hidden="false" customHeight="true" outlineLevel="0" collapsed="false">
      <c r="A14" s="9" t="n">
        <f aca="false">$M$5+(T14-1)*7</f>
        <v>46349</v>
      </c>
      <c r="B14" s="10" t="n">
        <f aca="false">D13</f>
        <v>1437</v>
      </c>
      <c r="C14" s="11" t="n">
        <f aca="false">IF(T14=$M$20,$M$8,0)+IF(T14&gt;$M$13,INDEX($E$6:E13,T14-$M$13)*$M$8,0)</f>
        <v>0</v>
      </c>
      <c r="D14" s="10" t="n">
        <f aca="false">B14+C14-$M$7</f>
        <v>1187</v>
      </c>
      <c r="E14" s="12" t="n">
        <f aca="false">IF(D14+IF(T14&lt;$M$20,$M$8,0)+$M$8*SUMPRODUCT(($T$6:T13&gt;T14-$M$13)*$E$6:E13)&lt;$M$17,1,0)</f>
        <v>1</v>
      </c>
      <c r="F14" s="13" t="str">
        <f aca="false">TRIM(IF(T14&lt;=$M$19,CHOOSE(MIN(T14,4),"Material shipping — PO-0 roll → Trotter ("&amp;$M$24&amp;" bd)","Receiving at Trotter — PO-0 roll ("&amp;$M$25&amp;" bd)","PRODUCTION — PO-0 cut &amp; ships this week ("&amp;$M$26&amp;" bd)","Shipping to us — PO-0 ("&amp;$M$27&amp;" bd, arrives ~"&amp;TEXT($M$28,"ddd m/d")&amp;")"),IF(T14=$M$20,"PO-0 received (Monday)",""))&amp;" "&amp;IF(SUMPRODUCT(($T$6:T13&gt;=T14-$M$13)*$E$6:E13*(T14-$T$6:T13))=0,"",IF(SUMPRODUCT(($T$6:T13&gt;=T14-$M$13)*$E$6:E13*(T14-$T$6:T13))=$M$13,"PO-"&amp;SUMPRODUCT(($T$6:T13&lt;=T14-SUMPRODUCT(($T$6:T13&gt;=T14-$M$13)*$E$6:E13*(T14-$T$6:T13)))*$E$6:E13)&amp;" received (Monday)",IF(SUMPRODUCT(($T$6:T13&gt;=T14-$M$13)*$E$6:E13*(T14-$T$6:T13))=$M$13-1,"Shipping to us — PO-"&amp;SUMPRODUCT(($T$6:T13&lt;=T14-SUMPRODUCT(($T$6:T13&gt;=T14-$M$13)*$E$6:E13*(T14-$T$6:T13)))*$E$6:E13)&amp;" ("&amp;$M$27&amp;" bd)",IF(SUMPRODUCT(($T$6:T13&gt;=T14-$M$13)*$E$6:E13*(T14-$T$6:T13))=$M$13-2,"PRODUCTION — PO-"&amp;SUMPRODUCT(($T$6:T13&lt;=T14-SUMPRODUCT(($T$6:T13&gt;=T14-$M$13)*$E$6:E13*(T14-$T$6:T13)))*$E$6:E13)&amp;" cut &amp; ships","PO-"&amp;SUMPRODUCT(($T$6:T13&lt;=T14-SUMPRODUCT(($T$6:T13&gt;=T14-$M$13)*$E$6:E13*(T14-$T$6:T13)))*$E$6:E13)&amp;" received &amp; scheduled at Trotter"))))&amp;" "&amp;IF(E14&gt;0,"▲ RELEASE cut PO-"&amp;SUMPRODUCT(($T$6:T14&lt;=T14)*$E$6:E14)&amp;IF($M$13&lt;=2," · PRODUCTION &amp; SHIPS this week",""),""))</f>
        <v>▲ RELEASE cut PO-2 · PRODUCTION &amp; SHIPS this week</v>
      </c>
      <c r="G14" s="14" t="n">
        <f aca="false">G13-E13+IF(T14=$M$22,$M$21,0)+IF(T14&gt;$M$14,INDEX($H$6:H13,T14-$M$14),0)</f>
        <v>1</v>
      </c>
      <c r="H14" s="12" t="n">
        <f aca="false">IF(G14-E14+IF(T14&lt;$M$22,$M$21,0)+SUMPRODUCT(($T$6:T13&gt;T14-$M$14)*$H$6:H13)&lt;=0,$M$15,0)</f>
        <v>2</v>
      </c>
      <c r="I14" s="15" t="str">
        <f aca="false">TRIM(IF(T14&lt;=$M$14,CHOOSE(MIN(T14,2),"Rolls shipping to Trotter (PO-0 order)","Trotter receiving our rolls"),"")&amp;" "&amp;IF(SUMPRODUCT(($T$6:T13&gt;=T14-$M$14)*($H$6:H13&gt;0)*(T14-$T$6:T13))=0,"",IF(SUMPRODUCT(($T$6:T13&gt;=T14-$M$14)*($H$6:H13&gt;0)*(T14-$T$6:T13))=$M$14,"Rolls received at Trotter","Rolls shipping to Trotter"))&amp;" "&amp;IF(H14&gt;0,"▲ ORDER "&amp;H14&amp;" ROLLS",""))</f>
        <v>▲ ORDER 2 ROLLS</v>
      </c>
      <c r="J14" s="16" t="str">
        <f aca="false">IF(D14&lt;0,"STOCKOUT",IF(D14&lt;$M$12,"below 2-box minimum",""))&amp;IF(G14&gt;$M$16," · storage &gt; "&amp;$M$16&amp;" rolls","")</f>
        <v/>
      </c>
      <c r="L14" s="7" t="s">
        <v>26</v>
      </c>
      <c r="M14" s="24" t="n">
        <f aca="false">ROUNDUP((M24+M25)/5,0)</f>
        <v>2</v>
      </c>
      <c r="N14" s="18" t="s">
        <v>27</v>
      </c>
      <c r="T14" s="19" t="n">
        <f aca="false">ROW()-5</f>
        <v>9</v>
      </c>
      <c r="U14" s="20" t="str">
        <f aca="false">IF(D14&lt;0,A14,"")</f>
        <v/>
      </c>
    </row>
    <row r="15" customFormat="false" ht="15" hidden="false" customHeight="true" outlineLevel="0" collapsed="false">
      <c r="A15" s="9" t="n">
        <f aca="false">$M$5+(T15-1)*7</f>
        <v>46356</v>
      </c>
      <c r="B15" s="10" t="n">
        <f aca="false">D14</f>
        <v>1187</v>
      </c>
      <c r="C15" s="11" t="n">
        <f aca="false">IF(T15=$M$20,$M$8,0)+IF(T15&gt;$M$13,INDEX($E$6:E14,T15-$M$13)*$M$8,0)</f>
        <v>0</v>
      </c>
      <c r="D15" s="10" t="n">
        <f aca="false">B15+C15-$M$7</f>
        <v>937</v>
      </c>
      <c r="E15" s="12" t="n">
        <f aca="false">IF(D15+IF(T15&lt;$M$20,$M$8,0)+$M$8*SUMPRODUCT(($T$6:T14&gt;T15-$M$13)*$E$6:E14)&lt;$M$17,1,0)</f>
        <v>0</v>
      </c>
      <c r="F15" s="13" t="str">
        <f aca="false">TRIM(IF(T15&lt;=$M$19,CHOOSE(MIN(T15,4),"Material shipping — PO-0 roll → Trotter ("&amp;$M$24&amp;" bd)","Receiving at Trotter — PO-0 roll ("&amp;$M$25&amp;" bd)","PRODUCTION — PO-0 cut &amp; ships this week ("&amp;$M$26&amp;" bd)","Shipping to us — PO-0 ("&amp;$M$27&amp;" bd, arrives ~"&amp;TEXT($M$28,"ddd m/d")&amp;")"),IF(T15=$M$20,"PO-0 received (Monday)",""))&amp;" "&amp;IF(SUMPRODUCT(($T$6:T14&gt;=T15-$M$13)*$E$6:E14*(T15-$T$6:T14))=0,"",IF(SUMPRODUCT(($T$6:T14&gt;=T15-$M$13)*$E$6:E14*(T15-$T$6:T14))=$M$13,"PO-"&amp;SUMPRODUCT(($T$6:T14&lt;=T15-SUMPRODUCT(($T$6:T14&gt;=T15-$M$13)*$E$6:E14*(T15-$T$6:T14)))*$E$6:E14)&amp;" received (Monday)",IF(SUMPRODUCT(($T$6:T14&gt;=T15-$M$13)*$E$6:E14*(T15-$T$6:T14))=$M$13-1,"Shipping to us — PO-"&amp;SUMPRODUCT(($T$6:T14&lt;=T15-SUMPRODUCT(($T$6:T14&gt;=T15-$M$13)*$E$6:E14*(T15-$T$6:T14)))*$E$6:E14)&amp;" ("&amp;$M$27&amp;" bd)",IF(SUMPRODUCT(($T$6:T14&gt;=T15-$M$13)*$E$6:E14*(T15-$T$6:T14))=$M$13-2,"PRODUCTION — PO-"&amp;SUMPRODUCT(($T$6:T14&lt;=T15-SUMPRODUCT(($T$6:T14&gt;=T15-$M$13)*$E$6:E14*(T15-$T$6:T14)))*$E$6:E14)&amp;" cut &amp; ships","PO-"&amp;SUMPRODUCT(($T$6:T14&lt;=T15-SUMPRODUCT(($T$6:T14&gt;=T15-$M$13)*$E$6:E14*(T15-$T$6:T14)))*$E$6:E14)&amp;" received &amp; scheduled at Trotter"))))&amp;" "&amp;IF(E15&gt;0,"▲ RELEASE cut PO-"&amp;SUMPRODUCT(($T$6:T15&lt;=T15)*$E$6:E15)&amp;IF($M$13&lt;=2," · PRODUCTION &amp; SHIPS this week",""),""))</f>
        <v>Shipping to us — PO-2 (5 bd)</v>
      </c>
      <c r="G15" s="14" t="n">
        <f aca="false">G14-E14+IF(T15=$M$22,$M$21,0)+IF(T15&gt;$M$14,INDEX($H$6:H14,T15-$M$14),0)</f>
        <v>0</v>
      </c>
      <c r="H15" s="12" t="n">
        <f aca="false">IF(G15-E15+IF(T15&lt;$M$22,$M$21,0)+SUMPRODUCT(($T$6:T14&gt;T15-$M$14)*$H$6:H14)&lt;=0,$M$15,0)</f>
        <v>0</v>
      </c>
      <c r="I15" s="15" t="str">
        <f aca="false">TRIM(IF(T15&lt;=$M$14,CHOOSE(MIN(T15,2),"Rolls shipping to Trotter (PO-0 order)","Trotter receiving our rolls"),"")&amp;" "&amp;IF(SUMPRODUCT(($T$6:T14&gt;=T15-$M$14)*($H$6:H14&gt;0)*(T15-$T$6:T14))=0,"",IF(SUMPRODUCT(($T$6:T14&gt;=T15-$M$14)*($H$6:H14&gt;0)*(T15-$T$6:T14))=$M$14,"Rolls received at Trotter","Rolls shipping to Trotter"))&amp;" "&amp;IF(H15&gt;0,"▲ ORDER "&amp;H15&amp;" ROLLS",""))</f>
        <v>Rolls shipping to Trotter</v>
      </c>
      <c r="J15" s="16" t="str">
        <f aca="false">IF(D15&lt;0,"STOCKOUT",IF(D15&lt;$M$12,"below 2-box minimum",""))&amp;IF(G15&gt;$M$16," · storage &gt; "&amp;$M$16&amp;" rolls","")</f>
        <v/>
      </c>
      <c r="L15" s="7" t="s">
        <v>28</v>
      </c>
      <c r="M15" s="21" t="n">
        <v>2</v>
      </c>
      <c r="N15" s="18" t="s">
        <v>29</v>
      </c>
      <c r="T15" s="19" t="n">
        <f aca="false">ROW()-5</f>
        <v>10</v>
      </c>
      <c r="U15" s="20" t="str">
        <f aca="false">IF(D15&lt;0,A15,"")</f>
        <v/>
      </c>
    </row>
    <row r="16" customFormat="false" ht="15" hidden="false" customHeight="true" outlineLevel="0" collapsed="false">
      <c r="A16" s="9" t="n">
        <f aca="false">$M$5+(T16-1)*7</f>
        <v>46363</v>
      </c>
      <c r="B16" s="10" t="n">
        <f aca="false">D15</f>
        <v>937</v>
      </c>
      <c r="C16" s="11" t="n">
        <f aca="false">IF(T16=$M$20,$M$8,0)+IF(T16&gt;$M$13,INDEX($E$6:E15,T16-$M$13)*$M$8,0)</f>
        <v>1300</v>
      </c>
      <c r="D16" s="10" t="n">
        <f aca="false">B16+C16-$M$7</f>
        <v>1987</v>
      </c>
      <c r="E16" s="12" t="n">
        <f aca="false">IF(D16+IF(T16&lt;$M$20,$M$8,0)+$M$8*SUMPRODUCT(($T$6:T15&gt;T16-$M$13)*$E$6:E15)&lt;$M$17,1,0)</f>
        <v>0</v>
      </c>
      <c r="F16" s="13" t="str">
        <f aca="false">TRIM(IF(T16&lt;=$M$19,CHOOSE(MIN(T16,4),"Material shipping — PO-0 roll → Trotter ("&amp;$M$24&amp;" bd)","Receiving at Trotter — PO-0 roll ("&amp;$M$25&amp;" bd)","PRODUCTION — PO-0 cut &amp; ships this week ("&amp;$M$26&amp;" bd)","Shipping to us — PO-0 ("&amp;$M$27&amp;" bd, arrives ~"&amp;TEXT($M$28,"ddd m/d")&amp;")"),IF(T16=$M$20,"PO-0 received (Monday)",""))&amp;" "&amp;IF(SUMPRODUCT(($T$6:T15&gt;=T16-$M$13)*$E$6:E15*(T16-$T$6:T15))=0,"",IF(SUMPRODUCT(($T$6:T15&gt;=T16-$M$13)*$E$6:E15*(T16-$T$6:T15))=$M$13,"PO-"&amp;SUMPRODUCT(($T$6:T15&lt;=T16-SUMPRODUCT(($T$6:T15&gt;=T16-$M$13)*$E$6:E15*(T16-$T$6:T15)))*$E$6:E15)&amp;" received (Monday)",IF(SUMPRODUCT(($T$6:T15&gt;=T16-$M$13)*$E$6:E15*(T16-$T$6:T15))=$M$13-1,"Shipping to us — PO-"&amp;SUMPRODUCT(($T$6:T15&lt;=T16-SUMPRODUCT(($T$6:T15&gt;=T16-$M$13)*$E$6:E15*(T16-$T$6:T15)))*$E$6:E15)&amp;" ("&amp;$M$27&amp;" bd)",IF(SUMPRODUCT(($T$6:T15&gt;=T16-$M$13)*$E$6:E15*(T16-$T$6:T15))=$M$13-2,"PRODUCTION — PO-"&amp;SUMPRODUCT(($T$6:T15&lt;=T16-SUMPRODUCT(($T$6:T15&gt;=T16-$M$13)*$E$6:E15*(T16-$T$6:T15)))*$E$6:E15)&amp;" cut &amp; ships","PO-"&amp;SUMPRODUCT(($T$6:T15&lt;=T16-SUMPRODUCT(($T$6:T15&gt;=T16-$M$13)*$E$6:E15*(T16-$T$6:T15)))*$E$6:E15)&amp;" received &amp; scheduled at Trotter"))))&amp;" "&amp;IF(E16&gt;0,"▲ RELEASE cut PO-"&amp;SUMPRODUCT(($T$6:T16&lt;=T16)*$E$6:E16)&amp;IF($M$13&lt;=2," · PRODUCTION &amp; SHIPS this week",""),""))</f>
        <v>PO-2 received (Monday)</v>
      </c>
      <c r="G16" s="14" t="n">
        <f aca="false">G15-E15+IF(T16=$M$22,$M$21,0)+IF(T16&gt;$M$14,INDEX($H$6:H15,T16-$M$14),0)</f>
        <v>2</v>
      </c>
      <c r="H16" s="12" t="n">
        <f aca="false">IF(G16-E16+IF(T16&lt;$M$22,$M$21,0)+SUMPRODUCT(($T$6:T15&gt;T16-$M$14)*$H$6:H15)&lt;=0,$M$15,0)</f>
        <v>0</v>
      </c>
      <c r="I16" s="15" t="str">
        <f aca="false">TRIM(IF(T16&lt;=$M$14,CHOOSE(MIN(T16,2),"Rolls shipping to Trotter (PO-0 order)","Trotter receiving our rolls"),"")&amp;" "&amp;IF(SUMPRODUCT(($T$6:T15&gt;=T16-$M$14)*($H$6:H15&gt;0)*(T16-$T$6:T15))=0,"",IF(SUMPRODUCT(($T$6:T15&gt;=T16-$M$14)*($H$6:H15&gt;0)*(T16-$T$6:T15))=$M$14,"Rolls received at Trotter","Rolls shipping to Trotter"))&amp;" "&amp;IF(H16&gt;0,"▲ ORDER "&amp;H16&amp;" ROLLS",""))</f>
        <v>Rolls received at Trotter</v>
      </c>
      <c r="J16" s="16" t="str">
        <f aca="false">IF(D16&lt;0,"STOCKOUT",IF(D16&lt;$M$12,"below 2-box minimum",""))&amp;IF(G16&gt;$M$16," · storage &gt; "&amp;$M$16&amp;" rolls","")</f>
        <v/>
      </c>
      <c r="L16" s="7" t="s">
        <v>30</v>
      </c>
      <c r="M16" s="21" t="n">
        <v>3</v>
      </c>
      <c r="N16" s="18" t="s">
        <v>31</v>
      </c>
      <c r="T16" s="19" t="n">
        <f aca="false">ROW()-5</f>
        <v>11</v>
      </c>
      <c r="U16" s="20" t="str">
        <f aca="false">IF(D16&lt;0,A16,"")</f>
        <v/>
      </c>
    </row>
    <row r="17" customFormat="false" ht="15" hidden="false" customHeight="true" outlineLevel="0" collapsed="false">
      <c r="A17" s="9" t="n">
        <f aca="false">$M$5+(T17-1)*7</f>
        <v>46370</v>
      </c>
      <c r="B17" s="10" t="n">
        <f aca="false">D16</f>
        <v>1987</v>
      </c>
      <c r="C17" s="11" t="n">
        <f aca="false">IF(T17=$M$20,$M$8,0)+IF(T17&gt;$M$13,INDEX($E$6:E16,T17-$M$13)*$M$8,0)</f>
        <v>0</v>
      </c>
      <c r="D17" s="10" t="n">
        <f aca="false">B17+C17-$M$7</f>
        <v>1737</v>
      </c>
      <c r="E17" s="12" t="n">
        <f aca="false">IF(D17+IF(T17&lt;$M$20,$M$8,0)+$M$8*SUMPRODUCT(($T$6:T16&gt;T17-$M$13)*$E$6:E16)&lt;$M$17,1,0)</f>
        <v>0</v>
      </c>
      <c r="F17" s="13" t="str">
        <f aca="false">TRIM(IF(T17&lt;=$M$19,CHOOSE(MIN(T17,4),"Material shipping — PO-0 roll → Trotter ("&amp;$M$24&amp;" bd)","Receiving at Trotter — PO-0 roll ("&amp;$M$25&amp;" bd)","PRODUCTION — PO-0 cut &amp; ships this week ("&amp;$M$26&amp;" bd)","Shipping to us — PO-0 ("&amp;$M$27&amp;" bd, arrives ~"&amp;TEXT($M$28,"ddd m/d")&amp;")"),IF(T17=$M$20,"PO-0 received (Monday)",""))&amp;" "&amp;IF(SUMPRODUCT(($T$6:T16&gt;=T17-$M$13)*$E$6:E16*(T17-$T$6:T16))=0,"",IF(SUMPRODUCT(($T$6:T16&gt;=T17-$M$13)*$E$6:E16*(T17-$T$6:T16))=$M$13,"PO-"&amp;SUMPRODUCT(($T$6:T16&lt;=T17-SUMPRODUCT(($T$6:T16&gt;=T17-$M$13)*$E$6:E16*(T17-$T$6:T16)))*$E$6:E16)&amp;" received (Monday)",IF(SUMPRODUCT(($T$6:T16&gt;=T17-$M$13)*$E$6:E16*(T17-$T$6:T16))=$M$13-1,"Shipping to us — PO-"&amp;SUMPRODUCT(($T$6:T16&lt;=T17-SUMPRODUCT(($T$6:T16&gt;=T17-$M$13)*$E$6:E16*(T17-$T$6:T16)))*$E$6:E16)&amp;" ("&amp;$M$27&amp;" bd)",IF(SUMPRODUCT(($T$6:T16&gt;=T17-$M$13)*$E$6:E16*(T17-$T$6:T16))=$M$13-2,"PRODUCTION — PO-"&amp;SUMPRODUCT(($T$6:T16&lt;=T17-SUMPRODUCT(($T$6:T16&gt;=T17-$M$13)*$E$6:E16*(T17-$T$6:T16)))*$E$6:E16)&amp;" cut &amp; ships","PO-"&amp;SUMPRODUCT(($T$6:T16&lt;=T17-SUMPRODUCT(($T$6:T16&gt;=T17-$M$13)*$E$6:E16*(T17-$T$6:T16)))*$E$6:E16)&amp;" received &amp; scheduled at Trotter"))))&amp;" "&amp;IF(E17&gt;0,"▲ RELEASE cut PO-"&amp;SUMPRODUCT(($T$6:T17&lt;=T17)*$E$6:E17)&amp;IF($M$13&lt;=2," · PRODUCTION &amp; SHIPS this week",""),""))</f>
        <v/>
      </c>
      <c r="G17" s="14" t="n">
        <f aca="false">G16-E16+IF(T17=$M$22,$M$21,0)+IF(T17&gt;$M$14,INDEX($H$6:H16,T17-$M$14),0)</f>
        <v>2</v>
      </c>
      <c r="H17" s="12" t="n">
        <f aca="false">IF(G17-E17+IF(T17&lt;$M$22,$M$21,0)+SUMPRODUCT(($T$6:T16&gt;T17-$M$14)*$H$6:H16)&lt;=0,$M$15,0)</f>
        <v>0</v>
      </c>
      <c r="I17" s="15" t="str">
        <f aca="false">TRIM(IF(T17&lt;=$M$14,CHOOSE(MIN(T17,2),"Rolls shipping to Trotter (PO-0 order)","Trotter receiving our rolls"),"")&amp;" "&amp;IF(SUMPRODUCT(($T$6:T16&gt;=T17-$M$14)*($H$6:H16&gt;0)*(T17-$T$6:T16))=0,"",IF(SUMPRODUCT(($T$6:T16&gt;=T17-$M$14)*($H$6:H16&gt;0)*(T17-$T$6:T16))=$M$14,"Rolls received at Trotter","Rolls shipping to Trotter"))&amp;" "&amp;IF(H17&gt;0,"▲ ORDER "&amp;H17&amp;" ROLLS",""))</f>
        <v/>
      </c>
      <c r="J17" s="16" t="str">
        <f aca="false">IF(D17&lt;0,"STOCKOUT",IF(D17&lt;$M$12,"below 2-box minimum",""))&amp;IF(G17&gt;$M$16," · storage &gt; "&amp;$M$16&amp;" rolls","")</f>
        <v/>
      </c>
      <c r="L17" s="25" t="s">
        <v>32</v>
      </c>
      <c r="M17" s="26" t="n">
        <f aca="false">M13*M7+M12</f>
        <v>1367</v>
      </c>
      <c r="N17" s="18" t="s">
        <v>33</v>
      </c>
      <c r="T17" s="19" t="n">
        <f aca="false">ROW()-5</f>
        <v>12</v>
      </c>
      <c r="U17" s="20" t="str">
        <f aca="false">IF(D17&lt;0,A17,"")</f>
        <v/>
      </c>
    </row>
    <row r="18" customFormat="false" ht="15" hidden="false" customHeight="true" outlineLevel="0" collapsed="false">
      <c r="A18" s="9" t="n">
        <f aca="false">$M$5+(T18-1)*7</f>
        <v>46377</v>
      </c>
      <c r="B18" s="10" t="n">
        <f aca="false">D17</f>
        <v>1737</v>
      </c>
      <c r="C18" s="11" t="n">
        <f aca="false">IF(T18=$M$20,$M$8,0)+IF(T18&gt;$M$13,INDEX($E$6:E17,T18-$M$13)*$M$8,0)</f>
        <v>0</v>
      </c>
      <c r="D18" s="10" t="n">
        <f aca="false">B18+C18-$M$7</f>
        <v>1487</v>
      </c>
      <c r="E18" s="12" t="n">
        <f aca="false">IF(D18+IF(T18&lt;$M$20,$M$8,0)+$M$8*SUMPRODUCT(($T$6:T17&gt;T18-$M$13)*$E$6:E17)&lt;$M$17,1,0)</f>
        <v>0</v>
      </c>
      <c r="F18" s="13" t="str">
        <f aca="false">TRIM(IF(T18&lt;=$M$19,CHOOSE(MIN(T18,4),"Material shipping — PO-0 roll → Trotter ("&amp;$M$24&amp;" bd)","Receiving at Trotter — PO-0 roll ("&amp;$M$25&amp;" bd)","PRODUCTION — PO-0 cut &amp; ships this week ("&amp;$M$26&amp;" bd)","Shipping to us — PO-0 ("&amp;$M$27&amp;" bd, arrives ~"&amp;TEXT($M$28,"ddd m/d")&amp;")"),IF(T18=$M$20,"PO-0 received (Monday)",""))&amp;" "&amp;IF(SUMPRODUCT(($T$6:T17&gt;=T18-$M$13)*$E$6:E17*(T18-$T$6:T17))=0,"",IF(SUMPRODUCT(($T$6:T17&gt;=T18-$M$13)*$E$6:E17*(T18-$T$6:T17))=$M$13,"PO-"&amp;SUMPRODUCT(($T$6:T17&lt;=T18-SUMPRODUCT(($T$6:T17&gt;=T18-$M$13)*$E$6:E17*(T18-$T$6:T17)))*$E$6:E17)&amp;" received (Monday)",IF(SUMPRODUCT(($T$6:T17&gt;=T18-$M$13)*$E$6:E17*(T18-$T$6:T17))=$M$13-1,"Shipping to us — PO-"&amp;SUMPRODUCT(($T$6:T17&lt;=T18-SUMPRODUCT(($T$6:T17&gt;=T18-$M$13)*$E$6:E17*(T18-$T$6:T17)))*$E$6:E17)&amp;" ("&amp;$M$27&amp;" bd)",IF(SUMPRODUCT(($T$6:T17&gt;=T18-$M$13)*$E$6:E17*(T18-$T$6:T17))=$M$13-2,"PRODUCTION — PO-"&amp;SUMPRODUCT(($T$6:T17&lt;=T18-SUMPRODUCT(($T$6:T17&gt;=T18-$M$13)*$E$6:E17*(T18-$T$6:T17)))*$E$6:E17)&amp;" cut &amp; ships","PO-"&amp;SUMPRODUCT(($T$6:T17&lt;=T18-SUMPRODUCT(($T$6:T17&gt;=T18-$M$13)*$E$6:E17*(T18-$T$6:T17)))*$E$6:E17)&amp;" received &amp; scheduled at Trotter"))))&amp;" "&amp;IF(E18&gt;0,"▲ RELEASE cut PO-"&amp;SUMPRODUCT(($T$6:T18&lt;=T18)*$E$6:E18)&amp;IF($M$13&lt;=2," · PRODUCTION &amp; SHIPS this week",""),""))</f>
        <v/>
      </c>
      <c r="G18" s="14" t="n">
        <f aca="false">G17-E17+IF(T18=$M$22,$M$21,0)+IF(T18&gt;$M$14,INDEX($H$6:H17,T18-$M$14),0)</f>
        <v>2</v>
      </c>
      <c r="H18" s="12" t="n">
        <f aca="false">IF(G18-E18+IF(T18&lt;$M$22,$M$21,0)+SUMPRODUCT(($T$6:T17&gt;T18-$M$14)*$H$6:H17)&lt;=0,$M$15,0)</f>
        <v>0</v>
      </c>
      <c r="I18" s="15" t="str">
        <f aca="false">TRIM(IF(T18&lt;=$M$14,CHOOSE(MIN(T18,2),"Rolls shipping to Trotter (PO-0 order)","Trotter receiving our rolls"),"")&amp;" "&amp;IF(SUMPRODUCT(($T$6:T17&gt;=T18-$M$14)*($H$6:H17&gt;0)*(T18-$T$6:T17))=0,"",IF(SUMPRODUCT(($T$6:T17&gt;=T18-$M$14)*($H$6:H17&gt;0)*(T18-$T$6:T17))=$M$14,"Rolls received at Trotter","Rolls shipping to Trotter"))&amp;" "&amp;IF(H18&gt;0,"▲ ORDER "&amp;H18&amp;" ROLLS",""))</f>
        <v/>
      </c>
      <c r="J18" s="16" t="str">
        <f aca="false">IF(D18&lt;0,"STOCKOUT",IF(D18&lt;$M$12,"below 2-box minimum",""))&amp;IF(G18&gt;$M$16," · storage &gt; "&amp;$M$16&amp;" rolls","")</f>
        <v/>
      </c>
      <c r="L18" s="7" t="s">
        <v>34</v>
      </c>
      <c r="M18" s="27" t="n">
        <f aca="false">Inputs!B55</f>
        <v>46293</v>
      </c>
      <c r="N18" s="18" t="s">
        <v>35</v>
      </c>
      <c r="T18" s="19" t="n">
        <f aca="false">ROW()-5</f>
        <v>13</v>
      </c>
      <c r="U18" s="20" t="str">
        <f aca="false">IF(D18&lt;0,A18,"")</f>
        <v/>
      </c>
    </row>
    <row r="19" customFormat="false" ht="15" hidden="false" customHeight="true" outlineLevel="0" collapsed="false">
      <c r="A19" s="9" t="n">
        <f aca="false">$M$5+(T19-1)*7</f>
        <v>46384</v>
      </c>
      <c r="B19" s="10" t="n">
        <f aca="false">D18</f>
        <v>1487</v>
      </c>
      <c r="C19" s="11" t="n">
        <f aca="false">IF(T19=$M$20,$M$8,0)+IF(T19&gt;$M$13,INDEX($E$6:E18,T19-$M$13)*$M$8,0)</f>
        <v>0</v>
      </c>
      <c r="D19" s="10" t="n">
        <f aca="false">B19+C19-$M$7</f>
        <v>1237</v>
      </c>
      <c r="E19" s="12" t="n">
        <f aca="false">IF(D19+IF(T19&lt;$M$20,$M$8,0)+$M$8*SUMPRODUCT(($T$6:T18&gt;T19-$M$13)*$E$6:E18)&lt;$M$17,1,0)</f>
        <v>1</v>
      </c>
      <c r="F19" s="13" t="str">
        <f aca="false">TRIM(IF(T19&lt;=$M$19,CHOOSE(MIN(T19,4),"Material shipping — PO-0 roll → Trotter ("&amp;$M$24&amp;" bd)","Receiving at Trotter — PO-0 roll ("&amp;$M$25&amp;" bd)","PRODUCTION — PO-0 cut &amp; ships this week ("&amp;$M$26&amp;" bd)","Shipping to us — PO-0 ("&amp;$M$27&amp;" bd, arrives ~"&amp;TEXT($M$28,"ddd m/d")&amp;")"),IF(T19=$M$20,"PO-0 received (Monday)",""))&amp;" "&amp;IF(SUMPRODUCT(($T$6:T18&gt;=T19-$M$13)*$E$6:E18*(T19-$T$6:T18))=0,"",IF(SUMPRODUCT(($T$6:T18&gt;=T19-$M$13)*$E$6:E18*(T19-$T$6:T18))=$M$13,"PO-"&amp;SUMPRODUCT(($T$6:T18&lt;=T19-SUMPRODUCT(($T$6:T18&gt;=T19-$M$13)*$E$6:E18*(T19-$T$6:T18)))*$E$6:E18)&amp;" received (Monday)",IF(SUMPRODUCT(($T$6:T18&gt;=T19-$M$13)*$E$6:E18*(T19-$T$6:T18))=$M$13-1,"Shipping to us — PO-"&amp;SUMPRODUCT(($T$6:T18&lt;=T19-SUMPRODUCT(($T$6:T18&gt;=T19-$M$13)*$E$6:E18*(T19-$T$6:T18)))*$E$6:E18)&amp;" ("&amp;$M$27&amp;" bd)",IF(SUMPRODUCT(($T$6:T18&gt;=T19-$M$13)*$E$6:E18*(T19-$T$6:T18))=$M$13-2,"PRODUCTION — PO-"&amp;SUMPRODUCT(($T$6:T18&lt;=T19-SUMPRODUCT(($T$6:T18&gt;=T19-$M$13)*$E$6:E18*(T19-$T$6:T18)))*$E$6:E18)&amp;" cut &amp; ships","PO-"&amp;SUMPRODUCT(($T$6:T18&lt;=T19-SUMPRODUCT(($T$6:T18&gt;=T19-$M$13)*$E$6:E18*(T19-$T$6:T18)))*$E$6:E18)&amp;" received &amp; scheduled at Trotter"))))&amp;" "&amp;IF(E19&gt;0,"▲ RELEASE cut PO-"&amp;SUMPRODUCT(($T$6:T19&lt;=T19)*$E$6:E19)&amp;IF($M$13&lt;=2," · PRODUCTION &amp; SHIPS this week",""),""))</f>
        <v>▲ RELEASE cut PO-3 · PRODUCTION &amp; SHIPS this week</v>
      </c>
      <c r="G19" s="14" t="n">
        <f aca="false">G18-E18+IF(T19=$M$22,$M$21,0)+IF(T19&gt;$M$14,INDEX($H$6:H18,T19-$M$14),0)</f>
        <v>2</v>
      </c>
      <c r="H19" s="12" t="n">
        <f aca="false">IF(G19-E19+IF(T19&lt;$M$22,$M$21,0)+SUMPRODUCT(($T$6:T18&gt;T19-$M$14)*$H$6:H18)&lt;=0,$M$15,0)</f>
        <v>0</v>
      </c>
      <c r="I19" s="15" t="str">
        <f aca="false">TRIM(IF(T19&lt;=$M$14,CHOOSE(MIN(T19,2),"Rolls shipping to Trotter (PO-0 order)","Trotter receiving our rolls"),"")&amp;" "&amp;IF(SUMPRODUCT(($T$6:T18&gt;=T19-$M$14)*($H$6:H18&gt;0)*(T19-$T$6:T18))=0,"",IF(SUMPRODUCT(($T$6:T18&gt;=T19-$M$14)*($H$6:H18&gt;0)*(T19-$T$6:T18))=$M$14,"Rolls received at Trotter","Rolls shipping to Trotter"))&amp;" "&amp;IF(H19&gt;0,"▲ ORDER "&amp;H19&amp;" ROLLS",""))</f>
        <v/>
      </c>
      <c r="J19" s="16" t="str">
        <f aca="false">IF(D19&lt;0,"STOCKOUT",IF(D19&lt;$M$12,"below 2-box minimum",""))&amp;IF(G19&gt;$M$16," · storage &gt; "&amp;$M$16&amp;" rolls","")</f>
        <v/>
      </c>
      <c r="L19" s="7" t="s">
        <v>36</v>
      </c>
      <c r="M19" s="24" t="n">
        <f aca="false">ROUNDUP((M24+M25+M26+M27)/5,0)</f>
        <v>4</v>
      </c>
      <c r="N19" s="18" t="s">
        <v>37</v>
      </c>
      <c r="T19" s="19" t="n">
        <f aca="false">ROW()-5</f>
        <v>14</v>
      </c>
      <c r="U19" s="20" t="str">
        <f aca="false">IF(D19&lt;0,A19,"")</f>
        <v/>
      </c>
    </row>
    <row r="20" customFormat="false" ht="15" hidden="false" customHeight="true" outlineLevel="0" collapsed="false">
      <c r="A20" s="9" t="n">
        <f aca="false">$M$5+(T20-1)*7</f>
        <v>46391</v>
      </c>
      <c r="B20" s="10" t="n">
        <f aca="false">D19</f>
        <v>1237</v>
      </c>
      <c r="C20" s="11" t="n">
        <f aca="false">IF(T20=$M$20,$M$8,0)+IF(T20&gt;$M$13,INDEX($E$6:E19,T20-$M$13)*$M$8,0)</f>
        <v>0</v>
      </c>
      <c r="D20" s="10" t="n">
        <f aca="false">B20+C20-$M$7</f>
        <v>987</v>
      </c>
      <c r="E20" s="12" t="n">
        <f aca="false">IF(D20+IF(T20&lt;$M$20,$M$8,0)+$M$8*SUMPRODUCT(($T$6:T19&gt;T20-$M$13)*$E$6:E19)&lt;$M$17,1,0)</f>
        <v>0</v>
      </c>
      <c r="F20" s="13" t="str">
        <f aca="false">TRIM(IF(T20&lt;=$M$19,CHOOSE(MIN(T20,4),"Material shipping — PO-0 roll → Trotter ("&amp;$M$24&amp;" bd)","Receiving at Trotter — PO-0 roll ("&amp;$M$25&amp;" bd)","PRODUCTION — PO-0 cut &amp; ships this week ("&amp;$M$26&amp;" bd)","Shipping to us — PO-0 ("&amp;$M$27&amp;" bd, arrives ~"&amp;TEXT($M$28,"ddd m/d")&amp;")"),IF(T20=$M$20,"PO-0 received (Monday)",""))&amp;" "&amp;IF(SUMPRODUCT(($T$6:T19&gt;=T20-$M$13)*$E$6:E19*(T20-$T$6:T19))=0,"",IF(SUMPRODUCT(($T$6:T19&gt;=T20-$M$13)*$E$6:E19*(T20-$T$6:T19))=$M$13,"PO-"&amp;SUMPRODUCT(($T$6:T19&lt;=T20-SUMPRODUCT(($T$6:T19&gt;=T20-$M$13)*$E$6:E19*(T20-$T$6:T19)))*$E$6:E19)&amp;" received (Monday)",IF(SUMPRODUCT(($T$6:T19&gt;=T20-$M$13)*$E$6:E19*(T20-$T$6:T19))=$M$13-1,"Shipping to us — PO-"&amp;SUMPRODUCT(($T$6:T19&lt;=T20-SUMPRODUCT(($T$6:T19&gt;=T20-$M$13)*$E$6:E19*(T20-$T$6:T19)))*$E$6:E19)&amp;" ("&amp;$M$27&amp;" bd)",IF(SUMPRODUCT(($T$6:T19&gt;=T20-$M$13)*$E$6:E19*(T20-$T$6:T19))=$M$13-2,"PRODUCTION — PO-"&amp;SUMPRODUCT(($T$6:T19&lt;=T20-SUMPRODUCT(($T$6:T19&gt;=T20-$M$13)*$E$6:E19*(T20-$T$6:T19)))*$E$6:E19)&amp;" cut &amp; ships","PO-"&amp;SUMPRODUCT(($T$6:T19&lt;=T20-SUMPRODUCT(($T$6:T19&gt;=T20-$M$13)*$E$6:E19*(T20-$T$6:T19)))*$E$6:E19)&amp;" received &amp; scheduled at Trotter"))))&amp;" "&amp;IF(E20&gt;0,"▲ RELEASE cut PO-"&amp;SUMPRODUCT(($T$6:T20&lt;=T20)*$E$6:E20)&amp;IF($M$13&lt;=2," · PRODUCTION &amp; SHIPS this week",""),""))</f>
        <v>Shipping to us — PO-3 (5 bd)</v>
      </c>
      <c r="G20" s="14" t="n">
        <f aca="false">G19-E19+IF(T20=$M$22,$M$21,0)+IF(T20&gt;$M$14,INDEX($H$6:H19,T20-$M$14),0)</f>
        <v>1</v>
      </c>
      <c r="H20" s="12" t="n">
        <f aca="false">IF(G20-E20+IF(T20&lt;$M$22,$M$21,0)+SUMPRODUCT(($T$6:T19&gt;T20-$M$14)*$H$6:H19)&lt;=0,$M$15,0)</f>
        <v>0</v>
      </c>
      <c r="I20" s="15" t="str">
        <f aca="false">TRIM(IF(T20&lt;=$M$14,CHOOSE(MIN(T20,2),"Rolls shipping to Trotter (PO-0 order)","Trotter receiving our rolls"),"")&amp;" "&amp;IF(SUMPRODUCT(($T$6:T19&gt;=T20-$M$14)*($H$6:H19&gt;0)*(T20-$T$6:T19))=0,"",IF(SUMPRODUCT(($T$6:T19&gt;=T20-$M$14)*($H$6:H19&gt;0)*(T20-$T$6:T19))=$M$14,"Rolls received at Trotter","Rolls shipping to Trotter"))&amp;" "&amp;IF(H20&gt;0,"▲ ORDER "&amp;H20&amp;" ROLLS",""))</f>
        <v/>
      </c>
      <c r="J20" s="16" t="str">
        <f aca="false">IF(D20&lt;0,"STOCKOUT",IF(D20&lt;$M$12,"below 2-box minimum",""))&amp;IF(G20&gt;$M$16," · storage &gt; "&amp;$M$16&amp;" rolls","")</f>
        <v/>
      </c>
      <c r="L20" s="7" t="s">
        <v>38</v>
      </c>
      <c r="M20" s="24" t="n">
        <f aca="false">M19+1</f>
        <v>5</v>
      </c>
      <c r="T20" s="19" t="n">
        <f aca="false">ROW()-5</f>
        <v>15</v>
      </c>
      <c r="U20" s="20" t="str">
        <f aca="false">IF(D20&lt;0,A20,"")</f>
        <v/>
      </c>
    </row>
    <row r="21" customFormat="false" ht="15" hidden="false" customHeight="true" outlineLevel="0" collapsed="false">
      <c r="A21" s="9" t="n">
        <f aca="false">$M$5+(T21-1)*7</f>
        <v>46398</v>
      </c>
      <c r="B21" s="10" t="n">
        <f aca="false">D20</f>
        <v>987</v>
      </c>
      <c r="C21" s="11" t="n">
        <f aca="false">IF(T21=$M$20,$M$8,0)+IF(T21&gt;$M$13,INDEX($E$6:E20,T21-$M$13)*$M$8,0)</f>
        <v>1300</v>
      </c>
      <c r="D21" s="10" t="n">
        <f aca="false">B21+C21-$M$7</f>
        <v>2037</v>
      </c>
      <c r="E21" s="12" t="n">
        <f aca="false">IF(D21+IF(T21&lt;$M$20,$M$8,0)+$M$8*SUMPRODUCT(($T$6:T20&gt;T21-$M$13)*$E$6:E20)&lt;$M$17,1,0)</f>
        <v>0</v>
      </c>
      <c r="F21" s="13" t="str">
        <f aca="false">TRIM(IF(T21&lt;=$M$19,CHOOSE(MIN(T21,4),"Material shipping — PO-0 roll → Trotter ("&amp;$M$24&amp;" bd)","Receiving at Trotter — PO-0 roll ("&amp;$M$25&amp;" bd)","PRODUCTION — PO-0 cut &amp; ships this week ("&amp;$M$26&amp;" bd)","Shipping to us — PO-0 ("&amp;$M$27&amp;" bd, arrives ~"&amp;TEXT($M$28,"ddd m/d")&amp;")"),IF(T21=$M$20,"PO-0 received (Monday)",""))&amp;" "&amp;IF(SUMPRODUCT(($T$6:T20&gt;=T21-$M$13)*$E$6:E20*(T21-$T$6:T20))=0,"",IF(SUMPRODUCT(($T$6:T20&gt;=T21-$M$13)*$E$6:E20*(T21-$T$6:T20))=$M$13,"PO-"&amp;SUMPRODUCT(($T$6:T20&lt;=T21-SUMPRODUCT(($T$6:T20&gt;=T21-$M$13)*$E$6:E20*(T21-$T$6:T20)))*$E$6:E20)&amp;" received (Monday)",IF(SUMPRODUCT(($T$6:T20&gt;=T21-$M$13)*$E$6:E20*(T21-$T$6:T20))=$M$13-1,"Shipping to us — PO-"&amp;SUMPRODUCT(($T$6:T20&lt;=T21-SUMPRODUCT(($T$6:T20&gt;=T21-$M$13)*$E$6:E20*(T21-$T$6:T20)))*$E$6:E20)&amp;" ("&amp;$M$27&amp;" bd)",IF(SUMPRODUCT(($T$6:T20&gt;=T21-$M$13)*$E$6:E20*(T21-$T$6:T20))=$M$13-2,"PRODUCTION — PO-"&amp;SUMPRODUCT(($T$6:T20&lt;=T21-SUMPRODUCT(($T$6:T20&gt;=T21-$M$13)*$E$6:E20*(T21-$T$6:T20)))*$E$6:E20)&amp;" cut &amp; ships","PO-"&amp;SUMPRODUCT(($T$6:T20&lt;=T21-SUMPRODUCT(($T$6:T20&gt;=T21-$M$13)*$E$6:E20*(T21-$T$6:T20)))*$E$6:E20)&amp;" received &amp; scheduled at Trotter"))))&amp;" "&amp;IF(E21&gt;0,"▲ RELEASE cut PO-"&amp;SUMPRODUCT(($T$6:T21&lt;=T21)*$E$6:E21)&amp;IF($M$13&lt;=2," · PRODUCTION &amp; SHIPS this week",""),""))</f>
        <v>PO-3 received (Monday)</v>
      </c>
      <c r="G21" s="14" t="n">
        <f aca="false">G20-E20+IF(T21=$M$22,$M$21,0)+IF(T21&gt;$M$14,INDEX($H$6:H20,T21-$M$14),0)</f>
        <v>1</v>
      </c>
      <c r="H21" s="12" t="n">
        <f aca="false">IF(G21-E21+IF(T21&lt;$M$22,$M$21,0)+SUMPRODUCT(($T$6:T20&gt;T21-$M$14)*$H$6:H20)&lt;=0,$M$15,0)</f>
        <v>0</v>
      </c>
      <c r="I21" s="15" t="str">
        <f aca="false">TRIM(IF(T21&lt;=$M$14,CHOOSE(MIN(T21,2),"Rolls shipping to Trotter (PO-0 order)","Trotter receiving our rolls"),"")&amp;" "&amp;IF(SUMPRODUCT(($T$6:T20&gt;=T21-$M$14)*($H$6:H20&gt;0)*(T21-$T$6:T20))=0,"",IF(SUMPRODUCT(($T$6:T20&gt;=T21-$M$14)*($H$6:H20&gt;0)*(T21-$T$6:T20))=$M$14,"Rolls received at Trotter","Rolls shipping to Trotter"))&amp;" "&amp;IF(H21&gt;0,"▲ ORDER "&amp;H21&amp;" ROLLS",""))</f>
        <v/>
      </c>
      <c r="J21" s="16" t="str">
        <f aca="false">IF(D21&lt;0,"STOCKOUT",IF(D21&lt;$M$12,"below 2-box minimum",""))&amp;IF(G21&gt;$M$16," · storage &gt; "&amp;$M$16&amp;" rolls","")</f>
        <v/>
      </c>
      <c r="L21" s="7" t="s">
        <v>39</v>
      </c>
      <c r="M21" s="21" t="n">
        <v>2</v>
      </c>
      <c r="N21" s="18" t="s">
        <v>40</v>
      </c>
      <c r="T21" s="19" t="n">
        <f aca="false">ROW()-5</f>
        <v>16</v>
      </c>
      <c r="U21" s="20" t="str">
        <f aca="false">IF(D21&lt;0,A21,"")</f>
        <v/>
      </c>
    </row>
    <row r="22" customFormat="false" ht="15" hidden="false" customHeight="true" outlineLevel="0" collapsed="false">
      <c r="A22" s="9" t="n">
        <f aca="false">$M$5+(T22-1)*7</f>
        <v>46405</v>
      </c>
      <c r="B22" s="10" t="n">
        <f aca="false">D21</f>
        <v>2037</v>
      </c>
      <c r="C22" s="11" t="n">
        <f aca="false">IF(T22=$M$20,$M$8,0)+IF(T22&gt;$M$13,INDEX($E$6:E21,T22-$M$13)*$M$8,0)</f>
        <v>0</v>
      </c>
      <c r="D22" s="10" t="n">
        <f aca="false">B22+C22-$M$7</f>
        <v>1787</v>
      </c>
      <c r="E22" s="12" t="n">
        <f aca="false">IF(D22+IF(T22&lt;$M$20,$M$8,0)+$M$8*SUMPRODUCT(($T$6:T21&gt;T22-$M$13)*$E$6:E21)&lt;$M$17,1,0)</f>
        <v>0</v>
      </c>
      <c r="F22" s="13" t="str">
        <f aca="false">TRIM(IF(T22&lt;=$M$19,CHOOSE(MIN(T22,4),"Material shipping — PO-0 roll → Trotter ("&amp;$M$24&amp;" bd)","Receiving at Trotter — PO-0 roll ("&amp;$M$25&amp;" bd)","PRODUCTION — PO-0 cut &amp; ships this week ("&amp;$M$26&amp;" bd)","Shipping to us — PO-0 ("&amp;$M$27&amp;" bd, arrives ~"&amp;TEXT($M$28,"ddd m/d")&amp;")"),IF(T22=$M$20,"PO-0 received (Monday)",""))&amp;" "&amp;IF(SUMPRODUCT(($T$6:T21&gt;=T22-$M$13)*$E$6:E21*(T22-$T$6:T21))=0,"",IF(SUMPRODUCT(($T$6:T21&gt;=T22-$M$13)*$E$6:E21*(T22-$T$6:T21))=$M$13,"PO-"&amp;SUMPRODUCT(($T$6:T21&lt;=T22-SUMPRODUCT(($T$6:T21&gt;=T22-$M$13)*$E$6:E21*(T22-$T$6:T21)))*$E$6:E21)&amp;" received (Monday)",IF(SUMPRODUCT(($T$6:T21&gt;=T22-$M$13)*$E$6:E21*(T22-$T$6:T21))=$M$13-1,"Shipping to us — PO-"&amp;SUMPRODUCT(($T$6:T21&lt;=T22-SUMPRODUCT(($T$6:T21&gt;=T22-$M$13)*$E$6:E21*(T22-$T$6:T21)))*$E$6:E21)&amp;" ("&amp;$M$27&amp;" bd)",IF(SUMPRODUCT(($T$6:T21&gt;=T22-$M$13)*$E$6:E21*(T22-$T$6:T21))=$M$13-2,"PRODUCTION — PO-"&amp;SUMPRODUCT(($T$6:T21&lt;=T22-SUMPRODUCT(($T$6:T21&gt;=T22-$M$13)*$E$6:E21*(T22-$T$6:T21)))*$E$6:E21)&amp;" cut &amp; ships","PO-"&amp;SUMPRODUCT(($T$6:T21&lt;=T22-SUMPRODUCT(($T$6:T21&gt;=T22-$M$13)*$E$6:E21*(T22-$T$6:T21)))*$E$6:E21)&amp;" received &amp; scheduled at Trotter"))))&amp;" "&amp;IF(E22&gt;0,"▲ RELEASE cut PO-"&amp;SUMPRODUCT(($T$6:T22&lt;=T22)*$E$6:E22)&amp;IF($M$13&lt;=2," · PRODUCTION &amp; SHIPS this week",""),""))</f>
        <v/>
      </c>
      <c r="G22" s="14" t="n">
        <f aca="false">G21-E21+IF(T22=$M$22,$M$21,0)+IF(T22&gt;$M$14,INDEX($H$6:H21,T22-$M$14),0)</f>
        <v>1</v>
      </c>
      <c r="H22" s="12" t="n">
        <f aca="false">IF(G22-E22+IF(T22&lt;$M$22,$M$21,0)+SUMPRODUCT(($T$6:T21&gt;T22-$M$14)*$H$6:H21)&lt;=0,$M$15,0)</f>
        <v>0</v>
      </c>
      <c r="I22" s="15" t="str">
        <f aca="false">TRIM(IF(T22&lt;=$M$14,CHOOSE(MIN(T22,2),"Rolls shipping to Trotter (PO-0 order)","Trotter receiving our rolls"),"")&amp;" "&amp;IF(SUMPRODUCT(($T$6:T21&gt;=T22-$M$14)*($H$6:H21&gt;0)*(T22-$T$6:T21))=0,"",IF(SUMPRODUCT(($T$6:T21&gt;=T22-$M$14)*($H$6:H21&gt;0)*(T22-$T$6:T21))=$M$14,"Rolls received at Trotter","Rolls shipping to Trotter"))&amp;" "&amp;IF(H22&gt;0,"▲ ORDER "&amp;H22&amp;" ROLLS",""))</f>
        <v/>
      </c>
      <c r="J22" s="16" t="str">
        <f aca="false">IF(D22&lt;0,"STOCKOUT",IF(D22&lt;$M$12,"below 2-box minimum",""))&amp;IF(G22&gt;$M$16," · storage &gt; "&amp;$M$16&amp;" rolls","")</f>
        <v/>
      </c>
      <c r="L22" s="7" t="s">
        <v>41</v>
      </c>
      <c r="M22" s="24" t="n">
        <f aca="false">M14+1</f>
        <v>3</v>
      </c>
      <c r="T22" s="19" t="n">
        <f aca="false">ROW()-5</f>
        <v>17</v>
      </c>
      <c r="U22" s="20" t="str">
        <f aca="false">IF(D22&lt;0,A22,"")</f>
        <v/>
      </c>
    </row>
    <row r="23" customFormat="false" ht="23.25" hidden="false" customHeight="true" outlineLevel="0" collapsed="false">
      <c r="A23" s="9" t="n">
        <f aca="false">$M$5+(T23-1)*7</f>
        <v>46412</v>
      </c>
      <c r="B23" s="10" t="n">
        <f aca="false">D22</f>
        <v>1787</v>
      </c>
      <c r="C23" s="11" t="n">
        <f aca="false">IF(T23=$M$20,$M$8,0)+IF(T23&gt;$M$13,INDEX($E$6:E22,T23-$M$13)*$M$8,0)</f>
        <v>0</v>
      </c>
      <c r="D23" s="10" t="n">
        <f aca="false">B23+C23-$M$7</f>
        <v>1537</v>
      </c>
      <c r="E23" s="12" t="n">
        <f aca="false">IF(D23+IF(T23&lt;$M$20,$M$8,0)+$M$8*SUMPRODUCT(($T$6:T22&gt;T23-$M$13)*$E$6:E22)&lt;$M$17,1,0)</f>
        <v>0</v>
      </c>
      <c r="F23" s="13" t="str">
        <f aca="false">TRIM(IF(T23&lt;=$M$19,CHOOSE(MIN(T23,4),"Material shipping — PO-0 roll → Trotter ("&amp;$M$24&amp;" bd)","Receiving at Trotter — PO-0 roll ("&amp;$M$25&amp;" bd)","PRODUCTION — PO-0 cut &amp; ships this week ("&amp;$M$26&amp;" bd)","Shipping to us — PO-0 ("&amp;$M$27&amp;" bd, arrives ~"&amp;TEXT($M$28,"ddd m/d")&amp;")"),IF(T23=$M$20,"PO-0 received (Monday)",""))&amp;" "&amp;IF(SUMPRODUCT(($T$6:T22&gt;=T23-$M$13)*$E$6:E22*(T23-$T$6:T22))=0,"",IF(SUMPRODUCT(($T$6:T22&gt;=T23-$M$13)*$E$6:E22*(T23-$T$6:T22))=$M$13,"PO-"&amp;SUMPRODUCT(($T$6:T22&lt;=T23-SUMPRODUCT(($T$6:T22&gt;=T23-$M$13)*$E$6:E22*(T23-$T$6:T22)))*$E$6:E22)&amp;" received (Monday)",IF(SUMPRODUCT(($T$6:T22&gt;=T23-$M$13)*$E$6:E22*(T23-$T$6:T22))=$M$13-1,"Shipping to us — PO-"&amp;SUMPRODUCT(($T$6:T22&lt;=T23-SUMPRODUCT(($T$6:T22&gt;=T23-$M$13)*$E$6:E22*(T23-$T$6:T22)))*$E$6:E22)&amp;" ("&amp;$M$27&amp;" bd)",IF(SUMPRODUCT(($T$6:T22&gt;=T23-$M$13)*$E$6:E22*(T23-$T$6:T22))=$M$13-2,"PRODUCTION — PO-"&amp;SUMPRODUCT(($T$6:T22&lt;=T23-SUMPRODUCT(($T$6:T22&gt;=T23-$M$13)*$E$6:E22*(T23-$T$6:T22)))*$E$6:E22)&amp;" cut &amp; ships","PO-"&amp;SUMPRODUCT(($T$6:T22&lt;=T23-SUMPRODUCT(($T$6:T22&gt;=T23-$M$13)*$E$6:E22*(T23-$T$6:T22)))*$E$6:E22)&amp;" received &amp; scheduled at Trotter"))))&amp;" "&amp;IF(E23&gt;0,"▲ RELEASE cut PO-"&amp;SUMPRODUCT(($T$6:T23&lt;=T23)*$E$6:E23)&amp;IF($M$13&lt;=2," · PRODUCTION &amp; SHIPS this week",""),""))</f>
        <v/>
      </c>
      <c r="G23" s="14" t="n">
        <f aca="false">G22-E22+IF(T23=$M$22,$M$21,0)+IF(T23&gt;$M$14,INDEX($H$6:H22,T23-$M$14),0)</f>
        <v>1</v>
      </c>
      <c r="H23" s="12" t="n">
        <f aca="false">IF(G23-E23+IF(T23&lt;$M$22,$M$21,0)+SUMPRODUCT(($T$6:T22&gt;T23-$M$14)*$H$6:H22)&lt;=0,$M$15,0)</f>
        <v>0</v>
      </c>
      <c r="I23" s="15" t="str">
        <f aca="false">TRIM(IF(T23&lt;=$M$14,CHOOSE(MIN(T23,2),"Rolls shipping to Trotter (PO-0 order)","Trotter receiving our rolls"),"")&amp;" "&amp;IF(SUMPRODUCT(($T$6:T22&gt;=T23-$M$14)*($H$6:H22&gt;0)*(T23-$T$6:T22))=0,"",IF(SUMPRODUCT(($T$6:T22&gt;=T23-$M$14)*($H$6:H22&gt;0)*(T23-$T$6:T22))=$M$14,"Rolls received at Trotter","Rolls shipping to Trotter"))&amp;" "&amp;IF(H23&gt;0,"▲ ORDER "&amp;H23&amp;" ROLLS",""))</f>
        <v/>
      </c>
      <c r="J23" s="16" t="str">
        <f aca="false">IF(D23&lt;0,"STOCKOUT",IF(D23&lt;$M$12,"below 2-box minimum",""))&amp;IF(G23&gt;$M$16," · storage &gt; "&amp;$M$16&amp;" rolls","")</f>
        <v/>
      </c>
      <c r="L23" s="28" t="s">
        <v>42</v>
      </c>
      <c r="M23" s="29"/>
      <c r="T23" s="19" t="n">
        <f aca="false">ROW()-5</f>
        <v>18</v>
      </c>
      <c r="U23" s="20" t="str">
        <f aca="false">IF(D23&lt;0,A23,"")</f>
        <v/>
      </c>
    </row>
    <row r="24" customFormat="false" ht="15" hidden="false" customHeight="true" outlineLevel="0" collapsed="false">
      <c r="A24" s="9" t="n">
        <f aca="false">$M$5+(T24-1)*7</f>
        <v>46419</v>
      </c>
      <c r="B24" s="10" t="n">
        <f aca="false">D23</f>
        <v>1537</v>
      </c>
      <c r="C24" s="11" t="n">
        <f aca="false">IF(T24=$M$20,$M$8,0)+IF(T24&gt;$M$13,INDEX($E$6:E23,T24-$M$13)*$M$8,0)</f>
        <v>0</v>
      </c>
      <c r="D24" s="10" t="n">
        <f aca="false">B24+C24-$M$7</f>
        <v>1287</v>
      </c>
      <c r="E24" s="12" t="n">
        <f aca="false">IF(D24+IF(T24&lt;$M$20,$M$8,0)+$M$8*SUMPRODUCT(($T$6:T23&gt;T24-$M$13)*$E$6:E23)&lt;$M$17,1,0)</f>
        <v>1</v>
      </c>
      <c r="F24" s="13" t="str">
        <f aca="false">TRIM(IF(T24&lt;=$M$19,CHOOSE(MIN(T24,4),"Material shipping — PO-0 roll → Trotter ("&amp;$M$24&amp;" bd)","Receiving at Trotter — PO-0 roll ("&amp;$M$25&amp;" bd)","PRODUCTION — PO-0 cut &amp; ships this week ("&amp;$M$26&amp;" bd)","Shipping to us — PO-0 ("&amp;$M$27&amp;" bd, arrives ~"&amp;TEXT($M$28,"ddd m/d")&amp;")"),IF(T24=$M$20,"PO-0 received (Monday)",""))&amp;" "&amp;IF(SUMPRODUCT(($T$6:T23&gt;=T24-$M$13)*$E$6:E23*(T24-$T$6:T23))=0,"",IF(SUMPRODUCT(($T$6:T23&gt;=T24-$M$13)*$E$6:E23*(T24-$T$6:T23))=$M$13,"PO-"&amp;SUMPRODUCT(($T$6:T23&lt;=T24-SUMPRODUCT(($T$6:T23&gt;=T24-$M$13)*$E$6:E23*(T24-$T$6:T23)))*$E$6:E23)&amp;" received (Monday)",IF(SUMPRODUCT(($T$6:T23&gt;=T24-$M$13)*$E$6:E23*(T24-$T$6:T23))=$M$13-1,"Shipping to us — PO-"&amp;SUMPRODUCT(($T$6:T23&lt;=T24-SUMPRODUCT(($T$6:T23&gt;=T24-$M$13)*$E$6:E23*(T24-$T$6:T23)))*$E$6:E23)&amp;" ("&amp;$M$27&amp;" bd)",IF(SUMPRODUCT(($T$6:T23&gt;=T24-$M$13)*$E$6:E23*(T24-$T$6:T23))=$M$13-2,"PRODUCTION — PO-"&amp;SUMPRODUCT(($T$6:T23&lt;=T24-SUMPRODUCT(($T$6:T23&gt;=T24-$M$13)*$E$6:E23*(T24-$T$6:T23)))*$E$6:E23)&amp;" cut &amp; ships","PO-"&amp;SUMPRODUCT(($T$6:T23&lt;=T24-SUMPRODUCT(($T$6:T23&gt;=T24-$M$13)*$E$6:E23*(T24-$T$6:T23)))*$E$6:E23)&amp;" received &amp; scheduled at Trotter"))))&amp;" "&amp;IF(E24&gt;0,"▲ RELEASE cut PO-"&amp;SUMPRODUCT(($T$6:T24&lt;=T24)*$E$6:E24)&amp;IF($M$13&lt;=2," · PRODUCTION &amp; SHIPS this week",""),""))</f>
        <v>▲ RELEASE cut PO-4 · PRODUCTION &amp; SHIPS this week</v>
      </c>
      <c r="G24" s="14" t="n">
        <f aca="false">G23-E23+IF(T24=$M$22,$M$21,0)+IF(T24&gt;$M$14,INDEX($H$6:H23,T24-$M$14),0)</f>
        <v>1</v>
      </c>
      <c r="H24" s="12" t="n">
        <f aca="false">IF(G24-E24+IF(T24&lt;$M$22,$M$21,0)+SUMPRODUCT(($T$6:T23&gt;T24-$M$14)*$H$6:H23)&lt;=0,$M$15,0)</f>
        <v>2</v>
      </c>
      <c r="I24" s="15" t="str">
        <f aca="false">TRIM(IF(T24&lt;=$M$14,CHOOSE(MIN(T24,2),"Rolls shipping to Trotter (PO-0 order)","Trotter receiving our rolls"),"")&amp;" "&amp;IF(SUMPRODUCT(($T$6:T23&gt;=T24-$M$14)*($H$6:H23&gt;0)*(T24-$T$6:T23))=0,"",IF(SUMPRODUCT(($T$6:T23&gt;=T24-$M$14)*($H$6:H23&gt;0)*(T24-$T$6:T23))=$M$14,"Rolls received at Trotter","Rolls shipping to Trotter"))&amp;" "&amp;IF(H24&gt;0,"▲ ORDER "&amp;H24&amp;" ROLLS",""))</f>
        <v>▲ ORDER 2 ROLLS</v>
      </c>
      <c r="J24" s="16" t="str">
        <f aca="false">IF(D24&lt;0,"STOCKOUT",IF(D24&lt;$M$12,"below 2-box minimum",""))&amp;IF(G24&gt;$M$16," · storage &gt; "&amp;$M$16&amp;" rolls","")</f>
        <v/>
      </c>
      <c r="L24" s="7" t="s">
        <v>43</v>
      </c>
      <c r="M24" s="21" t="n">
        <v>5</v>
      </c>
      <c r="T24" s="19" t="n">
        <f aca="false">ROW()-5</f>
        <v>19</v>
      </c>
      <c r="U24" s="20" t="str">
        <f aca="false">IF(D24&lt;0,A24,"")</f>
        <v/>
      </c>
    </row>
    <row r="25" customFormat="false" ht="15" hidden="false" customHeight="true" outlineLevel="0" collapsed="false">
      <c r="A25" s="9" t="n">
        <f aca="false">$M$5+(T25-1)*7</f>
        <v>46426</v>
      </c>
      <c r="B25" s="10" t="n">
        <f aca="false">D24</f>
        <v>1287</v>
      </c>
      <c r="C25" s="11" t="n">
        <f aca="false">IF(T25=$M$20,$M$8,0)+IF(T25&gt;$M$13,INDEX($E$6:E24,T25-$M$13)*$M$8,0)</f>
        <v>0</v>
      </c>
      <c r="D25" s="10" t="n">
        <f aca="false">B25+C25-$M$7</f>
        <v>1037</v>
      </c>
      <c r="E25" s="12" t="n">
        <f aca="false">IF(D25+IF(T25&lt;$M$20,$M$8,0)+$M$8*SUMPRODUCT(($T$6:T24&gt;T25-$M$13)*$E$6:E24)&lt;$M$17,1,0)</f>
        <v>0</v>
      </c>
      <c r="F25" s="13" t="str">
        <f aca="false">TRIM(IF(T25&lt;=$M$19,CHOOSE(MIN(T25,4),"Material shipping — PO-0 roll → Trotter ("&amp;$M$24&amp;" bd)","Receiving at Trotter — PO-0 roll ("&amp;$M$25&amp;" bd)","PRODUCTION — PO-0 cut &amp; ships this week ("&amp;$M$26&amp;" bd)","Shipping to us — PO-0 ("&amp;$M$27&amp;" bd, arrives ~"&amp;TEXT($M$28,"ddd m/d")&amp;")"),IF(T25=$M$20,"PO-0 received (Monday)",""))&amp;" "&amp;IF(SUMPRODUCT(($T$6:T24&gt;=T25-$M$13)*$E$6:E24*(T25-$T$6:T24))=0,"",IF(SUMPRODUCT(($T$6:T24&gt;=T25-$M$13)*$E$6:E24*(T25-$T$6:T24))=$M$13,"PO-"&amp;SUMPRODUCT(($T$6:T24&lt;=T25-SUMPRODUCT(($T$6:T24&gt;=T25-$M$13)*$E$6:E24*(T25-$T$6:T24)))*$E$6:E24)&amp;" received (Monday)",IF(SUMPRODUCT(($T$6:T24&gt;=T25-$M$13)*$E$6:E24*(T25-$T$6:T24))=$M$13-1,"Shipping to us — PO-"&amp;SUMPRODUCT(($T$6:T24&lt;=T25-SUMPRODUCT(($T$6:T24&gt;=T25-$M$13)*$E$6:E24*(T25-$T$6:T24)))*$E$6:E24)&amp;" ("&amp;$M$27&amp;" bd)",IF(SUMPRODUCT(($T$6:T24&gt;=T25-$M$13)*$E$6:E24*(T25-$T$6:T24))=$M$13-2,"PRODUCTION — PO-"&amp;SUMPRODUCT(($T$6:T24&lt;=T25-SUMPRODUCT(($T$6:T24&gt;=T25-$M$13)*$E$6:E24*(T25-$T$6:T24)))*$E$6:E24)&amp;" cut &amp; ships","PO-"&amp;SUMPRODUCT(($T$6:T24&lt;=T25-SUMPRODUCT(($T$6:T24&gt;=T25-$M$13)*$E$6:E24*(T25-$T$6:T24)))*$E$6:E24)&amp;" received &amp; scheduled at Trotter"))))&amp;" "&amp;IF(E25&gt;0,"▲ RELEASE cut PO-"&amp;SUMPRODUCT(($T$6:T25&lt;=T25)*$E$6:E25)&amp;IF($M$13&lt;=2," · PRODUCTION &amp; SHIPS this week",""),""))</f>
        <v>Shipping to us — PO-4 (5 bd)</v>
      </c>
      <c r="G25" s="14" t="n">
        <f aca="false">G24-E24+IF(T25=$M$22,$M$21,0)+IF(T25&gt;$M$14,INDEX($H$6:H24,T25-$M$14),0)</f>
        <v>0</v>
      </c>
      <c r="H25" s="12" t="n">
        <f aca="false">IF(G25-E25+IF(T25&lt;$M$22,$M$21,0)+SUMPRODUCT(($T$6:T24&gt;T25-$M$14)*$H$6:H24)&lt;=0,$M$15,0)</f>
        <v>0</v>
      </c>
      <c r="I25" s="15" t="str">
        <f aca="false">TRIM(IF(T25&lt;=$M$14,CHOOSE(MIN(T25,2),"Rolls shipping to Trotter (PO-0 order)","Trotter receiving our rolls"),"")&amp;" "&amp;IF(SUMPRODUCT(($T$6:T24&gt;=T25-$M$14)*($H$6:H24&gt;0)*(T25-$T$6:T24))=0,"",IF(SUMPRODUCT(($T$6:T24&gt;=T25-$M$14)*($H$6:H24&gt;0)*(T25-$T$6:T24))=$M$14,"Rolls received at Trotter","Rolls shipping to Trotter"))&amp;" "&amp;IF(H25&gt;0,"▲ ORDER "&amp;H25&amp;" ROLLS",""))</f>
        <v>Rolls shipping to Trotter</v>
      </c>
      <c r="J25" s="16" t="str">
        <f aca="false">IF(D25&lt;0,"STOCKOUT",IF(D25&lt;$M$12,"below 2-box minimum",""))&amp;IF(G25&gt;$M$16," · storage &gt; "&amp;$M$16&amp;" rolls","")</f>
        <v/>
      </c>
      <c r="L25" s="7" t="s">
        <v>44</v>
      </c>
      <c r="M25" s="21" t="n">
        <v>5</v>
      </c>
      <c r="T25" s="19" t="n">
        <f aca="false">ROW()-5</f>
        <v>20</v>
      </c>
      <c r="U25" s="20" t="str">
        <f aca="false">IF(D25&lt;0,A25,"")</f>
        <v/>
      </c>
    </row>
    <row r="26" customFormat="false" ht="15" hidden="false" customHeight="true" outlineLevel="0" collapsed="false">
      <c r="A26" s="9" t="n">
        <f aca="false">$M$5+(T26-1)*7</f>
        <v>46433</v>
      </c>
      <c r="B26" s="10" t="n">
        <f aca="false">D25</f>
        <v>1037</v>
      </c>
      <c r="C26" s="11" t="n">
        <f aca="false">IF(T26=$M$20,$M$8,0)+IF(T26&gt;$M$13,INDEX($E$6:E25,T26-$M$13)*$M$8,0)</f>
        <v>1300</v>
      </c>
      <c r="D26" s="10" t="n">
        <f aca="false">B26+C26-$M$7</f>
        <v>2087</v>
      </c>
      <c r="E26" s="12" t="n">
        <f aca="false">IF(D26+IF(T26&lt;$M$20,$M$8,0)+$M$8*SUMPRODUCT(($T$6:T25&gt;T26-$M$13)*$E$6:E25)&lt;$M$17,1,0)</f>
        <v>0</v>
      </c>
      <c r="F26" s="13" t="str">
        <f aca="false">TRIM(IF(T26&lt;=$M$19,CHOOSE(MIN(T26,4),"Material shipping — PO-0 roll → Trotter ("&amp;$M$24&amp;" bd)","Receiving at Trotter — PO-0 roll ("&amp;$M$25&amp;" bd)","PRODUCTION — PO-0 cut &amp; ships this week ("&amp;$M$26&amp;" bd)","Shipping to us — PO-0 ("&amp;$M$27&amp;" bd, arrives ~"&amp;TEXT($M$28,"ddd m/d")&amp;")"),IF(T26=$M$20,"PO-0 received (Monday)",""))&amp;" "&amp;IF(SUMPRODUCT(($T$6:T25&gt;=T26-$M$13)*$E$6:E25*(T26-$T$6:T25))=0,"",IF(SUMPRODUCT(($T$6:T25&gt;=T26-$M$13)*$E$6:E25*(T26-$T$6:T25))=$M$13,"PO-"&amp;SUMPRODUCT(($T$6:T25&lt;=T26-SUMPRODUCT(($T$6:T25&gt;=T26-$M$13)*$E$6:E25*(T26-$T$6:T25)))*$E$6:E25)&amp;" received (Monday)",IF(SUMPRODUCT(($T$6:T25&gt;=T26-$M$13)*$E$6:E25*(T26-$T$6:T25))=$M$13-1,"Shipping to us — PO-"&amp;SUMPRODUCT(($T$6:T25&lt;=T26-SUMPRODUCT(($T$6:T25&gt;=T26-$M$13)*$E$6:E25*(T26-$T$6:T25)))*$E$6:E25)&amp;" ("&amp;$M$27&amp;" bd)",IF(SUMPRODUCT(($T$6:T25&gt;=T26-$M$13)*$E$6:E25*(T26-$T$6:T25))=$M$13-2,"PRODUCTION — PO-"&amp;SUMPRODUCT(($T$6:T25&lt;=T26-SUMPRODUCT(($T$6:T25&gt;=T26-$M$13)*$E$6:E25*(T26-$T$6:T25)))*$E$6:E25)&amp;" cut &amp; ships","PO-"&amp;SUMPRODUCT(($T$6:T25&lt;=T26-SUMPRODUCT(($T$6:T25&gt;=T26-$M$13)*$E$6:E25*(T26-$T$6:T25)))*$E$6:E25)&amp;" received &amp; scheduled at Trotter"))))&amp;" "&amp;IF(E26&gt;0,"▲ RELEASE cut PO-"&amp;SUMPRODUCT(($T$6:T26&lt;=T26)*$E$6:E26)&amp;IF($M$13&lt;=2," · PRODUCTION &amp; SHIPS this week",""),""))</f>
        <v>PO-4 received (Monday)</v>
      </c>
      <c r="G26" s="14" t="n">
        <f aca="false">G25-E25+IF(T26=$M$22,$M$21,0)+IF(T26&gt;$M$14,INDEX($H$6:H25,T26-$M$14),0)</f>
        <v>2</v>
      </c>
      <c r="H26" s="12" t="n">
        <f aca="false">IF(G26-E26+IF(T26&lt;$M$22,$M$21,0)+SUMPRODUCT(($T$6:T25&gt;T26-$M$14)*$H$6:H25)&lt;=0,$M$15,0)</f>
        <v>0</v>
      </c>
      <c r="I26" s="15" t="str">
        <f aca="false">TRIM(IF(T26&lt;=$M$14,CHOOSE(MIN(T26,2),"Rolls shipping to Trotter (PO-0 order)","Trotter receiving our rolls"),"")&amp;" "&amp;IF(SUMPRODUCT(($T$6:T25&gt;=T26-$M$14)*($H$6:H25&gt;0)*(T26-$T$6:T25))=0,"",IF(SUMPRODUCT(($T$6:T25&gt;=T26-$M$14)*($H$6:H25&gt;0)*(T26-$T$6:T25))=$M$14,"Rolls received at Trotter","Rolls shipping to Trotter"))&amp;" "&amp;IF(H26&gt;0,"▲ ORDER "&amp;H26&amp;" ROLLS",""))</f>
        <v>Rolls received at Trotter</v>
      </c>
      <c r="J26" s="16" t="str">
        <f aca="false">IF(D26&lt;0,"STOCKOUT",IF(D26&lt;$M$12,"below 2-box minimum",""))&amp;IF(G26&gt;$M$16," · storage &gt; "&amp;$M$16&amp;" rolls","")</f>
        <v/>
      </c>
      <c r="L26" s="7" t="s">
        <v>45</v>
      </c>
      <c r="M26" s="21" t="n">
        <v>2</v>
      </c>
      <c r="T26" s="19" t="n">
        <f aca="false">ROW()-5</f>
        <v>21</v>
      </c>
      <c r="U26" s="20" t="str">
        <f aca="false">IF(D26&lt;0,A26,"")</f>
        <v/>
      </c>
    </row>
    <row r="27" customFormat="false" ht="15" hidden="false" customHeight="true" outlineLevel="0" collapsed="false">
      <c r="A27" s="9" t="n">
        <f aca="false">$M$5+(T27-1)*7</f>
        <v>46440</v>
      </c>
      <c r="B27" s="10" t="n">
        <f aca="false">D26</f>
        <v>2087</v>
      </c>
      <c r="C27" s="11" t="n">
        <f aca="false">IF(T27=$M$20,$M$8,0)+IF(T27&gt;$M$13,INDEX($E$6:E26,T27-$M$13)*$M$8,0)</f>
        <v>0</v>
      </c>
      <c r="D27" s="10" t="n">
        <f aca="false">B27+C27-$M$7</f>
        <v>1837</v>
      </c>
      <c r="E27" s="12" t="n">
        <f aca="false">IF(D27+IF(T27&lt;$M$20,$M$8,0)+$M$8*SUMPRODUCT(($T$6:T26&gt;T27-$M$13)*$E$6:E26)&lt;$M$17,1,0)</f>
        <v>0</v>
      </c>
      <c r="F27" s="13" t="str">
        <f aca="false">TRIM(IF(T27&lt;=$M$19,CHOOSE(MIN(T27,4),"Material shipping — PO-0 roll → Trotter ("&amp;$M$24&amp;" bd)","Receiving at Trotter — PO-0 roll ("&amp;$M$25&amp;" bd)","PRODUCTION — PO-0 cut &amp; ships this week ("&amp;$M$26&amp;" bd)","Shipping to us — PO-0 ("&amp;$M$27&amp;" bd, arrives ~"&amp;TEXT($M$28,"ddd m/d")&amp;")"),IF(T27=$M$20,"PO-0 received (Monday)",""))&amp;" "&amp;IF(SUMPRODUCT(($T$6:T26&gt;=T27-$M$13)*$E$6:E26*(T27-$T$6:T26))=0,"",IF(SUMPRODUCT(($T$6:T26&gt;=T27-$M$13)*$E$6:E26*(T27-$T$6:T26))=$M$13,"PO-"&amp;SUMPRODUCT(($T$6:T26&lt;=T27-SUMPRODUCT(($T$6:T26&gt;=T27-$M$13)*$E$6:E26*(T27-$T$6:T26)))*$E$6:E26)&amp;" received (Monday)",IF(SUMPRODUCT(($T$6:T26&gt;=T27-$M$13)*$E$6:E26*(T27-$T$6:T26))=$M$13-1,"Shipping to us — PO-"&amp;SUMPRODUCT(($T$6:T26&lt;=T27-SUMPRODUCT(($T$6:T26&gt;=T27-$M$13)*$E$6:E26*(T27-$T$6:T26)))*$E$6:E26)&amp;" ("&amp;$M$27&amp;" bd)",IF(SUMPRODUCT(($T$6:T26&gt;=T27-$M$13)*$E$6:E26*(T27-$T$6:T26))=$M$13-2,"PRODUCTION — PO-"&amp;SUMPRODUCT(($T$6:T26&lt;=T27-SUMPRODUCT(($T$6:T26&gt;=T27-$M$13)*$E$6:E26*(T27-$T$6:T26)))*$E$6:E26)&amp;" cut &amp; ships","PO-"&amp;SUMPRODUCT(($T$6:T26&lt;=T27-SUMPRODUCT(($T$6:T26&gt;=T27-$M$13)*$E$6:E26*(T27-$T$6:T26)))*$E$6:E26)&amp;" received &amp; scheduled at Trotter"))))&amp;" "&amp;IF(E27&gt;0,"▲ RELEASE cut PO-"&amp;SUMPRODUCT(($T$6:T27&lt;=T27)*$E$6:E27)&amp;IF($M$13&lt;=2," · PRODUCTION &amp; SHIPS this week",""),""))</f>
        <v/>
      </c>
      <c r="G27" s="14" t="n">
        <f aca="false">G26-E26+IF(T27=$M$22,$M$21,0)+IF(T27&gt;$M$14,INDEX($H$6:H26,T27-$M$14),0)</f>
        <v>2</v>
      </c>
      <c r="H27" s="12" t="n">
        <f aca="false">IF(G27-E27+IF(T27&lt;$M$22,$M$21,0)+SUMPRODUCT(($T$6:T26&gt;T27-$M$14)*$H$6:H26)&lt;=0,$M$15,0)</f>
        <v>0</v>
      </c>
      <c r="I27" s="15" t="str">
        <f aca="false">TRIM(IF(T27&lt;=$M$14,CHOOSE(MIN(T27,2),"Rolls shipping to Trotter (PO-0 order)","Trotter receiving our rolls"),"")&amp;" "&amp;IF(SUMPRODUCT(($T$6:T26&gt;=T27-$M$14)*($H$6:H26&gt;0)*(T27-$T$6:T26))=0,"",IF(SUMPRODUCT(($T$6:T26&gt;=T27-$M$14)*($H$6:H26&gt;0)*(T27-$T$6:T26))=$M$14,"Rolls received at Trotter","Rolls shipping to Trotter"))&amp;" "&amp;IF(H27&gt;0,"▲ ORDER "&amp;H27&amp;" ROLLS",""))</f>
        <v/>
      </c>
      <c r="J27" s="16" t="str">
        <f aca="false">IF(D27&lt;0,"STOCKOUT",IF(D27&lt;$M$12,"below 2-box minimum",""))&amp;IF(G27&gt;$M$16," · storage &gt; "&amp;$M$16&amp;" rolls","")</f>
        <v/>
      </c>
      <c r="L27" s="7" t="s">
        <v>46</v>
      </c>
      <c r="M27" s="21" t="n">
        <v>5</v>
      </c>
      <c r="N27" s="18" t="s">
        <v>47</v>
      </c>
      <c r="T27" s="19" t="n">
        <f aca="false">ROW()-5</f>
        <v>22</v>
      </c>
      <c r="U27" s="20" t="str">
        <f aca="false">IF(D27&lt;0,A27,"")</f>
        <v/>
      </c>
    </row>
    <row r="28" customFormat="false" ht="15" hidden="false" customHeight="true" outlineLevel="0" collapsed="false">
      <c r="A28" s="9" t="n">
        <f aca="false">$M$5+(T28-1)*7</f>
        <v>46447</v>
      </c>
      <c r="B28" s="10" t="n">
        <f aca="false">D27</f>
        <v>1837</v>
      </c>
      <c r="C28" s="11" t="n">
        <f aca="false">IF(T28=$M$20,$M$8,0)+IF(T28&gt;$M$13,INDEX($E$6:E27,T28-$M$13)*$M$8,0)</f>
        <v>0</v>
      </c>
      <c r="D28" s="10" t="n">
        <f aca="false">B28+C28-$M$7</f>
        <v>1587</v>
      </c>
      <c r="E28" s="12" t="n">
        <f aca="false">IF(D28+IF(T28&lt;$M$20,$M$8,0)+$M$8*SUMPRODUCT(($T$6:T27&gt;T28-$M$13)*$E$6:E27)&lt;$M$17,1,0)</f>
        <v>0</v>
      </c>
      <c r="F28" s="13" t="str">
        <f aca="false">TRIM(IF(T28&lt;=$M$19,CHOOSE(MIN(T28,4),"Material shipping — PO-0 roll → Trotter ("&amp;$M$24&amp;" bd)","Receiving at Trotter — PO-0 roll ("&amp;$M$25&amp;" bd)","PRODUCTION — PO-0 cut &amp; ships this week ("&amp;$M$26&amp;" bd)","Shipping to us — PO-0 ("&amp;$M$27&amp;" bd, arrives ~"&amp;TEXT($M$28,"ddd m/d")&amp;")"),IF(T28=$M$20,"PO-0 received (Monday)",""))&amp;" "&amp;IF(SUMPRODUCT(($T$6:T27&gt;=T28-$M$13)*$E$6:E27*(T28-$T$6:T27))=0,"",IF(SUMPRODUCT(($T$6:T27&gt;=T28-$M$13)*$E$6:E27*(T28-$T$6:T27))=$M$13,"PO-"&amp;SUMPRODUCT(($T$6:T27&lt;=T28-SUMPRODUCT(($T$6:T27&gt;=T28-$M$13)*$E$6:E27*(T28-$T$6:T27)))*$E$6:E27)&amp;" received (Monday)",IF(SUMPRODUCT(($T$6:T27&gt;=T28-$M$13)*$E$6:E27*(T28-$T$6:T27))=$M$13-1,"Shipping to us — PO-"&amp;SUMPRODUCT(($T$6:T27&lt;=T28-SUMPRODUCT(($T$6:T27&gt;=T28-$M$13)*$E$6:E27*(T28-$T$6:T27)))*$E$6:E27)&amp;" ("&amp;$M$27&amp;" bd)",IF(SUMPRODUCT(($T$6:T27&gt;=T28-$M$13)*$E$6:E27*(T28-$T$6:T27))=$M$13-2,"PRODUCTION — PO-"&amp;SUMPRODUCT(($T$6:T27&lt;=T28-SUMPRODUCT(($T$6:T27&gt;=T28-$M$13)*$E$6:E27*(T28-$T$6:T27)))*$E$6:E27)&amp;" cut &amp; ships","PO-"&amp;SUMPRODUCT(($T$6:T27&lt;=T28-SUMPRODUCT(($T$6:T27&gt;=T28-$M$13)*$E$6:E27*(T28-$T$6:T27)))*$E$6:E27)&amp;" received &amp; scheduled at Trotter"))))&amp;" "&amp;IF(E28&gt;0,"▲ RELEASE cut PO-"&amp;SUMPRODUCT(($T$6:T28&lt;=T28)*$E$6:E28)&amp;IF($M$13&lt;=2," · PRODUCTION &amp; SHIPS this week",""),""))</f>
        <v/>
      </c>
      <c r="G28" s="14" t="n">
        <f aca="false">G27-E27+IF(T28=$M$22,$M$21,0)+IF(T28&gt;$M$14,INDEX($H$6:H27,T28-$M$14),0)</f>
        <v>2</v>
      </c>
      <c r="H28" s="12" t="n">
        <f aca="false">IF(G28-E28+IF(T28&lt;$M$22,$M$21,0)+SUMPRODUCT(($T$6:T27&gt;T28-$M$14)*$H$6:H27)&lt;=0,$M$15,0)</f>
        <v>0</v>
      </c>
      <c r="I28" s="15" t="str">
        <f aca="false">TRIM(IF(T28&lt;=$M$14,CHOOSE(MIN(T28,2),"Rolls shipping to Trotter (PO-0 order)","Trotter receiving our rolls"),"")&amp;" "&amp;IF(SUMPRODUCT(($T$6:T27&gt;=T28-$M$14)*($H$6:H27&gt;0)*(T28-$T$6:T27))=0,"",IF(SUMPRODUCT(($T$6:T27&gt;=T28-$M$14)*($H$6:H27&gt;0)*(T28-$T$6:T27))=$M$14,"Rolls received at Trotter","Rolls shipping to Trotter"))&amp;" "&amp;IF(H28&gt;0,"▲ ORDER "&amp;H28&amp;" ROLLS",""))</f>
        <v/>
      </c>
      <c r="J28" s="16" t="str">
        <f aca="false">IF(D28&lt;0,"STOCKOUT",IF(D28&lt;$M$12,"below 2-box minimum",""))&amp;IF(G28&gt;$M$16," · storage &gt; "&amp;$M$16&amp;" rolls","")</f>
        <v/>
      </c>
      <c r="L28" s="7" t="s">
        <v>48</v>
      </c>
      <c r="M28" s="30" t="n">
        <f aca="false">WORKDAY(M5-1,M24+M25+M26+M27)</f>
        <v>46315</v>
      </c>
      <c r="N28" s="18" t="s">
        <v>49</v>
      </c>
      <c r="T28" s="19" t="n">
        <f aca="false">ROW()-5</f>
        <v>23</v>
      </c>
      <c r="U28" s="20" t="str">
        <f aca="false">IF(D28&lt;0,A28,"")</f>
        <v/>
      </c>
    </row>
    <row r="29" customFormat="false" ht="15" hidden="false" customHeight="true" outlineLevel="0" collapsed="false">
      <c r="A29" s="9" t="n">
        <f aca="false">$M$5+(T29-1)*7</f>
        <v>46454</v>
      </c>
      <c r="B29" s="10" t="n">
        <f aca="false">D28</f>
        <v>1587</v>
      </c>
      <c r="C29" s="11" t="n">
        <f aca="false">IF(T29=$M$20,$M$8,0)+IF(T29&gt;$M$13,INDEX($E$6:E28,T29-$M$13)*$M$8,0)</f>
        <v>0</v>
      </c>
      <c r="D29" s="10" t="n">
        <f aca="false">B29+C29-$M$7</f>
        <v>1337</v>
      </c>
      <c r="E29" s="12" t="n">
        <f aca="false">IF(D29+IF(T29&lt;$M$20,$M$8,0)+$M$8*SUMPRODUCT(($T$6:T28&gt;T29-$M$13)*$E$6:E28)&lt;$M$17,1,0)</f>
        <v>1</v>
      </c>
      <c r="F29" s="13" t="str">
        <f aca="false">TRIM(IF(T29&lt;=$M$19,CHOOSE(MIN(T29,4),"Material shipping — PO-0 roll → Trotter ("&amp;$M$24&amp;" bd)","Receiving at Trotter — PO-0 roll ("&amp;$M$25&amp;" bd)","PRODUCTION — PO-0 cut &amp; ships this week ("&amp;$M$26&amp;" bd)","Shipping to us — PO-0 ("&amp;$M$27&amp;" bd, arrives ~"&amp;TEXT($M$28,"ddd m/d")&amp;")"),IF(T29=$M$20,"PO-0 received (Monday)",""))&amp;" "&amp;IF(SUMPRODUCT(($T$6:T28&gt;=T29-$M$13)*$E$6:E28*(T29-$T$6:T28))=0,"",IF(SUMPRODUCT(($T$6:T28&gt;=T29-$M$13)*$E$6:E28*(T29-$T$6:T28))=$M$13,"PO-"&amp;SUMPRODUCT(($T$6:T28&lt;=T29-SUMPRODUCT(($T$6:T28&gt;=T29-$M$13)*$E$6:E28*(T29-$T$6:T28)))*$E$6:E28)&amp;" received (Monday)",IF(SUMPRODUCT(($T$6:T28&gt;=T29-$M$13)*$E$6:E28*(T29-$T$6:T28))=$M$13-1,"Shipping to us — PO-"&amp;SUMPRODUCT(($T$6:T28&lt;=T29-SUMPRODUCT(($T$6:T28&gt;=T29-$M$13)*$E$6:E28*(T29-$T$6:T28)))*$E$6:E28)&amp;" ("&amp;$M$27&amp;" bd)",IF(SUMPRODUCT(($T$6:T28&gt;=T29-$M$13)*$E$6:E28*(T29-$T$6:T28))=$M$13-2,"PRODUCTION — PO-"&amp;SUMPRODUCT(($T$6:T28&lt;=T29-SUMPRODUCT(($T$6:T28&gt;=T29-$M$13)*$E$6:E28*(T29-$T$6:T28)))*$E$6:E28)&amp;" cut &amp; ships","PO-"&amp;SUMPRODUCT(($T$6:T28&lt;=T29-SUMPRODUCT(($T$6:T28&gt;=T29-$M$13)*$E$6:E28*(T29-$T$6:T28)))*$E$6:E28)&amp;" received &amp; scheduled at Trotter"))))&amp;" "&amp;IF(E29&gt;0,"▲ RELEASE cut PO-"&amp;SUMPRODUCT(($T$6:T29&lt;=T29)*$E$6:E29)&amp;IF($M$13&lt;=2," · PRODUCTION &amp; SHIPS this week",""),""))</f>
        <v>▲ RELEASE cut PO-5 · PRODUCTION &amp; SHIPS this week</v>
      </c>
      <c r="G29" s="14" t="n">
        <f aca="false">G28-E28+IF(T29=$M$22,$M$21,0)+IF(T29&gt;$M$14,INDEX($H$6:H28,T29-$M$14),0)</f>
        <v>2</v>
      </c>
      <c r="H29" s="12" t="n">
        <f aca="false">IF(G29-E29+IF(T29&lt;$M$22,$M$21,0)+SUMPRODUCT(($T$6:T28&gt;T29-$M$14)*$H$6:H28)&lt;=0,$M$15,0)</f>
        <v>0</v>
      </c>
      <c r="I29" s="15" t="str">
        <f aca="false">TRIM(IF(T29&lt;=$M$14,CHOOSE(MIN(T29,2),"Rolls shipping to Trotter (PO-0 order)","Trotter receiving our rolls"),"")&amp;" "&amp;IF(SUMPRODUCT(($T$6:T28&gt;=T29-$M$14)*($H$6:H28&gt;0)*(T29-$T$6:T28))=0,"",IF(SUMPRODUCT(($T$6:T28&gt;=T29-$M$14)*($H$6:H28&gt;0)*(T29-$T$6:T28))=$M$14,"Rolls received at Trotter","Rolls shipping to Trotter"))&amp;" "&amp;IF(H29&gt;0,"▲ ORDER "&amp;H29&amp;" ROLLS",""))</f>
        <v/>
      </c>
      <c r="J29" s="16" t="str">
        <f aca="false">IF(D29&lt;0,"STOCKOUT",IF(D29&lt;$M$12,"below 2-box minimum",""))&amp;IF(G29&gt;$M$16," · storage &gt; "&amp;$M$16&amp;" rolls","")</f>
        <v/>
      </c>
      <c r="T29" s="19" t="n">
        <f aca="false">ROW()-5</f>
        <v>24</v>
      </c>
      <c r="U29" s="20" t="str">
        <f aca="false">IF(D29&lt;0,A29,"")</f>
        <v/>
      </c>
    </row>
    <row r="30" customFormat="false" ht="15" hidden="false" customHeight="true" outlineLevel="0" collapsed="false">
      <c r="A30" s="9" t="n">
        <f aca="false">$M$5+(T30-1)*7</f>
        <v>46461</v>
      </c>
      <c r="B30" s="10" t="n">
        <f aca="false">D29</f>
        <v>1337</v>
      </c>
      <c r="C30" s="11" t="n">
        <f aca="false">IF(T30=$M$20,$M$8,0)+IF(T30&gt;$M$13,INDEX($E$6:E29,T30-$M$13)*$M$8,0)</f>
        <v>0</v>
      </c>
      <c r="D30" s="10" t="n">
        <f aca="false">B30+C30-$M$7</f>
        <v>1087</v>
      </c>
      <c r="E30" s="12" t="n">
        <f aca="false">IF(D30+IF(T30&lt;$M$20,$M$8,0)+$M$8*SUMPRODUCT(($T$6:T29&gt;T30-$M$13)*$E$6:E29)&lt;$M$17,1,0)</f>
        <v>0</v>
      </c>
      <c r="F30" s="13" t="str">
        <f aca="false">TRIM(IF(T30&lt;=$M$19,CHOOSE(MIN(T30,4),"Material shipping — PO-0 roll → Trotter ("&amp;$M$24&amp;" bd)","Receiving at Trotter — PO-0 roll ("&amp;$M$25&amp;" bd)","PRODUCTION — PO-0 cut &amp; ships this week ("&amp;$M$26&amp;" bd)","Shipping to us — PO-0 ("&amp;$M$27&amp;" bd, arrives ~"&amp;TEXT($M$28,"ddd m/d")&amp;")"),IF(T30=$M$20,"PO-0 received (Monday)",""))&amp;" "&amp;IF(SUMPRODUCT(($T$6:T29&gt;=T30-$M$13)*$E$6:E29*(T30-$T$6:T29))=0,"",IF(SUMPRODUCT(($T$6:T29&gt;=T30-$M$13)*$E$6:E29*(T30-$T$6:T29))=$M$13,"PO-"&amp;SUMPRODUCT(($T$6:T29&lt;=T30-SUMPRODUCT(($T$6:T29&gt;=T30-$M$13)*$E$6:E29*(T30-$T$6:T29)))*$E$6:E29)&amp;" received (Monday)",IF(SUMPRODUCT(($T$6:T29&gt;=T30-$M$13)*$E$6:E29*(T30-$T$6:T29))=$M$13-1,"Shipping to us — PO-"&amp;SUMPRODUCT(($T$6:T29&lt;=T30-SUMPRODUCT(($T$6:T29&gt;=T30-$M$13)*$E$6:E29*(T30-$T$6:T29)))*$E$6:E29)&amp;" ("&amp;$M$27&amp;" bd)",IF(SUMPRODUCT(($T$6:T29&gt;=T30-$M$13)*$E$6:E29*(T30-$T$6:T29))=$M$13-2,"PRODUCTION — PO-"&amp;SUMPRODUCT(($T$6:T29&lt;=T30-SUMPRODUCT(($T$6:T29&gt;=T30-$M$13)*$E$6:E29*(T30-$T$6:T29)))*$E$6:E29)&amp;" cut &amp; ships","PO-"&amp;SUMPRODUCT(($T$6:T29&lt;=T30-SUMPRODUCT(($T$6:T29&gt;=T30-$M$13)*$E$6:E29*(T30-$T$6:T29)))*$E$6:E29)&amp;" received &amp; scheduled at Trotter"))))&amp;" "&amp;IF(E30&gt;0,"▲ RELEASE cut PO-"&amp;SUMPRODUCT(($T$6:T30&lt;=T30)*$E$6:E30)&amp;IF($M$13&lt;=2," · PRODUCTION &amp; SHIPS this week",""),""))</f>
        <v>Shipping to us — PO-5 (5 bd)</v>
      </c>
      <c r="G30" s="14" t="n">
        <f aca="false">G29-E29+IF(T30=$M$22,$M$21,0)+IF(T30&gt;$M$14,INDEX($H$6:H29,T30-$M$14),0)</f>
        <v>1</v>
      </c>
      <c r="H30" s="12" t="n">
        <f aca="false">IF(G30-E30+IF(T30&lt;$M$22,$M$21,0)+SUMPRODUCT(($T$6:T29&gt;T30-$M$14)*$H$6:H29)&lt;=0,$M$15,0)</f>
        <v>0</v>
      </c>
      <c r="I30" s="15" t="str">
        <f aca="false">TRIM(IF(T30&lt;=$M$14,CHOOSE(MIN(T30,2),"Rolls shipping to Trotter (PO-0 order)","Trotter receiving our rolls"),"")&amp;" "&amp;IF(SUMPRODUCT(($T$6:T29&gt;=T30-$M$14)*($H$6:H29&gt;0)*(T30-$T$6:T29))=0,"",IF(SUMPRODUCT(($T$6:T29&gt;=T30-$M$14)*($H$6:H29&gt;0)*(T30-$T$6:T29))=$M$14,"Rolls received at Trotter","Rolls shipping to Trotter"))&amp;" "&amp;IF(H30&gt;0,"▲ ORDER "&amp;H30&amp;" ROLLS",""))</f>
        <v/>
      </c>
      <c r="J30" s="16" t="str">
        <f aca="false">IF(D30&lt;0,"STOCKOUT",IF(D30&lt;$M$12,"below 2-box minimum",""))&amp;IF(G30&gt;$M$16," · storage &gt; "&amp;$M$16&amp;" rolls","")</f>
        <v/>
      </c>
      <c r="T30" s="19" t="n">
        <f aca="false">ROW()-5</f>
        <v>25</v>
      </c>
      <c r="U30" s="20" t="str">
        <f aca="false">IF(D30&lt;0,A30,"")</f>
        <v/>
      </c>
    </row>
    <row r="31" customFormat="false" ht="15" hidden="false" customHeight="true" outlineLevel="0" collapsed="false">
      <c r="A31" s="9" t="n">
        <f aca="false">$M$5+(T31-1)*7</f>
        <v>46468</v>
      </c>
      <c r="B31" s="10" t="n">
        <f aca="false">D30</f>
        <v>1087</v>
      </c>
      <c r="C31" s="11" t="n">
        <f aca="false">IF(T31=$M$20,$M$8,0)+IF(T31&gt;$M$13,INDEX($E$6:E30,T31-$M$13)*$M$8,0)</f>
        <v>1300</v>
      </c>
      <c r="D31" s="10" t="n">
        <f aca="false">B31+C31-$M$7</f>
        <v>2137</v>
      </c>
      <c r="E31" s="12" t="n">
        <f aca="false">IF(D31+IF(T31&lt;$M$20,$M$8,0)+$M$8*SUMPRODUCT(($T$6:T30&gt;T31-$M$13)*$E$6:E30)&lt;$M$17,1,0)</f>
        <v>0</v>
      </c>
      <c r="F31" s="13" t="str">
        <f aca="false">TRIM(IF(T31&lt;=$M$19,CHOOSE(MIN(T31,4),"Material shipping — PO-0 roll → Trotter ("&amp;$M$24&amp;" bd)","Receiving at Trotter — PO-0 roll ("&amp;$M$25&amp;" bd)","PRODUCTION — PO-0 cut &amp; ships this week ("&amp;$M$26&amp;" bd)","Shipping to us — PO-0 ("&amp;$M$27&amp;" bd, arrives ~"&amp;TEXT($M$28,"ddd m/d")&amp;")"),IF(T31=$M$20,"PO-0 received (Monday)",""))&amp;" "&amp;IF(SUMPRODUCT(($T$6:T30&gt;=T31-$M$13)*$E$6:E30*(T31-$T$6:T30))=0,"",IF(SUMPRODUCT(($T$6:T30&gt;=T31-$M$13)*$E$6:E30*(T31-$T$6:T30))=$M$13,"PO-"&amp;SUMPRODUCT(($T$6:T30&lt;=T31-SUMPRODUCT(($T$6:T30&gt;=T31-$M$13)*$E$6:E30*(T31-$T$6:T30)))*$E$6:E30)&amp;" received (Monday)",IF(SUMPRODUCT(($T$6:T30&gt;=T31-$M$13)*$E$6:E30*(T31-$T$6:T30))=$M$13-1,"Shipping to us — PO-"&amp;SUMPRODUCT(($T$6:T30&lt;=T31-SUMPRODUCT(($T$6:T30&gt;=T31-$M$13)*$E$6:E30*(T31-$T$6:T30)))*$E$6:E30)&amp;" ("&amp;$M$27&amp;" bd)",IF(SUMPRODUCT(($T$6:T30&gt;=T31-$M$13)*$E$6:E30*(T31-$T$6:T30))=$M$13-2,"PRODUCTION — PO-"&amp;SUMPRODUCT(($T$6:T30&lt;=T31-SUMPRODUCT(($T$6:T30&gt;=T31-$M$13)*$E$6:E30*(T31-$T$6:T30)))*$E$6:E30)&amp;" cut &amp; ships","PO-"&amp;SUMPRODUCT(($T$6:T30&lt;=T31-SUMPRODUCT(($T$6:T30&gt;=T31-$M$13)*$E$6:E30*(T31-$T$6:T30)))*$E$6:E30)&amp;" received &amp; scheduled at Trotter"))))&amp;" "&amp;IF(E31&gt;0,"▲ RELEASE cut PO-"&amp;SUMPRODUCT(($T$6:T31&lt;=T31)*$E$6:E31)&amp;IF($M$13&lt;=2," · PRODUCTION &amp; SHIPS this week",""),""))</f>
        <v>PO-5 received (Monday)</v>
      </c>
      <c r="G31" s="14" t="n">
        <f aca="false">G30-E30+IF(T31=$M$22,$M$21,0)+IF(T31&gt;$M$14,INDEX($H$6:H30,T31-$M$14),0)</f>
        <v>1</v>
      </c>
      <c r="H31" s="12" t="n">
        <f aca="false">IF(G31-E31+IF(T31&lt;$M$22,$M$21,0)+SUMPRODUCT(($T$6:T30&gt;T31-$M$14)*$H$6:H30)&lt;=0,$M$15,0)</f>
        <v>0</v>
      </c>
      <c r="I31" s="15" t="str">
        <f aca="false">TRIM(IF(T31&lt;=$M$14,CHOOSE(MIN(T31,2),"Rolls shipping to Trotter (PO-0 order)","Trotter receiving our rolls"),"")&amp;" "&amp;IF(SUMPRODUCT(($T$6:T30&gt;=T31-$M$14)*($H$6:H30&gt;0)*(T31-$T$6:T30))=0,"",IF(SUMPRODUCT(($T$6:T30&gt;=T31-$M$14)*($H$6:H30&gt;0)*(T31-$T$6:T30))=$M$14,"Rolls received at Trotter","Rolls shipping to Trotter"))&amp;" "&amp;IF(H31&gt;0,"▲ ORDER "&amp;H31&amp;" ROLLS",""))</f>
        <v/>
      </c>
      <c r="J31" s="16" t="str">
        <f aca="false">IF(D31&lt;0,"STOCKOUT",IF(D31&lt;$M$12,"below 2-box minimum",""))&amp;IF(G31&gt;$M$16," · storage &gt; "&amp;$M$16&amp;" rolls","")</f>
        <v/>
      </c>
      <c r="T31" s="19" t="n">
        <f aca="false">ROW()-5</f>
        <v>26</v>
      </c>
      <c r="U31" s="20" t="str">
        <f aca="false">IF(D31&lt;0,A31,"")</f>
        <v/>
      </c>
    </row>
    <row r="33" customFormat="false" ht="15" hidden="false" customHeight="true" outlineLevel="0" collapsed="false">
      <c r="A33" s="31" t="s">
        <v>50</v>
      </c>
    </row>
  </sheetData>
  <conditionalFormatting sqref="F6:F31">
    <cfRule type="expression" priority="2" aboveAverage="0" equalAverage="0" bottom="0" percent="0" rank="0" text="" dxfId="0">
      <formula>ISNUMBER(SEARCH("PRODUCTION",F6))</formula>
    </cfRule>
    <cfRule type="expression" priority="3" aboveAverage="0" equalAverage="0" bottom="0" percent="0" rank="0" text="" dxfId="1">
      <formula>ISNUMBER(SEARCH("RELEASE",F6))</formula>
    </cfRule>
    <cfRule type="expression" priority="4" aboveAverage="0" equalAverage="0" bottom="0" percent="0" rank="0" text="" dxfId="2">
      <formula>ISNUMBER(SEARCH("received (Monday)",F6))</formula>
    </cfRule>
  </conditionalFormatting>
  <conditionalFormatting sqref="I6:I31">
    <cfRule type="expression" priority="5" aboveAverage="0" equalAverage="0" bottom="0" percent="0" rank="0" text="" dxfId="1">
      <formula>ISNUMBER(SEARCH("ORDER",I6))</formula>
    </cfRule>
  </conditionalFormatting>
  <conditionalFormatting sqref="D6:D31">
    <cfRule type="expression" priority="6" aboveAverage="0" equalAverage="0" bottom="0" percent="0" rank="0" text="" dxfId="3">
      <formula>D6&lt;0</formula>
    </cfRule>
    <cfRule type="expression" priority="7" aboveAverage="0" equalAverage="0" bottom="0" percent="0" rank="0" text="" dxfId="4">
      <formula>AND(D6&gt;=0,D6&lt;$M$12)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3"/>
    <col collapsed="false" customWidth="true" hidden="false" outlineLevel="0" max="2" min="2" style="1" width="26"/>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32" t="s">
        <v>51</v>
      </c>
    </row>
    <row r="2" customFormat="false" ht="24" hidden="false" customHeight="true" outlineLevel="0" collapsed="false">
      <c r="A2" s="33" t="s">
        <v>52</v>
      </c>
    </row>
    <row r="4" customFormat="false" ht="15" hidden="false" customHeight="true" outlineLevel="0" collapsed="false">
      <c r="A4" s="34" t="s">
        <v>53</v>
      </c>
      <c r="B4" s="35"/>
      <c r="C4" s="35"/>
      <c r="D4" s="35"/>
    </row>
    <row r="5" customFormat="false" ht="23.25" hidden="false" customHeight="true" outlineLevel="0" collapsed="false">
      <c r="A5" s="36" t="s">
        <v>54</v>
      </c>
      <c r="B5" s="37" t="str">
        <f aca="false">Inputs!B5&amp;" × "&amp;Inputs!B6&amp;" in cut mesh"</f>
        <v>24 × 27 in cut mesh</v>
      </c>
      <c r="D5" s="38" t="s">
        <v>55</v>
      </c>
    </row>
    <row r="6" customFormat="false" ht="15" hidden="false" customHeight="true" outlineLevel="0" collapsed="false">
      <c r="A6" s="36" t="s">
        <v>56</v>
      </c>
      <c r="B6" s="39" t="n">
        <f aca="false">Inputs!B20</f>
        <v>0.41</v>
      </c>
      <c r="D6" s="40" t="s">
        <v>57</v>
      </c>
    </row>
    <row r="7" customFormat="false" ht="15" hidden="false" customHeight="true" outlineLevel="0" collapsed="false">
      <c r="A7" s="36" t="s">
        <v>58</v>
      </c>
      <c r="B7" s="36" t="s">
        <v>59</v>
      </c>
      <c r="D7" s="40" t="s">
        <v>60</v>
      </c>
    </row>
    <row r="8" customFormat="false" ht="15" hidden="false" customHeight="true" outlineLevel="0" collapsed="false">
      <c r="A8" s="36" t="s">
        <v>61</v>
      </c>
      <c r="B8" s="41" t="str">
        <f aca="false">Inputs!B10&amp;" ft × "&amp;Inputs!B12&amp;" in"</f>
        <v>750 ft × 101 in</v>
      </c>
      <c r="D8" s="40" t="s">
        <v>62</v>
      </c>
    </row>
    <row r="10" customFormat="false" ht="15" hidden="false" customHeight="true" outlineLevel="0" collapsed="false">
      <c r="A10" s="34" t="s">
        <v>63</v>
      </c>
      <c r="B10" s="35"/>
      <c r="C10" s="35"/>
      <c r="D10" s="35"/>
    </row>
    <row r="11" customFormat="false" ht="23.25" hidden="false" customHeight="true" outlineLevel="0" collapsed="false">
      <c r="A11" s="36" t="s">
        <v>64</v>
      </c>
      <c r="B11" s="42" t="n">
        <f aca="false">'Order Cadence'!B5</f>
        <v>250</v>
      </c>
      <c r="D11" s="38" t="s">
        <v>65</v>
      </c>
    </row>
    <row r="12" customFormat="false" ht="15" hidden="false" customHeight="true" outlineLevel="0" collapsed="false">
      <c r="A12" s="36" t="s">
        <v>66</v>
      </c>
      <c r="B12" s="42" t="n">
        <f aca="false">'Yield per Roll'!B13</f>
        <v>1300</v>
      </c>
      <c r="D12" s="40"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36" t="s">
        <v>67</v>
      </c>
      <c r="B13" s="43" t="n">
        <f aca="false">'Order Cadence'!B8</f>
        <v>5.2</v>
      </c>
    </row>
    <row r="14" customFormat="false" ht="15" hidden="false" customHeight="true" outlineLevel="0" collapsed="false">
      <c r="A14" s="44" t="s">
        <v>68</v>
      </c>
      <c r="B14" s="45" t="n">
        <f aca="false">'Order Cadence'!B5*52</f>
        <v>13000</v>
      </c>
    </row>
    <row r="15" customFormat="false" ht="15" hidden="false" customHeight="true" outlineLevel="0" collapsed="false">
      <c r="A15" s="36" t="s">
        <v>69</v>
      </c>
      <c r="B15" s="42" t="n">
        <f aca="false">'Order Cadence'!B10</f>
        <v>10</v>
      </c>
    </row>
    <row r="16" customFormat="false" ht="15" hidden="false" customHeight="true" outlineLevel="0" collapsed="false">
      <c r="A16" s="36" t="s">
        <v>70</v>
      </c>
      <c r="B16" s="46" t="n">
        <f aca="false">'Order Cadence'!B5*52*Inputs!B20</f>
        <v>5330</v>
      </c>
    </row>
    <row r="17" customFormat="false" ht="15" hidden="false" customHeight="true" outlineLevel="0" collapsed="false">
      <c r="A17" s="44" t="s">
        <v>71</v>
      </c>
      <c r="B17" s="45" t="n">
        <f aca="false">'Order Cadence'!B5*26</f>
        <v>6500</v>
      </c>
    </row>
    <row r="18" customFormat="false" ht="15" hidden="false" customHeight="true" outlineLevel="0" collapsed="false">
      <c r="A18" s="36" t="s">
        <v>72</v>
      </c>
      <c r="B18" s="47" t="n">
        <f aca="false">'6-Month Forecast'!B42</f>
        <v>5</v>
      </c>
      <c r="D18" s="40" t="s">
        <v>73</v>
      </c>
    </row>
    <row r="20" customFormat="false" ht="15" hidden="false" customHeight="true" outlineLevel="0" collapsed="false">
      <c r="A20" s="34" t="s">
        <v>74</v>
      </c>
      <c r="B20" s="35"/>
      <c r="C20" s="35"/>
      <c r="D20" s="35"/>
    </row>
    <row r="21" customFormat="false" ht="15" hidden="false" customHeight="true" outlineLevel="0" collapsed="false">
      <c r="A21" s="36" t="s">
        <v>75</v>
      </c>
      <c r="B21" s="42" t="n">
        <f aca="false">'Order Cadence'!B16</f>
        <v>1000</v>
      </c>
      <c r="D21" s="40" t="s">
        <v>76</v>
      </c>
    </row>
    <row r="22" customFormat="false" ht="15" hidden="false" customHeight="true" outlineLevel="0" collapsed="false">
      <c r="A22" s="36" t="s">
        <v>77</v>
      </c>
      <c r="B22" s="42" t="n">
        <f aca="false">'Order Cadence'!B6</f>
        <v>1300</v>
      </c>
    </row>
    <row r="23" customFormat="false" ht="15" hidden="false" customHeight="true" outlineLevel="0" collapsed="false">
      <c r="A23" s="36" t="s">
        <v>78</v>
      </c>
      <c r="B23" s="41" t="str">
        <f aca="false">Inputs!B30&amp;" days"</f>
        <v>20 days</v>
      </c>
      <c r="D23" s="40" t="str">
        <f aca="false">"Legs: "&amp;Inputs!B27&amp;" roll→Trotter + "&amp;Inputs!B28&amp;" at Trotter + "&amp;Inputs!B29&amp;" to us &amp; put away = "&amp;Inputs!B30&amp;" days, planned as "&amp;Inputs!B31&amp;" wks · scenario: "&amp;'Cycle Time'!B5&amp;" — see Cycle Time &amp; PO Schedule tabs"</f>
        <v>Legs: 3 roll→Trotter + 14 at Trotter + 3 to us &amp; put away = 20 days, planned as 3 wks · scenario: Supplier standard — see Cycle Time &amp; PO Schedule tabs</v>
      </c>
    </row>
    <row r="24" customFormat="false" ht="15" hidden="false" customHeight="true" outlineLevel="0" collapsed="false">
      <c r="A24" s="36" t="s">
        <v>79</v>
      </c>
      <c r="B24" s="42" t="n">
        <f aca="false">Inputs!B26*Inputs!B32</f>
        <v>250</v>
      </c>
    </row>
    <row r="26" customFormat="false" ht="15" hidden="false" customHeight="true" outlineLevel="0" collapsed="false">
      <c r="A26" s="34" t="s">
        <v>80</v>
      </c>
      <c r="B26" s="35"/>
      <c r="C26" s="35"/>
      <c r="D26" s="35"/>
    </row>
    <row r="27" customFormat="false" ht="15" hidden="false" customHeight="true" outlineLevel="0" collapsed="false">
      <c r="A27" s="36" t="s">
        <v>81</v>
      </c>
      <c r="B27" s="36" t="s">
        <v>82</v>
      </c>
      <c r="D27" s="40" t="s">
        <v>83</v>
      </c>
    </row>
    <row r="28" customFormat="false" ht="15" hidden="false" customHeight="true" outlineLevel="0" collapsed="false">
      <c r="A28" s="36" t="s">
        <v>84</v>
      </c>
      <c r="B28" s="41" t="str">
        <f aca="false">"1,300 units of "&amp;Inputs!B5&amp;"x"&amp;Inputs!B6</f>
        <v>1,300 units of 24x27</v>
      </c>
      <c r="D28" s="40" t="s">
        <v>85</v>
      </c>
    </row>
    <row r="29" customFormat="false" ht="21.75" hidden="false" customHeight="true" outlineLevel="0" collapsed="false">
      <c r="A29" s="36" t="s">
        <v>86</v>
      </c>
      <c r="B29" s="36" t="s">
        <v>87</v>
      </c>
      <c r="D29" s="40" t="s">
        <v>88</v>
      </c>
    </row>
    <row r="31" customFormat="false" ht="15" hidden="false" customHeight="true" outlineLevel="0" collapsed="false">
      <c r="A31" s="34" t="s">
        <v>89</v>
      </c>
      <c r="B31" s="35"/>
      <c r="C31" s="35"/>
      <c r="D31" s="35"/>
    </row>
    <row r="32" customFormat="false" ht="15" hidden="false" customHeight="true" outlineLevel="0" collapsed="false">
      <c r="A32" s="48" t="s">
        <v>90</v>
      </c>
      <c r="B32" s="48"/>
      <c r="C32" s="48"/>
      <c r="D32" s="48"/>
    </row>
    <row r="33" customFormat="false" ht="15" hidden="false" customHeight="true" outlineLevel="0" collapsed="false">
      <c r="A33" s="48" t="s">
        <v>91</v>
      </c>
      <c r="B33" s="48"/>
      <c r="C33" s="48"/>
      <c r="D33" s="48"/>
    </row>
    <row r="34" customFormat="false" ht="15" hidden="false" customHeight="true" outlineLevel="0" collapsed="false">
      <c r="A34" s="48" t="str">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 Physical count 9/24: 937 pcs (70 loose + 2 boxes) — BELOW the 1,000 reorder point → release PO-0 now; ~0.7 days of cover left when it lands 10/20 at the standard turnaround → ask Trotter to expedite it</v>
      </c>
      <c r="B34" s="48"/>
      <c r="C34" s="48"/>
      <c r="D34" s="48"/>
    </row>
    <row r="35" customFormat="false" ht="15" hidden="false" customHeight="true" outlineLevel="0" collapsed="false">
      <c r="A35" s="49" t="s">
        <v>92</v>
      </c>
      <c r="B35" s="49"/>
      <c r="C35" s="49"/>
      <c r="D35" s="49"/>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3"/>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32" t="s">
        <v>93</v>
      </c>
    </row>
    <row r="2" customFormat="false" ht="15" hidden="false" customHeight="true" outlineLevel="0" collapsed="false">
      <c r="A2" s="50" t="s">
        <v>94</v>
      </c>
    </row>
    <row r="4" customFormat="false" ht="15" hidden="false" customHeight="true" outlineLevel="0" collapsed="false">
      <c r="A4" s="34" t="s">
        <v>95</v>
      </c>
      <c r="B4" s="35"/>
      <c r="C4" s="35"/>
      <c r="D4" s="35"/>
    </row>
    <row r="5" customFormat="false" ht="15" hidden="false" customHeight="true" outlineLevel="0" collapsed="false">
      <c r="A5" s="36" t="s">
        <v>96</v>
      </c>
      <c r="B5" s="51" t="n">
        <v>24</v>
      </c>
      <c r="D5" s="40" t="s">
        <v>97</v>
      </c>
    </row>
    <row r="6" customFormat="false" ht="15" hidden="false" customHeight="true" outlineLevel="0" collapsed="false">
      <c r="A6" s="36" t="s">
        <v>98</v>
      </c>
      <c r="B6" s="51" t="n">
        <v>27</v>
      </c>
      <c r="D6" s="40" t="s">
        <v>99</v>
      </c>
    </row>
    <row r="7" customFormat="false" ht="15" hidden="false" customHeight="true" outlineLevel="0" collapsed="false">
      <c r="A7" s="36" t="s">
        <v>100</v>
      </c>
      <c r="B7" s="52" t="n">
        <f aca="false">B5*B6</f>
        <v>648</v>
      </c>
    </row>
    <row r="9" customFormat="false" ht="15" hidden="false" customHeight="true" outlineLevel="0" collapsed="false">
      <c r="A9" s="34" t="s">
        <v>101</v>
      </c>
      <c r="B9" s="35"/>
      <c r="C9" s="35"/>
      <c r="D9" s="35"/>
    </row>
    <row r="10" customFormat="false" ht="15" hidden="false" customHeight="true" outlineLevel="0" collapsed="false">
      <c r="A10" s="36" t="s">
        <v>102</v>
      </c>
      <c r="B10" s="53" t="n">
        <v>750</v>
      </c>
      <c r="D10" s="40" t="s">
        <v>103</v>
      </c>
    </row>
    <row r="11" customFormat="false" ht="15" hidden="false" customHeight="true" outlineLevel="0" collapsed="false">
      <c r="A11" s="36" t="s">
        <v>104</v>
      </c>
      <c r="B11" s="52" t="n">
        <f aca="false">B10*12</f>
        <v>9000</v>
      </c>
    </row>
    <row r="12" customFormat="false" ht="21.75" hidden="false" customHeight="true" outlineLevel="0" collapsed="false">
      <c r="A12" s="36" t="s">
        <v>105</v>
      </c>
      <c r="B12" s="51" t="n">
        <v>101</v>
      </c>
      <c r="D12" s="40" t="s">
        <v>106</v>
      </c>
    </row>
    <row r="13" customFormat="false" ht="15" hidden="false" customHeight="true" outlineLevel="0" collapsed="false">
      <c r="A13" s="36" t="s">
        <v>107</v>
      </c>
      <c r="B13" s="52" t="n">
        <f aca="false">B11*B12</f>
        <v>909000</v>
      </c>
    </row>
    <row r="15" customFormat="false" ht="15" hidden="false" customHeight="true" outlineLevel="0" collapsed="false">
      <c r="A15" s="34" t="s">
        <v>108</v>
      </c>
      <c r="B15" s="35"/>
      <c r="C15" s="35"/>
      <c r="D15" s="35"/>
    </row>
    <row r="16" customFormat="false" ht="15" hidden="false" customHeight="true" outlineLevel="0" collapsed="false">
      <c r="A16" s="36" t="s">
        <v>109</v>
      </c>
      <c r="B16" s="51" t="n">
        <v>150</v>
      </c>
      <c r="D16" s="40" t="s">
        <v>110</v>
      </c>
    </row>
    <row r="17" customFormat="false" ht="15" hidden="false" customHeight="true" outlineLevel="0" collapsed="false">
      <c r="A17" s="36" t="s">
        <v>111</v>
      </c>
      <c r="B17" s="52" t="n">
        <f aca="false">B16*12</f>
        <v>1800</v>
      </c>
    </row>
    <row r="18" customFormat="false" ht="21.75" hidden="false" customHeight="true" outlineLevel="0" collapsed="false">
      <c r="A18" s="36" t="s">
        <v>112</v>
      </c>
      <c r="B18" s="51" t="n">
        <v>101</v>
      </c>
      <c r="D18" s="40" t="s">
        <v>113</v>
      </c>
    </row>
    <row r="19" customFormat="false" ht="15" hidden="false" customHeight="true" outlineLevel="0" collapsed="false">
      <c r="A19" s="36" t="s">
        <v>114</v>
      </c>
      <c r="B19" s="53" t="n">
        <v>260</v>
      </c>
      <c r="D19" s="40" t="s">
        <v>115</v>
      </c>
    </row>
    <row r="20" customFormat="false" ht="15" hidden="false" customHeight="true" outlineLevel="0" collapsed="false">
      <c r="A20" s="36" t="s">
        <v>116</v>
      </c>
      <c r="B20" s="54" t="n">
        <v>0.41</v>
      </c>
      <c r="D20" s="40" t="s">
        <v>117</v>
      </c>
    </row>
    <row r="21" customFormat="false" ht="15" hidden="false" customHeight="true" outlineLevel="0" collapsed="false">
      <c r="A21" s="36" t="s">
        <v>118</v>
      </c>
      <c r="B21" s="46" t="n">
        <f aca="false">B19*B20</f>
        <v>106.6</v>
      </c>
      <c r="D21" s="40" t="s">
        <v>119</v>
      </c>
    </row>
    <row r="22" customFormat="false" ht="15" hidden="false" customHeight="true" outlineLevel="0" collapsed="false">
      <c r="A22" s="36" t="s">
        <v>120</v>
      </c>
      <c r="B22" s="52" t="n">
        <f aca="false">INT(B18/B5)*INT(B17/B6)</f>
        <v>264</v>
      </c>
      <c r="D22" s="40" t="s">
        <v>121</v>
      </c>
    </row>
    <row r="23" customFormat="false" ht="21.75" hidden="false" customHeight="true" outlineLevel="0" collapsed="false">
      <c r="A23" s="36" t="s">
        <v>122</v>
      </c>
      <c r="B23" s="55" t="n">
        <f aca="false">B19/B22</f>
        <v>0.984848484848485</v>
      </c>
      <c r="D23" s="40" t="s">
        <v>123</v>
      </c>
    </row>
    <row r="25" customFormat="false" ht="15" hidden="false" customHeight="true" outlineLevel="0" collapsed="false">
      <c r="A25" s="34" t="s">
        <v>124</v>
      </c>
      <c r="B25" s="35"/>
      <c r="C25" s="35"/>
      <c r="D25" s="35"/>
    </row>
    <row r="26" customFormat="false" ht="23.25" hidden="false" customHeight="true" outlineLevel="0" collapsed="false">
      <c r="A26" s="36" t="s">
        <v>125</v>
      </c>
      <c r="B26" s="53" t="n">
        <v>250</v>
      </c>
      <c r="D26" s="38" t="s">
        <v>126</v>
      </c>
    </row>
    <row r="27" customFormat="false" ht="15" hidden="false" customHeight="true" outlineLevel="0" collapsed="false">
      <c r="A27" s="36" t="s">
        <v>127</v>
      </c>
      <c r="B27" s="47" t="n">
        <f aca="false">'Cycle Time'!F14</f>
        <v>3</v>
      </c>
      <c r="D27" s="40" t="s">
        <v>128</v>
      </c>
    </row>
    <row r="28" customFormat="false" ht="21.75" hidden="false" customHeight="true" outlineLevel="0" collapsed="false">
      <c r="A28" s="36" t="s">
        <v>129</v>
      </c>
      <c r="B28" s="47" t="n">
        <f aca="false">'Cycle Time'!F19+'Cycle Time'!F24</f>
        <v>14</v>
      </c>
      <c r="D28" s="40" t="s">
        <v>130</v>
      </c>
    </row>
    <row r="29" customFormat="false" ht="15" hidden="false" customHeight="true" outlineLevel="0" collapsed="false">
      <c r="A29" s="36" t="s">
        <v>131</v>
      </c>
      <c r="B29" s="47" t="n">
        <f aca="false">'Cycle Time'!F29</f>
        <v>3</v>
      </c>
      <c r="D29" s="40" t="s">
        <v>132</v>
      </c>
    </row>
    <row r="30" customFormat="false" ht="15" hidden="false" customHeight="true" outlineLevel="0" collapsed="false">
      <c r="A30" s="36" t="s">
        <v>133</v>
      </c>
      <c r="B30" s="56" t="n">
        <f aca="false">SUM(B27:B29)</f>
        <v>20</v>
      </c>
    </row>
    <row r="31" customFormat="false" ht="15" hidden="false" customHeight="true" outlineLevel="0" collapsed="false">
      <c r="A31" s="36" t="s">
        <v>134</v>
      </c>
      <c r="B31" s="56" t="n">
        <f aca="false">CEILING(B30/7,1)</f>
        <v>3</v>
      </c>
      <c r="D31" s="40" t="s">
        <v>135</v>
      </c>
    </row>
    <row r="32" customFormat="false" ht="15" hidden="false" customHeight="true" outlineLevel="0" collapsed="false">
      <c r="A32" s="36" t="s">
        <v>136</v>
      </c>
      <c r="B32" s="51" t="n">
        <v>1</v>
      </c>
      <c r="D32" s="40" t="s">
        <v>137</v>
      </c>
    </row>
    <row r="34" customFormat="false" ht="15" hidden="false" customHeight="true" outlineLevel="0" collapsed="false">
      <c r="A34" s="34" t="s">
        <v>138</v>
      </c>
    </row>
    <row r="35" customFormat="false" ht="15" hidden="false" customHeight="true" outlineLevel="0" collapsed="false">
      <c r="A35" s="36" t="s">
        <v>139</v>
      </c>
      <c r="B35" s="53" t="n">
        <v>1300</v>
      </c>
      <c r="D35" s="57" t="s">
        <v>140</v>
      </c>
    </row>
    <row r="36" customFormat="false" ht="15" hidden="false" customHeight="true" outlineLevel="0" collapsed="false">
      <c r="A36" s="36" t="s">
        <v>141</v>
      </c>
      <c r="B36" s="42" t="n">
        <f aca="false">'Yield per Roll'!B10</f>
        <v>1332</v>
      </c>
      <c r="D36" s="57" t="s">
        <v>142</v>
      </c>
    </row>
    <row r="37" customFormat="false" ht="15" hidden="false" customHeight="true" outlineLevel="0" collapsed="false">
      <c r="A37" s="36" t="s">
        <v>143</v>
      </c>
      <c r="B37" s="55" t="n">
        <f aca="false">B35/B36</f>
        <v>0.975975975975976</v>
      </c>
      <c r="D37" s="57" t="s">
        <v>144</v>
      </c>
    </row>
    <row r="38" customFormat="false" ht="15" hidden="false" customHeight="true" outlineLevel="0" collapsed="false">
      <c r="A38" s="36" t="s">
        <v>145</v>
      </c>
      <c r="B38" s="58" t="n">
        <f aca="false">B23</f>
        <v>0.984848484848485</v>
      </c>
      <c r="D38" s="57" t="s">
        <v>146</v>
      </c>
    </row>
    <row r="39" customFormat="false" ht="15" hidden="false" customHeight="true" outlineLevel="0" collapsed="false">
      <c r="A39" s="36" t="s">
        <v>147</v>
      </c>
      <c r="B39" s="52" t="n">
        <f aca="false">B36-B35</f>
        <v>32</v>
      </c>
      <c r="D39" s="59" t="s">
        <v>148</v>
      </c>
    </row>
    <row r="41" customFormat="false" ht="15" hidden="false" customHeight="true" outlineLevel="0" collapsed="false">
      <c r="A41" s="34" t="s">
        <v>149</v>
      </c>
    </row>
    <row r="42" customFormat="false" ht="15" hidden="false" customHeight="true" outlineLevel="0" collapsed="false">
      <c r="A42" s="36" t="s">
        <v>150</v>
      </c>
      <c r="B42" s="60" t="n">
        <v>46289</v>
      </c>
      <c r="D42" s="57" t="s">
        <v>151</v>
      </c>
    </row>
    <row r="43" customFormat="false" ht="15" hidden="false" customHeight="true" outlineLevel="0" collapsed="false">
      <c r="A43" s="36" t="s">
        <v>152</v>
      </c>
      <c r="B43" s="53" t="n">
        <v>70</v>
      </c>
    </row>
    <row r="44" customFormat="false" ht="15" hidden="false" customHeight="true" outlineLevel="0" collapsed="false">
      <c r="A44" s="36" t="s">
        <v>153</v>
      </c>
      <c r="B44" s="51" t="n">
        <v>2</v>
      </c>
    </row>
    <row r="45" customFormat="false" ht="15" hidden="false" customHeight="true" outlineLevel="0" collapsed="false">
      <c r="A45" s="36" t="s">
        <v>154</v>
      </c>
      <c r="B45" s="51" t="n">
        <v>3</v>
      </c>
      <c r="D45" s="57" t="s">
        <v>155</v>
      </c>
    </row>
    <row r="46" customFormat="false" ht="15" hidden="false" customHeight="true" outlineLevel="0" collapsed="false">
      <c r="A46" s="36" t="s">
        <v>20</v>
      </c>
      <c r="B46" s="61" t="n">
        <f aca="false">B35/B45</f>
        <v>433.333333333333</v>
      </c>
      <c r="D46" s="57" t="s">
        <v>156</v>
      </c>
    </row>
    <row r="47" customFormat="false" ht="15" hidden="false" customHeight="true" outlineLevel="0" collapsed="false">
      <c r="A47" s="44" t="s">
        <v>157</v>
      </c>
      <c r="B47" s="45" t="n">
        <f aca="false">ROUND(B43+B44*B46,0)</f>
        <v>937</v>
      </c>
    </row>
    <row r="48" customFormat="false" ht="15" hidden="false" customHeight="true" outlineLevel="0" collapsed="false">
      <c r="A48" s="36" t="s">
        <v>158</v>
      </c>
      <c r="B48" s="61" t="n">
        <f aca="false">B47/B26</f>
        <v>3.748</v>
      </c>
    </row>
    <row r="49" customFormat="false" ht="15" hidden="false" customHeight="true" outlineLevel="0" collapsed="false">
      <c r="A49" s="36" t="s">
        <v>159</v>
      </c>
      <c r="B49" s="62" t="str">
        <f aca="false">IF(B47&lt;'Order Cadence'!B16,"⚠ BELOW ROP "&amp;TEXT('Order Cadence'!B16,"#,##0")&amp;" — release PO now","OK — above ROP")</f>
        <v>⚠ BELOW ROP 1,000 — release PO now</v>
      </c>
      <c r="D49" s="57" t="s">
        <v>160</v>
      </c>
    </row>
    <row r="50" customFormat="false" ht="15" hidden="false" customHeight="true" outlineLevel="0" collapsed="false">
      <c r="A50" s="36" t="s">
        <v>161</v>
      </c>
      <c r="B50" s="56" t="n">
        <f aca="false">NETWORKDAYS(B42,'6-Month Forecast'!B5-1)</f>
        <v>2</v>
      </c>
      <c r="D50" s="57" t="s">
        <v>162</v>
      </c>
    </row>
    <row r="51" customFormat="false" ht="15" hidden="false" customHeight="true" outlineLevel="0" collapsed="false">
      <c r="A51" s="36" t="s">
        <v>163</v>
      </c>
      <c r="B51" s="52" t="n">
        <f aca="false">ROUND(B50*B26/5,0)</f>
        <v>100</v>
      </c>
      <c r="D51" s="57" t="s">
        <v>164</v>
      </c>
    </row>
    <row r="52" customFormat="false" ht="15" hidden="false" customHeight="true" outlineLevel="0" collapsed="false">
      <c r="A52" s="44" t="s">
        <v>165</v>
      </c>
      <c r="B52" s="45" t="n">
        <f aca="false">B47-B51</f>
        <v>837</v>
      </c>
      <c r="D52" s="57" t="s">
        <v>166</v>
      </c>
    </row>
    <row r="54" customFormat="false" ht="15" hidden="false" customHeight="true" outlineLevel="0" collapsed="false">
      <c r="A54" s="34" t="s">
        <v>167</v>
      </c>
    </row>
    <row r="55" customFormat="false" ht="15" hidden="false" customHeight="true" outlineLevel="0" collapsed="false">
      <c r="A55" s="36" t="s">
        <v>34</v>
      </c>
      <c r="B55" s="60" t="n">
        <v>46293</v>
      </c>
      <c r="D55" s="59" t="s">
        <v>168</v>
      </c>
    </row>
    <row r="56" customFormat="false" ht="15" hidden="false" customHeight="true" outlineLevel="0" collapsed="false">
      <c r="A56" s="36" t="s">
        <v>169</v>
      </c>
      <c r="B56" s="53" t="n">
        <v>1300</v>
      </c>
      <c r="D56" s="57" t="s">
        <v>170</v>
      </c>
    </row>
    <row r="57" customFormat="false" ht="15" hidden="false" customHeight="true" outlineLevel="0" collapsed="false">
      <c r="A57" s="36" t="s">
        <v>171</v>
      </c>
      <c r="B57" s="63" t="n">
        <f aca="false">IF(B56&lt;=0,"",'PO Schedule'!G14)</f>
        <v>46315</v>
      </c>
      <c r="D57" s="64" t="str">
        <f aca="false">"Calendar-day total says "&amp;TEXT(B55+B30,"m/d")&amp;"; rolling each leg off weekends pushes it to the date shown (release Thu 9/24 → roll due Sun → cut ends Wed → receive Sat → shelf Mon)"</f>
        <v>Calendar-day total says 10/18; rolling each leg off weekends pushes it to the date shown (release Thu 9/24 → roll due Sun → cut ends Wed → receive Sat → shelf Mon)</v>
      </c>
    </row>
    <row r="58" customFormat="false" ht="15" hidden="false" customHeight="true" outlineLevel="0" collapsed="false">
      <c r="A58" s="36" t="s">
        <v>172</v>
      </c>
      <c r="B58" s="56" t="n">
        <f aca="false">IF(B56&lt;=0,0,MAX(1,INT((B57-'6-Month Forecast'!B5)/7)+1))</f>
        <v>4</v>
      </c>
      <c r="D58" s="57" t="s">
        <v>173</v>
      </c>
    </row>
    <row r="59" customFormat="false" ht="15" hidden="false" customHeight="true" outlineLevel="0" collapsed="false">
      <c r="A59" s="36" t="s">
        <v>174</v>
      </c>
      <c r="B59" s="52" t="n">
        <f aca="false">IF(B56&lt;=0,"n/a",B47-NETWORKDAYS(B42,B57-1)*B26/5)</f>
        <v>37</v>
      </c>
      <c r="D59" s="57" t="s">
        <v>175</v>
      </c>
    </row>
    <row r="60" customFormat="false" ht="15" hidden="false" customHeight="true" outlineLevel="0" collapsed="false">
      <c r="A60" s="44" t="s">
        <v>176</v>
      </c>
      <c r="B60" s="65" t="n">
        <f aca="false">IF(B56&lt;=0,"n/a",B59/(B26/5))</f>
        <v>0.74</v>
      </c>
      <c r="D60" s="62" t="str">
        <f aca="false">IF(B56&lt;=0,"",IF(B60&lt;5,"⚠ Under a week of cover when the first roll lands — ask Trotter to cut PO-0 in the first available slot, not the full 2-week queue (their 1-day cut makes it realistic)","OK"))</f>
        <v>⚠ Under a week of cover when the first roll lands — ask Trotter to cut PO-0 in the first available slot, not the full 2-week queue (their 1-day cut makes it realistic)</v>
      </c>
    </row>
    <row r="61" customFormat="false" ht="15" hidden="false" customHeight="true" outlineLevel="0" collapsed="false">
      <c r="A61" s="36" t="s">
        <v>177</v>
      </c>
      <c r="B61" s="66" t="n">
        <f aca="false">WORKDAY(B42,INT(B47/(B26/5)))</f>
        <v>46315</v>
      </c>
      <c r="D61" s="57"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16"/>
    <col collapsed="false" customWidth="true" hidden="false" outlineLevel="0" max="4" min="4" style="1" width="17"/>
    <col collapsed="false" customWidth="true" hidden="false" outlineLevel="0" max="5" min="5" style="1" width="14"/>
    <col collapsed="false" customWidth="true" hidden="false" outlineLevel="0" max="6" min="6" style="1" width="15"/>
    <col collapsed="false" customWidth="true" hidden="false" outlineLevel="0" max="7" min="7" style="1" width="20"/>
    <col collapsed="false" customWidth="true" hidden="false" outlineLevel="0" max="8" min="8" style="1" width="74"/>
    <col collapsed="false" customWidth="true" hidden="false" outlineLevel="0" max="9" min="9" style="1" width="3"/>
    <col collapsed="false" customWidth="true" hidden="false" outlineLevel="0" max="11" min="10" style="1" width="8"/>
  </cols>
  <sheetData>
    <row r="1" customFormat="false" ht="17.25" hidden="false" customHeight="true" outlineLevel="0" collapsed="false">
      <c r="A1" s="32" t="s">
        <v>179</v>
      </c>
    </row>
    <row r="2" customFormat="false" ht="15" hidden="false" customHeight="true" outlineLevel="0" collapsed="false">
      <c r="A2" s="57" t="s">
        <v>180</v>
      </c>
    </row>
    <row r="4" customFormat="false" ht="15" hidden="false" customHeight="true" outlineLevel="0" collapsed="false">
      <c r="A4" s="34" t="s">
        <v>181</v>
      </c>
    </row>
    <row r="5" customFormat="false" ht="137.25" hidden="false" customHeight="true" outlineLevel="0" collapsed="false">
      <c r="A5" s="36" t="s">
        <v>182</v>
      </c>
      <c r="B5" s="67" t="s">
        <v>183</v>
      </c>
      <c r="D5" s="40" t="s">
        <v>184</v>
      </c>
    </row>
    <row r="6" customFormat="false" ht="32.25" hidden="false" customHeight="true" outlineLevel="0" collapsed="false">
      <c r="A6" s="57" t="s">
        <v>185</v>
      </c>
      <c r="B6" s="68" t="n">
        <f aca="false">MATCH(B5,$C$10:$E$10,0)</f>
        <v>1</v>
      </c>
      <c r="D6" s="40" t="s">
        <v>186</v>
      </c>
    </row>
    <row r="7" customFormat="false" ht="53.25" hidden="false" customHeight="true" outlineLevel="0" collapsed="false">
      <c r="A7" s="36" t="s">
        <v>187</v>
      </c>
      <c r="B7" s="51" t="n">
        <v>14</v>
      </c>
      <c r="D7" s="40" t="s">
        <v>188</v>
      </c>
    </row>
    <row r="8" customFormat="false" ht="15" hidden="false" customHeight="true" outlineLevel="0" collapsed="false">
      <c r="A8" s="34" t="s">
        <v>189</v>
      </c>
    </row>
    <row r="9" customFormat="false" ht="32.25" hidden="false" customHeight="true" outlineLevel="0" collapsed="false">
      <c r="A9" s="40" t="s">
        <v>190</v>
      </c>
    </row>
    <row r="10" customFormat="false" ht="15" hidden="false" customHeight="true" outlineLevel="0" collapsed="false">
      <c r="A10" s="69" t="s">
        <v>191</v>
      </c>
      <c r="B10" s="69" t="s">
        <v>192</v>
      </c>
      <c r="C10" s="69" t="s">
        <v>183</v>
      </c>
      <c r="D10" s="69" t="s">
        <v>193</v>
      </c>
      <c r="E10" s="69" t="s">
        <v>194</v>
      </c>
      <c r="F10" s="69" t="s">
        <v>195</v>
      </c>
      <c r="G10" s="69" t="s">
        <v>196</v>
      </c>
      <c r="H10" s="69" t="s">
        <v>197</v>
      </c>
      <c r="J10" s="70" t="s">
        <v>198</v>
      </c>
    </row>
    <row r="11" customFormat="false" ht="15" hidden="false" customHeight="true" outlineLevel="0" collapsed="false">
      <c r="A11" s="71" t="s">
        <v>199</v>
      </c>
      <c r="B11" s="72"/>
      <c r="C11" s="72"/>
      <c r="D11" s="72"/>
      <c r="E11" s="72"/>
      <c r="F11" s="72"/>
      <c r="G11" s="72"/>
      <c r="H11" s="72"/>
      <c r="J11" s="73" t="s">
        <v>200</v>
      </c>
      <c r="K11" s="73" t="s">
        <v>201</v>
      </c>
    </row>
    <row r="12" customFormat="false" ht="21.75" hidden="false" customHeight="true" outlineLevel="0" collapsed="false">
      <c r="A12" s="74" t="s">
        <v>202</v>
      </c>
      <c r="B12" s="40" t="s">
        <v>203</v>
      </c>
      <c r="C12" s="75" t="n">
        <v>1</v>
      </c>
      <c r="D12" s="75"/>
      <c r="E12" s="75" t="n">
        <v>2</v>
      </c>
      <c r="F12" s="76" t="n">
        <f aca="false">IF(INDEX($C12:$E12,1,$B$6)="",$C12,INDEX($C12:$E12,1,$B$6))</f>
        <v>1</v>
      </c>
      <c r="G12" s="40" t="s">
        <v>204</v>
      </c>
      <c r="H12" s="77" t="s">
        <v>205</v>
      </c>
      <c r="J12" s="78" t="n">
        <f aca="false">'6-Month Forecast'!A14</f>
        <v>1</v>
      </c>
      <c r="K12" s="78" t="str">
        <f aca="false">IF('6-Month Forecast'!H14&gt;0,COUNTIF('6-Month Forecast'!$H$14:H14,"&gt;0"),"")</f>
        <v/>
      </c>
    </row>
    <row r="13" customFormat="false" ht="21.75" hidden="false" customHeight="true" outlineLevel="0" collapsed="false">
      <c r="A13" s="74" t="s">
        <v>206</v>
      </c>
      <c r="B13" s="40" t="s">
        <v>207</v>
      </c>
      <c r="C13" s="75" t="n">
        <v>2</v>
      </c>
      <c r="D13" s="75"/>
      <c r="E13" s="75" t="n">
        <v>5</v>
      </c>
      <c r="F13" s="76" t="n">
        <f aca="false">IF(INDEX($C13:$E13,1,$B$6)="",$C13,INDEX($C13:$E13,1,$B$6))</f>
        <v>2</v>
      </c>
      <c r="G13" s="40" t="s">
        <v>208</v>
      </c>
      <c r="H13" s="77" t="s">
        <v>209</v>
      </c>
      <c r="J13" s="78" t="n">
        <f aca="false">'6-Month Forecast'!A15</f>
        <v>2</v>
      </c>
      <c r="K13" s="78" t="str">
        <f aca="false">IF('6-Month Forecast'!H15&gt;0,COUNTIF('6-Month Forecast'!$H$14:H15,"&gt;0"),"")</f>
        <v/>
      </c>
    </row>
    <row r="14" customFormat="false" ht="15" hidden="false" customHeight="true" outlineLevel="0" collapsed="false">
      <c r="A14" s="79" t="s">
        <v>210</v>
      </c>
      <c r="C14" s="80" t="n">
        <f aca="false">SUM(C12:C13)</f>
        <v>3</v>
      </c>
      <c r="D14" s="80" t="n">
        <f aca="false">IF(D12="",C12,D12)+IF(D13="",C13,D13)</f>
        <v>3</v>
      </c>
      <c r="E14" s="80" t="n">
        <f aca="false">SUM(E12:E13)</f>
        <v>7</v>
      </c>
      <c r="F14" s="81" t="n">
        <f aca="false">SUM(F12:F13)</f>
        <v>3</v>
      </c>
      <c r="H14" s="40" t="s">
        <v>211</v>
      </c>
      <c r="J14" s="78" t="n">
        <f aca="false">'6-Month Forecast'!A16</f>
        <v>3</v>
      </c>
      <c r="K14" s="78" t="str">
        <f aca="false">IF('6-Month Forecast'!H16&gt;0,COUNTIF('6-Month Forecast'!$H$14:H16,"&gt;0"),"")</f>
        <v/>
      </c>
    </row>
    <row r="15" customFormat="false" ht="15" hidden="false" customHeight="true" outlineLevel="0" collapsed="false">
      <c r="J15" s="78" t="n">
        <f aca="false">'6-Month Forecast'!A17</f>
        <v>4</v>
      </c>
      <c r="K15" s="78" t="str">
        <f aca="false">IF('6-Month Forecast'!H17&gt;0,COUNTIF('6-Month Forecast'!$H$14:H17,"&gt;0"),"")</f>
        <v/>
      </c>
    </row>
    <row r="16" customFormat="false" ht="15" hidden="false" customHeight="true" outlineLevel="0" collapsed="false">
      <c r="A16" s="71" t="s">
        <v>212</v>
      </c>
      <c r="B16" s="72"/>
      <c r="C16" s="72"/>
      <c r="D16" s="72"/>
      <c r="E16" s="72"/>
      <c r="F16" s="72"/>
      <c r="G16" s="72"/>
      <c r="H16" s="72"/>
      <c r="J16" s="78" t="n">
        <f aca="false">'6-Month Forecast'!A18</f>
        <v>5</v>
      </c>
      <c r="K16" s="78" t="n">
        <f aca="false">IF('6-Month Forecast'!H18&gt;0,COUNTIF('6-Month Forecast'!$H$14:H18,"&gt;0"),"")</f>
        <v>1</v>
      </c>
    </row>
    <row r="17" customFormat="false" ht="15" hidden="false" customHeight="true" outlineLevel="0" collapsed="false">
      <c r="A17" s="74" t="s">
        <v>213</v>
      </c>
      <c r="B17" s="40" t="s">
        <v>214</v>
      </c>
      <c r="C17" s="75" t="n">
        <v>1</v>
      </c>
      <c r="D17" s="75"/>
      <c r="E17" s="75" t="n">
        <v>2</v>
      </c>
      <c r="F17" s="76" t="n">
        <f aca="false">IF(INDEX($C17:$E17,1,$B$6)="",$C17,INDEX($C17:$E17,1,$B$6))</f>
        <v>1</v>
      </c>
      <c r="G17" s="40" t="s">
        <v>59</v>
      </c>
      <c r="H17" s="77" t="s">
        <v>215</v>
      </c>
      <c r="J17" s="78" t="n">
        <f aca="false">'6-Month Forecast'!A19</f>
        <v>6</v>
      </c>
      <c r="K17" s="78" t="str">
        <f aca="false">IF('6-Month Forecast'!H19&gt;0,COUNTIF('6-Month Forecast'!$H$14:H19,"&gt;0"),"")</f>
        <v/>
      </c>
    </row>
    <row r="18" customFormat="false" ht="21.75" hidden="false" customHeight="true" outlineLevel="0" collapsed="false">
      <c r="A18" s="74" t="s">
        <v>216</v>
      </c>
      <c r="B18" s="40" t="s">
        <v>217</v>
      </c>
      <c r="C18" s="75" t="n">
        <v>11</v>
      </c>
      <c r="D18" s="75"/>
      <c r="E18" s="75" t="n">
        <v>12</v>
      </c>
      <c r="F18" s="76" t="n">
        <f aca="false">IF(INDEX($C18:$E18,1,$B$6)="",$C18,INDEX($C18:$E18,1,$B$6))</f>
        <v>11</v>
      </c>
      <c r="G18" s="40" t="s">
        <v>59</v>
      </c>
      <c r="H18" s="40" t="s">
        <v>218</v>
      </c>
      <c r="J18" s="78" t="n">
        <f aca="false">'6-Month Forecast'!A20</f>
        <v>7</v>
      </c>
      <c r="K18" s="78" t="str">
        <f aca="false">IF('6-Month Forecast'!H20&gt;0,COUNTIF('6-Month Forecast'!$H$14:H20,"&gt;0"),"")</f>
        <v/>
      </c>
    </row>
    <row r="19" customFormat="false" ht="15" hidden="false" customHeight="true" outlineLevel="0" collapsed="false">
      <c r="A19" s="79" t="s">
        <v>219</v>
      </c>
      <c r="C19" s="80" t="n">
        <f aca="false">SUM(C17:C18)</f>
        <v>12</v>
      </c>
      <c r="D19" s="80" t="n">
        <f aca="false">IF(D17="",C17,D17)+IF(D18="",C18,D18)</f>
        <v>12</v>
      </c>
      <c r="E19" s="80" t="n">
        <f aca="false">SUM(E17:E18)</f>
        <v>14</v>
      </c>
      <c r="F19" s="81" t="n">
        <f aca="false">SUM(F17:F18)</f>
        <v>12</v>
      </c>
      <c r="H19" s="40" t="s">
        <v>220</v>
      </c>
      <c r="J19" s="78" t="n">
        <f aca="false">'6-Month Forecast'!A21</f>
        <v>8</v>
      </c>
      <c r="K19" s="78" t="str">
        <f aca="false">IF('6-Month Forecast'!H21&gt;0,COUNTIF('6-Month Forecast'!$H$14:H21,"&gt;0"),"")</f>
        <v/>
      </c>
    </row>
    <row r="20" customFormat="false" ht="15" hidden="false" customHeight="true" outlineLevel="0" collapsed="false">
      <c r="J20" s="78" t="n">
        <f aca="false">'6-Month Forecast'!A22</f>
        <v>9</v>
      </c>
      <c r="K20" s="78" t="str">
        <f aca="false">IF('6-Month Forecast'!H22&gt;0,COUNTIF('6-Month Forecast'!$H$14:H22,"&gt;0"),"")</f>
        <v/>
      </c>
    </row>
    <row r="21" customFormat="false" ht="15" hidden="false" customHeight="true" outlineLevel="0" collapsed="false">
      <c r="A21" s="71" t="s">
        <v>221</v>
      </c>
      <c r="B21" s="72"/>
      <c r="C21" s="72"/>
      <c r="D21" s="72"/>
      <c r="E21" s="72"/>
      <c r="F21" s="72"/>
      <c r="G21" s="72"/>
      <c r="H21" s="72"/>
      <c r="J21" s="78" t="n">
        <f aca="false">'6-Month Forecast'!A23</f>
        <v>10</v>
      </c>
      <c r="K21" s="78" t="n">
        <f aca="false">IF('6-Month Forecast'!H23&gt;0,COUNTIF('6-Month Forecast'!$H$14:H23,"&gt;0"),"")</f>
        <v>2</v>
      </c>
    </row>
    <row r="22" customFormat="false" ht="21.75" hidden="false" customHeight="true" outlineLevel="0" collapsed="false">
      <c r="A22" s="74" t="s">
        <v>222</v>
      </c>
      <c r="B22" s="40" t="s">
        <v>223</v>
      </c>
      <c r="C22" s="75" t="n">
        <v>1</v>
      </c>
      <c r="D22" s="75" t="n">
        <v>1</v>
      </c>
      <c r="E22" s="75" t="n">
        <v>1</v>
      </c>
      <c r="F22" s="76" t="n">
        <f aca="false">IF(INDEX($C22:$E22,1,$B$6)="",$C22,INDEX($C22:$E22,1,$B$6))</f>
        <v>1</v>
      </c>
      <c r="G22" s="40" t="s">
        <v>59</v>
      </c>
      <c r="H22" s="82" t="s">
        <v>224</v>
      </c>
      <c r="J22" s="78" t="n">
        <f aca="false">'6-Month Forecast'!A24</f>
        <v>11</v>
      </c>
      <c r="K22" s="78" t="str">
        <f aca="false">IF('6-Month Forecast'!H24&gt;0,COUNTIF('6-Month Forecast'!$H$14:H24,"&gt;0"),"")</f>
        <v/>
      </c>
    </row>
    <row r="23" customFormat="false" ht="15" hidden="false" customHeight="true" outlineLevel="0" collapsed="false">
      <c r="A23" s="74" t="s">
        <v>225</v>
      </c>
      <c r="B23" s="40" t="s">
        <v>226</v>
      </c>
      <c r="C23" s="75" t="n">
        <v>1</v>
      </c>
      <c r="D23" s="75"/>
      <c r="E23" s="75" t="n">
        <v>2</v>
      </c>
      <c r="F23" s="76" t="n">
        <f aca="false">IF(INDEX($C23:$E23,1,$B$6)="",$C23,INDEX($C23:$E23,1,$B$6))</f>
        <v>1</v>
      </c>
      <c r="G23" s="40" t="s">
        <v>59</v>
      </c>
      <c r="H23" s="77" t="s">
        <v>227</v>
      </c>
      <c r="J23" s="78" t="n">
        <f aca="false">'6-Month Forecast'!A25</f>
        <v>12</v>
      </c>
      <c r="K23" s="78" t="str">
        <f aca="false">IF('6-Month Forecast'!H25&gt;0,COUNTIF('6-Month Forecast'!$H$14:H25,"&gt;0"),"")</f>
        <v/>
      </c>
    </row>
    <row r="24" customFormat="false" ht="15" hidden="false" customHeight="true" outlineLevel="0" collapsed="false">
      <c r="A24" s="79" t="s">
        <v>228</v>
      </c>
      <c r="C24" s="80" t="n">
        <f aca="false">SUM(C22:C23)</f>
        <v>2</v>
      </c>
      <c r="D24" s="80" t="n">
        <f aca="false">IF(D22="",C22,D22)+IF(D23="",C23,D23)</f>
        <v>2</v>
      </c>
      <c r="E24" s="80" t="n">
        <f aca="false">SUM(E22:E23)</f>
        <v>3</v>
      </c>
      <c r="F24" s="81" t="n">
        <f aca="false">SUM(F22:F23)</f>
        <v>2</v>
      </c>
      <c r="J24" s="78" t="n">
        <f aca="false">'6-Month Forecast'!A26</f>
        <v>13</v>
      </c>
      <c r="K24" s="78" t="str">
        <f aca="false">IF('6-Month Forecast'!H26&gt;0,COUNTIF('6-Month Forecast'!$H$14:H26,"&gt;0"),"")</f>
        <v/>
      </c>
    </row>
    <row r="25" customFormat="false" ht="15" hidden="false" customHeight="true" outlineLevel="0" collapsed="false">
      <c r="J25" s="78" t="n">
        <f aca="false">'6-Month Forecast'!A27</f>
        <v>14</v>
      </c>
      <c r="K25" s="78" t="str">
        <f aca="false">IF('6-Month Forecast'!H27&gt;0,COUNTIF('6-Month Forecast'!$H$14:H27,"&gt;0"),"")</f>
        <v/>
      </c>
    </row>
    <row r="26" customFormat="false" ht="15" hidden="false" customHeight="true" outlineLevel="0" collapsed="false">
      <c r="A26" s="71" t="s">
        <v>229</v>
      </c>
      <c r="B26" s="72"/>
      <c r="C26" s="72"/>
      <c r="D26" s="72"/>
      <c r="E26" s="72"/>
      <c r="F26" s="72"/>
      <c r="G26" s="72"/>
      <c r="H26" s="72"/>
      <c r="J26" s="78" t="n">
        <f aca="false">'6-Month Forecast'!A28</f>
        <v>15</v>
      </c>
      <c r="K26" s="78" t="n">
        <f aca="false">IF('6-Month Forecast'!H28&gt;0,COUNTIF('6-Month Forecast'!$H$14:H28,"&gt;0"),"")</f>
        <v>3</v>
      </c>
    </row>
    <row r="27" customFormat="false" ht="15" hidden="false" customHeight="true" outlineLevel="0" collapsed="false">
      <c r="A27" s="74" t="s">
        <v>230</v>
      </c>
      <c r="B27" s="40" t="s">
        <v>231</v>
      </c>
      <c r="C27" s="75" t="n">
        <v>2</v>
      </c>
      <c r="D27" s="75"/>
      <c r="E27" s="75" t="n">
        <v>3</v>
      </c>
      <c r="F27" s="76" t="n">
        <f aca="false">IF(INDEX($C27:$E27,1,$B$6)="",$C27,INDEX($C27:$E27,1,$B$6))</f>
        <v>2</v>
      </c>
      <c r="G27" s="40" t="s">
        <v>232</v>
      </c>
      <c r="H27" s="77" t="s">
        <v>233</v>
      </c>
      <c r="J27" s="78" t="n">
        <f aca="false">'6-Month Forecast'!A29</f>
        <v>16</v>
      </c>
      <c r="K27" s="78" t="str">
        <f aca="false">IF('6-Month Forecast'!H29&gt;0,COUNTIF('6-Month Forecast'!$H$14:H29,"&gt;0"),"")</f>
        <v/>
      </c>
    </row>
    <row r="28" customFormat="false" ht="15" hidden="false" customHeight="true" outlineLevel="0" collapsed="false">
      <c r="A28" s="74" t="s">
        <v>234</v>
      </c>
      <c r="B28" s="40" t="s">
        <v>235</v>
      </c>
      <c r="C28" s="75" t="n">
        <v>1</v>
      </c>
      <c r="D28" s="75"/>
      <c r="E28" s="75" t="n">
        <v>2</v>
      </c>
      <c r="F28" s="76" t="n">
        <f aca="false">IF(INDEX($C28:$E28,1,$B$6)="",$C28,INDEX($C28:$E28,1,$B$6))</f>
        <v>1</v>
      </c>
      <c r="G28" s="40" t="s">
        <v>236</v>
      </c>
      <c r="H28" s="40" t="s">
        <v>237</v>
      </c>
      <c r="J28" s="78" t="n">
        <f aca="false">'6-Month Forecast'!A30</f>
        <v>17</v>
      </c>
      <c r="K28" s="78" t="str">
        <f aca="false">IF('6-Month Forecast'!H30&gt;0,COUNTIF('6-Month Forecast'!$H$14:H30,"&gt;0"),"")</f>
        <v/>
      </c>
    </row>
    <row r="29" customFormat="false" ht="15" hidden="false" customHeight="true" outlineLevel="0" collapsed="false">
      <c r="A29" s="79" t="s">
        <v>238</v>
      </c>
      <c r="C29" s="80" t="n">
        <f aca="false">SUM(C27:C28)</f>
        <v>3</v>
      </c>
      <c r="D29" s="80" t="n">
        <f aca="false">IF(D27="",C27,D27)+IF(D28="",C28,D28)</f>
        <v>3</v>
      </c>
      <c r="E29" s="80" t="n">
        <f aca="false">SUM(E27:E28)</f>
        <v>5</v>
      </c>
      <c r="F29" s="81" t="n">
        <f aca="false">SUM(F27:F28)</f>
        <v>3</v>
      </c>
      <c r="J29" s="78" t="n">
        <f aca="false">'6-Month Forecast'!A31</f>
        <v>18</v>
      </c>
      <c r="K29" s="78" t="str">
        <f aca="false">IF('6-Month Forecast'!H31&gt;0,COUNTIF('6-Month Forecast'!$H$14:H31,"&gt;0"),"")</f>
        <v/>
      </c>
    </row>
    <row r="30" customFormat="false" ht="15" hidden="false" customHeight="true" outlineLevel="0" collapsed="false">
      <c r="J30" s="78" t="n">
        <f aca="false">'6-Month Forecast'!A32</f>
        <v>19</v>
      </c>
      <c r="K30" s="78" t="str">
        <f aca="false">IF('6-Month Forecast'!H32&gt;0,COUNTIF('6-Month Forecast'!$H$14:H32,"&gt;0"),"")</f>
        <v/>
      </c>
    </row>
    <row r="31" customFormat="false" ht="15" hidden="false" customHeight="true" outlineLevel="0" collapsed="false">
      <c r="A31" s="44" t="s">
        <v>239</v>
      </c>
      <c r="C31" s="81" t="n">
        <f aca="false">C14+C19+C24+C29</f>
        <v>20</v>
      </c>
      <c r="D31" s="81" t="n">
        <f aca="false">D14+D19+D24+D29</f>
        <v>20</v>
      </c>
      <c r="E31" s="81" t="n">
        <f aca="false">E14+E19+E24+E29</f>
        <v>29</v>
      </c>
      <c r="F31" s="81" t="n">
        <f aca="false">F14+F19+F24+F29</f>
        <v>20</v>
      </c>
      <c r="H31" s="40" t="s">
        <v>240</v>
      </c>
      <c r="J31" s="78" t="n">
        <f aca="false">'6-Month Forecast'!A33</f>
        <v>20</v>
      </c>
      <c r="K31" s="78" t="str">
        <f aca="false">IF('6-Month Forecast'!H33&gt;0,COUNTIF('6-Month Forecast'!$H$14:H33,"&gt;0"),"")</f>
        <v/>
      </c>
    </row>
    <row r="32" customFormat="false" ht="15" hidden="false" customHeight="true" outlineLevel="0" collapsed="false">
      <c r="A32" s="36" t="s">
        <v>241</v>
      </c>
      <c r="C32" s="56" t="n">
        <f aca="false">CEILING(C31/7,1)</f>
        <v>3</v>
      </c>
      <c r="D32" s="56" t="n">
        <f aca="false">CEILING(D31/7,1)</f>
        <v>3</v>
      </c>
      <c r="E32" s="56" t="n">
        <f aca="false">CEILING(E31/7,1)</f>
        <v>5</v>
      </c>
      <c r="F32" s="56" t="n">
        <f aca="false">CEILING(F31/7,1)</f>
        <v>3</v>
      </c>
      <c r="H32" s="40" t="s">
        <v>242</v>
      </c>
      <c r="J32" s="78" t="n">
        <f aca="false">'6-Month Forecast'!A34</f>
        <v>21</v>
      </c>
      <c r="K32" s="78" t="n">
        <f aca="false">IF('6-Month Forecast'!H34&gt;0,COUNTIF('6-Month Forecast'!$H$14:H34,"&gt;0"),"")</f>
        <v>4</v>
      </c>
    </row>
    <row r="33" customFormat="false" ht="15" hidden="false" customHeight="true" outlineLevel="0" collapsed="false">
      <c r="A33" s="36" t="s">
        <v>243</v>
      </c>
      <c r="C33" s="56" t="n">
        <f aca="false">C32*7-C31</f>
        <v>1</v>
      </c>
      <c r="D33" s="56" t="n">
        <f aca="false">D32*7-D31</f>
        <v>1</v>
      </c>
      <c r="E33" s="56" t="n">
        <f aca="false">E32*7-E31</f>
        <v>6</v>
      </c>
      <c r="F33" s="56" t="n">
        <f aca="false">F32*7-F31</f>
        <v>1</v>
      </c>
      <c r="J33" s="78" t="n">
        <f aca="false">'6-Month Forecast'!A35</f>
        <v>22</v>
      </c>
      <c r="K33" s="78" t="str">
        <f aca="false">IF('6-Month Forecast'!H35&gt;0,COUNTIF('6-Month Forecast'!$H$14:H35,"&gt;0"),"")</f>
        <v/>
      </c>
    </row>
    <row r="34" customFormat="false" ht="15" hidden="false" customHeight="true" outlineLevel="0" collapsed="false">
      <c r="A34" s="36" t="s">
        <v>244</v>
      </c>
      <c r="C34" s="56" t="n">
        <f aca="false">C19+C24</f>
        <v>14</v>
      </c>
      <c r="D34" s="56" t="n">
        <f aca="false">D19+D24</f>
        <v>14</v>
      </c>
      <c r="E34" s="56" t="n">
        <f aca="false">E19+E24</f>
        <v>17</v>
      </c>
      <c r="F34" s="56" t="n">
        <f aca="false">F19+F24</f>
        <v>14</v>
      </c>
      <c r="H34" s="40" t="s">
        <v>245</v>
      </c>
      <c r="J34" s="78" t="n">
        <f aca="false">'6-Month Forecast'!A36</f>
        <v>23</v>
      </c>
      <c r="K34" s="78" t="str">
        <f aca="false">IF('6-Month Forecast'!H36&gt;0,COUNTIF('6-Month Forecast'!$H$14:H36,"&gt;0"),"")</f>
        <v/>
      </c>
    </row>
    <row r="35" customFormat="false" ht="15" hidden="false" customHeight="true" outlineLevel="0" collapsed="false">
      <c r="A35" s="36" t="s">
        <v>246</v>
      </c>
      <c r="C35" s="57" t="str">
        <f aca="false">IF(C34&lt;=$B$7,"Within standard ("&amp;($B$7-C34)&amp;" d spare)","Exceeds by "&amp;(C34-$B$7)&amp;" d")</f>
        <v>Within standard (0 d spare)</v>
      </c>
      <c r="D35" s="57" t="str">
        <f aca="false">IF(D34&lt;=$B$7,"Within standard ("&amp;($B$7-D34)&amp;" d spare)","Exceeds by "&amp;(D34-$B$7)&amp;" d")</f>
        <v>Within standard (0 d spare)</v>
      </c>
      <c r="E35" s="57" t="str">
        <f aca="false">IF(E34&lt;=$B$7,"Within standard ("&amp;($B$7-E34)&amp;" d spare)","Exceeds by "&amp;(E34-$B$7)&amp;" d")</f>
        <v>Exceeds by 3 d</v>
      </c>
      <c r="F35" s="57" t="str">
        <f aca="false">IF(F34&lt;=$B$7,"Within standard ("&amp;($B$7-F34)&amp;" d spare)","Exceeds by "&amp;(F34-$B$7)&amp;" d")</f>
        <v>Within standard (0 d spare)</v>
      </c>
      <c r="J35" s="78" t="n">
        <f aca="false">'6-Month Forecast'!A37</f>
        <v>24</v>
      </c>
      <c r="K35" s="78" t="str">
        <f aca="false">IF('6-Month Forecast'!H37&gt;0,COUNTIF('6-Month Forecast'!$H$14:H37,"&gt;0"),"")</f>
        <v/>
      </c>
    </row>
    <row r="36" customFormat="false" ht="15" hidden="false" customHeight="true" outlineLevel="0" collapsed="false">
      <c r="A36" s="36" t="s">
        <v>247</v>
      </c>
      <c r="C36" s="56" t="n">
        <f aca="false">C31-C28</f>
        <v>19</v>
      </c>
      <c r="D36" s="56" t="n">
        <f aca="false">D31-D28</f>
        <v>20</v>
      </c>
      <c r="E36" s="56" t="n">
        <f aca="false">E31-E28</f>
        <v>27</v>
      </c>
      <c r="F36" s="56" t="n">
        <f aca="false">F31-F28</f>
        <v>19</v>
      </c>
      <c r="H36" s="40" t="s">
        <v>248</v>
      </c>
      <c r="J36" s="78" t="n">
        <f aca="false">'6-Month Forecast'!A38</f>
        <v>25</v>
      </c>
      <c r="K36" s="78" t="str">
        <f aca="false">IF('6-Month Forecast'!H38&gt;0,COUNTIF('6-Month Forecast'!$H$14:H38,"&gt;0"),"")</f>
        <v/>
      </c>
    </row>
    <row r="37" customFormat="false" ht="15" hidden="false" customHeight="true" outlineLevel="0" collapsed="false">
      <c r="A37" s="36" t="s">
        <v>249</v>
      </c>
      <c r="C37" s="56" t="n">
        <f aca="false">C28</f>
        <v>1</v>
      </c>
      <c r="D37" s="56" t="n">
        <f aca="false">D28</f>
        <v>0</v>
      </c>
      <c r="E37" s="56" t="n">
        <f aca="false">E28</f>
        <v>2</v>
      </c>
      <c r="F37" s="56" t="n">
        <f aca="false">F28</f>
        <v>1</v>
      </c>
      <c r="J37" s="78" t="n">
        <f aca="false">'6-Month Forecast'!A39</f>
        <v>26</v>
      </c>
      <c r="K37" s="78" t="n">
        <f aca="false">IF('6-Month Forecast'!H39&gt;0,COUNTIF('6-Month Forecast'!$H$14:H39,"&gt;0"),"")</f>
        <v>5</v>
      </c>
    </row>
    <row r="39" customFormat="false" ht="15" hidden="false" customHeight="true" outlineLevel="0" collapsed="false">
      <c r="A39" s="34" t="s">
        <v>250</v>
      </c>
    </row>
    <row r="40" customFormat="false" ht="15" hidden="false" customHeight="true" outlineLevel="0" collapsed="false">
      <c r="A40" s="83" t="s">
        <v>251</v>
      </c>
      <c r="B40" s="83" t="s">
        <v>252</v>
      </c>
      <c r="C40" s="83" t="str">
        <f aca="false">C10</f>
        <v>Supplier standard</v>
      </c>
      <c r="D40" s="83" t="str">
        <f aca="false">D10</f>
        <v>Confirmed on call</v>
      </c>
      <c r="E40" s="83" t="str">
        <f aca="false">E10</f>
        <v>Conservative</v>
      </c>
      <c r="F40" s="83" t="s">
        <v>195</v>
      </c>
      <c r="H40" s="83" t="s">
        <v>253</v>
      </c>
    </row>
    <row r="41" customFormat="false" ht="15" hidden="false" customHeight="true" outlineLevel="0" collapsed="false">
      <c r="A41" s="74" t="s">
        <v>254</v>
      </c>
      <c r="B41" s="40" t="s">
        <v>255</v>
      </c>
      <c r="C41" s="84" t="n">
        <f aca="false">C31</f>
        <v>20</v>
      </c>
      <c r="D41" s="84" t="n">
        <f aca="false">D31</f>
        <v>20</v>
      </c>
      <c r="E41" s="84" t="n">
        <f aca="false">E31</f>
        <v>29</v>
      </c>
      <c r="F41" s="84" t="n">
        <f aca="false">F31</f>
        <v>20</v>
      </c>
    </row>
    <row r="42" customFormat="false" ht="15" hidden="false" customHeight="true" outlineLevel="0" collapsed="false">
      <c r="A42" s="74" t="s">
        <v>134</v>
      </c>
      <c r="B42" s="40" t="s">
        <v>256</v>
      </c>
      <c r="C42" s="84" t="n">
        <f aca="false">C32</f>
        <v>3</v>
      </c>
      <c r="D42" s="84" t="n">
        <f aca="false">D32</f>
        <v>3</v>
      </c>
      <c r="E42" s="84" t="n">
        <f aca="false">E32</f>
        <v>5</v>
      </c>
      <c r="F42" s="84" t="n">
        <f aca="false">F32</f>
        <v>3</v>
      </c>
    </row>
    <row r="43" customFormat="false" ht="15" hidden="false" customHeight="true" outlineLevel="0" collapsed="false">
      <c r="A43" s="74" t="s">
        <v>257</v>
      </c>
      <c r="B43" s="40" t="s">
        <v>258</v>
      </c>
      <c r="C43" s="85" t="n">
        <f aca="false">Inputs!$B$26</f>
        <v>250</v>
      </c>
      <c r="D43" s="85" t="n">
        <f aca="false">Inputs!$B$26</f>
        <v>250</v>
      </c>
      <c r="E43" s="85" t="n">
        <f aca="false">Inputs!$B$26</f>
        <v>250</v>
      </c>
      <c r="F43" s="85" t="n">
        <f aca="false">Inputs!$B$26</f>
        <v>250</v>
      </c>
    </row>
    <row r="44" customFormat="false" ht="15" hidden="false" customHeight="true" outlineLevel="0" collapsed="false">
      <c r="A44" s="74" t="s">
        <v>259</v>
      </c>
      <c r="B44" s="40" t="s">
        <v>260</v>
      </c>
      <c r="C44" s="86" t="n">
        <f aca="false">Inputs!$B$32*Inputs!$B$26</f>
        <v>250</v>
      </c>
      <c r="D44" s="86" t="n">
        <f aca="false">Inputs!$B$32*Inputs!$B$26</f>
        <v>250</v>
      </c>
      <c r="E44" s="86" t="n">
        <f aca="false">Inputs!$B$32*Inputs!$B$26</f>
        <v>250</v>
      </c>
      <c r="F44" s="86" t="n">
        <f aca="false">Inputs!$B$32*Inputs!$B$26</f>
        <v>250</v>
      </c>
    </row>
    <row r="45" customFormat="false" ht="15" hidden="false" customHeight="true" outlineLevel="0" collapsed="false">
      <c r="A45" s="87" t="s">
        <v>261</v>
      </c>
      <c r="B45" s="40" t="s">
        <v>262</v>
      </c>
      <c r="C45" s="88" t="n">
        <f aca="false">(C42+Inputs!$B$32)*Inputs!$B$26</f>
        <v>1000</v>
      </c>
      <c r="D45" s="88" t="n">
        <f aca="false">(D42+Inputs!$B$32)*Inputs!$B$26</f>
        <v>1000</v>
      </c>
      <c r="E45" s="88" t="n">
        <f aca="false">(E42+Inputs!$B$32)*Inputs!$B$26</f>
        <v>1500</v>
      </c>
      <c r="F45" s="88" t="n">
        <f aca="false">(F42+Inputs!$B$32)*Inputs!$B$26</f>
        <v>1000</v>
      </c>
      <c r="H45" s="40" t="s">
        <v>263</v>
      </c>
    </row>
    <row r="46" customFormat="false" ht="15" hidden="false" customHeight="true" outlineLevel="0" collapsed="false">
      <c r="A46" s="74" t="s">
        <v>264</v>
      </c>
      <c r="B46" s="40" t="s">
        <v>265</v>
      </c>
      <c r="C46" s="89" t="n">
        <f aca="false">C45/Inputs!$B$26</f>
        <v>4</v>
      </c>
      <c r="D46" s="89" t="n">
        <f aca="false">D45/Inputs!$B$26</f>
        <v>4</v>
      </c>
      <c r="E46" s="89" t="n">
        <f aca="false">E45/Inputs!$B$26</f>
        <v>6</v>
      </c>
      <c r="F46" s="89" t="n">
        <f aca="false">F45/Inputs!$B$26</f>
        <v>4</v>
      </c>
    </row>
    <row r="47" customFormat="false" ht="15" hidden="false" customHeight="true" outlineLevel="0" collapsed="false">
      <c r="A47" s="74" t="s">
        <v>266</v>
      </c>
      <c r="B47" s="40" t="s">
        <v>267</v>
      </c>
      <c r="C47" s="85" t="n">
        <f aca="false">'Order Cadence'!$B$6</f>
        <v>1300</v>
      </c>
      <c r="D47" s="85" t="n">
        <f aca="false">'Order Cadence'!$B$6</f>
        <v>1300</v>
      </c>
      <c r="E47" s="85" t="n">
        <f aca="false">'Order Cadence'!$B$6</f>
        <v>1300</v>
      </c>
      <c r="F47" s="85" t="n">
        <f aca="false">'Order Cadence'!$B$6</f>
        <v>1300</v>
      </c>
    </row>
    <row r="48" customFormat="false" ht="15" hidden="false" customHeight="true" outlineLevel="0" collapsed="false">
      <c r="A48" s="74" t="s">
        <v>268</v>
      </c>
      <c r="B48" s="40" t="s">
        <v>269</v>
      </c>
      <c r="C48" s="90" t="str">
        <f aca="false">IF(C45&lt;=C47,"Yes — one PO open at a time","No — two POs open at times; consider 2-roll POs")</f>
        <v>Yes — one PO open at a time</v>
      </c>
      <c r="D48" s="90" t="str">
        <f aca="false">IF(D45&lt;=D47,"Yes — one PO open at a time","No — two POs open at times; consider 2-roll POs")</f>
        <v>Yes — one PO open at a time</v>
      </c>
      <c r="E48" s="90" t="str">
        <f aca="false">IF(E45&lt;=E47,"Yes — one PO open at a time","No — two POs open at times; consider 2-roll POs")</f>
        <v>No — two POs open at times; consider 2-roll POs</v>
      </c>
      <c r="F48" s="90" t="str">
        <f aca="false">IF(F45&lt;=F47,"Yes — one PO open at a time","No — two POs open at times; consider 2-roll POs")</f>
        <v>Yes — one PO open at a time</v>
      </c>
    </row>
    <row r="49" customFormat="false" ht="15" hidden="false" customHeight="true" outlineLevel="0" collapsed="false">
      <c r="A49" s="74" t="s">
        <v>270</v>
      </c>
      <c r="B49" s="40" t="s">
        <v>271</v>
      </c>
      <c r="C49" s="86" t="n">
        <f aca="false">C44+C47</f>
        <v>1550</v>
      </c>
      <c r="D49" s="86" t="n">
        <f aca="false">D44+D47</f>
        <v>1550</v>
      </c>
      <c r="E49" s="86" t="n">
        <f aca="false">E44+E47</f>
        <v>1550</v>
      </c>
      <c r="F49" s="86" t="n">
        <f aca="false">F44+F47</f>
        <v>1550</v>
      </c>
    </row>
    <row r="50" customFormat="false" ht="15" hidden="false" customHeight="true" outlineLevel="0" collapsed="false">
      <c r="A50" s="74" t="s">
        <v>272</v>
      </c>
      <c r="B50" s="40" t="s">
        <v>273</v>
      </c>
      <c r="C50" s="86" t="n">
        <f aca="false">C47/2+C44</f>
        <v>900</v>
      </c>
      <c r="D50" s="86" t="n">
        <f aca="false">D47/2+D44</f>
        <v>900</v>
      </c>
      <c r="E50" s="86" t="n">
        <f aca="false">E47/2+E44</f>
        <v>900</v>
      </c>
      <c r="F50" s="86" t="n">
        <f aca="false">F47/2+F44</f>
        <v>900</v>
      </c>
      <c r="H50" s="40" t="s">
        <v>274</v>
      </c>
    </row>
    <row r="51" customFormat="false" ht="23.25" hidden="false" customHeight="true" outlineLevel="0" collapsed="false">
      <c r="A51" s="74" t="s">
        <v>275</v>
      </c>
      <c r="B51" s="40" t="s">
        <v>276</v>
      </c>
      <c r="C51" s="86" t="n">
        <f aca="false">MAX(0,(C42*7-$D41)*Inputs!$B$26/7)</f>
        <v>35.7142857142857</v>
      </c>
      <c r="D51" s="86" t="n">
        <f aca="false">MAX(0,(D42*7-$D41)*Inputs!$B$26/7)</f>
        <v>35.7142857142857</v>
      </c>
      <c r="E51" s="86" t="n">
        <f aca="false">MAX(0,(E42*7-$D41)*Inputs!$B$26/7)</f>
        <v>535.714285714286</v>
      </c>
      <c r="F51" s="86" t="n">
        <f aca="false">MAX(0,(F42*7-$D41)*Inputs!$B$26/7)</f>
        <v>35.7142857142857</v>
      </c>
      <c r="H51" s="40" t="s">
        <v>277</v>
      </c>
    </row>
    <row r="52" customFormat="false" ht="15" hidden="false" customHeight="true" outlineLevel="0" collapsed="false">
      <c r="A52" s="74" t="s">
        <v>278</v>
      </c>
      <c r="B52" s="40" t="s">
        <v>279</v>
      </c>
      <c r="C52" s="91" t="n">
        <f aca="false">C51*Inputs!$B$20</f>
        <v>14.6428571428571</v>
      </c>
      <c r="D52" s="91" t="n">
        <f aca="false">D51*Inputs!$B$20</f>
        <v>14.6428571428571</v>
      </c>
      <c r="E52" s="91" t="n">
        <f aca="false">E51*Inputs!$B$20</f>
        <v>219.642857142857</v>
      </c>
      <c r="F52" s="91" t="n">
        <f aca="false">F51*Inputs!$B$20</f>
        <v>14.6428571428571</v>
      </c>
    </row>
    <row r="54" customFormat="false" ht="42" hidden="false" customHeight="true" outlineLevel="0" collapsed="false">
      <c r="A54" s="92" t="s">
        <v>280</v>
      </c>
      <c r="B54" s="92"/>
      <c r="C54" s="92"/>
      <c r="D54" s="92"/>
      <c r="E54" s="92"/>
      <c r="F54" s="92"/>
      <c r="G54" s="92"/>
      <c r="H54" s="92"/>
    </row>
    <row r="56" customFormat="false" ht="15" hidden="false" customHeight="true" outlineLevel="0" collapsed="false">
      <c r="A56" s="34" t="s">
        <v>281</v>
      </c>
    </row>
    <row r="57" customFormat="false" ht="15" hidden="false" customHeight="true" outlineLevel="0" collapsed="false">
      <c r="A57" s="93" t="s">
        <v>282</v>
      </c>
      <c r="B57" s="93"/>
      <c r="C57" s="93"/>
      <c r="D57" s="93"/>
      <c r="E57" s="93"/>
      <c r="F57" s="93"/>
      <c r="G57" s="93"/>
      <c r="H57" s="93"/>
    </row>
    <row r="58" customFormat="false" ht="15" hidden="false" customHeight="true" outlineLevel="0" collapsed="false">
      <c r="A58" s="93" t="s">
        <v>283</v>
      </c>
      <c r="B58" s="93"/>
      <c r="C58" s="93"/>
      <c r="D58" s="93"/>
      <c r="E58" s="93"/>
      <c r="F58" s="93"/>
      <c r="G58" s="93"/>
      <c r="H58" s="93"/>
    </row>
    <row r="59" customFormat="false" ht="15" hidden="false" customHeight="true" outlineLevel="0" collapsed="false">
      <c r="A59" s="93" t="s">
        <v>284</v>
      </c>
      <c r="B59" s="93"/>
      <c r="C59" s="93"/>
      <c r="D59" s="93"/>
      <c r="E59" s="93"/>
      <c r="F59" s="93"/>
      <c r="G59" s="93"/>
      <c r="H59" s="93"/>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5"/>
    <col collapsed="false" customWidth="true" hidden="false" outlineLevel="0" max="3" min="3" style="1" width="14"/>
    <col collapsed="false" customWidth="true" hidden="false" outlineLevel="0" max="5" min="4" style="1" width="13"/>
    <col collapsed="false" customWidth="true" hidden="false" outlineLevel="0" max="6" min="6" style="1" width="14"/>
    <col collapsed="false" customWidth="true" hidden="false" outlineLevel="0" max="7" min="7" style="1" width="13"/>
    <col collapsed="false" customWidth="true" hidden="false" outlineLevel="0" max="8" min="8" style="1" width="15"/>
    <col collapsed="false" customWidth="true" hidden="false" outlineLevel="0" max="9" min="9" style="1" width="16"/>
    <col collapsed="false" customWidth="true" hidden="false" outlineLevel="0" max="10" min="10" style="1" width="14"/>
    <col collapsed="false" customWidth="true" hidden="false" outlineLevel="0" max="11" min="11" style="1" width="16"/>
    <col collapsed="false" customWidth="true" hidden="false" outlineLevel="0" max="12" min="12" style="1" width="24"/>
    <col collapsed="false" customWidth="true" hidden="false" outlineLevel="0" max="13" min="13" style="1" width="14"/>
    <col collapsed="false" customWidth="true" hidden="false" outlineLevel="0" max="14" min="14" style="1" width="15"/>
    <col collapsed="false" customWidth="true" hidden="false" outlineLevel="0" max="15" min="15" style="1" width="22"/>
    <col collapsed="false" customWidth="true" hidden="false" outlineLevel="0" max="16" min="16" style="1" width="10"/>
    <col collapsed="false" customWidth="true" hidden="false" outlineLevel="0" max="17" min="17" style="1" width="11"/>
  </cols>
  <sheetData>
    <row r="1" customFormat="false" ht="17.25" hidden="false" customHeight="true" outlineLevel="0" collapsed="false">
      <c r="A1" s="32" t="s">
        <v>285</v>
      </c>
    </row>
    <row r="2" customFormat="false" ht="15" hidden="false" customHeight="true" outlineLevel="0" collapsed="false">
      <c r="A2" s="57" t="s">
        <v>286</v>
      </c>
    </row>
    <row r="4" customFormat="false" ht="15" hidden="false" customHeight="true" outlineLevel="0" collapsed="false">
      <c r="A4" s="34" t="s">
        <v>287</v>
      </c>
    </row>
    <row r="5" customFormat="false" ht="15" hidden="false" customHeight="true" outlineLevel="0" collapsed="false">
      <c r="A5" s="36" t="s">
        <v>288</v>
      </c>
      <c r="B5" s="41" t="str">
        <f aca="false">'Cycle Time'!B5</f>
        <v>Supplier standard</v>
      </c>
      <c r="D5" s="57" t="s">
        <v>289</v>
      </c>
    </row>
    <row r="6" customFormat="false" ht="15" hidden="false" customHeight="true" outlineLevel="0" collapsed="false">
      <c r="A6" s="36" t="s">
        <v>254</v>
      </c>
      <c r="B6" s="47" t="n">
        <f aca="false">'Cycle Time'!F31</f>
        <v>20</v>
      </c>
    </row>
    <row r="7" customFormat="false" ht="15" hidden="false" customHeight="true" outlineLevel="0" collapsed="false">
      <c r="A7" s="36" t="s">
        <v>134</v>
      </c>
      <c r="B7" s="47" t="n">
        <f aca="false">Inputs!B31</f>
        <v>3</v>
      </c>
    </row>
    <row r="8" customFormat="false" ht="15" hidden="false" customHeight="true" outlineLevel="0" collapsed="false">
      <c r="A8" s="36" t="s">
        <v>187</v>
      </c>
      <c r="B8" s="47" t="n">
        <f aca="false">'Cycle Time'!B7</f>
        <v>14</v>
      </c>
    </row>
    <row r="9" customFormat="false" ht="15" hidden="false" customHeight="true" outlineLevel="0" collapsed="false">
      <c r="A9" s="36" t="s">
        <v>257</v>
      </c>
      <c r="B9" s="42" t="n">
        <f aca="false">Inputs!B26</f>
        <v>250</v>
      </c>
    </row>
    <row r="10" customFormat="false" ht="15" hidden="false" customHeight="true" outlineLevel="0" collapsed="false">
      <c r="A10" s="36" t="s">
        <v>290</v>
      </c>
      <c r="B10" s="36" t="s">
        <v>291</v>
      </c>
      <c r="D10" s="57" t="s">
        <v>292</v>
      </c>
    </row>
    <row r="12" customFormat="false" ht="15" hidden="false" customHeight="true" outlineLevel="0" collapsed="false">
      <c r="A12" s="34" t="s">
        <v>293</v>
      </c>
    </row>
    <row r="13" customFormat="false" ht="43.5" hidden="false" customHeight="true" outlineLevel="0" collapsed="false">
      <c r="A13" s="69" t="s">
        <v>294</v>
      </c>
      <c r="B13" s="69" t="s">
        <v>295</v>
      </c>
      <c r="C13" s="69" t="s">
        <v>296</v>
      </c>
      <c r="D13" s="69" t="s">
        <v>297</v>
      </c>
      <c r="E13" s="69" t="s">
        <v>298</v>
      </c>
      <c r="F13" s="69" t="s">
        <v>299</v>
      </c>
      <c r="G13" s="69" t="s">
        <v>300</v>
      </c>
      <c r="H13" s="69" t="s">
        <v>301</v>
      </c>
      <c r="I13" s="69" t="s">
        <v>302</v>
      </c>
      <c r="J13" s="69" t="s">
        <v>303</v>
      </c>
      <c r="K13" s="69" t="s">
        <v>304</v>
      </c>
      <c r="L13" s="69" t="s">
        <v>305</v>
      </c>
      <c r="M13" s="69" t="s">
        <v>306</v>
      </c>
      <c r="N13" s="69" t="s">
        <v>307</v>
      </c>
      <c r="O13" s="69" t="s">
        <v>308</v>
      </c>
      <c r="P13" s="69" t="s">
        <v>309</v>
      </c>
      <c r="Q13" s="69" t="s">
        <v>310</v>
      </c>
    </row>
    <row r="14" customFormat="false" ht="15" hidden="false" customHeight="true" outlineLevel="0" collapsed="false">
      <c r="A14" s="94" t="n">
        <v>0</v>
      </c>
      <c r="B14" s="95" t="n">
        <f aca="false">IF(Inputs!$B$56&gt;0,Inputs!$B$55,"")</f>
        <v>46293</v>
      </c>
      <c r="C14" s="95" t="n">
        <f aca="false">IF($B14="","",WORKDAY($B14+'Cycle Time'!$F$14-1,1))</f>
        <v>46296</v>
      </c>
      <c r="D14" s="95" t="n">
        <f aca="false">IF($B14="","",WORKDAY(C14+'Cycle Time'!$F$19-1,1))</f>
        <v>46308</v>
      </c>
      <c r="E14" s="96" t="n">
        <f aca="false">IF($B14="","",WORKDAY(D14+'Cycle Time'!$F$24-1,1))</f>
        <v>46310</v>
      </c>
      <c r="F14" s="95" t="n">
        <f aca="false">IF($B14="","",WORKDAY(E14+'Cycle Time'!$F$27-1,1))</f>
        <v>46314</v>
      </c>
      <c r="G14" s="95" t="n">
        <f aca="false">IF($B14="","",WORKDAY(F14+'Cycle Time'!$F$28-1,1))</f>
        <v>46315</v>
      </c>
      <c r="H14" s="97" t="n">
        <f aca="false">IF($B14="","",'6-Month Forecast'!$B$5+(Inputs!$B$58-1)*7)</f>
        <v>46314</v>
      </c>
      <c r="I14" s="96" t="n">
        <f aca="false">IF($B14="","",$H14-'Cycle Time'!$F$29)</f>
        <v>46311</v>
      </c>
      <c r="J14" s="56" t="n">
        <f aca="false">IF($B14="","",I14-$B14)</f>
        <v>18</v>
      </c>
      <c r="K14" s="80" t="n">
        <f aca="false">IF($B14="","",I14-C14)</f>
        <v>15</v>
      </c>
      <c r="L14" s="57" t="str">
        <f aca="false">IF($B14="","",IF(K14&gt;=$B$8,"Yes — "&amp;(K14-$B$8)&amp;" d margin","NO — short "&amp;($B$8-K14)&amp;" d"))</f>
        <v>Yes — 1 d margin</v>
      </c>
      <c r="M14" s="56" t="n">
        <f aca="false">IF($B14="","",I14-E14)</f>
        <v>1</v>
      </c>
      <c r="N14" s="61" t="n">
        <f aca="false">IF($B14="","",Inputs!$B$60)</f>
        <v>0.74</v>
      </c>
      <c r="O14" s="57" t="str">
        <f aca="false">IF($B14="","",IF(SUMPRODUCT(($B$29:$B$32&lt;&gt;"")*($B$29:$B$32&lt;=E14)*($C$29:$C$32&gt;=C14))&gt;0,"⚠ holiday in window","clear"))</f>
        <v>clear</v>
      </c>
      <c r="P14" s="52" t="n">
        <f aca="false">IF($B14="","",Inputs!$B$56)</f>
        <v>1300</v>
      </c>
      <c r="Q14" s="46" t="n">
        <f aca="false">IF($B14="","",P14*Inputs!$B$20)</f>
        <v>533</v>
      </c>
    </row>
    <row r="15" customFormat="false" ht="15" hidden="false" customHeight="true" outlineLevel="0" collapsed="false">
      <c r="A15" s="94" t="n">
        <v>1</v>
      </c>
      <c r="B15" s="95" t="n">
        <f aca="false">IFERROR(INDEX('6-Month Forecast'!$B$14:$B$39,MATCH($A15,'Cycle Time'!$K$12:$K$37,0)),"")</f>
        <v>46321</v>
      </c>
      <c r="C15" s="95" t="n">
        <f aca="false">IF($B15="","",WORKDAY($B15+'Cycle Time'!$F$14-1,1))</f>
        <v>46324</v>
      </c>
      <c r="D15" s="95" t="n">
        <f aca="false">IF($B15="","",WORKDAY(C15+'Cycle Time'!$F$19-1,1))</f>
        <v>46336</v>
      </c>
      <c r="E15" s="96" t="n">
        <f aca="false">IF($B15="","",WORKDAY(D15+'Cycle Time'!$F$24-1,1))</f>
        <v>46338</v>
      </c>
      <c r="F15" s="95" t="n">
        <f aca="false">IF($B15="","",WORKDAY(E15+'Cycle Time'!$F$27-1,1))</f>
        <v>46342</v>
      </c>
      <c r="G15" s="95" t="n">
        <f aca="false">IF($B15="","",WORKDAY(F15+'Cycle Time'!$F$28-1,1))</f>
        <v>46343</v>
      </c>
      <c r="H15" s="97" t="n">
        <f aca="false">IF($B15="","",$B15+$B$7*7)</f>
        <v>46342</v>
      </c>
      <c r="I15" s="96" t="n">
        <f aca="false">IF($B15="","",$H15-'Cycle Time'!$F$29)</f>
        <v>46339</v>
      </c>
      <c r="J15" s="56" t="n">
        <f aca="false">IF($B15="","",I15-$B15)</f>
        <v>18</v>
      </c>
      <c r="K15" s="80" t="n">
        <f aca="false">IF($B15="","",I15-C15)</f>
        <v>15</v>
      </c>
      <c r="L15" s="57" t="str">
        <f aca="false">IF($B15="","",IF(K15&gt;=$B$8,"Yes — "&amp;(K15-$B$8)&amp;" d margin","NO — short "&amp;($B$8-K15)&amp;" d"))</f>
        <v>Yes — 1 d margin</v>
      </c>
      <c r="M15" s="56" t="n">
        <f aca="false">IF($B15="","",I15-E15)</f>
        <v>1</v>
      </c>
      <c r="N15" s="61" t="n">
        <f aca="false">IF($B15="","",IFERROR(INDEX('6-Month Forecast'!$C$14:$C$39,MATCH($A15,'Cycle Time'!$K$12:$K$37,0)+$B$7)/$B$9*7,"beyond horizon"))</f>
        <v>10.836</v>
      </c>
      <c r="O15" s="57" t="str">
        <f aca="false">IF($B15="","",IF(SUMPRODUCT(($B$29:$B$32&lt;&gt;"")*($B$29:$B$32&lt;=E15)*($C$29:$C$32&gt;=C15))&gt;0,"⚠ holiday in window","clear"))</f>
        <v>clear</v>
      </c>
      <c r="P15" s="52" t="n">
        <f aca="false">IF($B15="","",INDEX('6-Month Forecast'!$H$14:$H$39,MATCH($A15,'Cycle Time'!$K$12:$K$37,0)))</f>
        <v>1300</v>
      </c>
      <c r="Q15" s="46" t="n">
        <f aca="false">IF($B15="","",P15*Inputs!$B$20)</f>
        <v>533</v>
      </c>
    </row>
    <row r="16" customFormat="false" ht="15" hidden="false" customHeight="true" outlineLevel="0" collapsed="false">
      <c r="A16" s="94" t="n">
        <v>2</v>
      </c>
      <c r="B16" s="95" t="n">
        <f aca="false">IFERROR(INDEX('6-Month Forecast'!$B$14:$B$39,MATCH($A16,'Cycle Time'!$K$12:$K$37,0)),"")</f>
        <v>46356</v>
      </c>
      <c r="C16" s="95" t="n">
        <f aca="false">IF($B16="","",WORKDAY($B16+'Cycle Time'!$F$14-1,1))</f>
        <v>46359</v>
      </c>
      <c r="D16" s="95" t="n">
        <f aca="false">IF($B16="","",WORKDAY(C16+'Cycle Time'!$F$19-1,1))</f>
        <v>46371</v>
      </c>
      <c r="E16" s="96" t="n">
        <f aca="false">IF($B16="","",WORKDAY(D16+'Cycle Time'!$F$24-1,1))</f>
        <v>46373</v>
      </c>
      <c r="F16" s="95" t="n">
        <f aca="false">IF($B16="","",WORKDAY(E16+'Cycle Time'!$F$27-1,1))</f>
        <v>46377</v>
      </c>
      <c r="G16" s="95" t="n">
        <f aca="false">IF($B16="","",WORKDAY(F16+'Cycle Time'!$F$28-1,1))</f>
        <v>46378</v>
      </c>
      <c r="H16" s="97" t="n">
        <f aca="false">IF($B16="","",$B16+$B$7*7)</f>
        <v>46377</v>
      </c>
      <c r="I16" s="96" t="n">
        <f aca="false">IF($B16="","",$H16-'Cycle Time'!$F$29)</f>
        <v>46374</v>
      </c>
      <c r="J16" s="56" t="n">
        <f aca="false">IF($B16="","",I16-$B16)</f>
        <v>18</v>
      </c>
      <c r="K16" s="80" t="n">
        <f aca="false">IF($B16="","",I16-C16)</f>
        <v>15</v>
      </c>
      <c r="L16" s="57" t="str">
        <f aca="false">IF($B16="","",IF(K16&gt;=$B$8,"Yes — "&amp;(K16-$B$8)&amp;" d margin","NO — short "&amp;($B$8-K16)&amp;" d"))</f>
        <v>Yes — 1 d margin</v>
      </c>
      <c r="M16" s="56" t="n">
        <f aca="false">IF($B16="","",I16-E16)</f>
        <v>1</v>
      </c>
      <c r="N16" s="61" t="n">
        <f aca="false">IF($B16="","",IFERROR(INDEX('6-Month Forecast'!$C$14:$C$39,MATCH($A16,'Cycle Time'!$K$12:$K$37,0)+$B$7)/$B$9*7,"beyond horizon"))</f>
        <v>12.236</v>
      </c>
      <c r="O16" s="57" t="str">
        <f aca="false">IF($B16="","",IF(SUMPRODUCT(($B$29:$B$32&lt;&gt;"")*($B$29:$B$32&lt;=E16)*($C$29:$C$32&gt;=C16))&gt;0,"⚠ holiday in window","clear"))</f>
        <v>clear</v>
      </c>
      <c r="P16" s="52" t="n">
        <f aca="false">IF($B16="","",INDEX('6-Month Forecast'!$H$14:$H$39,MATCH($A16,'Cycle Time'!$K$12:$K$37,0)))</f>
        <v>1300</v>
      </c>
      <c r="Q16" s="46" t="n">
        <f aca="false">IF($B16="","",P16*Inputs!$B$20)</f>
        <v>533</v>
      </c>
    </row>
    <row r="17" customFormat="false" ht="15" hidden="false" customHeight="true" outlineLevel="0" collapsed="false">
      <c r="A17" s="94" t="n">
        <v>3</v>
      </c>
      <c r="B17" s="95" t="n">
        <f aca="false">IFERROR(INDEX('6-Month Forecast'!$B$14:$B$39,MATCH($A17,'Cycle Time'!$K$12:$K$37,0)),"")</f>
        <v>46391</v>
      </c>
      <c r="C17" s="95" t="n">
        <f aca="false">IF($B17="","",WORKDAY($B17+'Cycle Time'!$F$14-1,1))</f>
        <v>46394</v>
      </c>
      <c r="D17" s="95" t="n">
        <f aca="false">IF($B17="","",WORKDAY(C17+'Cycle Time'!$F$19-1,1))</f>
        <v>46406</v>
      </c>
      <c r="E17" s="96" t="n">
        <f aca="false">IF($B17="","",WORKDAY(D17+'Cycle Time'!$F$24-1,1))</f>
        <v>46408</v>
      </c>
      <c r="F17" s="95" t="n">
        <f aca="false">IF($B17="","",WORKDAY(E17+'Cycle Time'!$F$27-1,1))</f>
        <v>46412</v>
      </c>
      <c r="G17" s="95" t="n">
        <f aca="false">IF($B17="","",WORKDAY(F17+'Cycle Time'!$F$28-1,1))</f>
        <v>46413</v>
      </c>
      <c r="H17" s="97" t="n">
        <f aca="false">IF($B17="","",$B17+$B$7*7)</f>
        <v>46412</v>
      </c>
      <c r="I17" s="96" t="n">
        <f aca="false">IF($B17="","",$H17-'Cycle Time'!$F$29)</f>
        <v>46409</v>
      </c>
      <c r="J17" s="56" t="n">
        <f aca="false">IF($B17="","",I17-$B17)</f>
        <v>18</v>
      </c>
      <c r="K17" s="80" t="n">
        <f aca="false">IF($B17="","",I17-C17)</f>
        <v>15</v>
      </c>
      <c r="L17" s="57" t="str">
        <f aca="false">IF($B17="","",IF(K17&gt;=$B$8,"Yes — "&amp;(K17-$B$8)&amp;" d margin","NO — short "&amp;($B$8-K17)&amp;" d"))</f>
        <v>Yes — 1 d margin</v>
      </c>
      <c r="M17" s="56" t="n">
        <f aca="false">IF($B17="","",I17-E17)</f>
        <v>1</v>
      </c>
      <c r="N17" s="61" t="n">
        <f aca="false">IF($B17="","",IFERROR(INDEX('6-Month Forecast'!$C$14:$C$39,MATCH($A17,'Cycle Time'!$K$12:$K$37,0)+$B$7)/$B$9*7,"beyond horizon"))</f>
        <v>13.636</v>
      </c>
      <c r="O17" s="57" t="str">
        <f aca="false">IF($B17="","",IF(SUMPRODUCT(($B$29:$B$32&lt;&gt;"")*($B$29:$B$32&lt;=E17)*($C$29:$C$32&gt;=C17))&gt;0,"⚠ holiday in window","clear"))</f>
        <v>clear</v>
      </c>
      <c r="P17" s="52" t="n">
        <f aca="false">IF($B17="","",INDEX('6-Month Forecast'!$H$14:$H$39,MATCH($A17,'Cycle Time'!$K$12:$K$37,0)))</f>
        <v>1300</v>
      </c>
      <c r="Q17" s="46" t="n">
        <f aca="false">IF($B17="","",P17*Inputs!$B$20)</f>
        <v>533</v>
      </c>
    </row>
    <row r="18" customFormat="false" ht="15" hidden="false" customHeight="true" outlineLevel="0" collapsed="false">
      <c r="A18" s="94" t="n">
        <v>4</v>
      </c>
      <c r="B18" s="95" t="n">
        <f aca="false">IFERROR(INDEX('6-Month Forecast'!$B$14:$B$39,MATCH($A18,'Cycle Time'!$K$12:$K$37,0)),"")</f>
        <v>46433</v>
      </c>
      <c r="C18" s="95" t="n">
        <f aca="false">IF($B18="","",WORKDAY($B18+'Cycle Time'!$F$14-1,1))</f>
        <v>46436</v>
      </c>
      <c r="D18" s="95" t="n">
        <f aca="false">IF($B18="","",WORKDAY(C18+'Cycle Time'!$F$19-1,1))</f>
        <v>46448</v>
      </c>
      <c r="E18" s="96" t="n">
        <f aca="false">IF($B18="","",WORKDAY(D18+'Cycle Time'!$F$24-1,1))</f>
        <v>46450</v>
      </c>
      <c r="F18" s="95" t="n">
        <f aca="false">IF($B18="","",WORKDAY(E18+'Cycle Time'!$F$27-1,1))</f>
        <v>46454</v>
      </c>
      <c r="G18" s="95" t="n">
        <f aca="false">IF($B18="","",WORKDAY(F18+'Cycle Time'!$F$28-1,1))</f>
        <v>46455</v>
      </c>
      <c r="H18" s="97" t="n">
        <f aca="false">IF($B18="","",$B18+$B$7*7)</f>
        <v>46454</v>
      </c>
      <c r="I18" s="96" t="n">
        <f aca="false">IF($B18="","",$H18-'Cycle Time'!$F$29)</f>
        <v>46451</v>
      </c>
      <c r="J18" s="56" t="n">
        <f aca="false">IF($B18="","",I18-$B18)</f>
        <v>18</v>
      </c>
      <c r="K18" s="80" t="n">
        <f aca="false">IF($B18="","",I18-C18)</f>
        <v>15</v>
      </c>
      <c r="L18" s="57" t="str">
        <f aca="false">IF($B18="","",IF(K18&gt;=$B$8,"Yes — "&amp;(K18-$B$8)&amp;" d margin","NO — short "&amp;($B$8-K18)&amp;" d"))</f>
        <v>Yes — 1 d margin</v>
      </c>
      <c r="M18" s="56" t="n">
        <f aca="false">IF($B18="","",I18-E18)</f>
        <v>1</v>
      </c>
      <c r="N18" s="61" t="n">
        <f aca="false">IF($B18="","",IFERROR(INDEX('6-Month Forecast'!$C$14:$C$39,MATCH($A18,'Cycle Time'!$K$12:$K$37,0)+$B$7)/$B$9*7,"beyond horizon"))</f>
        <v>8.036</v>
      </c>
      <c r="O18" s="57" t="str">
        <f aca="false">IF($B18="","",IF(SUMPRODUCT(($B$29:$B$32&lt;&gt;"")*($B$29:$B$32&lt;=E18)*($C$29:$C$32&gt;=C18))&gt;0,"⚠ holiday in window","clear"))</f>
        <v>clear</v>
      </c>
      <c r="P18" s="52" t="n">
        <f aca="false">IF($B18="","",INDEX('6-Month Forecast'!$H$14:$H$39,MATCH($A18,'Cycle Time'!$K$12:$K$37,0)))</f>
        <v>1300</v>
      </c>
      <c r="Q18" s="46" t="n">
        <f aca="false">IF($B18="","",P18*Inputs!$B$20)</f>
        <v>533</v>
      </c>
    </row>
    <row r="19" customFormat="false" ht="15" hidden="false" customHeight="true" outlineLevel="0" collapsed="false">
      <c r="A19" s="94" t="n">
        <v>5</v>
      </c>
      <c r="B19" s="95" t="n">
        <f aca="false">IFERROR(INDEX('6-Month Forecast'!$B$14:$B$39,MATCH($A19,'Cycle Time'!$K$12:$K$37,0)),"")</f>
        <v>46468</v>
      </c>
      <c r="C19" s="95" t="n">
        <f aca="false">IF($B19="","",WORKDAY($B19+'Cycle Time'!$F$14-1,1))</f>
        <v>46471</v>
      </c>
      <c r="D19" s="95" t="n">
        <f aca="false">IF($B19="","",WORKDAY(C19+'Cycle Time'!$F$19-1,1))</f>
        <v>46483</v>
      </c>
      <c r="E19" s="96" t="n">
        <f aca="false">IF($B19="","",WORKDAY(D19+'Cycle Time'!$F$24-1,1))</f>
        <v>46485</v>
      </c>
      <c r="F19" s="95" t="n">
        <f aca="false">IF($B19="","",WORKDAY(E19+'Cycle Time'!$F$27-1,1))</f>
        <v>46489</v>
      </c>
      <c r="G19" s="95" t="n">
        <f aca="false">IF($B19="","",WORKDAY(F19+'Cycle Time'!$F$28-1,1))</f>
        <v>46490</v>
      </c>
      <c r="H19" s="97" t="n">
        <f aca="false">IF($B19="","",$B19+$B$7*7)</f>
        <v>46489</v>
      </c>
      <c r="I19" s="96" t="n">
        <f aca="false">IF($B19="","",$H19-'Cycle Time'!$F$29)</f>
        <v>46486</v>
      </c>
      <c r="J19" s="56" t="n">
        <f aca="false">IF($B19="","",I19-$B19)</f>
        <v>18</v>
      </c>
      <c r="K19" s="80" t="n">
        <f aca="false">IF($B19="","",I19-C19)</f>
        <v>15</v>
      </c>
      <c r="L19" s="57" t="str">
        <f aca="false">IF($B19="","",IF(K19&gt;=$B$8,"Yes — "&amp;(K19-$B$8)&amp;" d margin","NO — short "&amp;($B$8-K19)&amp;" d"))</f>
        <v>Yes — 1 d margin</v>
      </c>
      <c r="M19" s="56" t="n">
        <f aca="false">IF($B19="","",I19-E19)</f>
        <v>1</v>
      </c>
      <c r="N19" s="61" t="str">
        <f aca="false">IF($B19="","",IFERROR(INDEX('6-Month Forecast'!$C$14:$C$39,MATCH($A19,'Cycle Time'!$K$12:$K$37,0)+$B$7)/$B$9*7,"beyond horizon"))</f>
        <v>beyond horizon</v>
      </c>
      <c r="O19" s="57" t="str">
        <f aca="false">IF($B19="","",IF(SUMPRODUCT(($B$29:$B$32&lt;&gt;"")*($B$29:$B$32&lt;=E19)*($C$29:$C$32&gt;=C19))&gt;0,"⚠ holiday in window","clear"))</f>
        <v>clear</v>
      </c>
      <c r="P19" s="52" t="n">
        <f aca="false">IF($B19="","",INDEX('6-Month Forecast'!$H$14:$H$39,MATCH($A19,'Cycle Time'!$K$12:$K$37,0)))</f>
        <v>1300</v>
      </c>
      <c r="Q19" s="46" t="n">
        <f aca="false">IF($B19="","",P19*Inputs!$B$20)</f>
        <v>533</v>
      </c>
    </row>
    <row r="20" customFormat="false" ht="15" hidden="false" customHeight="true" outlineLevel="0" collapsed="false">
      <c r="A20" s="94" t="n">
        <v>6</v>
      </c>
      <c r="B20" s="95" t="str">
        <f aca="false">IFERROR(INDEX('6-Month Forecast'!$B$14:$B$39,MATCH($A20,'Cycle Time'!$K$12:$K$37,0)),"")</f>
        <v/>
      </c>
      <c r="C20" s="95" t="str">
        <f aca="false">IF($B20="","",WORKDAY($B20+'Cycle Time'!$F$14-1,1))</f>
        <v/>
      </c>
      <c r="D20" s="95" t="str">
        <f aca="false">IF($B20="","",WORKDAY(C20+'Cycle Time'!$F$19-1,1))</f>
        <v/>
      </c>
      <c r="E20" s="96" t="str">
        <f aca="false">IF($B20="","",WORKDAY(D20+'Cycle Time'!$F$24-1,1))</f>
        <v/>
      </c>
      <c r="F20" s="95" t="str">
        <f aca="false">IF($B20="","",WORKDAY(E20+'Cycle Time'!$F$27-1,1))</f>
        <v/>
      </c>
      <c r="G20" s="95" t="str">
        <f aca="false">IF($B20="","",WORKDAY(F20+'Cycle Time'!$F$28-1,1))</f>
        <v/>
      </c>
      <c r="H20" s="97" t="str">
        <f aca="false">IF($B20="","",$B20+$B$7*7)</f>
        <v/>
      </c>
      <c r="I20" s="96" t="str">
        <f aca="false">IF($B20="","",$H20-'Cycle Time'!$F$29)</f>
        <v/>
      </c>
      <c r="J20" s="56" t="str">
        <f aca="false">IF($B20="","",I20-$B20)</f>
        <v/>
      </c>
      <c r="K20" s="80" t="str">
        <f aca="false">IF($B20="","",I20-C20)</f>
        <v/>
      </c>
      <c r="L20" s="57" t="str">
        <f aca="false">IF($B20="","",IF(K20&gt;=$B$8,"Yes — "&amp;(K20-$B$8)&amp;" d margin","NO — short "&amp;($B$8-K20)&amp;" d"))</f>
        <v/>
      </c>
      <c r="M20" s="56" t="str">
        <f aca="false">IF($B20="","",I20-E20)</f>
        <v/>
      </c>
      <c r="N20" s="61" t="str">
        <f aca="false">IF($B20="","",IFERROR(INDEX('6-Month Forecast'!$C$14:$C$39,MATCH($A20,'Cycle Time'!$K$12:$K$37,0)+$B$7)/$B$9*7,"beyond horizon"))</f>
        <v/>
      </c>
      <c r="O20" s="57" t="str">
        <f aca="false">IF($B20="","",IF(SUMPRODUCT(($B$29:$B$32&lt;&gt;"")*($B$29:$B$32&lt;=E20)*($C$29:$C$32&gt;=C20))&gt;0,"⚠ holiday in window","clear"))</f>
        <v/>
      </c>
      <c r="P20" s="52" t="str">
        <f aca="false">IF($B20="","",INDEX('6-Month Forecast'!$H$14:$H$39,MATCH($A20,'Cycle Time'!$K$12:$K$37,0)))</f>
        <v/>
      </c>
      <c r="Q20" s="46" t="str">
        <f aca="false">IF($B20="","",P20*Inputs!$B$20)</f>
        <v/>
      </c>
    </row>
    <row r="21" customFormat="false" ht="15" hidden="false" customHeight="true" outlineLevel="0" collapsed="false">
      <c r="A21" s="94" t="n">
        <v>7</v>
      </c>
      <c r="B21" s="95" t="str">
        <f aca="false">IFERROR(INDEX('6-Month Forecast'!$B$14:$B$39,MATCH($A21,'Cycle Time'!$K$12:$K$37,0)),"")</f>
        <v/>
      </c>
      <c r="C21" s="95" t="str">
        <f aca="false">IF($B21="","",WORKDAY($B21+'Cycle Time'!$F$14-1,1))</f>
        <v/>
      </c>
      <c r="D21" s="95" t="str">
        <f aca="false">IF($B21="","",WORKDAY(C21+'Cycle Time'!$F$19-1,1))</f>
        <v/>
      </c>
      <c r="E21" s="96" t="str">
        <f aca="false">IF($B21="","",WORKDAY(D21+'Cycle Time'!$F$24-1,1))</f>
        <v/>
      </c>
      <c r="F21" s="95" t="str">
        <f aca="false">IF($B21="","",WORKDAY(E21+'Cycle Time'!$F$27-1,1))</f>
        <v/>
      </c>
      <c r="G21" s="95" t="str">
        <f aca="false">IF($B21="","",WORKDAY(F21+'Cycle Time'!$F$28-1,1))</f>
        <v/>
      </c>
      <c r="H21" s="97" t="str">
        <f aca="false">IF($B21="","",$B21+$B$7*7)</f>
        <v/>
      </c>
      <c r="I21" s="96" t="str">
        <f aca="false">IF($B21="","",$H21-'Cycle Time'!$F$29)</f>
        <v/>
      </c>
      <c r="J21" s="56" t="str">
        <f aca="false">IF($B21="","",I21-$B21)</f>
        <v/>
      </c>
      <c r="K21" s="80" t="str">
        <f aca="false">IF($B21="","",I21-C21)</f>
        <v/>
      </c>
      <c r="L21" s="57" t="str">
        <f aca="false">IF($B21="","",IF(K21&gt;=$B$8,"Yes — "&amp;(K21-$B$8)&amp;" d margin","NO — short "&amp;($B$8-K21)&amp;" d"))</f>
        <v/>
      </c>
      <c r="M21" s="56" t="str">
        <f aca="false">IF($B21="","",I21-E21)</f>
        <v/>
      </c>
      <c r="N21" s="61" t="str">
        <f aca="false">IF($B21="","",IFERROR(INDEX('6-Month Forecast'!$C$14:$C$39,MATCH($A21,'Cycle Time'!$K$12:$K$37,0)+$B$7)/$B$9*7,"beyond horizon"))</f>
        <v/>
      </c>
      <c r="O21" s="57" t="str">
        <f aca="false">IF($B21="","",IF(SUMPRODUCT(($B$29:$B$32&lt;&gt;"")*($B$29:$B$32&lt;=E21)*($C$29:$C$32&gt;=C21))&gt;0,"⚠ holiday in window","clear"))</f>
        <v/>
      </c>
      <c r="P21" s="52" t="str">
        <f aca="false">IF($B21="","",INDEX('6-Month Forecast'!$H$14:$H$39,MATCH($A21,'Cycle Time'!$K$12:$K$37,0)))</f>
        <v/>
      </c>
      <c r="Q21" s="46" t="str">
        <f aca="false">IF($B21="","",P21*Inputs!$B$20)</f>
        <v/>
      </c>
    </row>
    <row r="22" customFormat="false" ht="15" hidden="false" customHeight="true" outlineLevel="0" collapsed="false">
      <c r="A22" s="94" t="n">
        <v>8</v>
      </c>
      <c r="B22" s="95" t="str">
        <f aca="false">IFERROR(INDEX('6-Month Forecast'!$B$14:$B$39,MATCH($A22,'Cycle Time'!$K$12:$K$37,0)),"")</f>
        <v/>
      </c>
      <c r="C22" s="95" t="str">
        <f aca="false">IF($B22="","",WORKDAY($B22+'Cycle Time'!$F$14-1,1))</f>
        <v/>
      </c>
      <c r="D22" s="95" t="str">
        <f aca="false">IF($B22="","",WORKDAY(C22+'Cycle Time'!$F$19-1,1))</f>
        <v/>
      </c>
      <c r="E22" s="96" t="str">
        <f aca="false">IF($B22="","",WORKDAY(D22+'Cycle Time'!$F$24-1,1))</f>
        <v/>
      </c>
      <c r="F22" s="95" t="str">
        <f aca="false">IF($B22="","",WORKDAY(E22+'Cycle Time'!$F$27-1,1))</f>
        <v/>
      </c>
      <c r="G22" s="95" t="str">
        <f aca="false">IF($B22="","",WORKDAY(F22+'Cycle Time'!$F$28-1,1))</f>
        <v/>
      </c>
      <c r="H22" s="97" t="str">
        <f aca="false">IF($B22="","",$B22+$B$7*7)</f>
        <v/>
      </c>
      <c r="I22" s="96" t="str">
        <f aca="false">IF($B22="","",$H22-'Cycle Time'!$F$29)</f>
        <v/>
      </c>
      <c r="J22" s="56" t="str">
        <f aca="false">IF($B22="","",I22-$B22)</f>
        <v/>
      </c>
      <c r="K22" s="80" t="str">
        <f aca="false">IF($B22="","",I22-C22)</f>
        <v/>
      </c>
      <c r="L22" s="57" t="str">
        <f aca="false">IF($B22="","",IF(K22&gt;=$B$8,"Yes — "&amp;(K22-$B$8)&amp;" d margin","NO — short "&amp;($B$8-K22)&amp;" d"))</f>
        <v/>
      </c>
      <c r="M22" s="56" t="str">
        <f aca="false">IF($B22="","",I22-E22)</f>
        <v/>
      </c>
      <c r="N22" s="61" t="str">
        <f aca="false">IF($B22="","",IFERROR(INDEX('6-Month Forecast'!$C$14:$C$39,MATCH($A22,'Cycle Time'!$K$12:$K$37,0)+$B$7)/$B$9*7,"beyond horizon"))</f>
        <v/>
      </c>
      <c r="O22" s="57" t="str">
        <f aca="false">IF($B22="","",IF(SUMPRODUCT(($B$29:$B$32&lt;&gt;"")*($B$29:$B$32&lt;=E22)*($C$29:$C$32&gt;=C22))&gt;0,"⚠ holiday in window","clear"))</f>
        <v/>
      </c>
      <c r="P22" s="52" t="str">
        <f aca="false">IF($B22="","",INDEX('6-Month Forecast'!$H$14:$H$39,MATCH($A22,'Cycle Time'!$K$12:$K$37,0)))</f>
        <v/>
      </c>
      <c r="Q22" s="46" t="str">
        <f aca="false">IF($B22="","",P22*Inputs!$B$20)</f>
        <v/>
      </c>
    </row>
    <row r="23" customFormat="false" ht="15" hidden="false" customHeight="true" outlineLevel="0" collapsed="false">
      <c r="A23" s="44" t="s">
        <v>311</v>
      </c>
      <c r="B23" s="98" t="n">
        <f aca="false">COUNT(B14:B22)</f>
        <v>6</v>
      </c>
      <c r="P23" s="45" t="n">
        <f aca="false">SUM(P14:P22)</f>
        <v>7800</v>
      </c>
      <c r="Q23" s="99" t="n">
        <f aca="false">SUM(Q14:Q22)</f>
        <v>3198</v>
      </c>
    </row>
    <row r="25" customFormat="false" ht="15" hidden="false" customHeight="true" outlineLevel="0" collapsed="false">
      <c r="A25" s="93" t="s">
        <v>312</v>
      </c>
      <c r="B25" s="93"/>
      <c r="C25" s="93"/>
      <c r="D25" s="93"/>
      <c r="E25" s="93"/>
      <c r="F25" s="93"/>
      <c r="G25" s="93"/>
      <c r="H25" s="93"/>
      <c r="I25" s="93"/>
      <c r="J25" s="93"/>
      <c r="K25" s="93"/>
      <c r="L25" s="93"/>
      <c r="M25" s="93"/>
      <c r="N25" s="93"/>
      <c r="O25" s="93"/>
      <c r="P25" s="93"/>
      <c r="Q25" s="93"/>
    </row>
    <row r="27" customFormat="false" ht="15" hidden="false" customHeight="true" outlineLevel="0" collapsed="false">
      <c r="A27" s="34" t="s">
        <v>313</v>
      </c>
    </row>
    <row r="28" customFormat="false" ht="15" hidden="false" customHeight="true" outlineLevel="0" collapsed="false">
      <c r="A28" s="83" t="s">
        <v>314</v>
      </c>
      <c r="B28" s="83" t="s">
        <v>315</v>
      </c>
      <c r="C28" s="83" t="s">
        <v>316</v>
      </c>
      <c r="D28" s="83" t="s">
        <v>253</v>
      </c>
    </row>
    <row r="29" customFormat="false" ht="15" hidden="false" customHeight="true" outlineLevel="0" collapsed="false">
      <c r="A29" s="36" t="s">
        <v>317</v>
      </c>
      <c r="B29" s="60" t="n">
        <v>46352</v>
      </c>
      <c r="C29" s="60" t="n">
        <v>46353</v>
      </c>
      <c r="D29" s="57" t="s">
        <v>318</v>
      </c>
    </row>
    <row r="30" customFormat="false" ht="15" hidden="false" customHeight="true" outlineLevel="0" collapsed="false">
      <c r="A30" s="36" t="s">
        <v>319</v>
      </c>
      <c r="B30" s="60" t="n">
        <v>46380</v>
      </c>
      <c r="C30" s="60" t="n">
        <v>46388</v>
      </c>
      <c r="D30" s="57" t="s">
        <v>320</v>
      </c>
    </row>
    <row r="31" customFormat="false" ht="15" hidden="false" customHeight="true" outlineLevel="0" collapsed="false">
      <c r="A31" s="36" t="s">
        <v>321</v>
      </c>
      <c r="B31" s="60"/>
      <c r="C31" s="60"/>
      <c r="D31" s="57" t="s">
        <v>322</v>
      </c>
    </row>
    <row r="32" customFormat="false" ht="15" hidden="false" customHeight="true" outlineLevel="0" collapsed="false">
      <c r="A32" s="36" t="s">
        <v>323</v>
      </c>
      <c r="B32" s="60"/>
      <c r="C32" s="60"/>
      <c r="D32" s="57" t="s">
        <v>324</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20"/>
    <col collapsed="false" customWidth="true" hidden="false" outlineLevel="0" max="4" min="4" style="1" width="58"/>
  </cols>
  <sheetData>
    <row r="1" customFormat="false" ht="17.25" hidden="false" customHeight="true" outlineLevel="0" collapsed="false">
      <c r="A1" s="32" t="s">
        <v>325</v>
      </c>
    </row>
    <row r="2" customFormat="false" ht="24" hidden="false" customHeight="true" outlineLevel="0" collapsed="false">
      <c r="A2" s="33" t="s">
        <v>326</v>
      </c>
    </row>
    <row r="4" customFormat="false" ht="15" hidden="false" customHeight="true" outlineLevel="0" collapsed="false">
      <c r="A4" s="100" t="s">
        <v>251</v>
      </c>
      <c r="B4" s="100" t="s">
        <v>327</v>
      </c>
      <c r="C4" s="100" t="s">
        <v>328</v>
      </c>
      <c r="D4" s="100" t="s">
        <v>253</v>
      </c>
    </row>
    <row r="5" customFormat="false" ht="15" hidden="false" customHeight="true" outlineLevel="0" collapsed="false">
      <c r="A5" s="36" t="s">
        <v>329</v>
      </c>
      <c r="B5" s="41" t="str">
        <f aca="false">Inputs!B5&amp;" × "&amp;Inputs!B6</f>
        <v>24 × 27</v>
      </c>
      <c r="C5" s="41" t="str">
        <f aca="false">Inputs!B6&amp;" × "&amp;Inputs!B5</f>
        <v>27 × 24</v>
      </c>
      <c r="D5" s="40" t="s">
        <v>330</v>
      </c>
    </row>
    <row r="6" customFormat="false" ht="15" hidden="false" customHeight="true" outlineLevel="0" collapsed="false">
      <c r="A6" s="36" t="s">
        <v>331</v>
      </c>
      <c r="B6" s="56" t="n">
        <f aca="false">INT(Inputs!$B$12/Inputs!$B$5)</f>
        <v>4</v>
      </c>
      <c r="C6" s="56" t="n">
        <f aca="false">INT(Inputs!$B$12/Inputs!$B$6)</f>
        <v>3</v>
      </c>
    </row>
    <row r="7" customFormat="false" ht="21.75" hidden="false" customHeight="true" outlineLevel="0" collapsed="false">
      <c r="A7" s="36" t="s">
        <v>332</v>
      </c>
      <c r="B7" s="56" t="n">
        <f aca="false">Inputs!$B$12-B6*Inputs!$B$5</f>
        <v>5</v>
      </c>
      <c r="C7" s="56" t="n">
        <f aca="false">Inputs!$B$12-C6*Inputs!$B$6</f>
        <v>20</v>
      </c>
      <c r="D7" s="40" t="s">
        <v>333</v>
      </c>
    </row>
    <row r="8" customFormat="false" ht="15" hidden="false" customHeight="true" outlineLevel="0" collapsed="false">
      <c r="A8" s="36" t="s">
        <v>334</v>
      </c>
      <c r="B8" s="56" t="n">
        <f aca="false">INT(Inputs!$B$11/Inputs!$B$6)</f>
        <v>333</v>
      </c>
      <c r="C8" s="56" t="n">
        <f aca="false">INT(Inputs!$B$11/Inputs!$B$5)</f>
        <v>375</v>
      </c>
    </row>
    <row r="9" customFormat="false" ht="15" hidden="false" customHeight="true" outlineLevel="0" collapsed="false">
      <c r="A9" s="36" t="s">
        <v>335</v>
      </c>
      <c r="B9" s="56" t="n">
        <f aca="false">Inputs!$B$11-B8*Inputs!$B$6</f>
        <v>9</v>
      </c>
      <c r="C9" s="56" t="n">
        <f aca="false">Inputs!$B$11-C8*Inputs!$B$5</f>
        <v>0</v>
      </c>
    </row>
    <row r="10" customFormat="false" ht="15" hidden="false" customHeight="true" outlineLevel="0" collapsed="false">
      <c r="A10" s="79" t="s">
        <v>336</v>
      </c>
      <c r="B10" s="101" t="n">
        <f aca="false">B6*B8</f>
        <v>1332</v>
      </c>
      <c r="C10" s="101" t="n">
        <f aca="false">C6*C8</f>
        <v>1125</v>
      </c>
      <c r="D10" s="40" t="s">
        <v>337</v>
      </c>
    </row>
    <row r="11" customFormat="false" ht="15" hidden="false" customHeight="true" outlineLevel="0" collapsed="false">
      <c r="A11" s="36" t="s">
        <v>338</v>
      </c>
      <c r="B11" s="58" t="n">
        <f aca="false">B10*Inputs!$B$7/Inputs!$B$13</f>
        <v>0.949544554455446</v>
      </c>
      <c r="C11" s="58" t="n">
        <f aca="false">C10*Inputs!$B$7/Inputs!$B$13</f>
        <v>0.801980198019802</v>
      </c>
    </row>
    <row r="12" customFormat="false" ht="15" hidden="false" customHeight="true" outlineLevel="0" collapsed="false">
      <c r="A12" s="36" t="s">
        <v>339</v>
      </c>
      <c r="B12" s="102" t="n">
        <f aca="false">Inputs!$B$37</f>
        <v>0.975975975975976</v>
      </c>
      <c r="C12" s="102" t="n">
        <f aca="false">Inputs!$B$37</f>
        <v>0.975975975975976</v>
      </c>
      <c r="D12" s="40" t="s">
        <v>340</v>
      </c>
    </row>
    <row r="13" customFormat="false" ht="15" hidden="false" customHeight="true" outlineLevel="0" collapsed="false">
      <c r="A13" s="44" t="s">
        <v>341</v>
      </c>
      <c r="B13" s="45" t="n">
        <f aca="false">ROUND(B10*B12,0)</f>
        <v>1300</v>
      </c>
      <c r="C13" s="45" t="n">
        <f aca="false">ROUND(C10*C12,0)</f>
        <v>1098</v>
      </c>
      <c r="D13" s="40" t="s">
        <v>342</v>
      </c>
    </row>
    <row r="14" customFormat="false" ht="15" hidden="false" customHeight="true" outlineLevel="0" collapsed="false">
      <c r="A14" s="36" t="s">
        <v>343</v>
      </c>
      <c r="B14" s="46" t="n">
        <f aca="false">B13*Inputs!$B$20</f>
        <v>533</v>
      </c>
      <c r="C14" s="46" t="n">
        <f aca="false">C13*Inputs!$B$20</f>
        <v>450.18</v>
      </c>
    </row>
    <row r="15" customFormat="false" ht="15" hidden="false" customHeight="true" outlineLevel="0" collapsed="false">
      <c r="A15" s="36" t="s">
        <v>344</v>
      </c>
      <c r="B15" s="52" t="n">
        <f aca="false">B13-C13</f>
        <v>202</v>
      </c>
    </row>
    <row r="16" customFormat="false" ht="15" hidden="false" customHeight="true" outlineLevel="0" collapsed="false">
      <c r="A16" s="36" t="s">
        <v>345</v>
      </c>
      <c r="B16" s="58" t="n">
        <f aca="false">B13/C13-1</f>
        <v>0.183970856102004</v>
      </c>
    </row>
    <row r="18" customFormat="false" ht="25.5" hidden="false" customHeight="true" outlineLevel="0" collapsed="false">
      <c r="A18" s="92" t="s">
        <v>346</v>
      </c>
      <c r="B18" s="92"/>
      <c r="C18" s="92"/>
      <c r="D18" s="92"/>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3" min="3" style="1" width="14"/>
    <col collapsed="false" customWidth="true" hidden="false" outlineLevel="0" max="5" min="4" style="1" width="15"/>
    <col collapsed="false" customWidth="true" hidden="false" outlineLevel="0" max="6" min="6" style="1" width="14"/>
    <col collapsed="false" customWidth="true" hidden="false" outlineLevel="0" max="7" min="7" style="1" width="13"/>
    <col collapsed="false" customWidth="true" hidden="false" outlineLevel="0" max="8" min="8" style="1" width="15"/>
  </cols>
  <sheetData>
    <row r="1" customFormat="false" ht="17.25" hidden="false" customHeight="true" outlineLevel="0" collapsed="false">
      <c r="A1" s="32" t="s">
        <v>347</v>
      </c>
    </row>
    <row r="2" customFormat="false" ht="15" hidden="false" customHeight="true" outlineLevel="0" collapsed="false">
      <c r="A2" s="50" t="s">
        <v>348</v>
      </c>
    </row>
    <row r="4" customFormat="false" ht="15" hidden="false" customHeight="true" outlineLevel="0" collapsed="false">
      <c r="A4" s="34" t="s">
        <v>349</v>
      </c>
      <c r="B4" s="35"/>
      <c r="C4" s="35"/>
      <c r="D4" s="35"/>
      <c r="E4" s="35"/>
    </row>
    <row r="5" customFormat="false" ht="15" hidden="false" customHeight="true" outlineLevel="0" collapsed="false">
      <c r="A5" s="36" t="s">
        <v>64</v>
      </c>
      <c r="B5" s="42" t="n">
        <f aca="false">Inputs!B26</f>
        <v>250</v>
      </c>
    </row>
    <row r="6" customFormat="false" ht="15" hidden="false" customHeight="true" outlineLevel="0" collapsed="false">
      <c r="A6" s="36" t="s">
        <v>350</v>
      </c>
      <c r="B6" s="42" t="n">
        <f aca="false">'Yield per Roll'!B13</f>
        <v>1300</v>
      </c>
    </row>
    <row r="7" customFormat="false" ht="15" hidden="false" customHeight="true" outlineLevel="0" collapsed="false">
      <c r="A7" s="36" t="s">
        <v>351</v>
      </c>
      <c r="B7" s="42" t="n">
        <f aca="false">'Yield per Roll'!C13</f>
        <v>1098</v>
      </c>
    </row>
    <row r="8" customFormat="false" ht="53.25" hidden="false" customHeight="true" outlineLevel="0" collapsed="false">
      <c r="A8" s="44" t="s">
        <v>352</v>
      </c>
      <c r="B8" s="103" t="n">
        <f aca="false">B6/B5</f>
        <v>5.2</v>
      </c>
      <c r="D8" s="40" t="s">
        <v>353</v>
      </c>
    </row>
    <row r="9" customFormat="false" ht="15" hidden="false" customHeight="true" outlineLevel="0" collapsed="false">
      <c r="A9" s="36" t="s">
        <v>354</v>
      </c>
      <c r="B9" s="104" t="n">
        <f aca="false">B7/B5</f>
        <v>4.392</v>
      </c>
    </row>
    <row r="10" customFormat="false" ht="15" hidden="false" customHeight="true" outlineLevel="0" collapsed="false">
      <c r="A10" s="36" t="s">
        <v>355</v>
      </c>
      <c r="B10" s="101" t="n">
        <f aca="false">ROUNDUP(B5*52/B6,0)</f>
        <v>10</v>
      </c>
    </row>
    <row r="11" customFormat="false" ht="15" hidden="false" customHeight="true" outlineLevel="0" collapsed="false">
      <c r="A11" s="36" t="s">
        <v>356</v>
      </c>
      <c r="B11" s="52" t="n">
        <f aca="false">ROUNDUP(B5*52/B7,0)</f>
        <v>12</v>
      </c>
    </row>
    <row r="13" customFormat="false" ht="15" hidden="false" customHeight="true" outlineLevel="0" collapsed="false">
      <c r="A13" s="34" t="s">
        <v>357</v>
      </c>
      <c r="B13" s="35"/>
      <c r="C13" s="35"/>
      <c r="D13" s="35"/>
      <c r="E13" s="35"/>
    </row>
    <row r="14" customFormat="false" ht="15" hidden="false" customHeight="true" outlineLevel="0" collapsed="false">
      <c r="A14" s="36" t="s">
        <v>134</v>
      </c>
      <c r="B14" s="47" t="n">
        <f aca="false">Inputs!B31</f>
        <v>3</v>
      </c>
    </row>
    <row r="15" customFormat="false" ht="15" hidden="false" customHeight="true" outlineLevel="0" collapsed="false">
      <c r="A15" s="36" t="s">
        <v>136</v>
      </c>
      <c r="B15" s="47" t="n">
        <f aca="false">Inputs!B32</f>
        <v>1</v>
      </c>
    </row>
    <row r="16" customFormat="false" ht="53.25" hidden="false" customHeight="true" outlineLevel="0" collapsed="false">
      <c r="A16" s="44" t="s">
        <v>358</v>
      </c>
      <c r="B16" s="45" t="n">
        <f aca="false">(B14+B15)*B5</f>
        <v>1000</v>
      </c>
      <c r="D16" s="40" t="s">
        <v>359</v>
      </c>
    </row>
    <row r="17" customFormat="false" ht="42.75" hidden="false" customHeight="true" outlineLevel="0" collapsed="false">
      <c r="A17" s="36" t="s">
        <v>360</v>
      </c>
      <c r="B17" s="51" t="n">
        <v>1</v>
      </c>
      <c r="D17" s="40" t="s">
        <v>361</v>
      </c>
    </row>
    <row r="18" customFormat="false" ht="15" hidden="false" customHeight="true" outlineLevel="0" collapsed="false">
      <c r="A18" s="36" t="s">
        <v>362</v>
      </c>
      <c r="B18" s="61" t="n">
        <f aca="false">B17*B6/B5</f>
        <v>5.2</v>
      </c>
    </row>
    <row r="19" customFormat="false" ht="15" hidden="false" customHeight="true" outlineLevel="0" collapsed="false">
      <c r="A19" s="36" t="s">
        <v>363</v>
      </c>
      <c r="B19" s="56" t="n">
        <f aca="false">ROUNDUP(B5*52/(B17*B6),0)</f>
        <v>10</v>
      </c>
    </row>
    <row r="21" customFormat="false" ht="15" hidden="false" customHeight="true" outlineLevel="0" collapsed="false">
      <c r="A21" s="34" t="s">
        <v>364</v>
      </c>
      <c r="B21" s="35"/>
      <c r="C21" s="35"/>
      <c r="D21" s="35"/>
      <c r="E21" s="35"/>
      <c r="F21" s="35"/>
      <c r="G21" s="35"/>
      <c r="H21" s="35"/>
    </row>
    <row r="22" customFormat="false" ht="42" hidden="false" customHeight="true" outlineLevel="0" collapsed="false">
      <c r="A22" s="105" t="s">
        <v>360</v>
      </c>
      <c r="B22" s="105" t="s">
        <v>365</v>
      </c>
      <c r="C22" s="105" t="s">
        <v>366</v>
      </c>
      <c r="D22" s="105" t="s">
        <v>367</v>
      </c>
      <c r="E22" s="105" t="s">
        <v>363</v>
      </c>
      <c r="F22" s="105" t="s">
        <v>368</v>
      </c>
      <c r="G22" s="105" t="s">
        <v>369</v>
      </c>
      <c r="H22" s="105" t="s">
        <v>370</v>
      </c>
    </row>
    <row r="23" customFormat="false" ht="15" hidden="false" customHeight="true" outlineLevel="0" collapsed="false">
      <c r="A23" s="106" t="n">
        <v>1</v>
      </c>
      <c r="B23" s="107" t="n">
        <f aca="false">A23*$B$6</f>
        <v>1300</v>
      </c>
      <c r="C23" s="108" t="n">
        <f aca="false">B23/$B$5</f>
        <v>5.2</v>
      </c>
      <c r="D23" s="109" t="n">
        <f aca="false">B23*Inputs!$B$20</f>
        <v>533</v>
      </c>
      <c r="E23" s="106" t="n">
        <f aca="false">ROUNDUP($B$5*52/B23,0)</f>
        <v>10</v>
      </c>
      <c r="F23" s="107" t="n">
        <f aca="false">Inputs!$B$32*$B$5+B23</f>
        <v>1550</v>
      </c>
      <c r="G23" s="108" t="n">
        <f aca="false">F23/$B$5</f>
        <v>6.2</v>
      </c>
      <c r="H23" s="108" t="n">
        <f aca="false">A23*$B$7/$B$5</f>
        <v>4.392</v>
      </c>
    </row>
    <row r="24" customFormat="false" ht="15" hidden="false" customHeight="true" outlineLevel="0" collapsed="false">
      <c r="A24" s="56" t="n">
        <v>2</v>
      </c>
      <c r="B24" s="52" t="n">
        <f aca="false">A24*$B$6</f>
        <v>2600</v>
      </c>
      <c r="C24" s="61" t="n">
        <f aca="false">B24/$B$5</f>
        <v>10.4</v>
      </c>
      <c r="D24" s="110" t="n">
        <f aca="false">B24*Inputs!$B$20</f>
        <v>1066</v>
      </c>
      <c r="E24" s="56" t="n">
        <f aca="false">ROUNDUP($B$5*52/B24,0)</f>
        <v>5</v>
      </c>
      <c r="F24" s="52" t="n">
        <f aca="false">Inputs!$B$32*$B$5+B24</f>
        <v>2850</v>
      </c>
      <c r="G24" s="61" t="n">
        <f aca="false">F24/$B$5</f>
        <v>11.4</v>
      </c>
      <c r="H24" s="61" t="n">
        <f aca="false">A24*$B$7/$B$5</f>
        <v>8.784</v>
      </c>
    </row>
    <row r="25" customFormat="false" ht="15" hidden="false" customHeight="true" outlineLevel="0" collapsed="false">
      <c r="A25" s="56" t="n">
        <v>3</v>
      </c>
      <c r="B25" s="52" t="n">
        <f aca="false">A25*$B$6</f>
        <v>3900</v>
      </c>
      <c r="C25" s="61" t="n">
        <f aca="false">B25/$B$5</f>
        <v>15.6</v>
      </c>
      <c r="D25" s="110" t="n">
        <f aca="false">B25*Inputs!$B$20</f>
        <v>1599</v>
      </c>
      <c r="E25" s="56" t="n">
        <f aca="false">ROUNDUP($B$5*52/B25,0)</f>
        <v>4</v>
      </c>
      <c r="F25" s="52" t="n">
        <f aca="false">Inputs!$B$32*$B$5+B25</f>
        <v>4150</v>
      </c>
      <c r="G25" s="61" t="n">
        <f aca="false">F25/$B$5</f>
        <v>16.6</v>
      </c>
      <c r="H25" s="61" t="n">
        <f aca="false">A25*$B$7/$B$5</f>
        <v>13.176</v>
      </c>
    </row>
    <row r="26" customFormat="false" ht="15" hidden="false" customHeight="true" outlineLevel="0" collapsed="false">
      <c r="A26" s="56" t="n">
        <v>4</v>
      </c>
      <c r="B26" s="52" t="n">
        <f aca="false">A26*$B$6</f>
        <v>5200</v>
      </c>
      <c r="C26" s="61" t="n">
        <f aca="false">B26/$B$5</f>
        <v>20.8</v>
      </c>
      <c r="D26" s="110" t="n">
        <f aca="false">B26*Inputs!$B$20</f>
        <v>2132</v>
      </c>
      <c r="E26" s="56" t="n">
        <f aca="false">ROUNDUP($B$5*52/B26,0)</f>
        <v>3</v>
      </c>
      <c r="F26" s="52" t="n">
        <f aca="false">Inputs!$B$32*$B$5+B26</f>
        <v>5450</v>
      </c>
      <c r="G26" s="61" t="n">
        <f aca="false">F26/$B$5</f>
        <v>21.8</v>
      </c>
      <c r="H26" s="61" t="n">
        <f aca="false">A26*$B$7/$B$5</f>
        <v>17.568</v>
      </c>
    </row>
    <row r="28" customFormat="false" ht="30" hidden="false" customHeight="true" outlineLevel="0" collapsed="false">
      <c r="A28" s="92" t="str">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RECOMMENDED: order 1 roll per PO. Release a PO when inventory position ≤ 1,000 pieces — in steady state that fires about every 5.2 weeks (10 POs/year, 1,300 pieces per delivery). If cut as Orientation B instead: a PO about every 4.4 weeks, 12 POs/year.</v>
      </c>
      <c r="B28" s="92"/>
      <c r="C28" s="92"/>
      <c r="D28" s="92"/>
      <c r="E28" s="92"/>
      <c r="F28" s="92"/>
      <c r="G28" s="92"/>
      <c r="H28" s="92"/>
    </row>
    <row r="30" customFormat="false" ht="15" hidden="false" customHeight="true" outlineLevel="0" collapsed="false">
      <c r="A30" s="34" t="s">
        <v>371</v>
      </c>
      <c r="B30" s="35"/>
      <c r="C30" s="35"/>
      <c r="D30" s="35"/>
      <c r="E30" s="35"/>
    </row>
    <row r="31" customFormat="false" ht="42" hidden="false" customHeight="true" outlineLevel="0" collapsed="false">
      <c r="A31" s="105" t="s">
        <v>372</v>
      </c>
      <c r="B31" s="105" t="s">
        <v>373</v>
      </c>
      <c r="C31" s="105" t="s">
        <v>374</v>
      </c>
      <c r="D31" s="105" t="s">
        <v>375</v>
      </c>
      <c r="E31" s="105" t="s">
        <v>376</v>
      </c>
    </row>
    <row r="32" customFormat="false" ht="15" hidden="false" customHeight="true" outlineLevel="0" collapsed="false">
      <c r="A32" s="53" t="n">
        <v>200</v>
      </c>
      <c r="B32" s="61" t="n">
        <f aca="false">$B$6/A32</f>
        <v>6.5</v>
      </c>
      <c r="C32" s="61" t="n">
        <f aca="false">$B$17*$B$6/A32</f>
        <v>6.5</v>
      </c>
      <c r="D32" s="56" t="n">
        <f aca="false">ROUNDUP(A32*52/($B$17*$B$6),0)</f>
        <v>8</v>
      </c>
      <c r="E32" s="56" t="n">
        <f aca="false">ROUNDUP(A32*52/($B$17*$B$7),0)</f>
        <v>10</v>
      </c>
    </row>
    <row r="33" customFormat="false" ht="15" hidden="false" customHeight="true" outlineLevel="0" collapsed="false">
      <c r="A33" s="53" t="n">
        <v>225</v>
      </c>
      <c r="B33" s="61" t="n">
        <f aca="false">$B$6/A33</f>
        <v>5.77777777777778</v>
      </c>
      <c r="C33" s="61" t="n">
        <f aca="false">$B$17*$B$6/A33</f>
        <v>5.77777777777778</v>
      </c>
      <c r="D33" s="56" t="n">
        <f aca="false">ROUNDUP(A33*52/($B$17*$B$6),0)</f>
        <v>9</v>
      </c>
      <c r="E33" s="56" t="n">
        <f aca="false">ROUNDUP(A33*52/($B$17*$B$7),0)</f>
        <v>11</v>
      </c>
    </row>
    <row r="34" customFormat="false" ht="15" hidden="false" customHeight="true" outlineLevel="0" collapsed="false">
      <c r="A34" s="53" t="n">
        <v>250</v>
      </c>
      <c r="B34" s="61" t="n">
        <f aca="false">$B$6/A34</f>
        <v>5.2</v>
      </c>
      <c r="C34" s="61" t="n">
        <f aca="false">$B$17*$B$6/A34</f>
        <v>5.2</v>
      </c>
      <c r="D34" s="56" t="n">
        <f aca="false">ROUNDUP(A34*52/($B$17*$B$6),0)</f>
        <v>10</v>
      </c>
      <c r="E34" s="56" t="n">
        <f aca="false">ROUNDUP(A34*52/($B$17*$B$7),0)</f>
        <v>12</v>
      </c>
    </row>
    <row r="35" customFormat="false" ht="15" hidden="false" customHeight="true" outlineLevel="0" collapsed="false">
      <c r="A35" s="53" t="n">
        <v>270</v>
      </c>
      <c r="B35" s="61" t="n">
        <f aca="false">$B$6/A35</f>
        <v>4.81481481481482</v>
      </c>
      <c r="C35" s="61" t="n">
        <f aca="false">$B$17*$B$6/A35</f>
        <v>4.81481481481482</v>
      </c>
      <c r="D35" s="56" t="n">
        <f aca="false">ROUNDUP(A35*52/($B$17*$B$6),0)</f>
        <v>11</v>
      </c>
      <c r="E35" s="56" t="n">
        <f aca="false">ROUNDUP(A35*52/($B$17*$B$7),0)</f>
        <v>13</v>
      </c>
    </row>
    <row r="36" customFormat="false" ht="15" hidden="false" customHeight="true" outlineLevel="0" collapsed="false">
      <c r="A36" s="53" t="n">
        <v>300</v>
      </c>
      <c r="B36" s="61" t="n">
        <f aca="false">$B$6/A36</f>
        <v>4.33333333333333</v>
      </c>
      <c r="C36" s="61" t="n">
        <f aca="false">$B$17*$B$6/A36</f>
        <v>4.33333333333333</v>
      </c>
      <c r="D36" s="56" t="n">
        <f aca="false">ROUNDUP(A36*52/($B$17*$B$6),0)</f>
        <v>12</v>
      </c>
      <c r="E36" s="56" t="n">
        <f aca="false">ROUNDUP(A36*52/($B$17*$B$7),0)</f>
        <v>15</v>
      </c>
    </row>
    <row r="37" customFormat="false" ht="15" hidden="false" customHeight="true" outlineLevel="0" collapsed="false">
      <c r="A37" s="53" t="n">
        <v>325</v>
      </c>
      <c r="B37" s="61" t="n">
        <f aca="false">$B$6/A37</f>
        <v>4</v>
      </c>
      <c r="C37" s="61" t="n">
        <f aca="false">$B$17*$B$6/A37</f>
        <v>4</v>
      </c>
      <c r="D37" s="56" t="n">
        <f aca="false">ROUNDUP(A37*52/($B$17*$B$6),0)</f>
        <v>13</v>
      </c>
      <c r="E37" s="56" t="n">
        <f aca="false">ROUNDUP(A37*52/($B$17*$B$7),0)</f>
        <v>16</v>
      </c>
    </row>
    <row r="38" customFormat="false" ht="15" hidden="false" customHeight="true" outlineLevel="0" collapsed="false">
      <c r="A38" s="53" t="n">
        <v>350</v>
      </c>
      <c r="B38" s="61" t="n">
        <f aca="false">$B$6/A38</f>
        <v>3.71428571428571</v>
      </c>
      <c r="C38" s="61" t="n">
        <f aca="false">$B$17*$B$6/A38</f>
        <v>3.71428571428571</v>
      </c>
      <c r="D38" s="56" t="n">
        <f aca="false">ROUNDUP(A38*52/($B$17*$B$6),0)</f>
        <v>14</v>
      </c>
      <c r="E38" s="56" t="n">
        <f aca="false">ROUNDUP(A38*52/($B$17*$B$7),0)</f>
        <v>17</v>
      </c>
    </row>
    <row r="40" customFormat="false" ht="25.5" hidden="false" customHeight="true" outlineLevel="0" collapsed="false">
      <c r="A40" s="111" t="s">
        <v>377</v>
      </c>
      <c r="B40" s="111"/>
      <c r="C40" s="111"/>
      <c r="D40" s="111"/>
      <c r="E40" s="111"/>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7" min="3"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1" width="26"/>
  </cols>
  <sheetData>
    <row r="1" customFormat="false" ht="17.25" hidden="false" customHeight="true" outlineLevel="0" collapsed="false">
      <c r="A1" s="32" t="s">
        <v>378</v>
      </c>
    </row>
    <row r="2" customFormat="false" ht="15" hidden="false" customHeight="true" outlineLevel="0" collapsed="false">
      <c r="A2" s="50" t="s">
        <v>379</v>
      </c>
    </row>
    <row r="4" customFormat="false" ht="15" hidden="false" customHeight="true" outlineLevel="0" collapsed="false">
      <c r="A4" s="34" t="s">
        <v>380</v>
      </c>
      <c r="B4" s="35"/>
      <c r="C4" s="35"/>
      <c r="D4" s="35"/>
      <c r="E4" s="35"/>
    </row>
    <row r="5" customFormat="false" ht="15" hidden="false" customHeight="true" outlineLevel="0" collapsed="false">
      <c r="A5" s="36" t="s">
        <v>381</v>
      </c>
      <c r="B5" s="60" t="n">
        <v>46293</v>
      </c>
      <c r="D5" s="111" t="s">
        <v>382</v>
      </c>
      <c r="E5" s="111"/>
      <c r="F5" s="111"/>
      <c r="G5" s="111"/>
      <c r="H5" s="111"/>
      <c r="I5" s="111"/>
      <c r="J5" s="111"/>
      <c r="K5" s="111"/>
    </row>
    <row r="6" customFormat="false" ht="23.25" hidden="false" customHeight="true" outlineLevel="0" collapsed="false">
      <c r="A6" s="36" t="s">
        <v>383</v>
      </c>
      <c r="B6" s="42" t="n">
        <f aca="false">Inputs!B52</f>
        <v>837</v>
      </c>
      <c r="D6" s="111" t="str">
        <f aca="false">"LINKED — Inputs rows 41–52: "&amp;TEXT(Inputs!B47,"#,##0")&amp;" pcs counted "&amp;TEXT(Inputs!B42,"m/d")&amp;" ("&amp;Inputs!B43&amp;" loose + "&amp;Inputs!B44&amp;" boxes) less "&amp;TEXT(Inputs!B51,"#,##0")&amp;" consumed before the horizon starts"</f>
        <v>LINKED — Inputs rows 41–52: 937 pcs counted 9/24 (70 loose + 2 boxes) less 100 consumed before the horizon starts</v>
      </c>
      <c r="E6" s="111"/>
      <c r="F6" s="111"/>
      <c r="G6" s="111"/>
      <c r="H6" s="111"/>
      <c r="I6" s="111"/>
      <c r="J6" s="111"/>
      <c r="K6" s="111"/>
    </row>
    <row r="7" customFormat="false" ht="15" hidden="false" customHeight="true" outlineLevel="0" collapsed="false">
      <c r="A7" s="36" t="s">
        <v>384</v>
      </c>
      <c r="B7" s="42" t="n">
        <f aca="false">Inputs!B26</f>
        <v>250</v>
      </c>
    </row>
    <row r="8" customFormat="false" ht="15" hidden="false" customHeight="true" outlineLevel="0" collapsed="false">
      <c r="A8" s="36" t="s">
        <v>75</v>
      </c>
      <c r="B8" s="42" t="n">
        <f aca="false">'Order Cadence'!B16</f>
        <v>1000</v>
      </c>
    </row>
    <row r="9" customFormat="false" ht="15" hidden="false" customHeight="true" outlineLevel="0" collapsed="false">
      <c r="A9" s="36" t="s">
        <v>77</v>
      </c>
      <c r="B9" s="42" t="n">
        <f aca="false">'Order Cadence'!B6</f>
        <v>1300</v>
      </c>
    </row>
    <row r="10" customFormat="false" ht="15" hidden="false" customHeight="true" outlineLevel="0" collapsed="false">
      <c r="A10" s="36" t="s">
        <v>385</v>
      </c>
      <c r="B10" s="47" t="n">
        <f aca="false">Inputs!B31</f>
        <v>3</v>
      </c>
    </row>
    <row r="11" customFormat="false" ht="15" hidden="false" customHeight="true" outlineLevel="0" collapsed="false">
      <c r="A11" s="36" t="s">
        <v>386</v>
      </c>
      <c r="B11" s="42" t="n">
        <f aca="false">Inputs!B56</f>
        <v>1300</v>
      </c>
      <c r="D11" s="93" t="str">
        <f aca="false">"Released "&amp;TEXT(Inputs!B55,"m/d/yy")&amp;", credited to week "&amp;Inputs!B58&amp;" (arrives "&amp;TEXT(Inputs!B57,"m/d/yy")&amp;") — Inputs rows 54–61"</f>
        <v>Released 9/28/26, credited to week 4 (arrives 10/20/26) — Inputs rows 54–61</v>
      </c>
      <c r="E11" s="93"/>
      <c r="F11" s="93"/>
      <c r="G11" s="93"/>
      <c r="H11" s="93"/>
      <c r="I11" s="93"/>
      <c r="J11" s="93"/>
      <c r="K11" s="93"/>
    </row>
    <row r="12" customFormat="false" ht="15" hidden="false" customHeight="true" outlineLevel="0" collapsed="false">
      <c r="A12" s="34" t="s">
        <v>387</v>
      </c>
      <c r="B12" s="35"/>
      <c r="C12" s="35"/>
      <c r="D12" s="35"/>
      <c r="E12" s="35"/>
      <c r="F12" s="35"/>
      <c r="G12" s="35"/>
      <c r="H12" s="35"/>
      <c r="I12" s="35"/>
      <c r="J12" s="35"/>
      <c r="K12" s="35"/>
    </row>
    <row r="13" customFormat="false" ht="15" hidden="false" customHeight="true" outlineLevel="0" collapsed="false">
      <c r="A13" s="105" t="s">
        <v>388</v>
      </c>
      <c r="B13" s="105" t="s">
        <v>389</v>
      </c>
      <c r="C13" s="105" t="s">
        <v>390</v>
      </c>
      <c r="D13" s="105" t="s">
        <v>391</v>
      </c>
      <c r="E13" s="105" t="s">
        <v>392</v>
      </c>
      <c r="F13" s="105" t="s">
        <v>393</v>
      </c>
      <c r="G13" s="105" t="s">
        <v>394</v>
      </c>
      <c r="H13" s="105" t="s">
        <v>395</v>
      </c>
      <c r="I13" s="105" t="s">
        <v>396</v>
      </c>
      <c r="J13" s="105" t="s">
        <v>397</v>
      </c>
      <c r="K13" s="105" t="s">
        <v>398</v>
      </c>
      <c r="L13" s="83" t="s">
        <v>399</v>
      </c>
    </row>
    <row r="14" customFormat="false" ht="15" hidden="false" customHeight="true" outlineLevel="0" collapsed="false">
      <c r="A14" s="56" t="n">
        <v>1</v>
      </c>
      <c r="B14" s="95" t="n">
        <f aca="false">$B$5+(A14-1)*7</f>
        <v>46293</v>
      </c>
      <c r="C14" s="52" t="n">
        <f aca="false">$B$6</f>
        <v>837</v>
      </c>
      <c r="D14" s="52" t="n">
        <f aca="false">IF(A14&gt;$B$10, INDEX($H$14:$H$39, A14-$B$10), 0)+IF(A14=Inputs!$B$58,Inputs!$B$56,0)</f>
        <v>0</v>
      </c>
      <c r="E14" s="52" t="n">
        <f aca="false">C14+D14</f>
        <v>837</v>
      </c>
      <c r="F14" s="52" t="n">
        <f aca="false">$B$7</f>
        <v>250</v>
      </c>
      <c r="G14" s="52" t="n">
        <f aca="false">E14-F14</f>
        <v>587</v>
      </c>
      <c r="H14" s="52" t="n">
        <f aca="false">IF(G14+(Inputs!$B$56-D14)&lt;$B$8, $B$9, 0)</f>
        <v>0</v>
      </c>
      <c r="I14" s="52" t="n">
        <f aca="false">Inputs!$B$56+H14-D14</f>
        <v>1300</v>
      </c>
      <c r="J14" s="52" t="n">
        <f aca="false">G14+I14</f>
        <v>1887</v>
      </c>
      <c r="K14" s="57" t="str">
        <f aca="false">IF(G14&lt;0,"STOCKOUT",IF(TRIM(IF(H14&gt;0,"PO released ","")&amp;IF(D14&gt;0,"Delivery ","")&amp;IF(G14&lt;$B$7,"⚠ LOW &lt;1 wk",""))="","OK",TRIM(IF(H14&gt;0,"PO released ","")&amp;IF(D14&gt;0,"Delivery ","")&amp;IF(G14&lt;$B$7,"⚠ LOW &lt;1 wk",""))))</f>
        <v>OK</v>
      </c>
      <c r="L14" s="112" t="str">
        <f aca="false">IF(SUMPRODUCT(('PO Schedule'!$D$14:$D$22&lt;&gt;"")*('PO Schedule'!$D$14:$D$22&lt;=B14+6)*('PO Schedule'!$E$14:$E$22&gt;=B14))&gt;0,"▶ PO-"&amp;(SUMPRODUCT(('PO Schedule'!$D$14:$D$22&lt;&gt;"")*('PO Schedule'!$D$14:$D$22&lt;=B14+6)*('PO Schedule'!$E$14:$E$22&gt;=B14)*('PO Schedule'!$A$14:$A$22+1))-1)&amp;" cut at Trotter","")</f>
        <v/>
      </c>
    </row>
    <row r="15" customFormat="false" ht="15" hidden="false" customHeight="true" outlineLevel="0" collapsed="false">
      <c r="A15" s="56" t="n">
        <v>2</v>
      </c>
      <c r="B15" s="95" t="n">
        <f aca="false">$B$5+(A15-1)*7</f>
        <v>46300</v>
      </c>
      <c r="C15" s="52" t="n">
        <f aca="false">G14</f>
        <v>587</v>
      </c>
      <c r="D15" s="52" t="n">
        <f aca="false">IF(A15&gt;$B$10, INDEX($H$14:$H$39, A15-$B$10), 0)+IF(A15=Inputs!$B$58,Inputs!$B$56,0)</f>
        <v>0</v>
      </c>
      <c r="E15" s="52" t="n">
        <f aca="false">C15+D15</f>
        <v>587</v>
      </c>
      <c r="F15" s="52" t="n">
        <f aca="false">$B$7</f>
        <v>250</v>
      </c>
      <c r="G15" s="52" t="n">
        <f aca="false">E15-F15</f>
        <v>337</v>
      </c>
      <c r="H15" s="52" t="n">
        <f aca="false">IF(G15+(I14-D15)&lt;$B$8, $B$9, 0)</f>
        <v>0</v>
      </c>
      <c r="I15" s="52" t="n">
        <f aca="false">I14-D15+H15</f>
        <v>1300</v>
      </c>
      <c r="J15" s="52" t="n">
        <f aca="false">G15+I15</f>
        <v>1637</v>
      </c>
      <c r="K15" s="57" t="str">
        <f aca="false">IF(G15&lt;0,"STOCKOUT",IF(TRIM(IF(H15&gt;0,"PO released ","")&amp;IF(D15&gt;0,"Delivery ","")&amp;IF(G15&lt;$B$7,"⚠ LOW &lt;1 wk",""))="","OK",TRIM(IF(H15&gt;0,"PO released ","")&amp;IF(D15&gt;0,"Delivery ","")&amp;IF(G15&lt;$B$7,"⚠ LOW &lt;1 wk",""))))</f>
        <v>OK</v>
      </c>
      <c r="L15" s="112" t="str">
        <f aca="false">IF(SUMPRODUCT(('PO Schedule'!$D$14:$D$22&lt;&gt;"")*('PO Schedule'!$D$14:$D$22&lt;=B15+6)*('PO Schedule'!$E$14:$E$22&gt;=B15))&gt;0,"▶ PO-"&amp;(SUMPRODUCT(('PO Schedule'!$D$14:$D$22&lt;&gt;"")*('PO Schedule'!$D$14:$D$22&lt;=B15+6)*('PO Schedule'!$E$14:$E$22&gt;=B15)*('PO Schedule'!$A$14:$A$22+1))-1)&amp;" cut at Trotter","")</f>
        <v/>
      </c>
    </row>
    <row r="16" customFormat="false" ht="15" hidden="false" customHeight="true" outlineLevel="0" collapsed="false">
      <c r="A16" s="56" t="n">
        <v>3</v>
      </c>
      <c r="B16" s="95" t="n">
        <f aca="false">$B$5+(A16-1)*7</f>
        <v>46307</v>
      </c>
      <c r="C16" s="52" t="n">
        <f aca="false">G15</f>
        <v>337</v>
      </c>
      <c r="D16" s="52" t="n">
        <f aca="false">IF(A16&gt;$B$10, INDEX($H$14:$H$39, A16-$B$10), 0)+IF(A16=Inputs!$B$58,Inputs!$B$56,0)</f>
        <v>0</v>
      </c>
      <c r="E16" s="52" t="n">
        <f aca="false">C16+D16</f>
        <v>337</v>
      </c>
      <c r="F16" s="52" t="n">
        <f aca="false">$B$7</f>
        <v>250</v>
      </c>
      <c r="G16" s="52" t="n">
        <f aca="false">E16-F16</f>
        <v>87</v>
      </c>
      <c r="H16" s="52" t="n">
        <f aca="false">IF(G16+(I15-D16)&lt;$B$8, $B$9, 0)</f>
        <v>0</v>
      </c>
      <c r="I16" s="52" t="n">
        <f aca="false">I15-D16+H16</f>
        <v>1300</v>
      </c>
      <c r="J16" s="52" t="n">
        <f aca="false">G16+I16</f>
        <v>1387</v>
      </c>
      <c r="K16" s="57" t="str">
        <f aca="false">IF(G16&lt;0,"STOCKOUT",IF(TRIM(IF(H16&gt;0,"PO released ","")&amp;IF(D16&gt;0,"Delivery ","")&amp;IF(G16&lt;$B$7,"⚠ LOW &lt;1 wk",""))="","OK",TRIM(IF(H16&gt;0,"PO released ","")&amp;IF(D16&gt;0,"Delivery ","")&amp;IF(G16&lt;$B$7,"⚠ LOW &lt;1 wk",""))))</f>
        <v>⚠ LOW &lt;1 wk</v>
      </c>
      <c r="L16" s="112" t="str">
        <f aca="false">IF(SUMPRODUCT(('PO Schedule'!$D$14:$D$22&lt;&gt;"")*('PO Schedule'!$D$14:$D$22&lt;=B16+6)*('PO Schedule'!$E$14:$E$22&gt;=B16))&gt;0,"▶ PO-"&amp;(SUMPRODUCT(('PO Schedule'!$D$14:$D$22&lt;&gt;"")*('PO Schedule'!$D$14:$D$22&lt;=B16+6)*('PO Schedule'!$E$14:$E$22&gt;=B16)*('PO Schedule'!$A$14:$A$22+1))-1)&amp;" cut at Trotter","")</f>
        <v>▶ PO-0 cut at Trotter</v>
      </c>
    </row>
    <row r="17" customFormat="false" ht="15" hidden="false" customHeight="true" outlineLevel="0" collapsed="false">
      <c r="A17" s="56" t="n">
        <v>4</v>
      </c>
      <c r="B17" s="95" t="n">
        <f aca="false">$B$5+(A17-1)*7</f>
        <v>46314</v>
      </c>
      <c r="C17" s="52" t="n">
        <f aca="false">G16</f>
        <v>87</v>
      </c>
      <c r="D17" s="52" t="n">
        <f aca="false">IF(A17&gt;$B$10, INDEX($H$14:$H$39, A17-$B$10), 0)+IF(A17=Inputs!$B$58,Inputs!$B$56,0)</f>
        <v>1300</v>
      </c>
      <c r="E17" s="52" t="n">
        <f aca="false">C17+D17</f>
        <v>1387</v>
      </c>
      <c r="F17" s="52" t="n">
        <f aca="false">$B$7</f>
        <v>250</v>
      </c>
      <c r="G17" s="52" t="n">
        <f aca="false">E17-F17</f>
        <v>1137</v>
      </c>
      <c r="H17" s="52" t="n">
        <f aca="false">IF(G17+(I16-D17)&lt;$B$8, $B$9, 0)</f>
        <v>0</v>
      </c>
      <c r="I17" s="52" t="n">
        <f aca="false">I16-D17+H17</f>
        <v>0</v>
      </c>
      <c r="J17" s="52" t="n">
        <f aca="false">G17+I17</f>
        <v>1137</v>
      </c>
      <c r="K17" s="57" t="str">
        <f aca="false">IF(G17&lt;0,"STOCKOUT",IF(TRIM(IF(H17&gt;0,"PO released ","")&amp;IF(D17&gt;0,"Delivery ","")&amp;IF(G17&lt;$B$7,"⚠ LOW &lt;1 wk",""))="","OK",TRIM(IF(H17&gt;0,"PO released ","")&amp;IF(D17&gt;0,"Delivery ","")&amp;IF(G17&lt;$B$7,"⚠ LOW &lt;1 wk",""))))</f>
        <v>Delivery</v>
      </c>
      <c r="L17" s="112" t="str">
        <f aca="false">IF(SUMPRODUCT(('PO Schedule'!$D$14:$D$22&lt;&gt;"")*('PO Schedule'!$D$14:$D$22&lt;=B17+6)*('PO Schedule'!$E$14:$E$22&gt;=B17))&gt;0,"▶ PO-"&amp;(SUMPRODUCT(('PO Schedule'!$D$14:$D$22&lt;&gt;"")*('PO Schedule'!$D$14:$D$22&lt;=B17+6)*('PO Schedule'!$E$14:$E$22&gt;=B17)*('PO Schedule'!$A$14:$A$22+1))-1)&amp;" cut at Trotter","")</f>
        <v/>
      </c>
    </row>
    <row r="18" customFormat="false" ht="15" hidden="false" customHeight="true" outlineLevel="0" collapsed="false">
      <c r="A18" s="56" t="n">
        <v>5</v>
      </c>
      <c r="B18" s="95" t="n">
        <f aca="false">$B$5+(A18-1)*7</f>
        <v>46321</v>
      </c>
      <c r="C18" s="52" t="n">
        <f aca="false">G17</f>
        <v>1137</v>
      </c>
      <c r="D18" s="52" t="n">
        <f aca="false">IF(A18&gt;$B$10, INDEX($H$14:$H$39, A18-$B$10), 0)+IF(A18=Inputs!$B$58,Inputs!$B$56,0)</f>
        <v>0</v>
      </c>
      <c r="E18" s="52" t="n">
        <f aca="false">C18+D18</f>
        <v>1137</v>
      </c>
      <c r="F18" s="52" t="n">
        <f aca="false">$B$7</f>
        <v>250</v>
      </c>
      <c r="G18" s="52" t="n">
        <f aca="false">E18-F18</f>
        <v>887</v>
      </c>
      <c r="H18" s="52" t="n">
        <f aca="false">IF(G18+(I17-D18)&lt;$B$8, $B$9, 0)</f>
        <v>1300</v>
      </c>
      <c r="I18" s="52" t="n">
        <f aca="false">I17-D18+H18</f>
        <v>1300</v>
      </c>
      <c r="J18" s="52" t="n">
        <f aca="false">G18+I18</f>
        <v>2187</v>
      </c>
      <c r="K18" s="57" t="str">
        <f aca="false">IF(G18&lt;0,"STOCKOUT",IF(TRIM(IF(H18&gt;0,"PO released ","")&amp;IF(D18&gt;0,"Delivery ","")&amp;IF(G18&lt;$B$7,"⚠ LOW &lt;1 wk",""))="","OK",TRIM(IF(H18&gt;0,"PO released ","")&amp;IF(D18&gt;0,"Delivery ","")&amp;IF(G18&lt;$B$7,"⚠ LOW &lt;1 wk",""))))</f>
        <v>PO released</v>
      </c>
      <c r="L18" s="112" t="str">
        <f aca="false">IF(SUMPRODUCT(('PO Schedule'!$D$14:$D$22&lt;&gt;"")*('PO Schedule'!$D$14:$D$22&lt;=B18+6)*('PO Schedule'!$E$14:$E$22&gt;=B18))&gt;0,"▶ PO-"&amp;(SUMPRODUCT(('PO Schedule'!$D$14:$D$22&lt;&gt;"")*('PO Schedule'!$D$14:$D$22&lt;=B18+6)*('PO Schedule'!$E$14:$E$22&gt;=B18)*('PO Schedule'!$A$14:$A$22+1))-1)&amp;" cut at Trotter","")</f>
        <v/>
      </c>
    </row>
    <row r="19" customFormat="false" ht="15" hidden="false" customHeight="true" outlineLevel="0" collapsed="false">
      <c r="A19" s="56" t="n">
        <v>6</v>
      </c>
      <c r="B19" s="95" t="n">
        <f aca="false">$B$5+(A19-1)*7</f>
        <v>46328</v>
      </c>
      <c r="C19" s="52" t="n">
        <f aca="false">G18</f>
        <v>887</v>
      </c>
      <c r="D19" s="52" t="n">
        <f aca="false">IF(A19&gt;$B$10, INDEX($H$14:$H$39, A19-$B$10), 0)+IF(A19=Inputs!$B$58,Inputs!$B$56,0)</f>
        <v>0</v>
      </c>
      <c r="E19" s="52" t="n">
        <f aca="false">C19+D19</f>
        <v>887</v>
      </c>
      <c r="F19" s="52" t="n">
        <f aca="false">$B$7</f>
        <v>250</v>
      </c>
      <c r="G19" s="52" t="n">
        <f aca="false">E19-F19</f>
        <v>637</v>
      </c>
      <c r="H19" s="52" t="n">
        <f aca="false">IF(G19+(I18-D19)&lt;$B$8, $B$9, 0)</f>
        <v>0</v>
      </c>
      <c r="I19" s="52" t="n">
        <f aca="false">I18-D19+H19</f>
        <v>1300</v>
      </c>
      <c r="J19" s="52" t="n">
        <f aca="false">G19+I19</f>
        <v>1937</v>
      </c>
      <c r="K19" s="57" t="str">
        <f aca="false">IF(G19&lt;0,"STOCKOUT",IF(TRIM(IF(H19&gt;0,"PO released ","")&amp;IF(D19&gt;0,"Delivery ","")&amp;IF(G19&lt;$B$7,"⚠ LOW &lt;1 wk",""))="","OK",TRIM(IF(H19&gt;0,"PO released ","")&amp;IF(D19&gt;0,"Delivery ","")&amp;IF(G19&lt;$B$7,"⚠ LOW &lt;1 wk",""))))</f>
        <v>OK</v>
      </c>
      <c r="L19" s="112" t="str">
        <f aca="false">IF(SUMPRODUCT(('PO Schedule'!$D$14:$D$22&lt;&gt;"")*('PO Schedule'!$D$14:$D$22&lt;=B19+6)*('PO Schedule'!$E$14:$E$22&gt;=B19))&gt;0,"▶ PO-"&amp;(SUMPRODUCT(('PO Schedule'!$D$14:$D$22&lt;&gt;"")*('PO Schedule'!$D$14:$D$22&lt;=B19+6)*('PO Schedule'!$E$14:$E$22&gt;=B19)*('PO Schedule'!$A$14:$A$22+1))-1)&amp;" cut at Trotter","")</f>
        <v/>
      </c>
    </row>
    <row r="20" customFormat="false" ht="15" hidden="false" customHeight="true" outlineLevel="0" collapsed="false">
      <c r="A20" s="56" t="n">
        <v>7</v>
      </c>
      <c r="B20" s="95" t="n">
        <f aca="false">$B$5+(A20-1)*7</f>
        <v>46335</v>
      </c>
      <c r="C20" s="52" t="n">
        <f aca="false">G19</f>
        <v>637</v>
      </c>
      <c r="D20" s="52" t="n">
        <f aca="false">IF(A20&gt;$B$10, INDEX($H$14:$H$39, A20-$B$10), 0)+IF(A20=Inputs!$B$58,Inputs!$B$56,0)</f>
        <v>0</v>
      </c>
      <c r="E20" s="52" t="n">
        <f aca="false">C20+D20</f>
        <v>637</v>
      </c>
      <c r="F20" s="52" t="n">
        <f aca="false">$B$7</f>
        <v>250</v>
      </c>
      <c r="G20" s="52" t="n">
        <f aca="false">E20-F20</f>
        <v>387</v>
      </c>
      <c r="H20" s="52" t="n">
        <f aca="false">IF(G20+(I19-D20)&lt;$B$8, $B$9, 0)</f>
        <v>0</v>
      </c>
      <c r="I20" s="52" t="n">
        <f aca="false">I19-D20+H20</f>
        <v>1300</v>
      </c>
      <c r="J20" s="52" t="n">
        <f aca="false">G20+I20</f>
        <v>1687</v>
      </c>
      <c r="K20" s="57" t="str">
        <f aca="false">IF(G20&lt;0,"STOCKOUT",IF(TRIM(IF(H20&gt;0,"PO released ","")&amp;IF(D20&gt;0,"Delivery ","")&amp;IF(G20&lt;$B$7,"⚠ LOW &lt;1 wk",""))="","OK",TRIM(IF(H20&gt;0,"PO released ","")&amp;IF(D20&gt;0,"Delivery ","")&amp;IF(G20&lt;$B$7,"⚠ LOW &lt;1 wk",""))))</f>
        <v>OK</v>
      </c>
      <c r="L20" s="112" t="str">
        <f aca="false">IF(SUMPRODUCT(('PO Schedule'!$D$14:$D$22&lt;&gt;"")*('PO Schedule'!$D$14:$D$22&lt;=B20+6)*('PO Schedule'!$E$14:$E$22&gt;=B20))&gt;0,"▶ PO-"&amp;(SUMPRODUCT(('PO Schedule'!$D$14:$D$22&lt;&gt;"")*('PO Schedule'!$D$14:$D$22&lt;=B20+6)*('PO Schedule'!$E$14:$E$22&gt;=B20)*('PO Schedule'!$A$14:$A$22+1))-1)&amp;" cut at Trotter","")</f>
        <v>▶ PO-1 cut at Trotter</v>
      </c>
    </row>
    <row r="21" customFormat="false" ht="15" hidden="false" customHeight="true" outlineLevel="0" collapsed="false">
      <c r="A21" s="56" t="n">
        <v>8</v>
      </c>
      <c r="B21" s="95" t="n">
        <f aca="false">$B$5+(A21-1)*7</f>
        <v>46342</v>
      </c>
      <c r="C21" s="52" t="n">
        <f aca="false">G20</f>
        <v>387</v>
      </c>
      <c r="D21" s="52" t="n">
        <f aca="false">IF(A21&gt;$B$10, INDEX($H$14:$H$39, A21-$B$10), 0)+IF(A21=Inputs!$B$58,Inputs!$B$56,0)</f>
        <v>1300</v>
      </c>
      <c r="E21" s="52" t="n">
        <f aca="false">C21+D21</f>
        <v>1687</v>
      </c>
      <c r="F21" s="52" t="n">
        <f aca="false">$B$7</f>
        <v>250</v>
      </c>
      <c r="G21" s="52" t="n">
        <f aca="false">E21-F21</f>
        <v>1437</v>
      </c>
      <c r="H21" s="52" t="n">
        <f aca="false">IF(G21+(I20-D21)&lt;$B$8, $B$9, 0)</f>
        <v>0</v>
      </c>
      <c r="I21" s="52" t="n">
        <f aca="false">I20-D21+H21</f>
        <v>0</v>
      </c>
      <c r="J21" s="52" t="n">
        <f aca="false">G21+I21</f>
        <v>1437</v>
      </c>
      <c r="K21" s="57" t="str">
        <f aca="false">IF(G21&lt;0,"STOCKOUT",IF(TRIM(IF(H21&gt;0,"PO released ","")&amp;IF(D21&gt;0,"Delivery ","")&amp;IF(G21&lt;$B$7,"⚠ LOW &lt;1 wk",""))="","OK",TRIM(IF(H21&gt;0,"PO released ","")&amp;IF(D21&gt;0,"Delivery ","")&amp;IF(G21&lt;$B$7,"⚠ LOW &lt;1 wk",""))))</f>
        <v>Delivery</v>
      </c>
      <c r="L21" s="112" t="str">
        <f aca="false">IF(SUMPRODUCT(('PO Schedule'!$D$14:$D$22&lt;&gt;"")*('PO Schedule'!$D$14:$D$22&lt;=B21+6)*('PO Schedule'!$E$14:$E$22&gt;=B21))&gt;0,"▶ PO-"&amp;(SUMPRODUCT(('PO Schedule'!$D$14:$D$22&lt;&gt;"")*('PO Schedule'!$D$14:$D$22&lt;=B21+6)*('PO Schedule'!$E$14:$E$22&gt;=B21)*('PO Schedule'!$A$14:$A$22+1))-1)&amp;" cut at Trotter","")</f>
        <v/>
      </c>
    </row>
    <row r="22" customFormat="false" ht="15" hidden="false" customHeight="true" outlineLevel="0" collapsed="false">
      <c r="A22" s="56" t="n">
        <v>9</v>
      </c>
      <c r="B22" s="95" t="n">
        <f aca="false">$B$5+(A22-1)*7</f>
        <v>46349</v>
      </c>
      <c r="C22" s="52" t="n">
        <f aca="false">G21</f>
        <v>1437</v>
      </c>
      <c r="D22" s="52" t="n">
        <f aca="false">IF(A22&gt;$B$10, INDEX($H$14:$H$39, A22-$B$10), 0)+IF(A22=Inputs!$B$58,Inputs!$B$56,0)</f>
        <v>0</v>
      </c>
      <c r="E22" s="52" t="n">
        <f aca="false">C22+D22</f>
        <v>1437</v>
      </c>
      <c r="F22" s="52" t="n">
        <f aca="false">$B$7</f>
        <v>250</v>
      </c>
      <c r="G22" s="52" t="n">
        <f aca="false">E22-F22</f>
        <v>1187</v>
      </c>
      <c r="H22" s="52" t="n">
        <f aca="false">IF(G22+(I21-D22)&lt;$B$8, $B$9, 0)</f>
        <v>0</v>
      </c>
      <c r="I22" s="52" t="n">
        <f aca="false">I21-D22+H22</f>
        <v>0</v>
      </c>
      <c r="J22" s="52" t="n">
        <f aca="false">G22+I22</f>
        <v>1187</v>
      </c>
      <c r="K22" s="57" t="str">
        <f aca="false">IF(G22&lt;0,"STOCKOUT",IF(TRIM(IF(H22&gt;0,"PO released ","")&amp;IF(D22&gt;0,"Delivery ","")&amp;IF(G22&lt;$B$7,"⚠ LOW &lt;1 wk",""))="","OK",TRIM(IF(H22&gt;0,"PO released ","")&amp;IF(D22&gt;0,"Delivery ","")&amp;IF(G22&lt;$B$7,"⚠ LOW &lt;1 wk",""))))</f>
        <v>OK</v>
      </c>
      <c r="L22" s="112" t="str">
        <f aca="false">IF(SUMPRODUCT(('PO Schedule'!$D$14:$D$22&lt;&gt;"")*('PO Schedule'!$D$14:$D$22&lt;=B22+6)*('PO Schedule'!$E$14:$E$22&gt;=B22))&gt;0,"▶ PO-"&amp;(SUMPRODUCT(('PO Schedule'!$D$14:$D$22&lt;&gt;"")*('PO Schedule'!$D$14:$D$22&lt;=B22+6)*('PO Schedule'!$E$14:$E$22&gt;=B22)*('PO Schedule'!$A$14:$A$22+1))-1)&amp;" cut at Trotter","")</f>
        <v/>
      </c>
    </row>
    <row r="23" customFormat="false" ht="15" hidden="false" customHeight="true" outlineLevel="0" collapsed="false">
      <c r="A23" s="56" t="n">
        <v>10</v>
      </c>
      <c r="B23" s="95" t="n">
        <f aca="false">$B$5+(A23-1)*7</f>
        <v>46356</v>
      </c>
      <c r="C23" s="52" t="n">
        <f aca="false">G22</f>
        <v>1187</v>
      </c>
      <c r="D23" s="52" t="n">
        <f aca="false">IF(A23&gt;$B$10, INDEX($H$14:$H$39, A23-$B$10), 0)+IF(A23=Inputs!$B$58,Inputs!$B$56,0)</f>
        <v>0</v>
      </c>
      <c r="E23" s="52" t="n">
        <f aca="false">C23+D23</f>
        <v>1187</v>
      </c>
      <c r="F23" s="52" t="n">
        <f aca="false">$B$7</f>
        <v>250</v>
      </c>
      <c r="G23" s="52" t="n">
        <f aca="false">E23-F23</f>
        <v>937</v>
      </c>
      <c r="H23" s="52" t="n">
        <f aca="false">IF(G23+(I22-D23)&lt;$B$8, $B$9, 0)</f>
        <v>1300</v>
      </c>
      <c r="I23" s="52" t="n">
        <f aca="false">I22-D23+H23</f>
        <v>1300</v>
      </c>
      <c r="J23" s="52" t="n">
        <f aca="false">G23+I23</f>
        <v>2237</v>
      </c>
      <c r="K23" s="57" t="str">
        <f aca="false">IF(G23&lt;0,"STOCKOUT",IF(TRIM(IF(H23&gt;0,"PO released ","")&amp;IF(D23&gt;0,"Delivery ","")&amp;IF(G23&lt;$B$7,"⚠ LOW &lt;1 wk",""))="","OK",TRIM(IF(H23&gt;0,"PO released ","")&amp;IF(D23&gt;0,"Delivery ","")&amp;IF(G23&lt;$B$7,"⚠ LOW &lt;1 wk",""))))</f>
        <v>PO released</v>
      </c>
      <c r="L23" s="112" t="str">
        <f aca="false">IF(SUMPRODUCT(('PO Schedule'!$D$14:$D$22&lt;&gt;"")*('PO Schedule'!$D$14:$D$22&lt;=B23+6)*('PO Schedule'!$E$14:$E$22&gt;=B23))&gt;0,"▶ PO-"&amp;(SUMPRODUCT(('PO Schedule'!$D$14:$D$22&lt;&gt;"")*('PO Schedule'!$D$14:$D$22&lt;=B23+6)*('PO Schedule'!$E$14:$E$22&gt;=B23)*('PO Schedule'!$A$14:$A$22+1))-1)&amp;" cut at Trotter","")</f>
        <v/>
      </c>
    </row>
    <row r="24" customFormat="false" ht="15" hidden="false" customHeight="true" outlineLevel="0" collapsed="false">
      <c r="A24" s="56" t="n">
        <v>11</v>
      </c>
      <c r="B24" s="95" t="n">
        <f aca="false">$B$5+(A24-1)*7</f>
        <v>46363</v>
      </c>
      <c r="C24" s="52" t="n">
        <f aca="false">G23</f>
        <v>937</v>
      </c>
      <c r="D24" s="52" t="n">
        <f aca="false">IF(A24&gt;$B$10, INDEX($H$14:$H$39, A24-$B$10), 0)+IF(A24=Inputs!$B$58,Inputs!$B$56,0)</f>
        <v>0</v>
      </c>
      <c r="E24" s="52" t="n">
        <f aca="false">C24+D24</f>
        <v>937</v>
      </c>
      <c r="F24" s="52" t="n">
        <f aca="false">$B$7</f>
        <v>250</v>
      </c>
      <c r="G24" s="52" t="n">
        <f aca="false">E24-F24</f>
        <v>687</v>
      </c>
      <c r="H24" s="52" t="n">
        <f aca="false">IF(G24+(I23-D24)&lt;$B$8, $B$9, 0)</f>
        <v>0</v>
      </c>
      <c r="I24" s="52" t="n">
        <f aca="false">I23-D24+H24</f>
        <v>1300</v>
      </c>
      <c r="J24" s="52" t="n">
        <f aca="false">G24+I24</f>
        <v>1987</v>
      </c>
      <c r="K24" s="57" t="str">
        <f aca="false">IF(G24&lt;0,"STOCKOUT",IF(TRIM(IF(H24&gt;0,"PO released ","")&amp;IF(D24&gt;0,"Delivery ","")&amp;IF(G24&lt;$B$7,"⚠ LOW &lt;1 wk",""))="","OK",TRIM(IF(H24&gt;0,"PO released ","")&amp;IF(D24&gt;0,"Delivery ","")&amp;IF(G24&lt;$B$7,"⚠ LOW &lt;1 wk",""))))</f>
        <v>OK</v>
      </c>
      <c r="L24" s="112" t="str">
        <f aca="false">IF(SUMPRODUCT(('PO Schedule'!$D$14:$D$22&lt;&gt;"")*('PO Schedule'!$D$14:$D$22&lt;=B24+6)*('PO Schedule'!$E$14:$E$22&gt;=B24))&gt;0,"▶ PO-"&amp;(SUMPRODUCT(('PO Schedule'!$D$14:$D$22&lt;&gt;"")*('PO Schedule'!$D$14:$D$22&lt;=B24+6)*('PO Schedule'!$E$14:$E$22&gt;=B24)*('PO Schedule'!$A$14:$A$22+1))-1)&amp;" cut at Trotter","")</f>
        <v/>
      </c>
    </row>
    <row r="25" customFormat="false" ht="15" hidden="false" customHeight="true" outlineLevel="0" collapsed="false">
      <c r="A25" s="56" t="n">
        <v>12</v>
      </c>
      <c r="B25" s="95" t="n">
        <f aca="false">$B$5+(A25-1)*7</f>
        <v>46370</v>
      </c>
      <c r="C25" s="52" t="n">
        <f aca="false">G24</f>
        <v>687</v>
      </c>
      <c r="D25" s="52" t="n">
        <f aca="false">IF(A25&gt;$B$10, INDEX($H$14:$H$39, A25-$B$10), 0)+IF(A25=Inputs!$B$58,Inputs!$B$56,0)</f>
        <v>0</v>
      </c>
      <c r="E25" s="52" t="n">
        <f aca="false">C25+D25</f>
        <v>687</v>
      </c>
      <c r="F25" s="52" t="n">
        <f aca="false">$B$7</f>
        <v>250</v>
      </c>
      <c r="G25" s="52" t="n">
        <f aca="false">E25-F25</f>
        <v>437</v>
      </c>
      <c r="H25" s="52" t="n">
        <f aca="false">IF(G25+(I24-D25)&lt;$B$8, $B$9, 0)</f>
        <v>0</v>
      </c>
      <c r="I25" s="52" t="n">
        <f aca="false">I24-D25+H25</f>
        <v>1300</v>
      </c>
      <c r="J25" s="52" t="n">
        <f aca="false">G25+I25</f>
        <v>1737</v>
      </c>
      <c r="K25" s="57" t="str">
        <f aca="false">IF(G25&lt;0,"STOCKOUT",IF(TRIM(IF(H25&gt;0,"PO released ","")&amp;IF(D25&gt;0,"Delivery ","")&amp;IF(G25&lt;$B$7,"⚠ LOW &lt;1 wk",""))="","OK",TRIM(IF(H25&gt;0,"PO released ","")&amp;IF(D25&gt;0,"Delivery ","")&amp;IF(G25&lt;$B$7,"⚠ LOW &lt;1 wk",""))))</f>
        <v>OK</v>
      </c>
      <c r="L25" s="112" t="str">
        <f aca="false">IF(SUMPRODUCT(('PO Schedule'!$D$14:$D$22&lt;&gt;"")*('PO Schedule'!$D$14:$D$22&lt;=B25+6)*('PO Schedule'!$E$14:$E$22&gt;=B25))&gt;0,"▶ PO-"&amp;(SUMPRODUCT(('PO Schedule'!$D$14:$D$22&lt;&gt;"")*('PO Schedule'!$D$14:$D$22&lt;=B25+6)*('PO Schedule'!$E$14:$E$22&gt;=B25)*('PO Schedule'!$A$14:$A$22+1))-1)&amp;" cut at Trotter","")</f>
        <v>▶ PO-2 cut at Trotter</v>
      </c>
    </row>
    <row r="26" customFormat="false" ht="15" hidden="false" customHeight="true" outlineLevel="0" collapsed="false">
      <c r="A26" s="56" t="n">
        <v>13</v>
      </c>
      <c r="B26" s="95" t="n">
        <f aca="false">$B$5+(A26-1)*7</f>
        <v>46377</v>
      </c>
      <c r="C26" s="52" t="n">
        <f aca="false">G25</f>
        <v>437</v>
      </c>
      <c r="D26" s="52" t="n">
        <f aca="false">IF(A26&gt;$B$10, INDEX($H$14:$H$39, A26-$B$10), 0)+IF(A26=Inputs!$B$58,Inputs!$B$56,0)</f>
        <v>1300</v>
      </c>
      <c r="E26" s="52" t="n">
        <f aca="false">C26+D26</f>
        <v>1737</v>
      </c>
      <c r="F26" s="52" t="n">
        <f aca="false">$B$7</f>
        <v>250</v>
      </c>
      <c r="G26" s="52" t="n">
        <f aca="false">E26-F26</f>
        <v>1487</v>
      </c>
      <c r="H26" s="52" t="n">
        <f aca="false">IF(G26+(I25-D26)&lt;$B$8, $B$9, 0)</f>
        <v>0</v>
      </c>
      <c r="I26" s="52" t="n">
        <f aca="false">I25-D26+H26</f>
        <v>0</v>
      </c>
      <c r="J26" s="52" t="n">
        <f aca="false">G26+I26</f>
        <v>1487</v>
      </c>
      <c r="K26" s="57" t="str">
        <f aca="false">IF(G26&lt;0,"STOCKOUT",IF(TRIM(IF(H26&gt;0,"PO released ","")&amp;IF(D26&gt;0,"Delivery ","")&amp;IF(G26&lt;$B$7,"⚠ LOW &lt;1 wk",""))="","OK",TRIM(IF(H26&gt;0,"PO released ","")&amp;IF(D26&gt;0,"Delivery ","")&amp;IF(G26&lt;$B$7,"⚠ LOW &lt;1 wk",""))))</f>
        <v>Delivery</v>
      </c>
      <c r="L26" s="112" t="str">
        <f aca="false">IF(SUMPRODUCT(('PO Schedule'!$D$14:$D$22&lt;&gt;"")*('PO Schedule'!$D$14:$D$22&lt;=B26+6)*('PO Schedule'!$E$14:$E$22&gt;=B26))&gt;0,"▶ PO-"&amp;(SUMPRODUCT(('PO Schedule'!$D$14:$D$22&lt;&gt;"")*('PO Schedule'!$D$14:$D$22&lt;=B26+6)*('PO Schedule'!$E$14:$E$22&gt;=B26)*('PO Schedule'!$A$14:$A$22+1))-1)&amp;" cut at Trotter","")</f>
        <v/>
      </c>
    </row>
    <row r="27" customFormat="false" ht="15" hidden="false" customHeight="true" outlineLevel="0" collapsed="false">
      <c r="A27" s="56" t="n">
        <v>14</v>
      </c>
      <c r="B27" s="95" t="n">
        <f aca="false">$B$5+(A27-1)*7</f>
        <v>46384</v>
      </c>
      <c r="C27" s="52" t="n">
        <f aca="false">G26</f>
        <v>1487</v>
      </c>
      <c r="D27" s="52" t="n">
        <f aca="false">IF(A27&gt;$B$10, INDEX($H$14:$H$39, A27-$B$10), 0)+IF(A27=Inputs!$B$58,Inputs!$B$56,0)</f>
        <v>0</v>
      </c>
      <c r="E27" s="52" t="n">
        <f aca="false">C27+D27</f>
        <v>1487</v>
      </c>
      <c r="F27" s="52" t="n">
        <f aca="false">$B$7</f>
        <v>250</v>
      </c>
      <c r="G27" s="52" t="n">
        <f aca="false">E27-F27</f>
        <v>1237</v>
      </c>
      <c r="H27" s="52" t="n">
        <f aca="false">IF(G27+(I26-D27)&lt;$B$8, $B$9, 0)</f>
        <v>0</v>
      </c>
      <c r="I27" s="52" t="n">
        <f aca="false">I26-D27+H27</f>
        <v>0</v>
      </c>
      <c r="J27" s="52" t="n">
        <f aca="false">G27+I27</f>
        <v>1237</v>
      </c>
      <c r="K27" s="57" t="str">
        <f aca="false">IF(G27&lt;0,"STOCKOUT",IF(TRIM(IF(H27&gt;0,"PO released ","")&amp;IF(D27&gt;0,"Delivery ","")&amp;IF(G27&lt;$B$7,"⚠ LOW &lt;1 wk",""))="","OK",TRIM(IF(H27&gt;0,"PO released ","")&amp;IF(D27&gt;0,"Delivery ","")&amp;IF(G27&lt;$B$7,"⚠ LOW &lt;1 wk",""))))</f>
        <v>OK</v>
      </c>
      <c r="L27" s="112" t="str">
        <f aca="false">IF(SUMPRODUCT(('PO Schedule'!$D$14:$D$22&lt;&gt;"")*('PO Schedule'!$D$14:$D$22&lt;=B27+6)*('PO Schedule'!$E$14:$E$22&gt;=B27))&gt;0,"▶ PO-"&amp;(SUMPRODUCT(('PO Schedule'!$D$14:$D$22&lt;&gt;"")*('PO Schedule'!$D$14:$D$22&lt;=B27+6)*('PO Schedule'!$E$14:$E$22&gt;=B27)*('PO Schedule'!$A$14:$A$22+1))-1)&amp;" cut at Trotter","")</f>
        <v/>
      </c>
    </row>
    <row r="28" customFormat="false" ht="15" hidden="false" customHeight="true" outlineLevel="0" collapsed="false">
      <c r="A28" s="56" t="n">
        <v>15</v>
      </c>
      <c r="B28" s="95" t="n">
        <f aca="false">$B$5+(A28-1)*7</f>
        <v>46391</v>
      </c>
      <c r="C28" s="52" t="n">
        <f aca="false">G27</f>
        <v>1237</v>
      </c>
      <c r="D28" s="52" t="n">
        <f aca="false">IF(A28&gt;$B$10, INDEX($H$14:$H$39, A28-$B$10), 0)+IF(A28=Inputs!$B$58,Inputs!$B$56,0)</f>
        <v>0</v>
      </c>
      <c r="E28" s="52" t="n">
        <f aca="false">C28+D28</f>
        <v>1237</v>
      </c>
      <c r="F28" s="52" t="n">
        <f aca="false">$B$7</f>
        <v>250</v>
      </c>
      <c r="G28" s="52" t="n">
        <f aca="false">E28-F28</f>
        <v>987</v>
      </c>
      <c r="H28" s="52" t="n">
        <f aca="false">IF(G28+(I27-D28)&lt;$B$8, $B$9, 0)</f>
        <v>1300</v>
      </c>
      <c r="I28" s="52" t="n">
        <f aca="false">I27-D28+H28</f>
        <v>1300</v>
      </c>
      <c r="J28" s="52" t="n">
        <f aca="false">G28+I28</f>
        <v>2287</v>
      </c>
      <c r="K28" s="57" t="str">
        <f aca="false">IF(G28&lt;0,"STOCKOUT",IF(TRIM(IF(H28&gt;0,"PO released ","")&amp;IF(D28&gt;0,"Delivery ","")&amp;IF(G28&lt;$B$7,"⚠ LOW &lt;1 wk",""))="","OK",TRIM(IF(H28&gt;0,"PO released ","")&amp;IF(D28&gt;0,"Delivery ","")&amp;IF(G28&lt;$B$7,"⚠ LOW &lt;1 wk",""))))</f>
        <v>PO released</v>
      </c>
      <c r="L28" s="112" t="str">
        <f aca="false">IF(SUMPRODUCT(('PO Schedule'!$D$14:$D$22&lt;&gt;"")*('PO Schedule'!$D$14:$D$22&lt;=B28+6)*('PO Schedule'!$E$14:$E$22&gt;=B28))&gt;0,"▶ PO-"&amp;(SUMPRODUCT(('PO Schedule'!$D$14:$D$22&lt;&gt;"")*('PO Schedule'!$D$14:$D$22&lt;=B28+6)*('PO Schedule'!$E$14:$E$22&gt;=B28)*('PO Schedule'!$A$14:$A$22+1))-1)&amp;" cut at Trotter","")</f>
        <v/>
      </c>
    </row>
    <row r="29" customFormat="false" ht="15" hidden="false" customHeight="true" outlineLevel="0" collapsed="false">
      <c r="A29" s="56" t="n">
        <v>16</v>
      </c>
      <c r="B29" s="95" t="n">
        <f aca="false">$B$5+(A29-1)*7</f>
        <v>46398</v>
      </c>
      <c r="C29" s="52" t="n">
        <f aca="false">G28</f>
        <v>987</v>
      </c>
      <c r="D29" s="52" t="n">
        <f aca="false">IF(A29&gt;$B$10, INDEX($H$14:$H$39, A29-$B$10), 0)+IF(A29=Inputs!$B$58,Inputs!$B$56,0)</f>
        <v>0</v>
      </c>
      <c r="E29" s="52" t="n">
        <f aca="false">C29+D29</f>
        <v>987</v>
      </c>
      <c r="F29" s="52" t="n">
        <f aca="false">$B$7</f>
        <v>250</v>
      </c>
      <c r="G29" s="52" t="n">
        <f aca="false">E29-F29</f>
        <v>737</v>
      </c>
      <c r="H29" s="52" t="n">
        <f aca="false">IF(G29+(I28-D29)&lt;$B$8, $B$9, 0)</f>
        <v>0</v>
      </c>
      <c r="I29" s="52" t="n">
        <f aca="false">I28-D29+H29</f>
        <v>1300</v>
      </c>
      <c r="J29" s="52" t="n">
        <f aca="false">G29+I29</f>
        <v>2037</v>
      </c>
      <c r="K29" s="57" t="str">
        <f aca="false">IF(G29&lt;0,"STOCKOUT",IF(TRIM(IF(H29&gt;0,"PO released ","")&amp;IF(D29&gt;0,"Delivery ","")&amp;IF(G29&lt;$B$7,"⚠ LOW &lt;1 wk",""))="","OK",TRIM(IF(H29&gt;0,"PO released ","")&amp;IF(D29&gt;0,"Delivery ","")&amp;IF(G29&lt;$B$7,"⚠ LOW &lt;1 wk",""))))</f>
        <v>OK</v>
      </c>
      <c r="L29" s="112" t="str">
        <f aca="false">IF(SUMPRODUCT(('PO Schedule'!$D$14:$D$22&lt;&gt;"")*('PO Schedule'!$D$14:$D$22&lt;=B29+6)*('PO Schedule'!$E$14:$E$22&gt;=B29))&gt;0,"▶ PO-"&amp;(SUMPRODUCT(('PO Schedule'!$D$14:$D$22&lt;&gt;"")*('PO Schedule'!$D$14:$D$22&lt;=B29+6)*('PO Schedule'!$E$14:$E$22&gt;=B29)*('PO Schedule'!$A$14:$A$22+1))-1)&amp;" cut at Trotter","")</f>
        <v/>
      </c>
    </row>
    <row r="30" customFormat="false" ht="15" hidden="false" customHeight="true" outlineLevel="0" collapsed="false">
      <c r="A30" s="56" t="n">
        <v>17</v>
      </c>
      <c r="B30" s="95" t="n">
        <f aca="false">$B$5+(A30-1)*7</f>
        <v>46405</v>
      </c>
      <c r="C30" s="52" t="n">
        <f aca="false">G29</f>
        <v>737</v>
      </c>
      <c r="D30" s="52" t="n">
        <f aca="false">IF(A30&gt;$B$10, INDEX($H$14:$H$39, A30-$B$10), 0)+IF(A30=Inputs!$B$58,Inputs!$B$56,0)</f>
        <v>0</v>
      </c>
      <c r="E30" s="52" t="n">
        <f aca="false">C30+D30</f>
        <v>737</v>
      </c>
      <c r="F30" s="52" t="n">
        <f aca="false">$B$7</f>
        <v>250</v>
      </c>
      <c r="G30" s="52" t="n">
        <f aca="false">E30-F30</f>
        <v>487</v>
      </c>
      <c r="H30" s="52" t="n">
        <f aca="false">IF(G30+(I29-D30)&lt;$B$8, $B$9, 0)</f>
        <v>0</v>
      </c>
      <c r="I30" s="52" t="n">
        <f aca="false">I29-D30+H30</f>
        <v>1300</v>
      </c>
      <c r="J30" s="52" t="n">
        <f aca="false">G30+I30</f>
        <v>1787</v>
      </c>
      <c r="K30" s="57" t="str">
        <f aca="false">IF(G30&lt;0,"STOCKOUT",IF(TRIM(IF(H30&gt;0,"PO released ","")&amp;IF(D30&gt;0,"Delivery ","")&amp;IF(G30&lt;$B$7,"⚠ LOW &lt;1 wk",""))="","OK",TRIM(IF(H30&gt;0,"PO released ","")&amp;IF(D30&gt;0,"Delivery ","")&amp;IF(G30&lt;$B$7,"⚠ LOW &lt;1 wk",""))))</f>
        <v>OK</v>
      </c>
      <c r="L30" s="112" t="str">
        <f aca="false">IF(SUMPRODUCT(('PO Schedule'!$D$14:$D$22&lt;&gt;"")*('PO Schedule'!$D$14:$D$22&lt;=B30+6)*('PO Schedule'!$E$14:$E$22&gt;=B30))&gt;0,"▶ PO-"&amp;(SUMPRODUCT(('PO Schedule'!$D$14:$D$22&lt;&gt;"")*('PO Schedule'!$D$14:$D$22&lt;=B30+6)*('PO Schedule'!$E$14:$E$22&gt;=B30)*('PO Schedule'!$A$14:$A$22+1))-1)&amp;" cut at Trotter","")</f>
        <v>▶ PO-3 cut at Trotter</v>
      </c>
    </row>
    <row r="31" customFormat="false" ht="15" hidden="false" customHeight="true" outlineLevel="0" collapsed="false">
      <c r="A31" s="56" t="n">
        <v>18</v>
      </c>
      <c r="B31" s="95" t="n">
        <f aca="false">$B$5+(A31-1)*7</f>
        <v>46412</v>
      </c>
      <c r="C31" s="52" t="n">
        <f aca="false">G30</f>
        <v>487</v>
      </c>
      <c r="D31" s="52" t="n">
        <f aca="false">IF(A31&gt;$B$10, INDEX($H$14:$H$39, A31-$B$10), 0)+IF(A31=Inputs!$B$58,Inputs!$B$56,0)</f>
        <v>1300</v>
      </c>
      <c r="E31" s="52" t="n">
        <f aca="false">C31+D31</f>
        <v>1787</v>
      </c>
      <c r="F31" s="52" t="n">
        <f aca="false">$B$7</f>
        <v>250</v>
      </c>
      <c r="G31" s="52" t="n">
        <f aca="false">E31-F31</f>
        <v>1537</v>
      </c>
      <c r="H31" s="52" t="n">
        <f aca="false">IF(G31+(I30-D31)&lt;$B$8, $B$9, 0)</f>
        <v>0</v>
      </c>
      <c r="I31" s="52" t="n">
        <f aca="false">I30-D31+H31</f>
        <v>0</v>
      </c>
      <c r="J31" s="52" t="n">
        <f aca="false">G31+I31</f>
        <v>1537</v>
      </c>
      <c r="K31" s="57" t="str">
        <f aca="false">IF(G31&lt;0,"STOCKOUT",IF(TRIM(IF(H31&gt;0,"PO released ","")&amp;IF(D31&gt;0,"Delivery ","")&amp;IF(G31&lt;$B$7,"⚠ LOW &lt;1 wk",""))="","OK",TRIM(IF(H31&gt;0,"PO released ","")&amp;IF(D31&gt;0,"Delivery ","")&amp;IF(G31&lt;$B$7,"⚠ LOW &lt;1 wk",""))))</f>
        <v>Delivery</v>
      </c>
      <c r="L31" s="112" t="str">
        <f aca="false">IF(SUMPRODUCT(('PO Schedule'!$D$14:$D$22&lt;&gt;"")*('PO Schedule'!$D$14:$D$22&lt;=B31+6)*('PO Schedule'!$E$14:$E$22&gt;=B31))&gt;0,"▶ PO-"&amp;(SUMPRODUCT(('PO Schedule'!$D$14:$D$22&lt;&gt;"")*('PO Schedule'!$D$14:$D$22&lt;=B31+6)*('PO Schedule'!$E$14:$E$22&gt;=B31)*('PO Schedule'!$A$14:$A$22+1))-1)&amp;" cut at Trotter","")</f>
        <v/>
      </c>
    </row>
    <row r="32" customFormat="false" ht="15" hidden="false" customHeight="true" outlineLevel="0" collapsed="false">
      <c r="A32" s="56" t="n">
        <v>19</v>
      </c>
      <c r="B32" s="95" t="n">
        <f aca="false">$B$5+(A32-1)*7</f>
        <v>46419</v>
      </c>
      <c r="C32" s="52" t="n">
        <f aca="false">G31</f>
        <v>1537</v>
      </c>
      <c r="D32" s="52" t="n">
        <f aca="false">IF(A32&gt;$B$10, INDEX($H$14:$H$39, A32-$B$10), 0)+IF(A32=Inputs!$B$58,Inputs!$B$56,0)</f>
        <v>0</v>
      </c>
      <c r="E32" s="52" t="n">
        <f aca="false">C32+D32</f>
        <v>1537</v>
      </c>
      <c r="F32" s="52" t="n">
        <f aca="false">$B$7</f>
        <v>250</v>
      </c>
      <c r="G32" s="52" t="n">
        <f aca="false">E32-F32</f>
        <v>1287</v>
      </c>
      <c r="H32" s="52" t="n">
        <f aca="false">IF(G32+(I31-D32)&lt;$B$8, $B$9, 0)</f>
        <v>0</v>
      </c>
      <c r="I32" s="52" t="n">
        <f aca="false">I31-D32+H32</f>
        <v>0</v>
      </c>
      <c r="J32" s="52" t="n">
        <f aca="false">G32+I32</f>
        <v>1287</v>
      </c>
      <c r="K32" s="57" t="str">
        <f aca="false">IF(G32&lt;0,"STOCKOUT",IF(TRIM(IF(H32&gt;0,"PO released ","")&amp;IF(D32&gt;0,"Delivery ","")&amp;IF(G32&lt;$B$7,"⚠ LOW &lt;1 wk",""))="","OK",TRIM(IF(H32&gt;0,"PO released ","")&amp;IF(D32&gt;0,"Delivery ","")&amp;IF(G32&lt;$B$7,"⚠ LOW &lt;1 wk",""))))</f>
        <v>OK</v>
      </c>
      <c r="L32" s="112" t="str">
        <f aca="false">IF(SUMPRODUCT(('PO Schedule'!$D$14:$D$22&lt;&gt;"")*('PO Schedule'!$D$14:$D$22&lt;=B32+6)*('PO Schedule'!$E$14:$E$22&gt;=B32))&gt;0,"▶ PO-"&amp;(SUMPRODUCT(('PO Schedule'!$D$14:$D$22&lt;&gt;"")*('PO Schedule'!$D$14:$D$22&lt;=B32+6)*('PO Schedule'!$E$14:$E$22&gt;=B32)*('PO Schedule'!$A$14:$A$22+1))-1)&amp;" cut at Trotter","")</f>
        <v/>
      </c>
    </row>
    <row r="33" customFormat="false" ht="15" hidden="false" customHeight="true" outlineLevel="0" collapsed="false">
      <c r="A33" s="56" t="n">
        <v>20</v>
      </c>
      <c r="B33" s="95" t="n">
        <f aca="false">$B$5+(A33-1)*7</f>
        <v>46426</v>
      </c>
      <c r="C33" s="52" t="n">
        <f aca="false">G32</f>
        <v>1287</v>
      </c>
      <c r="D33" s="52" t="n">
        <f aca="false">IF(A33&gt;$B$10, INDEX($H$14:$H$39, A33-$B$10), 0)+IF(A33=Inputs!$B$58,Inputs!$B$56,0)</f>
        <v>0</v>
      </c>
      <c r="E33" s="52" t="n">
        <f aca="false">C33+D33</f>
        <v>1287</v>
      </c>
      <c r="F33" s="52" t="n">
        <f aca="false">$B$7</f>
        <v>250</v>
      </c>
      <c r="G33" s="52" t="n">
        <f aca="false">E33-F33</f>
        <v>1037</v>
      </c>
      <c r="H33" s="52" t="n">
        <f aca="false">IF(G33+(I32-D33)&lt;$B$8, $B$9, 0)</f>
        <v>0</v>
      </c>
      <c r="I33" s="52" t="n">
        <f aca="false">I32-D33+H33</f>
        <v>0</v>
      </c>
      <c r="J33" s="52" t="n">
        <f aca="false">G33+I33</f>
        <v>1037</v>
      </c>
      <c r="K33" s="57" t="str">
        <f aca="false">IF(G33&lt;0,"STOCKOUT",IF(TRIM(IF(H33&gt;0,"PO released ","")&amp;IF(D33&gt;0,"Delivery ","")&amp;IF(G33&lt;$B$7,"⚠ LOW &lt;1 wk",""))="","OK",TRIM(IF(H33&gt;0,"PO released ","")&amp;IF(D33&gt;0,"Delivery ","")&amp;IF(G33&lt;$B$7,"⚠ LOW &lt;1 wk",""))))</f>
        <v>OK</v>
      </c>
      <c r="L33" s="112" t="str">
        <f aca="false">IF(SUMPRODUCT(('PO Schedule'!$D$14:$D$22&lt;&gt;"")*('PO Schedule'!$D$14:$D$22&lt;=B33+6)*('PO Schedule'!$E$14:$E$22&gt;=B33))&gt;0,"▶ PO-"&amp;(SUMPRODUCT(('PO Schedule'!$D$14:$D$22&lt;&gt;"")*('PO Schedule'!$D$14:$D$22&lt;=B33+6)*('PO Schedule'!$E$14:$E$22&gt;=B33)*('PO Schedule'!$A$14:$A$22+1))-1)&amp;" cut at Trotter","")</f>
        <v/>
      </c>
    </row>
    <row r="34" customFormat="false" ht="15" hidden="false" customHeight="true" outlineLevel="0" collapsed="false">
      <c r="A34" s="56" t="n">
        <v>21</v>
      </c>
      <c r="B34" s="95" t="n">
        <f aca="false">$B$5+(A34-1)*7</f>
        <v>46433</v>
      </c>
      <c r="C34" s="52" t="n">
        <f aca="false">G33</f>
        <v>1037</v>
      </c>
      <c r="D34" s="52" t="n">
        <f aca="false">IF(A34&gt;$B$10, INDEX($H$14:$H$39, A34-$B$10), 0)+IF(A34=Inputs!$B$58,Inputs!$B$56,0)</f>
        <v>0</v>
      </c>
      <c r="E34" s="52" t="n">
        <f aca="false">C34+D34</f>
        <v>1037</v>
      </c>
      <c r="F34" s="52" t="n">
        <f aca="false">$B$7</f>
        <v>250</v>
      </c>
      <c r="G34" s="52" t="n">
        <f aca="false">E34-F34</f>
        <v>787</v>
      </c>
      <c r="H34" s="52" t="n">
        <f aca="false">IF(G34+(I33-D34)&lt;$B$8, $B$9, 0)</f>
        <v>1300</v>
      </c>
      <c r="I34" s="52" t="n">
        <f aca="false">I33-D34+H34</f>
        <v>1300</v>
      </c>
      <c r="J34" s="52" t="n">
        <f aca="false">G34+I34</f>
        <v>2087</v>
      </c>
      <c r="K34" s="57" t="str">
        <f aca="false">IF(G34&lt;0,"STOCKOUT",IF(TRIM(IF(H34&gt;0,"PO released ","")&amp;IF(D34&gt;0,"Delivery ","")&amp;IF(G34&lt;$B$7,"⚠ LOW &lt;1 wk",""))="","OK",TRIM(IF(H34&gt;0,"PO released ","")&amp;IF(D34&gt;0,"Delivery ","")&amp;IF(G34&lt;$B$7,"⚠ LOW &lt;1 wk",""))))</f>
        <v>PO released</v>
      </c>
      <c r="L34" s="112" t="str">
        <f aca="false">IF(SUMPRODUCT(('PO Schedule'!$D$14:$D$22&lt;&gt;"")*('PO Schedule'!$D$14:$D$22&lt;=B34+6)*('PO Schedule'!$E$14:$E$22&gt;=B34))&gt;0,"▶ PO-"&amp;(SUMPRODUCT(('PO Schedule'!$D$14:$D$22&lt;&gt;"")*('PO Schedule'!$D$14:$D$22&lt;=B34+6)*('PO Schedule'!$E$14:$E$22&gt;=B34)*('PO Schedule'!$A$14:$A$22+1))-1)&amp;" cut at Trotter","")</f>
        <v/>
      </c>
    </row>
    <row r="35" customFormat="false" ht="15" hidden="false" customHeight="true" outlineLevel="0" collapsed="false">
      <c r="A35" s="56" t="n">
        <v>22</v>
      </c>
      <c r="B35" s="95" t="n">
        <f aca="false">$B$5+(A35-1)*7</f>
        <v>46440</v>
      </c>
      <c r="C35" s="52" t="n">
        <f aca="false">G34</f>
        <v>787</v>
      </c>
      <c r="D35" s="52" t="n">
        <f aca="false">IF(A35&gt;$B$10, INDEX($H$14:$H$39, A35-$B$10), 0)+IF(A35=Inputs!$B$58,Inputs!$B$56,0)</f>
        <v>0</v>
      </c>
      <c r="E35" s="52" t="n">
        <f aca="false">C35+D35</f>
        <v>787</v>
      </c>
      <c r="F35" s="52" t="n">
        <f aca="false">$B$7</f>
        <v>250</v>
      </c>
      <c r="G35" s="52" t="n">
        <f aca="false">E35-F35</f>
        <v>537</v>
      </c>
      <c r="H35" s="52" t="n">
        <f aca="false">IF(G35+(I34-D35)&lt;$B$8, $B$9, 0)</f>
        <v>0</v>
      </c>
      <c r="I35" s="52" t="n">
        <f aca="false">I34-D35+H35</f>
        <v>1300</v>
      </c>
      <c r="J35" s="52" t="n">
        <f aca="false">G35+I35</f>
        <v>1837</v>
      </c>
      <c r="K35" s="57" t="str">
        <f aca="false">IF(G35&lt;0,"STOCKOUT",IF(TRIM(IF(H35&gt;0,"PO released ","")&amp;IF(D35&gt;0,"Delivery ","")&amp;IF(G35&lt;$B$7,"⚠ LOW &lt;1 wk",""))="","OK",TRIM(IF(H35&gt;0,"PO released ","")&amp;IF(D35&gt;0,"Delivery ","")&amp;IF(G35&lt;$B$7,"⚠ LOW &lt;1 wk",""))))</f>
        <v>OK</v>
      </c>
      <c r="L35" s="112" t="str">
        <f aca="false">IF(SUMPRODUCT(('PO Schedule'!$D$14:$D$22&lt;&gt;"")*('PO Schedule'!$D$14:$D$22&lt;=B35+6)*('PO Schedule'!$E$14:$E$22&gt;=B35))&gt;0,"▶ PO-"&amp;(SUMPRODUCT(('PO Schedule'!$D$14:$D$22&lt;&gt;"")*('PO Schedule'!$D$14:$D$22&lt;=B35+6)*('PO Schedule'!$E$14:$E$22&gt;=B35)*('PO Schedule'!$A$14:$A$22+1))-1)&amp;" cut at Trotter","")</f>
        <v/>
      </c>
    </row>
    <row r="36" customFormat="false" ht="15" hidden="false" customHeight="true" outlineLevel="0" collapsed="false">
      <c r="A36" s="56" t="n">
        <v>23</v>
      </c>
      <c r="B36" s="95" t="n">
        <f aca="false">$B$5+(A36-1)*7</f>
        <v>46447</v>
      </c>
      <c r="C36" s="52" t="n">
        <f aca="false">G35</f>
        <v>537</v>
      </c>
      <c r="D36" s="52" t="n">
        <f aca="false">IF(A36&gt;$B$10, INDEX($H$14:$H$39, A36-$B$10), 0)+IF(A36=Inputs!$B$58,Inputs!$B$56,0)</f>
        <v>0</v>
      </c>
      <c r="E36" s="52" t="n">
        <f aca="false">C36+D36</f>
        <v>537</v>
      </c>
      <c r="F36" s="52" t="n">
        <f aca="false">$B$7</f>
        <v>250</v>
      </c>
      <c r="G36" s="52" t="n">
        <f aca="false">E36-F36</f>
        <v>287</v>
      </c>
      <c r="H36" s="52" t="n">
        <f aca="false">IF(G36+(I35-D36)&lt;$B$8, $B$9, 0)</f>
        <v>0</v>
      </c>
      <c r="I36" s="52" t="n">
        <f aca="false">I35-D36+H36</f>
        <v>1300</v>
      </c>
      <c r="J36" s="52" t="n">
        <f aca="false">G36+I36</f>
        <v>1587</v>
      </c>
      <c r="K36" s="57" t="str">
        <f aca="false">IF(G36&lt;0,"STOCKOUT",IF(TRIM(IF(H36&gt;0,"PO released ","")&amp;IF(D36&gt;0,"Delivery ","")&amp;IF(G36&lt;$B$7,"⚠ LOW &lt;1 wk",""))="","OK",TRIM(IF(H36&gt;0,"PO released ","")&amp;IF(D36&gt;0,"Delivery ","")&amp;IF(G36&lt;$B$7,"⚠ LOW &lt;1 wk",""))))</f>
        <v>OK</v>
      </c>
      <c r="L36" s="112" t="str">
        <f aca="false">IF(SUMPRODUCT(('PO Schedule'!$D$14:$D$22&lt;&gt;"")*('PO Schedule'!$D$14:$D$22&lt;=B36+6)*('PO Schedule'!$E$14:$E$22&gt;=B36))&gt;0,"▶ PO-"&amp;(SUMPRODUCT(('PO Schedule'!$D$14:$D$22&lt;&gt;"")*('PO Schedule'!$D$14:$D$22&lt;=B36+6)*('PO Schedule'!$E$14:$E$22&gt;=B36)*('PO Schedule'!$A$14:$A$22+1))-1)&amp;" cut at Trotter","")</f>
        <v>▶ PO-4 cut at Trotter</v>
      </c>
    </row>
    <row r="37" customFormat="false" ht="15" hidden="false" customHeight="true" outlineLevel="0" collapsed="false">
      <c r="A37" s="56" t="n">
        <v>24</v>
      </c>
      <c r="B37" s="95" t="n">
        <f aca="false">$B$5+(A37-1)*7</f>
        <v>46454</v>
      </c>
      <c r="C37" s="52" t="n">
        <f aca="false">G36</f>
        <v>287</v>
      </c>
      <c r="D37" s="52" t="n">
        <f aca="false">IF(A37&gt;$B$10, INDEX($H$14:$H$39, A37-$B$10), 0)+IF(A37=Inputs!$B$58,Inputs!$B$56,0)</f>
        <v>1300</v>
      </c>
      <c r="E37" s="52" t="n">
        <f aca="false">C37+D37</f>
        <v>1587</v>
      </c>
      <c r="F37" s="52" t="n">
        <f aca="false">$B$7</f>
        <v>250</v>
      </c>
      <c r="G37" s="52" t="n">
        <f aca="false">E37-F37</f>
        <v>1337</v>
      </c>
      <c r="H37" s="52" t="n">
        <f aca="false">IF(G37+(I36-D37)&lt;$B$8, $B$9, 0)</f>
        <v>0</v>
      </c>
      <c r="I37" s="52" t="n">
        <f aca="false">I36-D37+H37</f>
        <v>0</v>
      </c>
      <c r="J37" s="52" t="n">
        <f aca="false">G37+I37</f>
        <v>1337</v>
      </c>
      <c r="K37" s="57" t="str">
        <f aca="false">IF(G37&lt;0,"STOCKOUT",IF(TRIM(IF(H37&gt;0,"PO released ","")&amp;IF(D37&gt;0,"Delivery ","")&amp;IF(G37&lt;$B$7,"⚠ LOW &lt;1 wk",""))="","OK",TRIM(IF(H37&gt;0,"PO released ","")&amp;IF(D37&gt;0,"Delivery ","")&amp;IF(G37&lt;$B$7,"⚠ LOW &lt;1 wk",""))))</f>
        <v>Delivery</v>
      </c>
      <c r="L37" s="112" t="str">
        <f aca="false">IF(SUMPRODUCT(('PO Schedule'!$D$14:$D$22&lt;&gt;"")*('PO Schedule'!$D$14:$D$22&lt;=B37+6)*('PO Schedule'!$E$14:$E$22&gt;=B37))&gt;0,"▶ PO-"&amp;(SUMPRODUCT(('PO Schedule'!$D$14:$D$22&lt;&gt;"")*('PO Schedule'!$D$14:$D$22&lt;=B37+6)*('PO Schedule'!$E$14:$E$22&gt;=B37)*('PO Schedule'!$A$14:$A$22+1))-1)&amp;" cut at Trotter","")</f>
        <v/>
      </c>
    </row>
    <row r="38" customFormat="false" ht="15" hidden="false" customHeight="true" outlineLevel="0" collapsed="false">
      <c r="A38" s="56" t="n">
        <v>25</v>
      </c>
      <c r="B38" s="95" t="n">
        <f aca="false">$B$5+(A38-1)*7</f>
        <v>46461</v>
      </c>
      <c r="C38" s="52" t="n">
        <f aca="false">G37</f>
        <v>1337</v>
      </c>
      <c r="D38" s="52" t="n">
        <f aca="false">IF(A38&gt;$B$10, INDEX($H$14:$H$39, A38-$B$10), 0)+IF(A38=Inputs!$B$58,Inputs!$B$56,0)</f>
        <v>0</v>
      </c>
      <c r="E38" s="52" t="n">
        <f aca="false">C38+D38</f>
        <v>1337</v>
      </c>
      <c r="F38" s="52" t="n">
        <f aca="false">$B$7</f>
        <v>250</v>
      </c>
      <c r="G38" s="52" t="n">
        <f aca="false">E38-F38</f>
        <v>1087</v>
      </c>
      <c r="H38" s="52" t="n">
        <f aca="false">IF(G38+(I37-D38)&lt;$B$8, $B$9, 0)</f>
        <v>0</v>
      </c>
      <c r="I38" s="52" t="n">
        <f aca="false">I37-D38+H38</f>
        <v>0</v>
      </c>
      <c r="J38" s="52" t="n">
        <f aca="false">G38+I38</f>
        <v>1087</v>
      </c>
      <c r="K38" s="57" t="str">
        <f aca="false">IF(G38&lt;0,"STOCKOUT",IF(TRIM(IF(H38&gt;0,"PO released ","")&amp;IF(D38&gt;0,"Delivery ","")&amp;IF(G38&lt;$B$7,"⚠ LOW &lt;1 wk",""))="","OK",TRIM(IF(H38&gt;0,"PO released ","")&amp;IF(D38&gt;0,"Delivery ","")&amp;IF(G38&lt;$B$7,"⚠ LOW &lt;1 wk",""))))</f>
        <v>OK</v>
      </c>
      <c r="L38" s="112" t="str">
        <f aca="false">IF(SUMPRODUCT(('PO Schedule'!$D$14:$D$22&lt;&gt;"")*('PO Schedule'!$D$14:$D$22&lt;=B38+6)*('PO Schedule'!$E$14:$E$22&gt;=B38))&gt;0,"▶ PO-"&amp;(SUMPRODUCT(('PO Schedule'!$D$14:$D$22&lt;&gt;"")*('PO Schedule'!$D$14:$D$22&lt;=B38+6)*('PO Schedule'!$E$14:$E$22&gt;=B38)*('PO Schedule'!$A$14:$A$22+1))-1)&amp;" cut at Trotter","")</f>
        <v/>
      </c>
    </row>
    <row r="39" customFormat="false" ht="15" hidden="false" customHeight="true" outlineLevel="0" collapsed="false">
      <c r="A39" s="56" t="n">
        <v>26</v>
      </c>
      <c r="B39" s="95" t="n">
        <f aca="false">$B$5+(A39-1)*7</f>
        <v>46468</v>
      </c>
      <c r="C39" s="52" t="n">
        <f aca="false">G38</f>
        <v>1087</v>
      </c>
      <c r="D39" s="52" t="n">
        <f aca="false">IF(A39&gt;$B$10, INDEX($H$14:$H$39, A39-$B$10), 0)+IF(A39=Inputs!$B$58,Inputs!$B$56,0)</f>
        <v>0</v>
      </c>
      <c r="E39" s="52" t="n">
        <f aca="false">C39+D39</f>
        <v>1087</v>
      </c>
      <c r="F39" s="52" t="n">
        <f aca="false">$B$7</f>
        <v>250</v>
      </c>
      <c r="G39" s="52" t="n">
        <f aca="false">E39-F39</f>
        <v>837</v>
      </c>
      <c r="H39" s="52" t="n">
        <f aca="false">IF(G39+(I38-D39)&lt;$B$8, $B$9, 0)</f>
        <v>1300</v>
      </c>
      <c r="I39" s="52" t="n">
        <f aca="false">I38-D39+H39</f>
        <v>1300</v>
      </c>
      <c r="J39" s="52" t="n">
        <f aca="false">G39+I39</f>
        <v>2137</v>
      </c>
      <c r="K39" s="57" t="str">
        <f aca="false">IF(G39&lt;0,"STOCKOUT",IF(TRIM(IF(H39&gt;0,"PO released ","")&amp;IF(D39&gt;0,"Delivery ","")&amp;IF(G39&lt;$B$7,"⚠ LOW &lt;1 wk",""))="","OK",TRIM(IF(H39&gt;0,"PO released ","")&amp;IF(D39&gt;0,"Delivery ","")&amp;IF(G39&lt;$B$7,"⚠ LOW &lt;1 wk",""))))</f>
        <v>PO released</v>
      </c>
      <c r="L39" s="112" t="str">
        <f aca="false">IF(SUMPRODUCT(('PO Schedule'!$D$14:$D$22&lt;&gt;"")*('PO Schedule'!$D$14:$D$22&lt;=B39+6)*('PO Schedule'!$E$14:$E$22&gt;=B39))&gt;0,"▶ PO-"&amp;(SUMPRODUCT(('PO Schedule'!$D$14:$D$22&lt;&gt;"")*('PO Schedule'!$D$14:$D$22&lt;=B39+6)*('PO Schedule'!$E$14:$E$22&gt;=B39)*('PO Schedule'!$A$14:$A$22+1))-1)&amp;" cut at Trotter","")</f>
        <v/>
      </c>
    </row>
    <row r="41" customFormat="false" ht="15" hidden="false" customHeight="true" outlineLevel="0" collapsed="false">
      <c r="A41" s="34" t="s">
        <v>400</v>
      </c>
      <c r="B41" s="35"/>
      <c r="C41" s="35"/>
      <c r="D41" s="35"/>
      <c r="E41" s="35"/>
    </row>
    <row r="42" customFormat="false" ht="15" hidden="false" customHeight="true" outlineLevel="0" collapsed="false">
      <c r="A42" s="79" t="s">
        <v>401</v>
      </c>
      <c r="B42" s="81" t="n">
        <f aca="false">COUNTIF(H14:H39,"&gt;0")</f>
        <v>5</v>
      </c>
      <c r="D42" s="57" t="s">
        <v>402</v>
      </c>
    </row>
    <row r="43" customFormat="false" ht="15" hidden="false" customHeight="true" outlineLevel="0" collapsed="false">
      <c r="A43" s="36" t="s">
        <v>403</v>
      </c>
      <c r="B43" s="52" t="n">
        <f aca="false">SUM(H14:H39)</f>
        <v>6500</v>
      </c>
    </row>
    <row r="44" customFormat="false" ht="15" hidden="false" customHeight="true" outlineLevel="0" collapsed="false">
      <c r="A44" s="36" t="s">
        <v>404</v>
      </c>
      <c r="B44" s="52" t="n">
        <f aca="false">SUM(D14:D39)</f>
        <v>6500</v>
      </c>
    </row>
    <row r="45" customFormat="false" ht="15" hidden="false" customHeight="true" outlineLevel="0" collapsed="false">
      <c r="A45" s="36" t="s">
        <v>405</v>
      </c>
      <c r="B45" s="52" t="n">
        <f aca="false">SUM(F14:F39)</f>
        <v>6500</v>
      </c>
    </row>
    <row r="46" customFormat="false" ht="15" hidden="false" customHeight="true" outlineLevel="0" collapsed="false">
      <c r="A46" s="36" t="s">
        <v>5</v>
      </c>
      <c r="B46" s="52" t="n">
        <f aca="false">G39</f>
        <v>837</v>
      </c>
    </row>
    <row r="47" customFormat="false" ht="15" hidden="false" customHeight="true" outlineLevel="0" collapsed="false">
      <c r="A47" s="36" t="s">
        <v>406</v>
      </c>
      <c r="B47" s="52" t="n">
        <f aca="false">MIN(G14:G39)</f>
        <v>87</v>
      </c>
    </row>
    <row r="48" customFormat="false" ht="15" hidden="false" customHeight="true" outlineLevel="0" collapsed="false">
      <c r="A48" s="36" t="s">
        <v>407</v>
      </c>
      <c r="B48" s="56" t="n">
        <f aca="false">COUNTIF(K14:K39,"STOCKOUT")</f>
        <v>0</v>
      </c>
    </row>
    <row r="49" customFormat="false" ht="15" hidden="false" customHeight="true" outlineLevel="0" collapsed="false">
      <c r="A49" s="36" t="s">
        <v>408</v>
      </c>
      <c r="B49" s="46" t="n">
        <f aca="false">B43*Inputs!B20</f>
        <v>2665</v>
      </c>
    </row>
    <row r="51" customFormat="false" ht="15" hidden="false" customHeight="true" outlineLevel="0" collapsed="false">
      <c r="A51" s="34" t="s">
        <v>409</v>
      </c>
      <c r="B51" s="35"/>
      <c r="C51" s="35"/>
      <c r="D51" s="35"/>
      <c r="E51" s="35"/>
    </row>
    <row r="52" customFormat="false" ht="23.25" hidden="false" customHeight="true" outlineLevel="0" collapsed="false">
      <c r="A52" s="105" t="s">
        <v>410</v>
      </c>
      <c r="B52" s="105" t="s">
        <v>411</v>
      </c>
      <c r="C52" s="105" t="s">
        <v>412</v>
      </c>
      <c r="D52" s="105" t="s">
        <v>413</v>
      </c>
      <c r="E52" s="105" t="s">
        <v>414</v>
      </c>
    </row>
    <row r="53" customFormat="false" ht="15" hidden="false" customHeight="true" outlineLevel="0" collapsed="false">
      <c r="A53" s="113" t="n">
        <v>46266</v>
      </c>
      <c r="B53" s="56" t="n">
        <f aca="false">SUMPRODUCT(($B$14:$B$39&gt;=$A53)*($B$14:$B$39&lt;=EOMONTH($A53,0))*1)</f>
        <v>1</v>
      </c>
      <c r="C53" s="52" t="n">
        <f aca="false">SUMPRODUCT(($B$14:$B$39&gt;=$A53)*($B$14:$B$39&lt;=EOMONTH($A53,0))*$F$14:$F$39)</f>
        <v>250</v>
      </c>
      <c r="D53" s="56" t="n">
        <f aca="false">SUMPRODUCT(($B$14:$B$39&gt;=$A53)*($B$14:$B$39&lt;=EOMONTH($A53,0))*($H$14:$H$39&gt;0)*1)</f>
        <v>0</v>
      </c>
      <c r="E53" s="52" t="n">
        <f aca="false">SUMPRODUCT(($B$14:$B$39&gt;=$A53)*($B$14:$B$39&lt;=EOMONTH($A53,0))*$D$14:$D$39)</f>
        <v>0</v>
      </c>
    </row>
    <row r="54" customFormat="false" ht="15" hidden="false" customHeight="true" outlineLevel="0" collapsed="false">
      <c r="A54" s="113" t="n">
        <v>46296</v>
      </c>
      <c r="B54" s="56" t="n">
        <f aca="false">SUMPRODUCT(($B$14:$B$39&gt;=$A54)*($B$14:$B$39&lt;=EOMONTH($A54,0))*1)</f>
        <v>4</v>
      </c>
      <c r="C54" s="52" t="n">
        <f aca="false">SUMPRODUCT(($B$14:$B$39&gt;=$A54)*($B$14:$B$39&lt;=EOMONTH($A54,0))*$F$14:$F$39)</f>
        <v>1000</v>
      </c>
      <c r="D54" s="56" t="n">
        <f aca="false">SUMPRODUCT(($B$14:$B$39&gt;=$A54)*($B$14:$B$39&lt;=EOMONTH($A54,0))*($H$14:$H$39&gt;0)*1)</f>
        <v>1</v>
      </c>
      <c r="E54" s="52" t="n">
        <f aca="false">SUMPRODUCT(($B$14:$B$39&gt;=$A54)*($B$14:$B$39&lt;=EOMONTH($A54,0))*$D$14:$D$39)</f>
        <v>1300</v>
      </c>
    </row>
    <row r="55" customFormat="false" ht="15" hidden="false" customHeight="true" outlineLevel="0" collapsed="false">
      <c r="A55" s="113" t="n">
        <v>46327</v>
      </c>
      <c r="B55" s="56" t="n">
        <f aca="false">SUMPRODUCT(($B$14:$B$39&gt;=$A55)*($B$14:$B$39&lt;=EOMONTH($A55,0))*1)</f>
        <v>5</v>
      </c>
      <c r="C55" s="52" t="n">
        <f aca="false">SUMPRODUCT(($B$14:$B$39&gt;=$A55)*($B$14:$B$39&lt;=EOMONTH($A55,0))*$F$14:$F$39)</f>
        <v>1250</v>
      </c>
      <c r="D55" s="56" t="n">
        <f aca="false">SUMPRODUCT(($B$14:$B$39&gt;=$A55)*($B$14:$B$39&lt;=EOMONTH($A55,0))*($H$14:$H$39&gt;0)*1)</f>
        <v>1</v>
      </c>
      <c r="E55" s="52" t="n">
        <f aca="false">SUMPRODUCT(($B$14:$B$39&gt;=$A55)*($B$14:$B$39&lt;=EOMONTH($A55,0))*$D$14:$D$39)</f>
        <v>1300</v>
      </c>
    </row>
    <row r="56" customFormat="false" ht="15" hidden="false" customHeight="true" outlineLevel="0" collapsed="false">
      <c r="A56" s="113" t="n">
        <v>46357</v>
      </c>
      <c r="B56" s="56" t="n">
        <f aca="false">SUMPRODUCT(($B$14:$B$39&gt;=$A56)*($B$14:$B$39&lt;=EOMONTH($A56,0))*1)</f>
        <v>4</v>
      </c>
      <c r="C56" s="52" t="n">
        <f aca="false">SUMPRODUCT(($B$14:$B$39&gt;=$A56)*($B$14:$B$39&lt;=EOMONTH($A56,0))*$F$14:$F$39)</f>
        <v>1000</v>
      </c>
      <c r="D56" s="56" t="n">
        <f aca="false">SUMPRODUCT(($B$14:$B$39&gt;=$A56)*($B$14:$B$39&lt;=EOMONTH($A56,0))*($H$14:$H$39&gt;0)*1)</f>
        <v>0</v>
      </c>
      <c r="E56" s="52" t="n">
        <f aca="false">SUMPRODUCT(($B$14:$B$39&gt;=$A56)*($B$14:$B$39&lt;=EOMONTH($A56,0))*$D$14:$D$39)</f>
        <v>1300</v>
      </c>
    </row>
    <row r="57" customFormat="false" ht="15" hidden="false" customHeight="true" outlineLevel="0" collapsed="false">
      <c r="A57" s="113" t="n">
        <v>46388</v>
      </c>
      <c r="B57" s="56" t="n">
        <f aca="false">SUMPRODUCT(($B$14:$B$39&gt;=$A57)*($B$14:$B$39&lt;=EOMONTH($A57,0))*1)</f>
        <v>4</v>
      </c>
      <c r="C57" s="52" t="n">
        <f aca="false">SUMPRODUCT(($B$14:$B$39&gt;=$A57)*($B$14:$B$39&lt;=EOMONTH($A57,0))*$F$14:$F$39)</f>
        <v>1000</v>
      </c>
      <c r="D57" s="56" t="n">
        <f aca="false">SUMPRODUCT(($B$14:$B$39&gt;=$A57)*($B$14:$B$39&lt;=EOMONTH($A57,0))*($H$14:$H$39&gt;0)*1)</f>
        <v>1</v>
      </c>
      <c r="E57" s="52" t="n">
        <f aca="false">SUMPRODUCT(($B$14:$B$39&gt;=$A57)*($B$14:$B$39&lt;=EOMONTH($A57,0))*$D$14:$D$39)</f>
        <v>1300</v>
      </c>
    </row>
    <row r="58" customFormat="false" ht="15" hidden="false" customHeight="true" outlineLevel="0" collapsed="false">
      <c r="A58" s="113" t="n">
        <v>46419</v>
      </c>
      <c r="B58" s="56" t="n">
        <f aca="false">SUMPRODUCT(($B$14:$B$39&gt;=$A58)*($B$14:$B$39&lt;=EOMONTH($A58,0))*1)</f>
        <v>4</v>
      </c>
      <c r="C58" s="52" t="n">
        <f aca="false">SUMPRODUCT(($B$14:$B$39&gt;=$A58)*($B$14:$B$39&lt;=EOMONTH($A58,0))*$F$14:$F$39)</f>
        <v>1000</v>
      </c>
      <c r="D58" s="56" t="n">
        <f aca="false">SUMPRODUCT(($B$14:$B$39&gt;=$A58)*($B$14:$B$39&lt;=EOMONTH($A58,0))*($H$14:$H$39&gt;0)*1)</f>
        <v>1</v>
      </c>
      <c r="E58" s="52" t="n">
        <f aca="false">SUMPRODUCT(($B$14:$B$39&gt;=$A58)*($B$14:$B$39&lt;=EOMONTH($A58,0))*$D$14:$D$39)</f>
        <v>0</v>
      </c>
    </row>
    <row r="59" customFormat="false" ht="15" hidden="false" customHeight="true" outlineLevel="0" collapsed="false">
      <c r="A59" s="113" t="n">
        <v>46447</v>
      </c>
      <c r="B59" s="56" t="n">
        <f aca="false">SUMPRODUCT(($B$14:$B$39&gt;=$A59)*($B$14:$B$39&lt;=EOMONTH($A59,0))*1)</f>
        <v>4</v>
      </c>
      <c r="C59" s="52" t="n">
        <f aca="false">SUMPRODUCT(($B$14:$B$39&gt;=$A59)*($B$14:$B$39&lt;=EOMONTH($A59,0))*$F$14:$F$39)</f>
        <v>1000</v>
      </c>
      <c r="D59" s="56" t="n">
        <f aca="false">SUMPRODUCT(($B$14:$B$39&gt;=$A59)*($B$14:$B$39&lt;=EOMONTH($A59,0))*($H$14:$H$39&gt;0)*1)</f>
        <v>1</v>
      </c>
      <c r="E59" s="52" t="n">
        <f aca="false">SUMPRODUCT(($B$14:$B$39&gt;=$A59)*($B$14:$B$39&lt;=EOMONTH($A59,0))*$D$14:$D$39)</f>
        <v>1300</v>
      </c>
    </row>
    <row r="61" customFormat="false" ht="21.75" hidden="false" customHeight="true" outlineLevel="0" collapsed="false">
      <c r="A61" s="111" t="s">
        <v>415</v>
      </c>
      <c r="B61" s="111"/>
      <c r="C61" s="111"/>
      <c r="D61" s="111"/>
      <c r="E61" s="111"/>
    </row>
  </sheetData>
  <mergeCells count="4">
    <mergeCell ref="D5:K5"/>
    <mergeCell ref="D6:K6"/>
    <mergeCell ref="D11:K11"/>
    <mergeCell ref="A61:E61"/>
  </mergeCells>
  <conditionalFormatting sqref="L14:L39">
    <cfRule type="expression" priority="2" aboveAverage="0" equalAverage="0" bottom="0" percent="0" rank="0" text="" dxfId="0">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8"/>
    <col collapsed="false" customWidth="true" hidden="false" outlineLevel="0" max="3" min="3" style="1" width="3"/>
    <col collapsed="false" customWidth="true" hidden="false" outlineLevel="0" max="4" min="4" style="1" width="58"/>
  </cols>
  <sheetData>
    <row r="1" customFormat="false" ht="17.25" hidden="false" customHeight="true" outlineLevel="0" collapsed="false">
      <c r="A1" s="32" t="s">
        <v>416</v>
      </c>
    </row>
    <row r="2" customFormat="false" ht="24" hidden="false" customHeight="true" outlineLevel="0" collapsed="false">
      <c r="A2" s="33" t="s">
        <v>417</v>
      </c>
    </row>
    <row r="4" customFormat="false" ht="15" hidden="false" customHeight="true" outlineLevel="0" collapsed="false">
      <c r="A4" s="100" t="s">
        <v>418</v>
      </c>
      <c r="B4" s="100" t="s">
        <v>419</v>
      </c>
      <c r="D4" s="100" t="s">
        <v>420</v>
      </c>
    </row>
    <row r="5" customFormat="false" ht="31.5" hidden="false" customHeight="true" outlineLevel="0" collapsed="false">
      <c r="A5" s="74" t="s">
        <v>421</v>
      </c>
      <c r="B5" s="74" t="s">
        <v>422</v>
      </c>
      <c r="D5" s="40" t="s">
        <v>423</v>
      </c>
    </row>
    <row r="6" customFormat="false" ht="31.5" hidden="false" customHeight="true" outlineLevel="0" collapsed="false">
      <c r="A6" s="74" t="s">
        <v>84</v>
      </c>
      <c r="B6" s="37" t="str">
        <f aca="false">"1,300 units of "&amp;Inputs!B5&amp;"x"&amp;Inputs!B6&amp;" (per Todd)"</f>
        <v>1,300 units of 24x27 (per Todd)</v>
      </c>
      <c r="D6" s="40" t="s">
        <v>424</v>
      </c>
    </row>
    <row r="7" customFormat="false" ht="31.5" hidden="false" customHeight="true" outlineLevel="0" collapsed="false">
      <c r="A7" s="74" t="s">
        <v>86</v>
      </c>
      <c r="B7" s="74" t="s">
        <v>425</v>
      </c>
      <c r="D7" s="40" t="s">
        <v>426</v>
      </c>
    </row>
    <row r="8" customFormat="false" ht="31.5" hidden="false" customHeight="true" outlineLevel="0" collapsed="false">
      <c r="A8" s="74" t="s">
        <v>427</v>
      </c>
      <c r="B8" s="74" t="s">
        <v>428</v>
      </c>
      <c r="D8" s="40" t="s">
        <v>429</v>
      </c>
    </row>
    <row r="9" customFormat="false" ht="15" hidden="false" customHeight="true" outlineLevel="0" collapsed="false">
      <c r="A9" s="36" t="s">
        <v>430</v>
      </c>
      <c r="B9" s="36" t="s">
        <v>431</v>
      </c>
      <c r="D9" s="57" t="s">
        <v>432</v>
      </c>
    </row>
    <row r="10" customFormat="false" ht="15" hidden="false" customHeight="true" outlineLevel="0" collapsed="false">
      <c r="A10" s="34" t="s">
        <v>433</v>
      </c>
      <c r="B10" s="35"/>
      <c r="C10" s="35"/>
      <c r="D10" s="35"/>
    </row>
    <row r="11" customFormat="false" ht="13.5" hidden="false" customHeight="true" outlineLevel="0" collapsed="false">
      <c r="A11" s="111" t="s">
        <v>434</v>
      </c>
      <c r="B11" s="111"/>
      <c r="C11" s="111"/>
      <c r="D11" s="111"/>
    </row>
    <row r="12" customFormat="false" ht="30" hidden="false" customHeight="true" outlineLevel="0" collapsed="false">
      <c r="A12" s="111" t="s">
        <v>435</v>
      </c>
      <c r="B12" s="111"/>
      <c r="C12" s="111"/>
      <c r="D12" s="111"/>
    </row>
    <row r="13" customFormat="false" ht="30" hidden="false" customHeight="true" outlineLevel="0" collapsed="false">
      <c r="A13" s="111" t="s">
        <v>436</v>
      </c>
      <c r="B13" s="111"/>
      <c r="C13" s="111"/>
      <c r="D13" s="111"/>
    </row>
    <row r="14" customFormat="false" ht="30" hidden="false" customHeight="true" outlineLevel="0" collapsed="false">
      <c r="A14" s="111" t="s">
        <v>437</v>
      </c>
      <c r="B14" s="111"/>
      <c r="C14" s="111"/>
      <c r="D14" s="111"/>
    </row>
    <row r="15" customFormat="false" ht="13.5" hidden="false" customHeight="true" outlineLevel="0" collapsed="false">
      <c r="A15" s="111" t="s">
        <v>438</v>
      </c>
      <c r="B15" s="111"/>
      <c r="C15" s="111"/>
      <c r="D15" s="111"/>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9"/>
    <col collapsed="false" customWidth="true" hidden="false" outlineLevel="0" max="4" min="4" style="1" width="62"/>
  </cols>
  <sheetData>
    <row r="1" customFormat="false" ht="17.25" hidden="false" customHeight="true" outlineLevel="0" collapsed="false">
      <c r="A1" s="32" t="s">
        <v>439</v>
      </c>
    </row>
    <row r="2" customFormat="false" ht="15" hidden="false" customHeight="true" outlineLevel="0" collapsed="false">
      <c r="A2" s="50" t="s">
        <v>440</v>
      </c>
    </row>
    <row r="4" customFormat="false" ht="15" hidden="false" customHeight="true" outlineLevel="0" collapsed="false">
      <c r="A4" s="34" t="s">
        <v>441</v>
      </c>
      <c r="B4" s="35"/>
      <c r="C4" s="35"/>
      <c r="D4" s="35"/>
    </row>
    <row r="5" customFormat="false" ht="15" hidden="false" customHeight="true" outlineLevel="0" collapsed="false">
      <c r="A5" s="100" t="s">
        <v>418</v>
      </c>
      <c r="B5" s="100" t="s">
        <v>442</v>
      </c>
      <c r="C5" s="100" t="s">
        <v>398</v>
      </c>
      <c r="D5" s="100" t="s">
        <v>443</v>
      </c>
    </row>
    <row r="6" customFormat="false" ht="25.5" hidden="false" customHeight="true" outlineLevel="0" collapsed="false">
      <c r="A6" s="74" t="s">
        <v>444</v>
      </c>
      <c r="B6" s="114" t="n">
        <f aca="false">Inputs!B19</f>
        <v>260</v>
      </c>
      <c r="C6" s="115" t="s">
        <v>445</v>
      </c>
      <c r="D6" s="40" t="s">
        <v>446</v>
      </c>
    </row>
    <row r="7" customFormat="false" ht="25.5" hidden="false" customHeight="true" outlineLevel="0" collapsed="false">
      <c r="A7" s="74" t="s">
        <v>56</v>
      </c>
      <c r="B7" s="116" t="n">
        <f aca="false">Inputs!B20</f>
        <v>0.41</v>
      </c>
      <c r="C7" s="115" t="s">
        <v>445</v>
      </c>
      <c r="D7" s="40" t="s">
        <v>447</v>
      </c>
    </row>
    <row r="8" customFormat="false" ht="25.5" hidden="false" customHeight="true" outlineLevel="0" collapsed="false">
      <c r="A8" s="74" t="s">
        <v>448</v>
      </c>
      <c r="B8" s="37" t="str">
        <f aca="false">Inputs!B5&amp;" × "&amp;Inputs!B6&amp;" in"</f>
        <v>24 × 27 in</v>
      </c>
      <c r="C8" s="74" t="s">
        <v>449</v>
      </c>
      <c r="D8" s="40" t="s">
        <v>450</v>
      </c>
    </row>
    <row r="9" customFormat="false" ht="25.5" hidden="false" customHeight="true" outlineLevel="0" collapsed="false">
      <c r="A9" s="74" t="s">
        <v>451</v>
      </c>
      <c r="B9" s="37" t="str">
        <f aca="false">Inputs!B16&amp;" ft × "&amp;Inputs!B18&amp;" in"</f>
        <v>150 ft × 101 in</v>
      </c>
      <c r="C9" s="115" t="s">
        <v>445</v>
      </c>
      <c r="D9" s="40" t="s">
        <v>452</v>
      </c>
    </row>
    <row r="10" customFormat="false" ht="25.5" hidden="false" customHeight="true" outlineLevel="0" collapsed="false">
      <c r="A10" s="74" t="s">
        <v>453</v>
      </c>
      <c r="B10" s="37" t="str">
        <f aca="false">"1,300 units of "&amp;Inputs!B5&amp;"x"&amp;Inputs!B6</f>
        <v>1,300 units of 24x27</v>
      </c>
      <c r="C10" s="115" t="s">
        <v>454</v>
      </c>
      <c r="D10" s="40" t="s">
        <v>455</v>
      </c>
    </row>
    <row r="11" customFormat="false" ht="25.5" hidden="false" customHeight="true" outlineLevel="0" collapsed="false">
      <c r="A11" s="74" t="s">
        <v>456</v>
      </c>
      <c r="B11" s="37" t="str">
        <f aca="false">Inputs!B10&amp;" ft × "&amp;Inputs!B12&amp;" in ("&amp;TEXT(Inputs!B11,"#,##0")&amp;" in long)"</f>
        <v>750 ft × 101 in (9,000 in long)</v>
      </c>
      <c r="C11" s="117" t="s">
        <v>457</v>
      </c>
      <c r="D11" s="40" t="s">
        <v>458</v>
      </c>
    </row>
    <row r="12" customFormat="false" ht="25.5" hidden="false" customHeight="true" outlineLevel="0" collapsed="false">
      <c r="A12" s="74" t="s">
        <v>122</v>
      </c>
      <c r="B12" s="37" t="str">
        <f aca="false">TEXT(Inputs!B37,"0.0%")&amp;" ("&amp;Inputs!B35&amp;" ÷ "&amp;Inputs!B36&amp;")"</f>
        <v>97.6% (1300 ÷ 1332)</v>
      </c>
      <c r="C12" s="74" t="s">
        <v>459</v>
      </c>
      <c r="D12" s="40" t="s">
        <v>460</v>
      </c>
    </row>
    <row r="13" customFormat="false" ht="25.5" hidden="false" customHeight="true" outlineLevel="0" collapsed="false">
      <c r="A13" s="74" t="s">
        <v>372</v>
      </c>
      <c r="B13" s="114" t="n">
        <f aca="false">Inputs!B26</f>
        <v>250</v>
      </c>
      <c r="C13" s="38" t="s">
        <v>461</v>
      </c>
      <c r="D13" s="40" t="s">
        <v>462</v>
      </c>
    </row>
    <row r="14" customFormat="false" ht="25.5" hidden="false" customHeight="true" outlineLevel="0" collapsed="false">
      <c r="A14" s="74" t="s">
        <v>78</v>
      </c>
      <c r="B14" s="37" t="str">
        <f aca="false">Inputs!B27&amp;" + "&amp;Inputs!B28&amp;" + "&amp;Inputs!B29&amp;" days = "&amp;Inputs!B30&amp;" days"</f>
        <v>3 + 14 + 3 days = 20 days</v>
      </c>
      <c r="C14" s="115" t="s">
        <v>454</v>
      </c>
      <c r="D14" s="40" t="s">
        <v>463</v>
      </c>
    </row>
    <row r="15" customFormat="false" ht="25.5" hidden="false" customHeight="true" outlineLevel="0" collapsed="false">
      <c r="A15" s="74" t="s">
        <v>464</v>
      </c>
      <c r="B15" s="37" t="str">
        <f aca="false">Inputs!B32&amp;" week"</f>
        <v>1 week</v>
      </c>
      <c r="C15" s="74" t="s">
        <v>465</v>
      </c>
      <c r="D15" s="40" t="s">
        <v>466</v>
      </c>
    </row>
    <row r="16" customFormat="false" ht="25.5" hidden="false" customHeight="true" outlineLevel="0" collapsed="false">
      <c r="A16" s="74" t="s">
        <v>467</v>
      </c>
      <c r="B16" s="37" t="s">
        <v>468</v>
      </c>
      <c r="C16" s="115" t="s">
        <v>469</v>
      </c>
      <c r="D16" s="40" t="s">
        <v>470</v>
      </c>
    </row>
    <row r="18" customFormat="false" ht="15" hidden="false" customHeight="true" outlineLevel="0" collapsed="false">
      <c r="A18" s="34" t="s">
        <v>471</v>
      </c>
      <c r="B18" s="35"/>
      <c r="C18" s="35"/>
      <c r="D18" s="35"/>
    </row>
    <row r="19" customFormat="false" ht="27.75" hidden="false" customHeight="true" outlineLevel="0" collapsed="false">
      <c r="A19" s="117" t="s">
        <v>472</v>
      </c>
      <c r="B19" s="74" t="s">
        <v>473</v>
      </c>
      <c r="C19" s="62" t="s">
        <v>474</v>
      </c>
      <c r="D19" s="40" t="s">
        <v>475</v>
      </c>
    </row>
    <row r="20" customFormat="false" ht="27.75" hidden="false" customHeight="true" outlineLevel="0" collapsed="false">
      <c r="A20" s="36" t="s">
        <v>476</v>
      </c>
      <c r="B20" s="41" t="str">
        <f aca="false">TEXT('Order Cadence'!B16,"#,##0")&amp;" pieces"</f>
        <v>1,000 pieces</v>
      </c>
      <c r="D20" s="40" t="s">
        <v>477</v>
      </c>
    </row>
    <row r="21" customFormat="false" ht="27.75" hidden="false" customHeight="true" outlineLevel="0" collapsed="false">
      <c r="A21" s="36" t="s">
        <v>478</v>
      </c>
      <c r="B21" s="41" t="str">
        <f aca="false">TEXT('Order Cadence'!B6,"#,##0")&amp;" pieces"</f>
        <v>1,300 pieces</v>
      </c>
      <c r="D21" s="40" t="s">
        <v>479</v>
      </c>
    </row>
    <row r="22" customFormat="false" ht="27.75" hidden="false" customHeight="true" outlineLevel="0" collapsed="false">
      <c r="A22" s="36" t="s">
        <v>480</v>
      </c>
      <c r="B22" s="41" t="str">
        <f aca="false">TEXT(Inputs!B26*Inputs!B32,"#,##0")&amp;" pieces"</f>
        <v>250 pieces</v>
      </c>
      <c r="D22" s="40" t="s">
        <v>481</v>
      </c>
    </row>
    <row r="23" customFormat="false" ht="27.75" hidden="false" customHeight="true" outlineLevel="0" collapsed="false">
      <c r="A23" s="36" t="s">
        <v>482</v>
      </c>
      <c r="B23" s="41" t="str">
        <f aca="false">Inputs!B30&amp;" days"</f>
        <v>20 days</v>
      </c>
      <c r="D23" s="40" t="s">
        <v>483</v>
      </c>
    </row>
    <row r="24" customFormat="false" ht="27.75" hidden="false" customHeight="true" outlineLevel="0" collapsed="false">
      <c r="A24" s="117" t="s">
        <v>484</v>
      </c>
      <c r="B24" s="37" t="str">
        <f aca="false">"Cut piece "&amp;Inputs!B5&amp;" × "&amp;Inputs!B6&amp;" in — new material #"</f>
        <v>Cut piece 24 × 27 in — new material #</v>
      </c>
      <c r="C24" s="62" t="s">
        <v>474</v>
      </c>
      <c r="D24" s="40" t="s">
        <v>485</v>
      </c>
    </row>
    <row r="25" customFormat="false" ht="27.75" hidden="false" customHeight="true" outlineLevel="0" collapsed="false">
      <c r="A25" s="36" t="s">
        <v>486</v>
      </c>
      <c r="B25" s="37" t="str">
        <f aca="false">"Roll "&amp;Inputs!B10&amp;" ft × "&amp;Inputs!B12&amp;" in"</f>
        <v>Roll 750 ft × 101 in</v>
      </c>
      <c r="C25" s="62" t="s">
        <v>487</v>
      </c>
      <c r="D25" s="40" t="s">
        <v>488</v>
      </c>
    </row>
    <row r="27" customFormat="false" ht="15" hidden="false" customHeight="true" outlineLevel="0" collapsed="false">
      <c r="A27" s="34" t="s">
        <v>489</v>
      </c>
      <c r="B27" s="35"/>
      <c r="C27" s="35"/>
      <c r="D27" s="35"/>
    </row>
    <row r="28" customFormat="false" ht="30" hidden="false" customHeight="true" outlineLevel="0" collapsed="false">
      <c r="A28" s="111" t="s">
        <v>490</v>
      </c>
      <c r="B28" s="111"/>
      <c r="C28" s="111"/>
      <c r="D28" s="111"/>
    </row>
    <row r="29" customFormat="false" ht="30" hidden="false" customHeight="true" outlineLevel="0" collapsed="false">
      <c r="A29" s="111" t="s">
        <v>491</v>
      </c>
      <c r="B29" s="111"/>
      <c r="C29" s="111"/>
      <c r="D29" s="111"/>
    </row>
    <row r="30" customFormat="false" ht="30" hidden="false" customHeight="true" outlineLevel="0" collapsed="false">
      <c r="A30" s="111" t="s">
        <v>492</v>
      </c>
      <c r="B30" s="111"/>
      <c r="C30" s="111"/>
      <c r="D30" s="111"/>
    </row>
    <row r="31" customFormat="false" ht="30" hidden="false" customHeight="true" outlineLevel="0" collapsed="false">
      <c r="A31" s="111" t="s">
        <v>493</v>
      </c>
      <c r="B31" s="111"/>
      <c r="C31" s="111"/>
      <c r="D31" s="111"/>
    </row>
    <row r="33" customFormat="false" ht="15" hidden="false" customHeight="true" outlineLevel="0" collapsed="false">
      <c r="A33" s="34" t="s">
        <v>494</v>
      </c>
      <c r="B33" s="35"/>
      <c r="C33" s="35"/>
      <c r="D33" s="35"/>
    </row>
    <row r="34" customFormat="false" ht="27.75" hidden="false" customHeight="true" outlineLevel="0" collapsed="false">
      <c r="A34" s="111" t="s">
        <v>495</v>
      </c>
      <c r="B34" s="111"/>
      <c r="C34" s="111"/>
      <c r="D34" s="111"/>
    </row>
    <row r="35" customFormat="false" ht="27.75" hidden="false" customHeight="true" outlineLevel="0" collapsed="false">
      <c r="A35" s="111" t="s">
        <v>496</v>
      </c>
      <c r="B35" s="111"/>
      <c r="C35" s="111"/>
      <c r="D35" s="111"/>
    </row>
    <row r="36" customFormat="false" ht="27.75" hidden="false" customHeight="true" outlineLevel="0" collapsed="false">
      <c r="A36" s="111" t="s">
        <v>497</v>
      </c>
      <c r="B36" s="111"/>
      <c r="C36" s="111"/>
      <c r="D36" s="111"/>
    </row>
    <row r="37" customFormat="false" ht="27.75" hidden="false" customHeight="true" outlineLevel="0" collapsed="false">
      <c r="A37" s="111" t="s">
        <v>498</v>
      </c>
      <c r="B37" s="111"/>
      <c r="C37" s="111"/>
      <c r="D37" s="111"/>
    </row>
    <row r="38" customFormat="false" ht="27.75" hidden="false" customHeight="true" outlineLevel="0" collapsed="false">
      <c r="A38" s="111" t="s">
        <v>499</v>
      </c>
      <c r="B38" s="111"/>
      <c r="C38" s="111"/>
      <c r="D38" s="111"/>
    </row>
    <row r="39" customFormat="false" ht="27.75" hidden="false" customHeight="true" outlineLevel="0" collapsed="false">
      <c r="A39" s="111" t="s">
        <v>500</v>
      </c>
      <c r="B39" s="111"/>
      <c r="C39" s="111"/>
      <c r="D39" s="111"/>
    </row>
    <row r="40" customFormat="false" ht="54" hidden="false" customHeight="true" outlineLevel="0" collapsed="false">
      <c r="A40" s="111" t="s">
        <v>501</v>
      </c>
      <c r="B40" s="111"/>
      <c r="C40" s="111"/>
      <c r="D40" s="111"/>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2026-09-24T19:00:25Z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